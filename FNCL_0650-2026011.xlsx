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548" documentId="8_{E0691246-E2AF-4A95-8EE3-4F6D2BB2FF5C}" xr6:coauthVersionLast="47" xr6:coauthVersionMax="47" xr10:uidLastSave="{CF1B94DA-FB5F-495E-A12B-F466B88E9DDC}"/>
  <bookViews>
    <workbookView xWindow="-120" yWindow="-120" windowWidth="38640" windowHeight="21120" activeTab="2" xr2:uid="{00000000-000D-0000-FFFF-FFFF00000000}"/>
  </bookViews>
  <sheets>
    <sheet name="Summary" sheetId="3" r:id="rId1"/>
    <sheet name="Paydown" sheetId="2" r:id="rId2"/>
    <sheet name="Collateral" sheetId="4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M17" i="5"/>
  <c r="G18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" i="4"/>
  <c r="M2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M4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P27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K2" i="4"/>
  <c r="K31" i="4"/>
  <c r="K4" i="2"/>
  <c r="M4" i="2"/>
  <c r="J2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M5" i="2"/>
  <c r="M6" i="2"/>
  <c r="M7" i="2"/>
  <c r="K7" i="4"/>
  <c r="G9" i="2" s="1"/>
  <c r="K266" i="4"/>
  <c r="G268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4" i="2"/>
  <c r="G4" i="2"/>
  <c r="K6" i="4"/>
  <c r="G8" i="2" s="1"/>
  <c r="K18" i="4"/>
  <c r="G20" i="2" s="1"/>
  <c r="K3" i="4"/>
  <c r="G5" i="2" s="1"/>
  <c r="K4" i="4"/>
  <c r="G6" i="2" s="1"/>
  <c r="K5" i="4"/>
  <c r="G7" i="2" s="1"/>
  <c r="K8" i="4"/>
  <c r="G10" i="2" s="1"/>
  <c r="K9" i="4"/>
  <c r="G11" i="2" s="1"/>
  <c r="K10" i="4"/>
  <c r="G12" i="2" s="1"/>
  <c r="K11" i="4"/>
  <c r="G13" i="2" s="1"/>
  <c r="K12" i="4"/>
  <c r="G14" i="2" s="1"/>
  <c r="K13" i="4"/>
  <c r="G15" i="2" s="1"/>
  <c r="K14" i="4"/>
  <c r="G16" i="2" s="1"/>
  <c r="K15" i="4"/>
  <c r="G17" i="2" s="1"/>
  <c r="K16" i="4"/>
  <c r="G18" i="2" s="1"/>
  <c r="K17" i="4"/>
  <c r="G19" i="2" s="1"/>
  <c r="K19" i="4"/>
  <c r="G21" i="2" s="1"/>
  <c r="K20" i="4"/>
  <c r="G22" i="2" s="1"/>
  <c r="K21" i="4"/>
  <c r="G23" i="2" s="1"/>
  <c r="K22" i="4"/>
  <c r="G24" i="2" s="1"/>
  <c r="K23" i="4"/>
  <c r="G25" i="2" s="1"/>
  <c r="K24" i="4"/>
  <c r="G26" i="2" s="1"/>
  <c r="K25" i="4"/>
  <c r="G27" i="2" s="1"/>
  <c r="K26" i="4"/>
  <c r="G28" i="2" s="1"/>
  <c r="K27" i="4"/>
  <c r="G29" i="2" s="1"/>
  <c r="K28" i="4"/>
  <c r="G30" i="2" s="1"/>
  <c r="K29" i="4"/>
  <c r="G31" i="2" s="1"/>
  <c r="K30" i="4"/>
  <c r="G32" i="2" s="1"/>
  <c r="G33" i="2"/>
  <c r="K32" i="4"/>
  <c r="G34" i="2" s="1"/>
  <c r="K33" i="4"/>
  <c r="G35" i="2" s="1"/>
  <c r="K34" i="4"/>
  <c r="G36" i="2" s="1"/>
  <c r="K35" i="4"/>
  <c r="G37" i="2" s="1"/>
  <c r="K36" i="4"/>
  <c r="G38" i="2" s="1"/>
  <c r="K37" i="4"/>
  <c r="G39" i="2" s="1"/>
  <c r="K38" i="4"/>
  <c r="G40" i="2" s="1"/>
  <c r="K39" i="4"/>
  <c r="G41" i="2" s="1"/>
  <c r="K40" i="4"/>
  <c r="G42" i="2" s="1"/>
  <c r="K41" i="4"/>
  <c r="G43" i="2" s="1"/>
  <c r="K42" i="4"/>
  <c r="G44" i="2" s="1"/>
  <c r="K43" i="4"/>
  <c r="G45" i="2" s="1"/>
  <c r="K44" i="4"/>
  <c r="G46" i="2" s="1"/>
  <c r="K45" i="4"/>
  <c r="G47" i="2" s="1"/>
  <c r="K46" i="4"/>
  <c r="G48" i="2" s="1"/>
  <c r="K47" i="4"/>
  <c r="G49" i="2" s="1"/>
  <c r="K48" i="4"/>
  <c r="G50" i="2" s="1"/>
  <c r="K49" i="4"/>
  <c r="G51" i="2" s="1"/>
  <c r="K50" i="4"/>
  <c r="G52" i="2" s="1"/>
  <c r="K51" i="4"/>
  <c r="G53" i="2" s="1"/>
  <c r="K52" i="4"/>
  <c r="G54" i="2" s="1"/>
  <c r="K53" i="4"/>
  <c r="G55" i="2" s="1"/>
  <c r="K54" i="4"/>
  <c r="G56" i="2" s="1"/>
  <c r="K55" i="4"/>
  <c r="G57" i="2" s="1"/>
  <c r="K56" i="4"/>
  <c r="G58" i="2" s="1"/>
  <c r="K57" i="4"/>
  <c r="G59" i="2" s="1"/>
  <c r="K58" i="4"/>
  <c r="G60" i="2" s="1"/>
  <c r="K59" i="4"/>
  <c r="G61" i="2" s="1"/>
  <c r="K60" i="4"/>
  <c r="G62" i="2" s="1"/>
  <c r="K61" i="4"/>
  <c r="G63" i="2" s="1"/>
  <c r="K62" i="4"/>
  <c r="G64" i="2" s="1"/>
  <c r="K63" i="4"/>
  <c r="G65" i="2" s="1"/>
  <c r="K64" i="4"/>
  <c r="G66" i="2" s="1"/>
  <c r="K65" i="4"/>
  <c r="G67" i="2" s="1"/>
  <c r="K66" i="4"/>
  <c r="G68" i="2" s="1"/>
  <c r="K67" i="4"/>
  <c r="G69" i="2" s="1"/>
  <c r="K68" i="4"/>
  <c r="G70" i="2" s="1"/>
  <c r="K69" i="4"/>
  <c r="G71" i="2" s="1"/>
  <c r="K70" i="4"/>
  <c r="G72" i="2" s="1"/>
  <c r="K71" i="4"/>
  <c r="G73" i="2" s="1"/>
  <c r="K72" i="4"/>
  <c r="G74" i="2" s="1"/>
  <c r="K73" i="4"/>
  <c r="G75" i="2" s="1"/>
  <c r="K74" i="4"/>
  <c r="G76" i="2" s="1"/>
  <c r="K75" i="4"/>
  <c r="G77" i="2" s="1"/>
  <c r="K76" i="4"/>
  <c r="G78" i="2" s="1"/>
  <c r="K77" i="4"/>
  <c r="G79" i="2" s="1"/>
  <c r="K78" i="4"/>
  <c r="G80" i="2" s="1"/>
  <c r="K79" i="4"/>
  <c r="G81" i="2" s="1"/>
  <c r="K80" i="4"/>
  <c r="G82" i="2" s="1"/>
  <c r="K81" i="4"/>
  <c r="G83" i="2" s="1"/>
  <c r="K82" i="4"/>
  <c r="G84" i="2" s="1"/>
  <c r="K83" i="4"/>
  <c r="G85" i="2" s="1"/>
  <c r="K84" i="4"/>
  <c r="G86" i="2" s="1"/>
  <c r="K85" i="4"/>
  <c r="G87" i="2" s="1"/>
  <c r="K86" i="4"/>
  <c r="G88" i="2" s="1"/>
  <c r="K87" i="4"/>
  <c r="G89" i="2" s="1"/>
  <c r="K88" i="4"/>
  <c r="G90" i="2" s="1"/>
  <c r="K89" i="4"/>
  <c r="G91" i="2" s="1"/>
  <c r="K90" i="4"/>
  <c r="G92" i="2" s="1"/>
  <c r="K91" i="4"/>
  <c r="G93" i="2" s="1"/>
  <c r="K92" i="4"/>
  <c r="G94" i="2" s="1"/>
  <c r="K93" i="4"/>
  <c r="G95" i="2" s="1"/>
  <c r="K94" i="4"/>
  <c r="G96" i="2" s="1"/>
  <c r="K95" i="4"/>
  <c r="G97" i="2" s="1"/>
  <c r="K96" i="4"/>
  <c r="G98" i="2" s="1"/>
  <c r="K97" i="4"/>
  <c r="G99" i="2" s="1"/>
  <c r="K98" i="4"/>
  <c r="G100" i="2" s="1"/>
  <c r="K99" i="4"/>
  <c r="G101" i="2" s="1"/>
  <c r="K100" i="4"/>
  <c r="G102" i="2" s="1"/>
  <c r="K101" i="4"/>
  <c r="G103" i="2" s="1"/>
  <c r="K102" i="4"/>
  <c r="G104" i="2" s="1"/>
  <c r="K103" i="4"/>
  <c r="G105" i="2" s="1"/>
  <c r="K104" i="4"/>
  <c r="G106" i="2" s="1"/>
  <c r="K105" i="4"/>
  <c r="G107" i="2" s="1"/>
  <c r="K106" i="4"/>
  <c r="G108" i="2" s="1"/>
  <c r="K107" i="4"/>
  <c r="G109" i="2" s="1"/>
  <c r="K108" i="4"/>
  <c r="G110" i="2" s="1"/>
  <c r="K109" i="4"/>
  <c r="G111" i="2" s="1"/>
  <c r="K110" i="4"/>
  <c r="G112" i="2" s="1"/>
  <c r="K111" i="4"/>
  <c r="G113" i="2" s="1"/>
  <c r="K112" i="4"/>
  <c r="G114" i="2" s="1"/>
  <c r="K113" i="4"/>
  <c r="G115" i="2" s="1"/>
  <c r="K114" i="4"/>
  <c r="G116" i="2" s="1"/>
  <c r="K115" i="4"/>
  <c r="G117" i="2" s="1"/>
  <c r="K116" i="4"/>
  <c r="G118" i="2" s="1"/>
  <c r="K117" i="4"/>
  <c r="G119" i="2" s="1"/>
  <c r="K118" i="4"/>
  <c r="G120" i="2" s="1"/>
  <c r="K119" i="4"/>
  <c r="G121" i="2" s="1"/>
  <c r="K120" i="4"/>
  <c r="G122" i="2" s="1"/>
  <c r="K121" i="4"/>
  <c r="G123" i="2" s="1"/>
  <c r="K122" i="4"/>
  <c r="G124" i="2" s="1"/>
  <c r="K123" i="4"/>
  <c r="G125" i="2" s="1"/>
  <c r="K124" i="4"/>
  <c r="G126" i="2" s="1"/>
  <c r="K125" i="4"/>
  <c r="G127" i="2" s="1"/>
  <c r="K126" i="4"/>
  <c r="G128" i="2" s="1"/>
  <c r="K127" i="4"/>
  <c r="G129" i="2" s="1"/>
  <c r="K128" i="4"/>
  <c r="G130" i="2" s="1"/>
  <c r="K129" i="4"/>
  <c r="G131" i="2" s="1"/>
  <c r="K130" i="4"/>
  <c r="G132" i="2" s="1"/>
  <c r="K131" i="4"/>
  <c r="G133" i="2" s="1"/>
  <c r="K132" i="4"/>
  <c r="G134" i="2" s="1"/>
  <c r="K133" i="4"/>
  <c r="G135" i="2" s="1"/>
  <c r="K134" i="4"/>
  <c r="G136" i="2" s="1"/>
  <c r="K135" i="4"/>
  <c r="G137" i="2" s="1"/>
  <c r="K136" i="4"/>
  <c r="G138" i="2" s="1"/>
  <c r="K137" i="4"/>
  <c r="G139" i="2" s="1"/>
  <c r="K138" i="4"/>
  <c r="G140" i="2" s="1"/>
  <c r="K139" i="4"/>
  <c r="G141" i="2" s="1"/>
  <c r="K140" i="4"/>
  <c r="G142" i="2" s="1"/>
  <c r="K141" i="4"/>
  <c r="G143" i="2" s="1"/>
  <c r="K142" i="4"/>
  <c r="G144" i="2" s="1"/>
  <c r="K143" i="4"/>
  <c r="G145" i="2" s="1"/>
  <c r="K144" i="4"/>
  <c r="G146" i="2" s="1"/>
  <c r="K145" i="4"/>
  <c r="G147" i="2" s="1"/>
  <c r="K146" i="4"/>
  <c r="G148" i="2" s="1"/>
  <c r="K147" i="4"/>
  <c r="G149" i="2" s="1"/>
  <c r="K148" i="4"/>
  <c r="G150" i="2" s="1"/>
  <c r="K149" i="4"/>
  <c r="G151" i="2" s="1"/>
  <c r="K150" i="4"/>
  <c r="G152" i="2" s="1"/>
  <c r="K151" i="4"/>
  <c r="G153" i="2" s="1"/>
  <c r="K152" i="4"/>
  <c r="G154" i="2" s="1"/>
  <c r="K153" i="4"/>
  <c r="G155" i="2" s="1"/>
  <c r="K154" i="4"/>
  <c r="G156" i="2" s="1"/>
  <c r="K155" i="4"/>
  <c r="G157" i="2" s="1"/>
  <c r="K156" i="4"/>
  <c r="G158" i="2" s="1"/>
  <c r="K157" i="4"/>
  <c r="G159" i="2" s="1"/>
  <c r="K158" i="4"/>
  <c r="G160" i="2" s="1"/>
  <c r="K159" i="4"/>
  <c r="G161" i="2" s="1"/>
  <c r="K160" i="4"/>
  <c r="G162" i="2" s="1"/>
  <c r="K161" i="4"/>
  <c r="G163" i="2" s="1"/>
  <c r="K162" i="4"/>
  <c r="G164" i="2" s="1"/>
  <c r="K163" i="4"/>
  <c r="G165" i="2" s="1"/>
  <c r="K164" i="4"/>
  <c r="G166" i="2" s="1"/>
  <c r="K165" i="4"/>
  <c r="G167" i="2" s="1"/>
  <c r="K166" i="4"/>
  <c r="G168" i="2" s="1"/>
  <c r="K167" i="4"/>
  <c r="G169" i="2" s="1"/>
  <c r="K168" i="4"/>
  <c r="G170" i="2" s="1"/>
  <c r="K169" i="4"/>
  <c r="G171" i="2" s="1"/>
  <c r="K170" i="4"/>
  <c r="G172" i="2" s="1"/>
  <c r="K171" i="4"/>
  <c r="G173" i="2" s="1"/>
  <c r="K172" i="4"/>
  <c r="G174" i="2" s="1"/>
  <c r="K173" i="4"/>
  <c r="G175" i="2" s="1"/>
  <c r="K174" i="4"/>
  <c r="G176" i="2" s="1"/>
  <c r="K175" i="4"/>
  <c r="G177" i="2" s="1"/>
  <c r="K176" i="4"/>
  <c r="G178" i="2" s="1"/>
  <c r="K177" i="4"/>
  <c r="G179" i="2" s="1"/>
  <c r="K178" i="4"/>
  <c r="G180" i="2" s="1"/>
  <c r="K179" i="4"/>
  <c r="G181" i="2" s="1"/>
  <c r="K180" i="4"/>
  <c r="G182" i="2" s="1"/>
  <c r="K181" i="4"/>
  <c r="G183" i="2" s="1"/>
  <c r="K182" i="4"/>
  <c r="G184" i="2" s="1"/>
  <c r="K183" i="4"/>
  <c r="G185" i="2" s="1"/>
  <c r="K184" i="4"/>
  <c r="G186" i="2" s="1"/>
  <c r="K185" i="4"/>
  <c r="G187" i="2" s="1"/>
  <c r="K186" i="4"/>
  <c r="G188" i="2" s="1"/>
  <c r="K187" i="4"/>
  <c r="G189" i="2" s="1"/>
  <c r="K188" i="4"/>
  <c r="G190" i="2" s="1"/>
  <c r="K189" i="4"/>
  <c r="G191" i="2" s="1"/>
  <c r="K190" i="4"/>
  <c r="G192" i="2" s="1"/>
  <c r="K191" i="4"/>
  <c r="G193" i="2" s="1"/>
  <c r="K192" i="4"/>
  <c r="G194" i="2" s="1"/>
  <c r="K193" i="4"/>
  <c r="G195" i="2" s="1"/>
  <c r="K194" i="4"/>
  <c r="G196" i="2" s="1"/>
  <c r="K195" i="4"/>
  <c r="G197" i="2" s="1"/>
  <c r="K196" i="4"/>
  <c r="G198" i="2" s="1"/>
  <c r="K197" i="4"/>
  <c r="G199" i="2" s="1"/>
  <c r="K198" i="4"/>
  <c r="G200" i="2" s="1"/>
  <c r="K199" i="4"/>
  <c r="G201" i="2" s="1"/>
  <c r="K200" i="4"/>
  <c r="G202" i="2" s="1"/>
  <c r="K201" i="4"/>
  <c r="G203" i="2" s="1"/>
  <c r="K202" i="4"/>
  <c r="G204" i="2" s="1"/>
  <c r="K203" i="4"/>
  <c r="G205" i="2" s="1"/>
  <c r="K204" i="4"/>
  <c r="G206" i="2" s="1"/>
  <c r="K205" i="4"/>
  <c r="G207" i="2" s="1"/>
  <c r="K206" i="4"/>
  <c r="G208" i="2" s="1"/>
  <c r="K207" i="4"/>
  <c r="G209" i="2" s="1"/>
  <c r="K208" i="4"/>
  <c r="G210" i="2" s="1"/>
  <c r="K209" i="4"/>
  <c r="G211" i="2" s="1"/>
  <c r="K210" i="4"/>
  <c r="G212" i="2" s="1"/>
  <c r="K211" i="4"/>
  <c r="G213" i="2" s="1"/>
  <c r="K212" i="4"/>
  <c r="G214" i="2" s="1"/>
  <c r="K213" i="4"/>
  <c r="G215" i="2" s="1"/>
  <c r="K214" i="4"/>
  <c r="G216" i="2" s="1"/>
  <c r="K215" i="4"/>
  <c r="G217" i="2" s="1"/>
  <c r="K216" i="4"/>
  <c r="G218" i="2" s="1"/>
  <c r="K217" i="4"/>
  <c r="G219" i="2" s="1"/>
  <c r="K218" i="4"/>
  <c r="G220" i="2" s="1"/>
  <c r="K219" i="4"/>
  <c r="G221" i="2" s="1"/>
  <c r="K220" i="4"/>
  <c r="G222" i="2" s="1"/>
  <c r="K221" i="4"/>
  <c r="G223" i="2" s="1"/>
  <c r="K222" i="4"/>
  <c r="G224" i="2" s="1"/>
  <c r="K223" i="4"/>
  <c r="G225" i="2" s="1"/>
  <c r="K224" i="4"/>
  <c r="G226" i="2" s="1"/>
  <c r="K225" i="4"/>
  <c r="G227" i="2" s="1"/>
  <c r="K226" i="4"/>
  <c r="G228" i="2" s="1"/>
  <c r="K227" i="4"/>
  <c r="G229" i="2" s="1"/>
  <c r="K228" i="4"/>
  <c r="G230" i="2" s="1"/>
  <c r="K229" i="4"/>
  <c r="G231" i="2" s="1"/>
  <c r="K230" i="4"/>
  <c r="G232" i="2" s="1"/>
  <c r="K231" i="4"/>
  <c r="G233" i="2" s="1"/>
  <c r="K232" i="4"/>
  <c r="G234" i="2" s="1"/>
  <c r="K233" i="4"/>
  <c r="G235" i="2" s="1"/>
  <c r="K234" i="4"/>
  <c r="G236" i="2" s="1"/>
  <c r="K235" i="4"/>
  <c r="G237" i="2" s="1"/>
  <c r="K236" i="4"/>
  <c r="G238" i="2" s="1"/>
  <c r="K237" i="4"/>
  <c r="G239" i="2" s="1"/>
  <c r="K238" i="4"/>
  <c r="G240" i="2" s="1"/>
  <c r="K239" i="4"/>
  <c r="G241" i="2" s="1"/>
  <c r="K240" i="4"/>
  <c r="G242" i="2" s="1"/>
  <c r="K241" i="4"/>
  <c r="G243" i="2" s="1"/>
  <c r="K242" i="4"/>
  <c r="G244" i="2" s="1"/>
  <c r="K243" i="4"/>
  <c r="G245" i="2" s="1"/>
  <c r="K244" i="4"/>
  <c r="G246" i="2" s="1"/>
  <c r="K245" i="4"/>
  <c r="G247" i="2" s="1"/>
  <c r="K246" i="4"/>
  <c r="G248" i="2" s="1"/>
  <c r="K247" i="4"/>
  <c r="G249" i="2" s="1"/>
  <c r="K248" i="4"/>
  <c r="G250" i="2" s="1"/>
  <c r="K249" i="4"/>
  <c r="G251" i="2" s="1"/>
  <c r="K250" i="4"/>
  <c r="G252" i="2" s="1"/>
  <c r="K251" i="4"/>
  <c r="G253" i="2" s="1"/>
  <c r="K252" i="4"/>
  <c r="G254" i="2" s="1"/>
  <c r="K253" i="4"/>
  <c r="G255" i="2" s="1"/>
  <c r="K254" i="4"/>
  <c r="G256" i="2" s="1"/>
  <c r="K255" i="4"/>
  <c r="G257" i="2" s="1"/>
  <c r="K256" i="4"/>
  <c r="G258" i="2" s="1"/>
  <c r="K257" i="4"/>
  <c r="G259" i="2" s="1"/>
  <c r="K258" i="4"/>
  <c r="G260" i="2" s="1"/>
  <c r="K259" i="4"/>
  <c r="G261" i="2" s="1"/>
  <c r="K260" i="4"/>
  <c r="G262" i="2" s="1"/>
  <c r="K261" i="4"/>
  <c r="G263" i="2" s="1"/>
  <c r="K262" i="4"/>
  <c r="G264" i="2" s="1"/>
  <c r="K263" i="4"/>
  <c r="G265" i="2" s="1"/>
  <c r="K264" i="4"/>
  <c r="G266" i="2" s="1"/>
  <c r="K265" i="4"/>
  <c r="G267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M66" i="2"/>
  <c r="M268" i="2"/>
  <c r="M25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8" i="2"/>
  <c r="M259" i="2"/>
  <c r="M260" i="2"/>
  <c r="M261" i="2"/>
  <c r="M262" i="2"/>
  <c r="M263" i="2"/>
  <c r="M264" i="2"/>
  <c r="M265" i="2"/>
  <c r="M266" i="2"/>
  <c r="M267" i="2"/>
  <c r="M2" i="2"/>
</calcChain>
</file>

<file path=xl/sharedStrings.xml><?xml version="1.0" encoding="utf-8"?>
<sst xmlns="http://schemas.openxmlformats.org/spreadsheetml/2006/main" count="1103" uniqueCount="577">
  <si>
    <t>Date</t>
  </si>
  <si>
    <t>Factor</t>
  </si>
  <si>
    <t>Coupon</t>
  </si>
  <si>
    <t>Pass-through Rate</t>
  </si>
  <si>
    <t>Principal</t>
  </si>
  <si>
    <t>Interest</t>
  </si>
  <si>
    <t>Balance</t>
  </si>
  <si>
    <t>Cashflow</t>
  </si>
  <si>
    <t>Total</t>
  </si>
  <si>
    <t>02/25/2026</t>
  </si>
  <si>
    <t>01/26/2026</t>
  </si>
  <si>
    <t>12/26/2025</t>
  </si>
  <si>
    <t>11/25/2025</t>
  </si>
  <si>
    <t>10/27/2025</t>
  </si>
  <si>
    <t>09/25/2025</t>
  </si>
  <si>
    <t>08/25/2025</t>
  </si>
  <si>
    <t>07/25/2025</t>
  </si>
  <si>
    <t>06/25/2025</t>
  </si>
  <si>
    <t>05/27/2025</t>
  </si>
  <si>
    <t>04/25/2025</t>
  </si>
  <si>
    <t>03/25/2025</t>
  </si>
  <si>
    <t>02/25/2025</t>
  </si>
  <si>
    <t>01/27/2025</t>
  </si>
  <si>
    <t>12/26/2024</t>
  </si>
  <si>
    <t>11/25/2024</t>
  </si>
  <si>
    <t>10/25/2024</t>
  </si>
  <si>
    <t>09/25/2024</t>
  </si>
  <si>
    <t>08/26/2024</t>
  </si>
  <si>
    <t>07/25/2024</t>
  </si>
  <si>
    <t>06/25/2024</t>
  </si>
  <si>
    <t>05/28/2024</t>
  </si>
  <si>
    <t>04/25/2024</t>
  </si>
  <si>
    <t>03/25/2024</t>
  </si>
  <si>
    <t>02/26/2024</t>
  </si>
  <si>
    <t>01/25/2024</t>
  </si>
  <si>
    <t>12/26/2023</t>
  </si>
  <si>
    <t>11/27/2023</t>
  </si>
  <si>
    <t>10/25/2023</t>
  </si>
  <si>
    <t>09/25/2023</t>
  </si>
  <si>
    <t>08/25/2023</t>
  </si>
  <si>
    <t>07/25/2023</t>
  </si>
  <si>
    <t>06/26/2023</t>
  </si>
  <si>
    <t>05/25/2023</t>
  </si>
  <si>
    <t>04/25/2023</t>
  </si>
  <si>
    <t>03/27/2023</t>
  </si>
  <si>
    <t>02/27/2023</t>
  </si>
  <si>
    <t>01/25/2023</t>
  </si>
  <si>
    <t>12/27/2022</t>
  </si>
  <si>
    <t>11/25/2022</t>
  </si>
  <si>
    <t>10/25/2022</t>
  </si>
  <si>
    <t>09/26/2022</t>
  </si>
  <si>
    <t>08/25/2022</t>
  </si>
  <si>
    <t>07/25/2022</t>
  </si>
  <si>
    <t>06/27/2022</t>
  </si>
  <si>
    <t>05/25/2022</t>
  </si>
  <si>
    <t>04/25/2022</t>
  </si>
  <si>
    <t>03/25/2022</t>
  </si>
  <si>
    <t>02/25/2022</t>
  </si>
  <si>
    <t>01/25/2022</t>
  </si>
  <si>
    <t>12/27/2021</t>
  </si>
  <si>
    <t>11/26/2021</t>
  </si>
  <si>
    <t>10/25/2021</t>
  </si>
  <si>
    <t>09/27/2021</t>
  </si>
  <si>
    <t>08/25/2021</t>
  </si>
  <si>
    <t>07/26/2021</t>
  </si>
  <si>
    <t>06/25/2021</t>
  </si>
  <si>
    <t>05/25/2021</t>
  </si>
  <si>
    <t>04/26/2021</t>
  </si>
  <si>
    <t>03/25/2021</t>
  </si>
  <si>
    <t>02/25/2021</t>
  </si>
  <si>
    <t>01/25/2021</t>
  </si>
  <si>
    <t>12/28/2020</t>
  </si>
  <si>
    <t>11/25/2020</t>
  </si>
  <si>
    <t>10/26/2020</t>
  </si>
  <si>
    <t>09/25/2020</t>
  </si>
  <si>
    <t>08/25/2020</t>
  </si>
  <si>
    <t>07/27/2020</t>
  </si>
  <si>
    <t>06/25/2020</t>
  </si>
  <si>
    <t>05/26/2020</t>
  </si>
  <si>
    <t>04/27/2020</t>
  </si>
  <si>
    <t>03/25/2020</t>
  </si>
  <si>
    <t>02/25/2020</t>
  </si>
  <si>
    <t>01/27/2020</t>
  </si>
  <si>
    <t>12/26/2019</t>
  </si>
  <si>
    <t>11/25/2019</t>
  </si>
  <si>
    <t>10/25/2019</t>
  </si>
  <si>
    <t>09/25/2019</t>
  </si>
  <si>
    <t>08/26/2019</t>
  </si>
  <si>
    <t>07/25/2019</t>
  </si>
  <si>
    <t>06/25/2019</t>
  </si>
  <si>
    <t>05/28/2019</t>
  </si>
  <si>
    <t>04/25/2019</t>
  </si>
  <si>
    <t>03/25/2019</t>
  </si>
  <si>
    <t>02/25/2019</t>
  </si>
  <si>
    <t>01/25/2019</t>
  </si>
  <si>
    <t>12/26/2018</t>
  </si>
  <si>
    <t>11/26/2018</t>
  </si>
  <si>
    <t>10/25/2018</t>
  </si>
  <si>
    <t>09/25/2018</t>
  </si>
  <si>
    <t>08/27/2018</t>
  </si>
  <si>
    <t>07/25/2018</t>
  </si>
  <si>
    <t>06/25/2018</t>
  </si>
  <si>
    <t>05/25/2018</t>
  </si>
  <si>
    <t>04/25/2018</t>
  </si>
  <si>
    <t>03/26/2018</t>
  </si>
  <si>
    <t>02/26/2018</t>
  </si>
  <si>
    <t>01/25/2018</t>
  </si>
  <si>
    <t>12/26/2017</t>
  </si>
  <si>
    <t>11/27/2017</t>
  </si>
  <si>
    <t>10/25/2017</t>
  </si>
  <si>
    <t>09/25/2017</t>
  </si>
  <si>
    <t>08/25/2017</t>
  </si>
  <si>
    <t>07/25/2017</t>
  </si>
  <si>
    <t>06/26/2017</t>
  </si>
  <si>
    <t>05/25/2017</t>
  </si>
  <si>
    <t>04/25/2017</t>
  </si>
  <si>
    <t>03/27/2017</t>
  </si>
  <si>
    <t>02/27/2017</t>
  </si>
  <si>
    <t>01/25/2017</t>
  </si>
  <si>
    <t>12/27/2016</t>
  </si>
  <si>
    <t>11/25/2016</t>
  </si>
  <si>
    <t>10/25/2016</t>
  </si>
  <si>
    <t>09/26/2016</t>
  </si>
  <si>
    <t>08/25/2016</t>
  </si>
  <si>
    <t>07/25/2016</t>
  </si>
  <si>
    <t>06/27/2016</t>
  </si>
  <si>
    <t>05/25/2016</t>
  </si>
  <si>
    <t>04/25/2016</t>
  </si>
  <si>
    <t>03/25/2016</t>
  </si>
  <si>
    <t>02/25/2016</t>
  </si>
  <si>
    <t>01/25/2016</t>
  </si>
  <si>
    <t>12/28/2015</t>
  </si>
  <si>
    <t>11/25/2015</t>
  </si>
  <si>
    <t>10/26/2015</t>
  </si>
  <si>
    <t>09/25/2015</t>
  </si>
  <si>
    <t>08/25/2015</t>
  </si>
  <si>
    <t>07/27/2015</t>
  </si>
  <si>
    <t>06/25/2015</t>
  </si>
  <si>
    <t>05/26/2015</t>
  </si>
  <si>
    <t>04/27/2015</t>
  </si>
  <si>
    <t>03/25/2015</t>
  </si>
  <si>
    <t>02/25/2015</t>
  </si>
  <si>
    <t>01/26/2015</t>
  </si>
  <si>
    <t>12/26/2014</t>
  </si>
  <si>
    <t>11/25/2014</t>
  </si>
  <si>
    <t>10/27/2014</t>
  </si>
  <si>
    <t>09/25/2014</t>
  </si>
  <si>
    <t>08/25/2014</t>
  </si>
  <si>
    <t>07/25/2014</t>
  </si>
  <si>
    <t>06/25/2014</t>
  </si>
  <si>
    <t>05/27/2014</t>
  </si>
  <si>
    <t>04/25/2014</t>
  </si>
  <si>
    <t>03/25/2014</t>
  </si>
  <si>
    <t>02/25/2014</t>
  </si>
  <si>
    <t>01/27/2014</t>
  </si>
  <si>
    <t>12/26/2013</t>
  </si>
  <si>
    <t>11/25/2013</t>
  </si>
  <si>
    <t>10/25/2013</t>
  </si>
  <si>
    <t>09/25/2013</t>
  </si>
  <si>
    <t>08/26/2013</t>
  </si>
  <si>
    <t>07/25/2013</t>
  </si>
  <si>
    <t>06/25/2013</t>
  </si>
  <si>
    <t>05/28/2013</t>
  </si>
  <si>
    <t>04/25/2013</t>
  </si>
  <si>
    <t>03/25/2013</t>
  </si>
  <si>
    <t>02/25/2013</t>
  </si>
  <si>
    <t>01/25/2013</t>
  </si>
  <si>
    <t>12/26/2012</t>
  </si>
  <si>
    <t>11/26/2012</t>
  </si>
  <si>
    <t>10/25/2012</t>
  </si>
  <si>
    <t>09/25/2012</t>
  </si>
  <si>
    <t>08/27/2012</t>
  </si>
  <si>
    <t>07/25/2012</t>
  </si>
  <si>
    <t>06/25/2012</t>
  </si>
  <si>
    <t>05/25/2012</t>
  </si>
  <si>
    <t>04/25/2012</t>
  </si>
  <si>
    <t>03/26/2012</t>
  </si>
  <si>
    <t>02/27/2012</t>
  </si>
  <si>
    <t>01/25/2012</t>
  </si>
  <si>
    <t>12/27/2011</t>
  </si>
  <si>
    <t>11/25/2011</t>
  </si>
  <si>
    <t>10/25/2011</t>
  </si>
  <si>
    <t>09/26/2011</t>
  </si>
  <si>
    <t>08/25/2011</t>
  </si>
  <si>
    <t>07/25/2011</t>
  </si>
  <si>
    <t>06/27/2011</t>
  </si>
  <si>
    <t>05/25/2011</t>
  </si>
  <si>
    <t>04/25/2011</t>
  </si>
  <si>
    <t>03/25/2011</t>
  </si>
  <si>
    <t>02/25/2011</t>
  </si>
  <si>
    <t>01/25/2011</t>
  </si>
  <si>
    <t>12/27/2010</t>
  </si>
  <si>
    <t>11/26/2010</t>
  </si>
  <si>
    <t>10/25/2010</t>
  </si>
  <si>
    <t>09/27/2010</t>
  </si>
  <si>
    <t>08/25/2010</t>
  </si>
  <si>
    <t>07/26/2010</t>
  </si>
  <si>
    <t>06/25/2010</t>
  </si>
  <si>
    <t>05/25/2010</t>
  </si>
  <si>
    <t>04/26/2010</t>
  </si>
  <si>
    <t>03/25/2010</t>
  </si>
  <si>
    <t>02/25/2010</t>
  </si>
  <si>
    <t>01/25/2010</t>
  </si>
  <si>
    <t>12/28/2009</t>
  </si>
  <si>
    <t>11/25/2009</t>
  </si>
  <si>
    <t>10/26/2009</t>
  </si>
  <si>
    <t>09/25/2009</t>
  </si>
  <si>
    <t>08/25/2009</t>
  </si>
  <si>
    <t>07/27/2009</t>
  </si>
  <si>
    <t>06/25/2009</t>
  </si>
  <si>
    <t>05/26/2009</t>
  </si>
  <si>
    <t>04/27/2009</t>
  </si>
  <si>
    <t>03/25/2009</t>
  </si>
  <si>
    <t>02/25/2009</t>
  </si>
  <si>
    <t>01/26/2009</t>
  </si>
  <si>
    <t>12/26/2008</t>
  </si>
  <si>
    <t>11/25/2008</t>
  </si>
  <si>
    <t>10/27/2008</t>
  </si>
  <si>
    <t>09/25/2008</t>
  </si>
  <si>
    <t>08/25/2008</t>
  </si>
  <si>
    <t>07/25/2008</t>
  </si>
  <si>
    <t>06/25/2008</t>
  </si>
  <si>
    <t>05/27/2008</t>
  </si>
  <si>
    <t>04/25/2008</t>
  </si>
  <si>
    <t>03/25/2008</t>
  </si>
  <si>
    <t>02/25/2008</t>
  </si>
  <si>
    <t>01/25/2008</t>
  </si>
  <si>
    <t>12/26/2007</t>
  </si>
  <si>
    <t>11/26/2007</t>
  </si>
  <si>
    <t>10/25/2007</t>
  </si>
  <si>
    <t>09/25/2007</t>
  </si>
  <si>
    <t>08/27/2007</t>
  </si>
  <si>
    <t>07/25/2007</t>
  </si>
  <si>
    <t>06/25/2007</t>
  </si>
  <si>
    <t>05/25/2007</t>
  </si>
  <si>
    <t>04/25/2007</t>
  </si>
  <si>
    <t>03/26/2007</t>
  </si>
  <si>
    <t>02/26/2007</t>
  </si>
  <si>
    <t>01/25/2007</t>
  </si>
  <si>
    <t>12/26/2006</t>
  </si>
  <si>
    <t>11/27/2006</t>
  </si>
  <si>
    <t>10/25/2006</t>
  </si>
  <si>
    <t>09/25/2006</t>
  </si>
  <si>
    <t>08/25/2006</t>
  </si>
  <si>
    <t>07/25/2006</t>
  </si>
  <si>
    <t>06/26/2006</t>
  </si>
  <si>
    <t>05/25/2006</t>
  </si>
  <si>
    <t>04/25/2006</t>
  </si>
  <si>
    <t>03/27/2006</t>
  </si>
  <si>
    <t>02/27/2006</t>
  </si>
  <si>
    <t>01/25/2006</t>
  </si>
  <si>
    <t>12/27/2005</t>
  </si>
  <si>
    <t>11/25/2005</t>
  </si>
  <si>
    <t>10/25/2005</t>
  </si>
  <si>
    <t>09/26/2005</t>
  </si>
  <si>
    <t>08/25/2005</t>
  </si>
  <si>
    <t>07/25/2005</t>
  </si>
  <si>
    <t>06/27/2005</t>
  </si>
  <si>
    <t>05/25/2005</t>
  </si>
  <si>
    <t>04/25/2005</t>
  </si>
  <si>
    <t>03/25/2005</t>
  </si>
  <si>
    <t>02/25/2005</t>
  </si>
  <si>
    <t>01/25/2005</t>
  </si>
  <si>
    <t>12/27/2004</t>
  </si>
  <si>
    <t>11/26/2004</t>
  </si>
  <si>
    <t>10/25/2004</t>
  </si>
  <si>
    <t>09/27/2004</t>
  </si>
  <si>
    <t>08/25/2004</t>
  </si>
  <si>
    <t>07/26/2004</t>
  </si>
  <si>
    <t>06/25/2004</t>
  </si>
  <si>
    <t>05/25/2004</t>
  </si>
  <si>
    <t>04/26/2004</t>
  </si>
  <si>
    <t>03/25/2004</t>
  </si>
  <si>
    <t>02/25/2004</t>
  </si>
  <si>
    <t>01/26/2004</t>
  </si>
  <si>
    <t>Cashflow Recomputation</t>
  </si>
  <si>
    <t>Balance Recomputation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</si>
  <si>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</si>
  <si>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</si>
  <si>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</si>
  <si>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</si>
  <si>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</si>
  <si>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</si>
  <si>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</si>
  <si>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</si>
  <si>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</si>
  <si>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</si>
  <si>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</si>
  <si>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</si>
  <si>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</si>
  <si>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</si>
  <si>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</si>
  <si>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</si>
  <si>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</si>
  <si>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</si>
  <si>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</si>
  <si>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</si>
  <si>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</si>
  <si>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</si>
  <si>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</si>
  <si>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</si>
  <si>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</si>
  <si>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</si>
  <si>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</si>
  <si>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</si>
  <si>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</si>
  <si>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</si>
  <si>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</si>
  <si>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</si>
  <si>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</si>
  <si>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</si>
  <si>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</si>
  <si>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</si>
  <si>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</si>
  <si>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</si>
  <si>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</si>
  <si>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</si>
  <si>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</si>
  <si>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</si>
  <si>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</si>
  <si>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</si>
  <si>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</si>
  <si>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</si>
  <si>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</si>
  <si>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</si>
  <si>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</si>
  <si>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</si>
  <si>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</si>
  <si>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</si>
  <si>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</si>
  <si>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</si>
  <si>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</si>
  <si>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</si>
  <si>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</si>
  <si>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</si>
  <si>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</si>
  <si>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</si>
  <si>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</si>
  <si>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</si>
  <si>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</si>
  <si>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</si>
  <si>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</si>
  <si>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</si>
  <si>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</si>
  <si>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</si>
  <si>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</si>
  <si>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</si>
  <si>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</si>
  <si>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</si>
  <si>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</si>
  <si>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</si>
  <si>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</si>
  <si>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</si>
  <si>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</si>
  <si>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</si>
  <si>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</si>
  <si>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</si>
  <si>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</si>
  <si>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</si>
  <si>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</si>
  <si>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</si>
  <si>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</si>
  <si>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</si>
  <si>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</si>
  <si>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</si>
  <si>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</si>
  <si>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</si>
  <si>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</si>
  <si>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</si>
  <si>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</si>
  <si>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</si>
  <si>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</si>
  <si>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</si>
  <si>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</si>
  <si>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</si>
  <si>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</si>
  <si>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</si>
  <si>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</si>
  <si>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</si>
  <si>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</si>
  <si>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</si>
  <si>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</si>
  <si>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</si>
  <si>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</si>
  <si>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</si>
  <si>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</si>
  <si>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</si>
  <si>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</si>
  <si>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</si>
  <si>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</si>
  <si>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</si>
  <si>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</si>
  <si>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</si>
  <si>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</si>
  <si>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</si>
  <si>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</si>
  <si>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</si>
  <si>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</si>
  <si>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</si>
  <si>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</si>
  <si>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</si>
  <si>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</si>
  <si>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</si>
  <si>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</si>
  <si>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</si>
  <si>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</si>
  <si>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</si>
  <si>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</si>
  <si>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</si>
  <si>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</si>
  <si>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</si>
  <si>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</si>
  <si>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</si>
  <si>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</si>
  <si>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</si>
  <si>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</si>
  <si>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</si>
  <si>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</si>
  <si>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</si>
  <si>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</si>
  <si>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</si>
  <si>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</si>
  <si>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</si>
  <si>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</si>
  <si>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</si>
  <si>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</si>
  <si>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</si>
  <si>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</si>
  <si>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</si>
  <si>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</si>
  <si>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</si>
  <si>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</si>
  <si>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</si>
  <si>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</si>
  <si>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</si>
  <si>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</si>
  <si>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</si>
  <si>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</si>
  <si>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</si>
  <si>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</si>
  <si>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</si>
  <si>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</si>
  <si>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</si>
  <si>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</si>
  <si>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</si>
  <si>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</si>
  <si>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</si>
  <si>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</si>
  <si>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</si>
  <si>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</si>
  <si>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</si>
  <si>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</si>
  <si>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</si>
  <si>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</si>
  <si>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</si>
  <si>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</si>
  <si>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</si>
  <si>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</si>
  <si>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</si>
  <si>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</si>
  <si>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</si>
  <si>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</si>
  <si>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</si>
  <si>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</si>
  <si>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</si>
  <si>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</si>
  <si>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</si>
  <si>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</si>
  <si>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</si>
  <si>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</si>
  <si>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</si>
  <si>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</si>
  <si>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</si>
  <si>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</si>
  <si>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</si>
  <si>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</si>
  <si>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</si>
  <si>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</si>
  <si>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</si>
  <si>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</si>
  <si>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</si>
  <si>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</si>
  <si>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</si>
  <si>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</si>
  <si>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</si>
  <si>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</si>
  <si>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</si>
  <si>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</si>
  <si>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</si>
  <si>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</si>
  <si>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</si>
  <si>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</si>
  <si>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</si>
  <si>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</si>
  <si>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</si>
  <si>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</si>
  <si>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</si>
  <si>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</si>
  <si>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</si>
  <si>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</si>
  <si>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</si>
  <si>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</si>
  <si>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</si>
  <si>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</si>
  <si>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</si>
  <si>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</si>
  <si>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</si>
  <si>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</si>
  <si>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</si>
  <si>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</si>
  <si>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</si>
  <si>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</si>
  <si>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</si>
  <si>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</si>
  <si>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</si>
  <si>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</si>
  <si>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</si>
  <si>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</si>
  <si>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</si>
  <si>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</si>
  <si>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</si>
  <si>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</si>
  <si>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</si>
  <si>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</si>
  <si>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</si>
  <si>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</si>
  <si>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</si>
  <si>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</si>
  <si>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</si>
  <si>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</si>
  <si>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</si>
  <si>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</si>
  <si>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</si>
  <si>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</si>
  <si>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</si>
  <si>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</si>
  <si>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</si>
  <si>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</si>
  <si>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</si>
  <si>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</si>
  <si>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</si>
  <si>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</si>
  <si>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</si>
  <si>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# Pools</t>
  </si>
  <si>
    <t>Balance (M)</t>
  </si>
  <si>
    <t>Amt Issued (M)</t>
  </si>
  <si>
    <t>12M CPR</t>
  </si>
  <si>
    <t>6M CPR</t>
  </si>
  <si>
    <t>3M CPR</t>
  </si>
  <si>
    <t>1M CPR</t>
  </si>
  <si>
    <t>WALA</t>
  </si>
  <si>
    <t>WAM</t>
  </si>
  <si>
    <t>WAC</t>
  </si>
  <si>
    <t>Recomputation Factor</t>
  </si>
  <si>
    <t>FNCL 6.5 2001 W2D</t>
  </si>
  <si>
    <t>FNCL 6.5 2003 W2D</t>
  </si>
  <si>
    <t>FNCL 6.5 2004 W2D</t>
  </si>
  <si>
    <t>FNCL 6.5 2006 W2D</t>
  </si>
  <si>
    <t>FNCL 6.5 2007 W2D</t>
  </si>
  <si>
    <t>FNCL 6.5 2008 W2D</t>
  </si>
  <si>
    <t>FNCL 6.5 2007</t>
  </si>
  <si>
    <t>FNCL 6.5 S W2D</t>
  </si>
  <si>
    <t>FNCL 6.5 S</t>
  </si>
  <si>
    <t>FNCL 6.5 2022 W2D FLOAT</t>
  </si>
  <si>
    <t>FNCL 6.5 2023 W2D FLOAT</t>
  </si>
  <si>
    <t>FNCL 6.5 2024 W2D FLOAT</t>
  </si>
  <si>
    <t>FNCL 6.5 2025 W2D FLOAT</t>
  </si>
  <si>
    <t>Net Interest (M)</t>
  </si>
  <si>
    <t>Unsched (M)</t>
  </si>
  <si>
    <t>Sched (M)</t>
  </si>
  <si>
    <t>Total (M)</t>
  </si>
  <si>
    <t>TBA W2D Mapping</t>
  </si>
  <si>
    <t>Recomputation Total (M)</t>
  </si>
  <si>
    <t>Interest Recomputation</t>
  </si>
  <si>
    <t>Recomputation Net Interest (M)</t>
  </si>
  <si>
    <t>Recomputation Sched (M)</t>
  </si>
  <si>
    <t>WAM+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</si>
</sst>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6">
    <xf numFmtId="0" fontId="0" fillId="0" borderId="0" xfId="0"/>
    <xf numFmtId="164" fontId="0" fillId="41" borderId="0" xfId="44" applyNumberFormat="1" applyFont="1" applyFill="1"/>
    <xf numFmtId="164" fontId="0" fillId="40" borderId="13" xfId="44" applyNumberFormat="1" applyFont="1" applyFill="1" applyBorder="1"/>
    <xf numFmtId="164" fontId="0" fillId="40" borderId="12" xfId="44" applyNumberFormat="1" applyFont="1" applyFill="1" applyBorder="1"/>
    <xf numFmtId="0" fontId="0" fillId="40" borderId="0" xfId="0" applyFill="1"/>
    <xf numFmtId="164" fontId="0" fillId="39" borderId="13" xfId="44" applyNumberFormat="1" applyFont="1" applyFill="1" applyBorder="1"/>
    <xf numFmtId="164" fontId="0" fillId="39" borderId="12" xfId="44" applyNumberFormat="1" applyFont="1" applyFill="1" applyBorder="1"/>
    <xf numFmtId="164" fontId="0" fillId="39" borderId="0" xfId="44" applyNumberFormat="1" applyFont="1" applyFill="1"/>
    <xf numFmtId="0" fontId="0" fillId="39" borderId="0" xfId="0" applyFill="1"/>
    <xf numFmtId="164" fontId="0" fillId="38" borderId="13" xfId="44" applyNumberFormat="1" applyFont="1" applyFill="1" applyBorder="1"/>
    <xf numFmtId="164" fontId="0" fillId="38" borderId="12" xfId="44" applyNumberFormat="1" applyFont="1" applyFill="1" applyBorder="1"/>
    <xf numFmtId="164" fontId="0" fillId="38" borderId="0" xfId="44" applyNumberFormat="1" applyFont="1" applyFill="1"/>
    <xf numFmtId="0" fontId="0" fillId="38" borderId="0" xfId="0" applyFill="1"/>
    <xf numFmtId="164" fontId="0" fillId="37" borderId="13" xfId="44" applyNumberFormat="1" applyFont="1" applyFill="1" applyBorder="1"/>
    <xf numFmtId="164" fontId="0" fillId="37" borderId="12" xfId="44" applyNumberFormat="1" applyFont="1" applyFill="1" applyBorder="1"/>
    <xf numFmtId="164" fontId="0" fillId="37" borderId="0" xfId="44" applyNumberFormat="1" applyFont="1" applyFill="1"/>
    <xf numFmtId="0" fontId="0" fillId="37" borderId="0" xfId="0" applyFill="1"/>
    <xf numFmtId="164" fontId="0" fillId="36" borderId="13" xfId="44" applyNumberFormat="1" applyFont="1" applyFill="1" applyBorder="1"/>
    <xf numFmtId="164" fontId="0" fillId="36" borderId="12" xfId="44" applyNumberFormat="1" applyFont="1" applyFill="1" applyBorder="1"/>
    <xf numFmtId="164" fontId="0" fillId="36" borderId="0" xfId="44" applyNumberFormat="1" applyFont="1" applyFill="1"/>
    <xf numFmtId="0" fontId="0" fillId="36" borderId="0" xfId="0" applyFill="1"/>
    <xf numFmtId="164" fontId="0" fillId="35" borderId="13" xfId="44" applyNumberFormat="1" applyFont="1" applyFill="1" applyBorder="1"/>
    <xf numFmtId="164" fontId="0" fillId="35" borderId="12" xfId="44" applyNumberFormat="1" applyFont="1" applyFill="1" applyBorder="1"/>
    <xf numFmtId="164" fontId="0" fillId="35" borderId="0" xfId="44" applyNumberFormat="1" applyFont="1" applyFill="1"/>
    <xf numFmtId="0" fontId="0" fillId="35" borderId="0" xfId="0" applyFill="1"/>
    <xf numFmtId="164" fontId="0" fillId="34" borderId="13" xfId="44" applyNumberFormat="1" applyFont="1" applyFill="1" applyBorder="1"/>
    <xf numFmtId="164" fontId="0" fillId="34" borderId="12" xfId="44" applyNumberFormat="1" applyFont="1" applyFill="1" applyBorder="1"/>
    <xf numFmtId="164" fontId="0" fillId="34" borderId="0" xfId="44" applyNumberFormat="1" applyFont="1" applyFill="1"/>
    <xf numFmtId="0" fontId="0" fillId="34" borderId="0" xfId="0" applyFill="1"/>
    <xf numFmtId="0" fontId="0" fillId="0" borderId="11" xfId="0" applyBorder="1"/>
    <xf numFmtId="164" fontId="1" fillId="33" borderId="11" xfId="44" applyNumberFormat="1" applyFont="1" applyFill="1" applyBorder="1" applyAlignment="1" applyProtection="1"/>
    <xf numFmtId="164" fontId="1" fillId="33" borderId="10" xfId="44" applyNumberFormat="1" applyFont="1" applyFill="1" applyBorder="1" applyAlignment="1" applyProtection="1"/>
    <xf numFmtId="164" fontId="0" fillId="0" borderId="15" xfId="44" applyNumberFormat="1" applyFont="1" applyBorder="1"/>
    <xf numFmtId="164" fontId="0" fillId="0" borderId="14" xfId="44" applyNumberFormat="1" applyFont="1" applyBorder="1"/>
    <xf numFmtId="164" fontId="0" fillId="0" borderId="13" xfId="44" applyNumberFormat="1" applyFont="1" applyBorder="1"/>
    <xf numFmtId="164" fontId="0" fillId="0" borderId="12" xfId="44" applyNumberFormat="1" applyFont="1" applyBorder="1"/>
    <xf numFmtId="164" fontId="0" fillId="0" borderId="11" xfId="44" applyNumberFormat="1" applyFont="1" applyBorder="1"/>
    <xf numFmtId="164" fontId="0" fillId="0" borderId="10" xfId="44" applyNumberFormat="1" applyFont="1" applyBorder="1"/>
    <xf numFmtId="164" fontId="1" fillId="33" borderId="0" xfId="44" applyNumberFormat="1" applyFont="1" applyFill="1"/>
    <xf numFmtId="0" fontId="1" fillId="33" borderId="0" xfId="26"/>
    <xf numFmtId="43" fontId="0" fillId="0" borderId="0" xfId="0" applyNumberFormat="1"/>
    <xf numFmtId="10" fontId="0" fillId="0" borderId="0" xfId="43" applyNumberFormat="1" applyFont="1"/>
    <xf numFmtId="164" fontId="0" fillId="0" borderId="0" xfId="0" applyNumberFormat="1"/>
    <xf numFmtId="164" fontId="0" fillId="0" borderId="0" xfId="44" applyNumberFormat="1" applyFont="1"/>
    <xf numFmtId="164" fontId="1" fillId="33" borderId="0" xfId="44" applyNumberFormat="1" applyFont="1" applyFill="1" applyBorder="1" applyAlignment="1" applyProtection="1"/>
    <xf numFmtId="0" fontId="1" fillId="33" borderId="0" xfId="26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4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Summary!$A$4:$A$268</c:f>
              <c:strCache>
                <c:ptCount val="265"/>
                <c:pt idx="0">
                  <c:v>01/2026</c:v>
                </c:pt>
                <c:pt idx="1">
                  <c:v>12/2025</c:v>
                </c:pt>
                <c:pt idx="2">
                  <c:v>11/2025</c:v>
                </c:pt>
                <c:pt idx="3">
                  <c:v>10/2025</c:v>
                </c:pt>
                <c:pt idx="4">
                  <c:v>09/2025</c:v>
                </c:pt>
                <c:pt idx="5">
                  <c:v>08/2025</c:v>
                </c:pt>
                <c:pt idx="6">
                  <c:v>07/2025</c:v>
                </c:pt>
                <c:pt idx="7">
                  <c:v>06/2025</c:v>
                </c:pt>
                <c:pt idx="8">
                  <c:v>05/2025</c:v>
                </c:pt>
                <c:pt idx="9">
                  <c:v>04/2025</c:v>
                </c:pt>
                <c:pt idx="10">
                  <c:v>03/2025</c:v>
                </c:pt>
                <c:pt idx="11">
                  <c:v>02/2025</c:v>
                </c:pt>
                <c:pt idx="12">
                  <c:v>01/2025</c:v>
                </c:pt>
                <c:pt idx="13">
                  <c:v>12/2024</c:v>
                </c:pt>
                <c:pt idx="14">
                  <c:v>11/2024</c:v>
                </c:pt>
                <c:pt idx="15">
                  <c:v>10/2024</c:v>
                </c:pt>
                <c:pt idx="16">
                  <c:v>09/2024</c:v>
                </c:pt>
                <c:pt idx="17">
                  <c:v>08/2024</c:v>
                </c:pt>
                <c:pt idx="18">
                  <c:v>07/2024</c:v>
                </c:pt>
                <c:pt idx="19">
                  <c:v>06/2024</c:v>
                </c:pt>
                <c:pt idx="20">
                  <c:v>05/2024</c:v>
                </c:pt>
                <c:pt idx="21">
                  <c:v>04/2024</c:v>
                </c:pt>
                <c:pt idx="22">
                  <c:v>03/2024</c:v>
                </c:pt>
                <c:pt idx="23">
                  <c:v>02/2024</c:v>
                </c:pt>
                <c:pt idx="24">
                  <c:v>01/2024</c:v>
                </c:pt>
                <c:pt idx="25">
                  <c:v>12/2023</c:v>
                </c:pt>
                <c:pt idx="26">
                  <c:v>11/2023</c:v>
                </c:pt>
                <c:pt idx="27">
                  <c:v>10/2023</c:v>
                </c:pt>
                <c:pt idx="28">
                  <c:v>09/2023</c:v>
                </c:pt>
                <c:pt idx="29">
                  <c:v>08/2023</c:v>
                </c:pt>
                <c:pt idx="30">
                  <c:v>07/2023</c:v>
                </c:pt>
                <c:pt idx="31">
                  <c:v>06/2023</c:v>
                </c:pt>
                <c:pt idx="32">
                  <c:v>05/2023</c:v>
                </c:pt>
                <c:pt idx="33">
                  <c:v>04/2023</c:v>
                </c:pt>
                <c:pt idx="34">
                  <c:v>03/2023</c:v>
                </c:pt>
                <c:pt idx="35">
                  <c:v>02/2023</c:v>
                </c:pt>
                <c:pt idx="36">
                  <c:v>01/2023</c:v>
                </c:pt>
                <c:pt idx="37">
                  <c:v>12/2022</c:v>
                </c:pt>
                <c:pt idx="38">
                  <c:v>11/2022</c:v>
                </c:pt>
                <c:pt idx="39">
                  <c:v>10/2022</c:v>
                </c:pt>
                <c:pt idx="40">
                  <c:v>09/2022</c:v>
                </c:pt>
                <c:pt idx="41">
                  <c:v>08/2022</c:v>
                </c:pt>
                <c:pt idx="42">
                  <c:v>07/2022</c:v>
                </c:pt>
                <c:pt idx="43">
                  <c:v>06/2022</c:v>
                </c:pt>
                <c:pt idx="44">
                  <c:v>05/2022</c:v>
                </c:pt>
                <c:pt idx="45">
                  <c:v>04/2022</c:v>
                </c:pt>
                <c:pt idx="46">
                  <c:v>03/2022</c:v>
                </c:pt>
                <c:pt idx="47">
                  <c:v>02/2022</c:v>
                </c:pt>
                <c:pt idx="48">
                  <c:v>01/2022</c:v>
                </c:pt>
                <c:pt idx="49">
                  <c:v>12/2021</c:v>
                </c:pt>
                <c:pt idx="50">
                  <c:v>11/2021</c:v>
                </c:pt>
                <c:pt idx="51">
                  <c:v>10/2021</c:v>
                </c:pt>
                <c:pt idx="52">
                  <c:v>09/2021</c:v>
                </c:pt>
                <c:pt idx="53">
                  <c:v>08/2021</c:v>
                </c:pt>
                <c:pt idx="54">
                  <c:v>07/2021</c:v>
                </c:pt>
                <c:pt idx="55">
                  <c:v>06/2021</c:v>
                </c:pt>
                <c:pt idx="56">
                  <c:v>05/2021</c:v>
                </c:pt>
                <c:pt idx="57">
                  <c:v>04/2021</c:v>
                </c:pt>
                <c:pt idx="58">
                  <c:v>03/2021</c:v>
                </c:pt>
                <c:pt idx="59">
                  <c:v>02/2021</c:v>
                </c:pt>
                <c:pt idx="60">
                  <c:v>01/2021</c:v>
                </c:pt>
                <c:pt idx="61">
                  <c:v>12/2020</c:v>
                </c:pt>
                <c:pt idx="62">
                  <c:v>11/2020</c:v>
                </c:pt>
                <c:pt idx="63">
                  <c:v>10/2020</c:v>
                </c:pt>
                <c:pt idx="64">
                  <c:v>09/2020</c:v>
                </c:pt>
                <c:pt idx="65">
                  <c:v>08/2020</c:v>
                </c:pt>
                <c:pt idx="66">
                  <c:v>07/2020</c:v>
                </c:pt>
                <c:pt idx="67">
                  <c:v>06/2020</c:v>
                </c:pt>
                <c:pt idx="68">
                  <c:v>05/2020</c:v>
                </c:pt>
                <c:pt idx="69">
                  <c:v>04/2020</c:v>
                </c:pt>
                <c:pt idx="70">
                  <c:v>03/2020</c:v>
                </c:pt>
                <c:pt idx="71">
                  <c:v>02/2020</c:v>
                </c:pt>
                <c:pt idx="72">
                  <c:v>01/2020</c:v>
                </c:pt>
                <c:pt idx="73">
                  <c:v>12/2019</c:v>
                </c:pt>
                <c:pt idx="74">
                  <c:v>11/2019</c:v>
                </c:pt>
                <c:pt idx="75">
                  <c:v>10/2019</c:v>
                </c:pt>
                <c:pt idx="76">
                  <c:v>09/2019</c:v>
                </c:pt>
                <c:pt idx="77">
                  <c:v>08/2019</c:v>
                </c:pt>
                <c:pt idx="78">
                  <c:v>07/2019</c:v>
                </c:pt>
                <c:pt idx="79">
                  <c:v>06/2019</c:v>
                </c:pt>
                <c:pt idx="80">
                  <c:v>05/2019</c:v>
                </c:pt>
                <c:pt idx="81">
                  <c:v>04/2019</c:v>
                </c:pt>
                <c:pt idx="82">
                  <c:v>03/2019</c:v>
                </c:pt>
                <c:pt idx="83">
                  <c:v>02/2019</c:v>
                </c:pt>
                <c:pt idx="84">
                  <c:v>01/2019</c:v>
                </c:pt>
                <c:pt idx="85">
                  <c:v>12/2018</c:v>
                </c:pt>
                <c:pt idx="86">
                  <c:v>11/2018</c:v>
                </c:pt>
                <c:pt idx="87">
                  <c:v>10/2018</c:v>
                </c:pt>
                <c:pt idx="88">
                  <c:v>09/2018</c:v>
                </c:pt>
                <c:pt idx="89">
                  <c:v>08/2018</c:v>
                </c:pt>
                <c:pt idx="90">
                  <c:v>07/2018</c:v>
                </c:pt>
                <c:pt idx="91">
                  <c:v>06/2018</c:v>
                </c:pt>
                <c:pt idx="92">
                  <c:v>05/2018</c:v>
                </c:pt>
                <c:pt idx="93">
                  <c:v>04/2018</c:v>
                </c:pt>
                <c:pt idx="94">
                  <c:v>03/2018</c:v>
                </c:pt>
                <c:pt idx="95">
                  <c:v>02/2018</c:v>
                </c:pt>
                <c:pt idx="96">
                  <c:v>01/2018</c:v>
                </c:pt>
                <c:pt idx="97">
                  <c:v>12/2017</c:v>
                </c:pt>
                <c:pt idx="98">
                  <c:v>11/2017</c:v>
                </c:pt>
                <c:pt idx="99">
                  <c:v>10/2017</c:v>
                </c:pt>
                <c:pt idx="100">
                  <c:v>09/2017</c:v>
                </c:pt>
                <c:pt idx="101">
                  <c:v>08/2017</c:v>
                </c:pt>
                <c:pt idx="102">
                  <c:v>07/2017</c:v>
                </c:pt>
                <c:pt idx="103">
                  <c:v>06/2017</c:v>
                </c:pt>
                <c:pt idx="104">
                  <c:v>05/2017</c:v>
                </c:pt>
                <c:pt idx="105">
                  <c:v>04/2017</c:v>
                </c:pt>
                <c:pt idx="106">
                  <c:v>03/2017</c:v>
                </c:pt>
                <c:pt idx="107">
                  <c:v>02/2017</c:v>
                </c:pt>
                <c:pt idx="108">
                  <c:v>01/2017</c:v>
                </c:pt>
                <c:pt idx="109">
                  <c:v>12/2016</c:v>
                </c:pt>
                <c:pt idx="110">
                  <c:v>11/2016</c:v>
                </c:pt>
                <c:pt idx="111">
                  <c:v>10/2016</c:v>
                </c:pt>
                <c:pt idx="112">
                  <c:v>09/2016</c:v>
                </c:pt>
                <c:pt idx="113">
                  <c:v>08/2016</c:v>
                </c:pt>
                <c:pt idx="114">
                  <c:v>07/2016</c:v>
                </c:pt>
                <c:pt idx="115">
                  <c:v>06/2016</c:v>
                </c:pt>
                <c:pt idx="116">
                  <c:v>05/2016</c:v>
                </c:pt>
                <c:pt idx="117">
                  <c:v>04/2016</c:v>
                </c:pt>
                <c:pt idx="118">
                  <c:v>03/2016</c:v>
                </c:pt>
                <c:pt idx="119">
                  <c:v>02/2016</c:v>
                </c:pt>
                <c:pt idx="120">
                  <c:v>01/2016</c:v>
                </c:pt>
                <c:pt idx="121">
                  <c:v>12/2015</c:v>
                </c:pt>
                <c:pt idx="122">
                  <c:v>11/2015</c:v>
                </c:pt>
                <c:pt idx="123">
                  <c:v>10/2015</c:v>
                </c:pt>
                <c:pt idx="124">
                  <c:v>09/2015</c:v>
                </c:pt>
                <c:pt idx="125">
                  <c:v>08/2015</c:v>
                </c:pt>
                <c:pt idx="126">
                  <c:v>07/2015</c:v>
                </c:pt>
                <c:pt idx="127">
                  <c:v>06/2015</c:v>
                </c:pt>
                <c:pt idx="128">
                  <c:v>05/2015</c:v>
                </c:pt>
                <c:pt idx="129">
                  <c:v>04/2015</c:v>
                </c:pt>
                <c:pt idx="130">
                  <c:v>03/2015</c:v>
                </c:pt>
                <c:pt idx="131">
                  <c:v>02/2015</c:v>
                </c:pt>
                <c:pt idx="132">
                  <c:v>01/2015</c:v>
                </c:pt>
                <c:pt idx="133">
                  <c:v>12/2014</c:v>
                </c:pt>
                <c:pt idx="134">
                  <c:v>11/2014</c:v>
                </c:pt>
                <c:pt idx="135">
                  <c:v>10/2014</c:v>
                </c:pt>
                <c:pt idx="136">
                  <c:v>09/2014</c:v>
                </c:pt>
                <c:pt idx="137">
                  <c:v>08/2014</c:v>
                </c:pt>
                <c:pt idx="138">
                  <c:v>07/2014</c:v>
                </c:pt>
                <c:pt idx="139">
                  <c:v>06/2014</c:v>
                </c:pt>
                <c:pt idx="140">
                  <c:v>05/2014</c:v>
                </c:pt>
                <c:pt idx="141">
                  <c:v>04/2014</c:v>
                </c:pt>
                <c:pt idx="142">
                  <c:v>03/2014</c:v>
                </c:pt>
                <c:pt idx="143">
                  <c:v>02/2014</c:v>
                </c:pt>
                <c:pt idx="144">
                  <c:v>01/2014</c:v>
                </c:pt>
                <c:pt idx="145">
                  <c:v>12/2013</c:v>
                </c:pt>
                <c:pt idx="146">
                  <c:v>11/2013</c:v>
                </c:pt>
                <c:pt idx="147">
                  <c:v>10/2013</c:v>
                </c:pt>
                <c:pt idx="148">
                  <c:v>09/2013</c:v>
                </c:pt>
                <c:pt idx="149">
                  <c:v>08/2013</c:v>
                </c:pt>
                <c:pt idx="150">
                  <c:v>07/2013</c:v>
                </c:pt>
                <c:pt idx="151">
                  <c:v>06/2013</c:v>
                </c:pt>
                <c:pt idx="152">
                  <c:v>05/2013</c:v>
                </c:pt>
                <c:pt idx="153">
                  <c:v>04/2013</c:v>
                </c:pt>
                <c:pt idx="154">
                  <c:v>03/2013</c:v>
                </c:pt>
                <c:pt idx="155">
                  <c:v>02/2013</c:v>
                </c:pt>
                <c:pt idx="156">
                  <c:v>01/2013</c:v>
                </c:pt>
                <c:pt idx="157">
                  <c:v>12/2012</c:v>
                </c:pt>
                <c:pt idx="158">
                  <c:v>11/2012</c:v>
                </c:pt>
                <c:pt idx="159">
                  <c:v>10/2012</c:v>
                </c:pt>
                <c:pt idx="160">
                  <c:v>09/2012</c:v>
                </c:pt>
                <c:pt idx="161">
                  <c:v>08/2012</c:v>
                </c:pt>
                <c:pt idx="162">
                  <c:v>07/2012</c:v>
                </c:pt>
                <c:pt idx="163">
                  <c:v>06/2012</c:v>
                </c:pt>
                <c:pt idx="164">
                  <c:v>05/2012</c:v>
                </c:pt>
                <c:pt idx="165">
                  <c:v>04/2012</c:v>
                </c:pt>
                <c:pt idx="166">
                  <c:v>03/2012</c:v>
                </c:pt>
                <c:pt idx="167">
                  <c:v>02/2012</c:v>
                </c:pt>
                <c:pt idx="168">
                  <c:v>01/2012</c:v>
                </c:pt>
                <c:pt idx="169">
                  <c:v>12/2011</c:v>
                </c:pt>
                <c:pt idx="170">
                  <c:v>11/2011</c:v>
                </c:pt>
                <c:pt idx="171">
                  <c:v>10/2011</c:v>
                </c:pt>
                <c:pt idx="172">
                  <c:v>09/2011</c:v>
                </c:pt>
                <c:pt idx="173">
                  <c:v>08/2011</c:v>
                </c:pt>
                <c:pt idx="174">
                  <c:v>07/2011</c:v>
                </c:pt>
                <c:pt idx="175">
                  <c:v>06/2011</c:v>
                </c:pt>
                <c:pt idx="176">
                  <c:v>05/2011</c:v>
                </c:pt>
                <c:pt idx="177">
                  <c:v>04/2011</c:v>
                </c:pt>
                <c:pt idx="178">
                  <c:v>03/2011</c:v>
                </c:pt>
                <c:pt idx="179">
                  <c:v>02/2011</c:v>
                </c:pt>
                <c:pt idx="180">
                  <c:v>01/2011</c:v>
                </c:pt>
                <c:pt idx="181">
                  <c:v>12/2010</c:v>
                </c:pt>
                <c:pt idx="182">
                  <c:v>11/2010</c:v>
                </c:pt>
                <c:pt idx="183">
                  <c:v>10/2010</c:v>
                </c:pt>
                <c:pt idx="184">
                  <c:v>09/2010</c:v>
                </c:pt>
                <c:pt idx="185">
                  <c:v>08/2010</c:v>
                </c:pt>
                <c:pt idx="186">
                  <c:v>07/2010</c:v>
                </c:pt>
                <c:pt idx="187">
                  <c:v>06/2010</c:v>
                </c:pt>
                <c:pt idx="188">
                  <c:v>05/2010</c:v>
                </c:pt>
                <c:pt idx="189">
                  <c:v>04/2010</c:v>
                </c:pt>
                <c:pt idx="190">
                  <c:v>03/2010</c:v>
                </c:pt>
                <c:pt idx="191">
                  <c:v>02/2010</c:v>
                </c:pt>
                <c:pt idx="192">
                  <c:v>01/2010</c:v>
                </c:pt>
                <c:pt idx="193">
                  <c:v>12/2009</c:v>
                </c:pt>
                <c:pt idx="194">
                  <c:v>11/2009</c:v>
                </c:pt>
                <c:pt idx="195">
                  <c:v>10/2009</c:v>
                </c:pt>
                <c:pt idx="196">
                  <c:v>09/2009</c:v>
                </c:pt>
                <c:pt idx="197">
                  <c:v>08/2009</c:v>
                </c:pt>
                <c:pt idx="198">
                  <c:v>07/2009</c:v>
                </c:pt>
                <c:pt idx="199">
                  <c:v>06/2009</c:v>
                </c:pt>
                <c:pt idx="200">
                  <c:v>05/2009</c:v>
                </c:pt>
                <c:pt idx="201">
                  <c:v>04/2009</c:v>
                </c:pt>
                <c:pt idx="202">
                  <c:v>03/2009</c:v>
                </c:pt>
                <c:pt idx="203">
                  <c:v>02/2009</c:v>
                </c:pt>
                <c:pt idx="204">
                  <c:v>01/2009</c:v>
                </c:pt>
                <c:pt idx="205">
                  <c:v>12/2008</c:v>
                </c:pt>
                <c:pt idx="206">
                  <c:v>11/2008</c:v>
                </c:pt>
                <c:pt idx="207">
                  <c:v>10/2008</c:v>
                </c:pt>
                <c:pt idx="208">
                  <c:v>09/2008</c:v>
                </c:pt>
                <c:pt idx="209">
                  <c:v>08/2008</c:v>
                </c:pt>
                <c:pt idx="210">
                  <c:v>07/2008</c:v>
                </c:pt>
                <c:pt idx="211">
                  <c:v>06/2008</c:v>
                </c:pt>
                <c:pt idx="212">
                  <c:v>05/2008</c:v>
                </c:pt>
                <c:pt idx="213">
                  <c:v>04/2008</c:v>
                </c:pt>
                <c:pt idx="214">
                  <c:v>03/2008</c:v>
                </c:pt>
                <c:pt idx="215">
                  <c:v>02/2008</c:v>
                </c:pt>
                <c:pt idx="216">
                  <c:v>01/2008</c:v>
                </c:pt>
                <c:pt idx="217">
                  <c:v>12/2007</c:v>
                </c:pt>
                <c:pt idx="218">
                  <c:v>11/2007</c:v>
                </c:pt>
                <c:pt idx="219">
                  <c:v>10/2007</c:v>
                </c:pt>
                <c:pt idx="220">
                  <c:v>09/2007</c:v>
                </c:pt>
                <c:pt idx="221">
                  <c:v>08/2007</c:v>
                </c:pt>
                <c:pt idx="222">
                  <c:v>07/2007</c:v>
                </c:pt>
                <c:pt idx="223">
                  <c:v>06/2007</c:v>
                </c:pt>
                <c:pt idx="224">
                  <c:v>05/2007</c:v>
                </c:pt>
                <c:pt idx="225">
                  <c:v>04/2007</c:v>
                </c:pt>
                <c:pt idx="226">
                  <c:v>03/2007</c:v>
                </c:pt>
                <c:pt idx="227">
                  <c:v>02/2007</c:v>
                </c:pt>
                <c:pt idx="228">
                  <c:v>01/2007</c:v>
                </c:pt>
                <c:pt idx="229">
                  <c:v>12/2006</c:v>
                </c:pt>
                <c:pt idx="230">
                  <c:v>11/2006</c:v>
                </c:pt>
                <c:pt idx="231">
                  <c:v>10/2006</c:v>
                </c:pt>
                <c:pt idx="232">
                  <c:v>09/2006</c:v>
                </c:pt>
                <c:pt idx="233">
                  <c:v>08/2006</c:v>
                </c:pt>
                <c:pt idx="234">
                  <c:v>07/2006</c:v>
                </c:pt>
                <c:pt idx="235">
                  <c:v>06/2006</c:v>
                </c:pt>
                <c:pt idx="236">
                  <c:v>05/2006</c:v>
                </c:pt>
                <c:pt idx="237">
                  <c:v>04/2006</c:v>
                </c:pt>
                <c:pt idx="238">
                  <c:v>03/2006</c:v>
                </c:pt>
                <c:pt idx="239">
                  <c:v>02/2006</c:v>
                </c:pt>
                <c:pt idx="240">
                  <c:v>01/2006</c:v>
                </c:pt>
                <c:pt idx="241">
                  <c:v>12/2005</c:v>
                </c:pt>
                <c:pt idx="242">
                  <c:v>11/2005</c:v>
                </c:pt>
                <c:pt idx="243">
                  <c:v>10/2005</c:v>
                </c:pt>
                <c:pt idx="244">
                  <c:v>09/2005</c:v>
                </c:pt>
                <c:pt idx="245">
                  <c:v>08/2005</c:v>
                </c:pt>
                <c:pt idx="246">
                  <c:v>07/2005</c:v>
                </c:pt>
                <c:pt idx="247">
                  <c:v>06/2005</c:v>
                </c:pt>
                <c:pt idx="248">
                  <c:v>05/2005</c:v>
                </c:pt>
                <c:pt idx="249">
                  <c:v>04/2005</c:v>
                </c:pt>
                <c:pt idx="250">
                  <c:v>03/2005</c:v>
                </c:pt>
                <c:pt idx="251">
                  <c:v>02/2005</c:v>
                </c:pt>
                <c:pt idx="252">
                  <c:v>01/2005</c:v>
                </c:pt>
                <c:pt idx="253">
                  <c:v>12/2004</c:v>
                </c:pt>
                <c:pt idx="254">
                  <c:v>11/2004</c:v>
                </c:pt>
                <c:pt idx="255">
                  <c:v>10/2004</c:v>
                </c:pt>
                <c:pt idx="256">
                  <c:v>09/2004</c:v>
                </c:pt>
                <c:pt idx="257">
                  <c:v>08/2004</c:v>
                </c:pt>
                <c:pt idx="258">
                  <c:v>07/2004</c:v>
                </c:pt>
                <c:pt idx="259">
                  <c:v>06/2004</c:v>
                </c:pt>
                <c:pt idx="260">
                  <c:v>05/2004</c:v>
                </c:pt>
                <c:pt idx="261">
                  <c:v>04/2004</c:v>
                </c:pt>
                <c:pt idx="262">
                  <c:v>03/2004</c:v>
                </c:pt>
                <c:pt idx="263">
                  <c:v>02/2004</c:v>
                </c:pt>
                <c:pt idx="264">
                  <c:v>01/2004</c:v>
                </c:pt>
              </c:strCache>
            </c:strRef>
          </c:cat>
          <c:val>
            <c:numRef>
              <c:f>Summary!$F$4:$F$268</c:f>
              <c:numCache>
                <c:formatCode>General</c:formatCode>
                <c:ptCount val="265"/>
                <c:pt idx="0">
                  <c:v>36.25</c:v>
                </c:pt>
                <c:pt idx="1">
                  <c:v>31.79</c:v>
                </c:pt>
                <c:pt idx="2">
                  <c:v>41.48</c:v>
                </c:pt>
                <c:pt idx="3">
                  <c:v>27.26</c:v>
                </c:pt>
                <c:pt idx="4">
                  <c:v>20.47</c:v>
                </c:pt>
                <c:pt idx="5">
                  <c:v>17.72</c:v>
                </c:pt>
                <c:pt idx="6">
                  <c:v>16.79</c:v>
                </c:pt>
                <c:pt idx="7">
                  <c:v>16.63</c:v>
                </c:pt>
                <c:pt idx="8">
                  <c:v>30.94</c:v>
                </c:pt>
                <c:pt idx="9">
                  <c:v>23.62</c:v>
                </c:pt>
                <c:pt idx="10">
                  <c:v>13.53</c:v>
                </c:pt>
                <c:pt idx="11">
                  <c:v>15.92</c:v>
                </c:pt>
                <c:pt idx="12">
                  <c:v>18.95</c:v>
                </c:pt>
                <c:pt idx="13">
                  <c:v>19.75</c:v>
                </c:pt>
                <c:pt idx="14">
                  <c:v>27.76</c:v>
                </c:pt>
                <c:pt idx="15">
                  <c:v>17.71</c:v>
                </c:pt>
                <c:pt idx="16">
                  <c:v>15.06</c:v>
                </c:pt>
                <c:pt idx="17">
                  <c:v>13.74</c:v>
                </c:pt>
                <c:pt idx="18">
                  <c:v>10.47</c:v>
                </c:pt>
                <c:pt idx="19">
                  <c:v>14.19</c:v>
                </c:pt>
                <c:pt idx="20">
                  <c:v>14.35</c:v>
                </c:pt>
                <c:pt idx="21">
                  <c:v>13.42</c:v>
                </c:pt>
                <c:pt idx="22">
                  <c:v>14.73</c:v>
                </c:pt>
                <c:pt idx="23">
                  <c:v>13.97</c:v>
                </c:pt>
                <c:pt idx="24">
                  <c:v>9.69</c:v>
                </c:pt>
                <c:pt idx="25">
                  <c:v>9.6999999999999993</c:v>
                </c:pt>
                <c:pt idx="26">
                  <c:v>10.85</c:v>
                </c:pt>
                <c:pt idx="27">
                  <c:v>11.51</c:v>
                </c:pt>
                <c:pt idx="28">
                  <c:v>12.07</c:v>
                </c:pt>
                <c:pt idx="29">
                  <c:v>13.69</c:v>
                </c:pt>
                <c:pt idx="30">
                  <c:v>16.16</c:v>
                </c:pt>
                <c:pt idx="31">
                  <c:v>18.7</c:v>
                </c:pt>
                <c:pt idx="32">
                  <c:v>15.21</c:v>
                </c:pt>
                <c:pt idx="33">
                  <c:v>17.91</c:v>
                </c:pt>
                <c:pt idx="34">
                  <c:v>15.2</c:v>
                </c:pt>
                <c:pt idx="35">
                  <c:v>10.95</c:v>
                </c:pt>
                <c:pt idx="36">
                  <c:v>8.74</c:v>
                </c:pt>
                <c:pt idx="37">
                  <c:v>5.63</c:v>
                </c:pt>
                <c:pt idx="38">
                  <c:v>0.04</c:v>
                </c:pt>
                <c:pt idx="39">
                  <c:v>11.78</c:v>
                </c:pt>
                <c:pt idx="40">
                  <c:v>13.62</c:v>
                </c:pt>
                <c:pt idx="41">
                  <c:v>13.99</c:v>
                </c:pt>
                <c:pt idx="42">
                  <c:v>15.34</c:v>
                </c:pt>
                <c:pt idx="43">
                  <c:v>17.57</c:v>
                </c:pt>
                <c:pt idx="44">
                  <c:v>18.41</c:v>
                </c:pt>
                <c:pt idx="45">
                  <c:v>20.51</c:v>
                </c:pt>
                <c:pt idx="46">
                  <c:v>16.16</c:v>
                </c:pt>
                <c:pt idx="47">
                  <c:v>17.16</c:v>
                </c:pt>
                <c:pt idx="48">
                  <c:v>17.920000000000002</c:v>
                </c:pt>
                <c:pt idx="49">
                  <c:v>17.420000000000002</c:v>
                </c:pt>
                <c:pt idx="50">
                  <c:v>16.899999999999999</c:v>
                </c:pt>
                <c:pt idx="51">
                  <c:v>18.2</c:v>
                </c:pt>
                <c:pt idx="52">
                  <c:v>18.39</c:v>
                </c:pt>
                <c:pt idx="53">
                  <c:v>18.12</c:v>
                </c:pt>
                <c:pt idx="54">
                  <c:v>18.88</c:v>
                </c:pt>
                <c:pt idx="55">
                  <c:v>17.03</c:v>
                </c:pt>
                <c:pt idx="56">
                  <c:v>17.96</c:v>
                </c:pt>
                <c:pt idx="57">
                  <c:v>17.63</c:v>
                </c:pt>
                <c:pt idx="58">
                  <c:v>14.58</c:v>
                </c:pt>
                <c:pt idx="59">
                  <c:v>13.01</c:v>
                </c:pt>
                <c:pt idx="60">
                  <c:v>16.850000000000001</c:v>
                </c:pt>
                <c:pt idx="61">
                  <c:v>15.82</c:v>
                </c:pt>
                <c:pt idx="62">
                  <c:v>16.36</c:v>
                </c:pt>
                <c:pt idx="63">
                  <c:v>15.68</c:v>
                </c:pt>
                <c:pt idx="64">
                  <c:v>14.13</c:v>
                </c:pt>
                <c:pt idx="65">
                  <c:v>13.95</c:v>
                </c:pt>
                <c:pt idx="66">
                  <c:v>13.1</c:v>
                </c:pt>
                <c:pt idx="67">
                  <c:v>12.14</c:v>
                </c:pt>
                <c:pt idx="68">
                  <c:v>10.87</c:v>
                </c:pt>
                <c:pt idx="69">
                  <c:v>12.69</c:v>
                </c:pt>
                <c:pt idx="70">
                  <c:v>11.93</c:v>
                </c:pt>
                <c:pt idx="71">
                  <c:v>12.09</c:v>
                </c:pt>
                <c:pt idx="72">
                  <c:v>12.4</c:v>
                </c:pt>
                <c:pt idx="73">
                  <c:v>11.91</c:v>
                </c:pt>
                <c:pt idx="74">
                  <c:v>13.72</c:v>
                </c:pt>
                <c:pt idx="75">
                  <c:v>11.74</c:v>
                </c:pt>
                <c:pt idx="76">
                  <c:v>12.87</c:v>
                </c:pt>
                <c:pt idx="77">
                  <c:v>13.05</c:v>
                </c:pt>
                <c:pt idx="78">
                  <c:v>11.8</c:v>
                </c:pt>
                <c:pt idx="79">
                  <c:v>12.38</c:v>
                </c:pt>
                <c:pt idx="80">
                  <c:v>12.81</c:v>
                </c:pt>
                <c:pt idx="81">
                  <c:v>11.72</c:v>
                </c:pt>
                <c:pt idx="82">
                  <c:v>11.26</c:v>
                </c:pt>
                <c:pt idx="83">
                  <c:v>12.34</c:v>
                </c:pt>
                <c:pt idx="84">
                  <c:v>12.3</c:v>
                </c:pt>
                <c:pt idx="85">
                  <c:v>13.47</c:v>
                </c:pt>
                <c:pt idx="86">
                  <c:v>15.48</c:v>
                </c:pt>
                <c:pt idx="87">
                  <c:v>13.35</c:v>
                </c:pt>
                <c:pt idx="88">
                  <c:v>16.14</c:v>
                </c:pt>
                <c:pt idx="89">
                  <c:v>16.12</c:v>
                </c:pt>
                <c:pt idx="90">
                  <c:v>17.190000000000001</c:v>
                </c:pt>
                <c:pt idx="91">
                  <c:v>18.48</c:v>
                </c:pt>
                <c:pt idx="92">
                  <c:v>17.87</c:v>
                </c:pt>
                <c:pt idx="93">
                  <c:v>18.260000000000002</c:v>
                </c:pt>
                <c:pt idx="94">
                  <c:v>15.32</c:v>
                </c:pt>
                <c:pt idx="95">
                  <c:v>14.88</c:v>
                </c:pt>
                <c:pt idx="96">
                  <c:v>15.61</c:v>
                </c:pt>
                <c:pt idx="97">
                  <c:v>16.440000000000001</c:v>
                </c:pt>
                <c:pt idx="98">
                  <c:v>16.87</c:v>
                </c:pt>
                <c:pt idx="99">
                  <c:v>16.170000000000002</c:v>
                </c:pt>
                <c:pt idx="100">
                  <c:v>18.03</c:v>
                </c:pt>
                <c:pt idx="101">
                  <c:v>16.71</c:v>
                </c:pt>
                <c:pt idx="102">
                  <c:v>17.84</c:v>
                </c:pt>
                <c:pt idx="103">
                  <c:v>19.149999999999999</c:v>
                </c:pt>
                <c:pt idx="104">
                  <c:v>19.079999999999998</c:v>
                </c:pt>
                <c:pt idx="105">
                  <c:v>20.52</c:v>
                </c:pt>
                <c:pt idx="106">
                  <c:v>17.72</c:v>
                </c:pt>
                <c:pt idx="107">
                  <c:v>18.16</c:v>
                </c:pt>
                <c:pt idx="108">
                  <c:v>18.89</c:v>
                </c:pt>
                <c:pt idx="109">
                  <c:v>16.760000000000002</c:v>
                </c:pt>
                <c:pt idx="110">
                  <c:v>17.55</c:v>
                </c:pt>
                <c:pt idx="111">
                  <c:v>17.73</c:v>
                </c:pt>
                <c:pt idx="112">
                  <c:v>19.38</c:v>
                </c:pt>
                <c:pt idx="113">
                  <c:v>16.5</c:v>
                </c:pt>
                <c:pt idx="114">
                  <c:v>19.100000000000001</c:v>
                </c:pt>
                <c:pt idx="115">
                  <c:v>18.010000000000002</c:v>
                </c:pt>
                <c:pt idx="116">
                  <c:v>17.63</c:v>
                </c:pt>
                <c:pt idx="117">
                  <c:v>19.48</c:v>
                </c:pt>
                <c:pt idx="118">
                  <c:v>18.02</c:v>
                </c:pt>
                <c:pt idx="119">
                  <c:v>17.010000000000002</c:v>
                </c:pt>
                <c:pt idx="120">
                  <c:v>18.64</c:v>
                </c:pt>
                <c:pt idx="121">
                  <c:v>16.8</c:v>
                </c:pt>
                <c:pt idx="122">
                  <c:v>19.760000000000002</c:v>
                </c:pt>
                <c:pt idx="123">
                  <c:v>19.59</c:v>
                </c:pt>
                <c:pt idx="124">
                  <c:v>20.12</c:v>
                </c:pt>
                <c:pt idx="125">
                  <c:v>20.03</c:v>
                </c:pt>
                <c:pt idx="126">
                  <c:v>20.09</c:v>
                </c:pt>
                <c:pt idx="127">
                  <c:v>20.69</c:v>
                </c:pt>
                <c:pt idx="128">
                  <c:v>21.17</c:v>
                </c:pt>
                <c:pt idx="129">
                  <c:v>22.44</c:v>
                </c:pt>
                <c:pt idx="130">
                  <c:v>18.41</c:v>
                </c:pt>
                <c:pt idx="131">
                  <c:v>17.97</c:v>
                </c:pt>
                <c:pt idx="132">
                  <c:v>22.74</c:v>
                </c:pt>
                <c:pt idx="133">
                  <c:v>23.21</c:v>
                </c:pt>
                <c:pt idx="134">
                  <c:v>24.58</c:v>
                </c:pt>
                <c:pt idx="135">
                  <c:v>26.05</c:v>
                </c:pt>
                <c:pt idx="136">
                  <c:v>26.47</c:v>
                </c:pt>
                <c:pt idx="137">
                  <c:v>27.25</c:v>
                </c:pt>
                <c:pt idx="138">
                  <c:v>29.19</c:v>
                </c:pt>
                <c:pt idx="139">
                  <c:v>29.31</c:v>
                </c:pt>
                <c:pt idx="140">
                  <c:v>27.62</c:v>
                </c:pt>
                <c:pt idx="141">
                  <c:v>28.48</c:v>
                </c:pt>
                <c:pt idx="142">
                  <c:v>26.7</c:v>
                </c:pt>
                <c:pt idx="143">
                  <c:v>31.05</c:v>
                </c:pt>
                <c:pt idx="144">
                  <c:v>33.43</c:v>
                </c:pt>
                <c:pt idx="145">
                  <c:v>38.03</c:v>
                </c:pt>
                <c:pt idx="146">
                  <c:v>40.19</c:v>
                </c:pt>
                <c:pt idx="147">
                  <c:v>41.47</c:v>
                </c:pt>
                <c:pt idx="148">
                  <c:v>48.59</c:v>
                </c:pt>
                <c:pt idx="149">
                  <c:v>46.68</c:v>
                </c:pt>
                <c:pt idx="150">
                  <c:v>44.38</c:v>
                </c:pt>
                <c:pt idx="151">
                  <c:v>50.39</c:v>
                </c:pt>
                <c:pt idx="152">
                  <c:v>45.49</c:v>
                </c:pt>
                <c:pt idx="153">
                  <c:v>42.07</c:v>
                </c:pt>
                <c:pt idx="154">
                  <c:v>40.520000000000003</c:v>
                </c:pt>
                <c:pt idx="155">
                  <c:v>43.54</c:v>
                </c:pt>
                <c:pt idx="156">
                  <c:v>42.52</c:v>
                </c:pt>
                <c:pt idx="157">
                  <c:v>35.78</c:v>
                </c:pt>
                <c:pt idx="158">
                  <c:v>37.97</c:v>
                </c:pt>
                <c:pt idx="159">
                  <c:v>33.51</c:v>
                </c:pt>
                <c:pt idx="160">
                  <c:v>38.49</c:v>
                </c:pt>
                <c:pt idx="161">
                  <c:v>36.22</c:v>
                </c:pt>
                <c:pt idx="162">
                  <c:v>37.869999999999997</c:v>
                </c:pt>
                <c:pt idx="163">
                  <c:v>37.03</c:v>
                </c:pt>
                <c:pt idx="164">
                  <c:v>33.51</c:v>
                </c:pt>
                <c:pt idx="165">
                  <c:v>30.91</c:v>
                </c:pt>
                <c:pt idx="166">
                  <c:v>27.38</c:v>
                </c:pt>
                <c:pt idx="167">
                  <c:v>25.48</c:v>
                </c:pt>
                <c:pt idx="168">
                  <c:v>24.52</c:v>
                </c:pt>
                <c:pt idx="169">
                  <c:v>22.45</c:v>
                </c:pt>
                <c:pt idx="170">
                  <c:v>24.3</c:v>
                </c:pt>
                <c:pt idx="171">
                  <c:v>21.92</c:v>
                </c:pt>
                <c:pt idx="172">
                  <c:v>23.05</c:v>
                </c:pt>
                <c:pt idx="173">
                  <c:v>22.55</c:v>
                </c:pt>
                <c:pt idx="174">
                  <c:v>26.66</c:v>
                </c:pt>
                <c:pt idx="175">
                  <c:v>28.39</c:v>
                </c:pt>
                <c:pt idx="176">
                  <c:v>27.1</c:v>
                </c:pt>
                <c:pt idx="177">
                  <c:v>30.28</c:v>
                </c:pt>
                <c:pt idx="178">
                  <c:v>28.1</c:v>
                </c:pt>
                <c:pt idx="179">
                  <c:v>28.04</c:v>
                </c:pt>
                <c:pt idx="180">
                  <c:v>32.200000000000003</c:v>
                </c:pt>
                <c:pt idx="181">
                  <c:v>25.97</c:v>
                </c:pt>
                <c:pt idx="182">
                  <c:v>27.62</c:v>
                </c:pt>
                <c:pt idx="183">
                  <c:v>26.64</c:v>
                </c:pt>
                <c:pt idx="184">
                  <c:v>29.48</c:v>
                </c:pt>
                <c:pt idx="185">
                  <c:v>27.76</c:v>
                </c:pt>
                <c:pt idx="186">
                  <c:v>31.61</c:v>
                </c:pt>
                <c:pt idx="187">
                  <c:v>33.520000000000003</c:v>
                </c:pt>
                <c:pt idx="188">
                  <c:v>35.36</c:v>
                </c:pt>
                <c:pt idx="189">
                  <c:v>85.37</c:v>
                </c:pt>
                <c:pt idx="190">
                  <c:v>31.4</c:v>
                </c:pt>
                <c:pt idx="191">
                  <c:v>26.85</c:v>
                </c:pt>
                <c:pt idx="192">
                  <c:v>31.48</c:v>
                </c:pt>
                <c:pt idx="193">
                  <c:v>21.65</c:v>
                </c:pt>
                <c:pt idx="194">
                  <c:v>27.57</c:v>
                </c:pt>
                <c:pt idx="195">
                  <c:v>23.97</c:v>
                </c:pt>
                <c:pt idx="196">
                  <c:v>23.08</c:v>
                </c:pt>
                <c:pt idx="197">
                  <c:v>24.11</c:v>
                </c:pt>
                <c:pt idx="198">
                  <c:v>22.98</c:v>
                </c:pt>
                <c:pt idx="199">
                  <c:v>22.2</c:v>
                </c:pt>
                <c:pt idx="200">
                  <c:v>22.48</c:v>
                </c:pt>
                <c:pt idx="201">
                  <c:v>23.29</c:v>
                </c:pt>
                <c:pt idx="202">
                  <c:v>23.71</c:v>
                </c:pt>
                <c:pt idx="203">
                  <c:v>21.06</c:v>
                </c:pt>
                <c:pt idx="204">
                  <c:v>15.96</c:v>
                </c:pt>
                <c:pt idx="205">
                  <c:v>9.9</c:v>
                </c:pt>
                <c:pt idx="206">
                  <c:v>13.28</c:v>
                </c:pt>
                <c:pt idx="207">
                  <c:v>9.93</c:v>
                </c:pt>
                <c:pt idx="208">
                  <c:v>9.89</c:v>
                </c:pt>
                <c:pt idx="209">
                  <c:v>11.53</c:v>
                </c:pt>
                <c:pt idx="210">
                  <c:v>13.62</c:v>
                </c:pt>
                <c:pt idx="211">
                  <c:v>16.57</c:v>
                </c:pt>
                <c:pt idx="212">
                  <c:v>17.53</c:v>
                </c:pt>
                <c:pt idx="213">
                  <c:v>17.600000000000001</c:v>
                </c:pt>
                <c:pt idx="214">
                  <c:v>18.82</c:v>
                </c:pt>
                <c:pt idx="215">
                  <c:v>13.75</c:v>
                </c:pt>
                <c:pt idx="216">
                  <c:v>12.98</c:v>
                </c:pt>
                <c:pt idx="217">
                  <c:v>9.7799999999999994</c:v>
                </c:pt>
                <c:pt idx="218">
                  <c:v>11.38</c:v>
                </c:pt>
                <c:pt idx="219">
                  <c:v>10.01</c:v>
                </c:pt>
                <c:pt idx="220">
                  <c:v>11.11</c:v>
                </c:pt>
                <c:pt idx="221">
                  <c:v>13.48</c:v>
                </c:pt>
                <c:pt idx="222">
                  <c:v>19.27</c:v>
                </c:pt>
                <c:pt idx="223">
                  <c:v>19.93</c:v>
                </c:pt>
                <c:pt idx="224">
                  <c:v>19.36</c:v>
                </c:pt>
                <c:pt idx="225">
                  <c:v>18.97</c:v>
                </c:pt>
                <c:pt idx="226">
                  <c:v>16.309999999999999</c:v>
                </c:pt>
                <c:pt idx="227">
                  <c:v>18.77</c:v>
                </c:pt>
                <c:pt idx="228">
                  <c:v>17.37</c:v>
                </c:pt>
                <c:pt idx="229">
                  <c:v>14.19</c:v>
                </c:pt>
                <c:pt idx="230">
                  <c:v>15.5</c:v>
                </c:pt>
                <c:pt idx="231">
                  <c:v>12.89</c:v>
                </c:pt>
                <c:pt idx="232">
                  <c:v>12.82</c:v>
                </c:pt>
                <c:pt idx="233">
                  <c:v>12.27</c:v>
                </c:pt>
                <c:pt idx="234">
                  <c:v>14.35</c:v>
                </c:pt>
                <c:pt idx="235">
                  <c:v>28.83</c:v>
                </c:pt>
                <c:pt idx="236">
                  <c:v>23.63</c:v>
                </c:pt>
                <c:pt idx="237">
                  <c:v>28.72</c:v>
                </c:pt>
                <c:pt idx="238">
                  <c:v>29.94</c:v>
                </c:pt>
                <c:pt idx="239">
                  <c:v>28.81</c:v>
                </c:pt>
                <c:pt idx="240">
                  <c:v>35.69</c:v>
                </c:pt>
                <c:pt idx="241">
                  <c:v>38.67</c:v>
                </c:pt>
                <c:pt idx="242">
                  <c:v>38.090000000000003</c:v>
                </c:pt>
                <c:pt idx="243">
                  <c:v>41.76</c:v>
                </c:pt>
                <c:pt idx="244">
                  <c:v>44.89</c:v>
                </c:pt>
                <c:pt idx="245">
                  <c:v>40.659999999999997</c:v>
                </c:pt>
                <c:pt idx="246">
                  <c:v>40.53</c:v>
                </c:pt>
                <c:pt idx="247">
                  <c:v>40.94</c:v>
                </c:pt>
                <c:pt idx="248">
                  <c:v>40.299999999999997</c:v>
                </c:pt>
                <c:pt idx="249">
                  <c:v>45.44</c:v>
                </c:pt>
                <c:pt idx="250">
                  <c:v>38.82</c:v>
                </c:pt>
                <c:pt idx="251">
                  <c:v>40.29</c:v>
                </c:pt>
                <c:pt idx="252">
                  <c:v>48.49</c:v>
                </c:pt>
                <c:pt idx="253">
                  <c:v>38.049999999999997</c:v>
                </c:pt>
                <c:pt idx="254">
                  <c:v>35.01</c:v>
                </c:pt>
                <c:pt idx="255">
                  <c:v>34.6</c:v>
                </c:pt>
                <c:pt idx="256">
                  <c:v>37.46</c:v>
                </c:pt>
                <c:pt idx="257">
                  <c:v>36.630000000000003</c:v>
                </c:pt>
                <c:pt idx="258">
                  <c:v>44.9</c:v>
                </c:pt>
                <c:pt idx="259">
                  <c:v>51.18</c:v>
                </c:pt>
                <c:pt idx="260">
                  <c:v>56.18</c:v>
                </c:pt>
                <c:pt idx="261">
                  <c:v>54.09</c:v>
                </c:pt>
                <c:pt idx="262">
                  <c:v>44.08</c:v>
                </c:pt>
                <c:pt idx="263">
                  <c:v>37.28</c:v>
                </c:pt>
                <c:pt idx="264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A-4E04-B344-DB171D08B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981023"/>
        <c:axId val="730983903"/>
      </c:lineChart>
      <c:catAx>
        <c:axId val="73098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83903"/>
        <c:crosses val="autoZero"/>
        <c:auto val="1"/>
        <c:lblAlgn val="ctr"/>
        <c:lblOffset val="100"/>
        <c:noMultiLvlLbl val="0"/>
      </c:catAx>
      <c:valAx>
        <c:axId val="7309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8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14</xdr:row>
      <xdr:rowOff>85725</xdr:rowOff>
    </xdr:from>
    <xdr:to>
      <xdr:col>25</xdr:col>
      <xdr:colOff>76200</xdr:colOff>
      <xdr:row>33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993121-2C0B-3BF7-D109-467D50060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AFBB-7B2F-4424-9406-2353978D6AEB}">
  <dimension ref="A1:N272"/>
  <sheetViews>
    <sheetView zoomScaleNormal="100" workbookViewId="0">
      <selection activeCell="G4" sqref="G4"/>
    </sheetView>
  </sheetViews>
  <sheetFormatPr defaultRowHeight="15" x14ac:dyDescent="0.25"/>
  <cols>
    <col min="1" max="6" width="9.140625" bestFit="1" customWidth="1"/>
    <col min="7" max="7" width="10.140625" bestFit="1" customWidth="1"/>
    <col min="8" max="10" width="9.140625" bestFit="1" customWidth="1"/>
    <col min="11" max="11" width="15.28515625" style="43" bestFit="1" customWidth="1"/>
    <col min="12" max="12" width="14.28515625" style="43" bestFit="1" customWidth="1"/>
    <col min="13" max="13" width="9.140625" bestFit="1" customWidth="1"/>
    <col min="17" max="17" width="12.7109375" bestFit="1" customWidth="1"/>
  </cols>
  <sheetData>
    <row r="1" spans="1:14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8"/>
      <c r="L1" s="38"/>
      <c r="M1" s="39"/>
    </row>
    <row r="2" spans="1:14" x14ac:dyDescent="0.25">
      <c r="A2" t="s">
        <v>0</v>
      </c>
      <c r="B2" t="s">
        <v>2</v>
      </c>
      <c r="C2" t="s">
        <v>552</v>
      </c>
      <c r="D2" t="s">
        <v>551</v>
      </c>
      <c r="E2" t="s">
        <v>550</v>
      </c>
      <c r="F2" t="s">
        <v>549</v>
      </c>
      <c r="H2" t="s">
        <v>548</v>
      </c>
      <c r="I2" t="s">
        <v>547</v>
      </c>
      <c r="J2" t="s">
        <v>546</v>
      </c>
      <c r="K2" s="43" t="s">
        <v>545</v>
      </c>
      <c r="L2" s="43" t="s">
        <v>544</v>
      </c>
      <c r="M2" t="s">
        <v>543</v>
      </c>
    </row>
    <row r="3" spans="1:14" x14ac:dyDescent="0.25">
      <c r="A3" t="s">
        <v>542</v>
      </c>
      <c r="B3">
        <v>6.5</v>
      </c>
    </row>
    <row r="4" spans="1:14" x14ac:dyDescent="0.25">
      <c r="A4" t="s">
        <v>541</v>
      </c>
      <c r="B4">
        <v>6.5</v>
      </c>
      <c r="C4">
        <v>7.2969999999999997</v>
      </c>
      <c r="D4">
        <v>349</v>
      </c>
      <c r="E4">
        <v>7</v>
      </c>
      <c r="F4">
        <v>36.25</v>
      </c>
      <c r="G4" s="43">
        <f>100*(1-(1-Collateral!N2/L4)^12)</f>
        <v>37.36018504514589</v>
      </c>
      <c r="H4">
        <v>36.619999999999997</v>
      </c>
      <c r="I4">
        <v>29.74</v>
      </c>
      <c r="J4">
        <v>21.55</v>
      </c>
      <c r="K4" s="43">
        <v>18085314</v>
      </c>
      <c r="L4" s="43">
        <v>14985463</v>
      </c>
      <c r="M4">
        <v>663</v>
      </c>
      <c r="N4" s="41"/>
    </row>
    <row r="5" spans="1:14" x14ac:dyDescent="0.25">
      <c r="A5" t="s">
        <v>540</v>
      </c>
      <c r="B5">
        <v>6.5</v>
      </c>
      <c r="C5">
        <v>7.2960000000000003</v>
      </c>
      <c r="D5">
        <v>350</v>
      </c>
      <c r="E5">
        <v>6</v>
      </c>
      <c r="F5">
        <v>31.79</v>
      </c>
      <c r="G5" s="43">
        <f>100*(1-(1-Collateral!N3/L5)^12)</f>
        <v>32.646430158742511</v>
      </c>
      <c r="H5">
        <v>33.869999999999997</v>
      </c>
      <c r="I5">
        <v>26.56</v>
      </c>
      <c r="K5" s="43">
        <v>17523423</v>
      </c>
      <c r="L5" s="43">
        <v>15008633</v>
      </c>
      <c r="M5">
        <v>630</v>
      </c>
      <c r="N5" s="41"/>
    </row>
    <row r="6" spans="1:14" x14ac:dyDescent="0.25">
      <c r="A6" t="s">
        <v>539</v>
      </c>
      <c r="B6">
        <v>6.5</v>
      </c>
      <c r="C6">
        <v>7.2930000000000001</v>
      </c>
      <c r="D6">
        <v>351</v>
      </c>
      <c r="E6">
        <v>5</v>
      </c>
      <c r="F6">
        <v>41.48</v>
      </c>
      <c r="G6" s="43">
        <f>100*(1-(1-Collateral!N4/L6)^12)</f>
        <v>42.93153638984483</v>
      </c>
      <c r="H6">
        <v>30.46</v>
      </c>
      <c r="I6">
        <v>24.06</v>
      </c>
      <c r="K6" s="43">
        <v>16879462</v>
      </c>
      <c r="L6" s="43">
        <v>14862275</v>
      </c>
      <c r="M6">
        <v>589</v>
      </c>
      <c r="N6" s="41"/>
    </row>
    <row r="7" spans="1:14" x14ac:dyDescent="0.25">
      <c r="A7" t="s">
        <v>538</v>
      </c>
      <c r="B7">
        <v>6.5</v>
      </c>
      <c r="C7">
        <v>7.2910000000000004</v>
      </c>
      <c r="D7">
        <v>352</v>
      </c>
      <c r="E7">
        <v>4</v>
      </c>
      <c r="F7">
        <v>27.26</v>
      </c>
      <c r="G7" s="43">
        <f>100*(1-(1-Collateral!N5/L7)^12)</f>
        <v>27.892917006816255</v>
      </c>
      <c r="H7">
        <v>21.93</v>
      </c>
      <c r="I7">
        <v>20.11</v>
      </c>
      <c r="K7" s="43">
        <v>16006212</v>
      </c>
      <c r="L7" s="43">
        <v>14682080</v>
      </c>
      <c r="M7">
        <v>531</v>
      </c>
      <c r="N7" s="41"/>
    </row>
    <row r="8" spans="1:14" x14ac:dyDescent="0.25">
      <c r="A8" t="s">
        <v>537</v>
      </c>
      <c r="B8">
        <v>6.5</v>
      </c>
      <c r="C8">
        <v>7.2839999999999998</v>
      </c>
      <c r="D8">
        <v>352</v>
      </c>
      <c r="E8">
        <v>4</v>
      </c>
      <c r="F8">
        <v>20.47</v>
      </c>
      <c r="G8" s="43">
        <f>100*(1-(1-Collateral!N6/L8)^12)</f>
        <v>20.82705780950468</v>
      </c>
      <c r="H8">
        <v>18.36</v>
      </c>
      <c r="I8">
        <v>17.59</v>
      </c>
      <c r="K8" s="43">
        <v>14265919</v>
      </c>
      <c r="L8" s="43">
        <v>13348259</v>
      </c>
      <c r="M8">
        <v>462</v>
      </c>
      <c r="N8" s="41"/>
    </row>
    <row r="9" spans="1:14" x14ac:dyDescent="0.25">
      <c r="A9" t="s">
        <v>536</v>
      </c>
      <c r="B9">
        <v>6.5</v>
      </c>
      <c r="C9">
        <v>7.28</v>
      </c>
      <c r="D9">
        <v>353</v>
      </c>
      <c r="E9">
        <v>3</v>
      </c>
      <c r="F9">
        <v>17.72</v>
      </c>
      <c r="G9" s="43">
        <f>100*(1-(1-Collateral!N7/L9)^12)</f>
        <v>17.989126638100416</v>
      </c>
      <c r="H9">
        <v>17.07</v>
      </c>
      <c r="I9">
        <v>15.27</v>
      </c>
      <c r="K9" s="43">
        <v>12597246</v>
      </c>
      <c r="L9" s="43">
        <v>11947862</v>
      </c>
      <c r="M9">
        <v>396</v>
      </c>
      <c r="N9" s="41"/>
    </row>
    <row r="10" spans="1:14" x14ac:dyDescent="0.25">
      <c r="A10" t="s">
        <v>535</v>
      </c>
      <c r="B10">
        <v>6.5</v>
      </c>
      <c r="C10">
        <v>7.282</v>
      </c>
      <c r="D10">
        <v>354</v>
      </c>
      <c r="E10">
        <v>3</v>
      </c>
      <c r="F10">
        <v>16.79</v>
      </c>
      <c r="G10" s="43">
        <f>100*(1-(1-Collateral!N8/L10)^12)</f>
        <v>17.023528745154316</v>
      </c>
      <c r="H10">
        <v>18.23</v>
      </c>
      <c r="I10">
        <v>12.38</v>
      </c>
      <c r="K10" s="43">
        <v>10706609</v>
      </c>
      <c r="L10" s="43">
        <v>10261362</v>
      </c>
      <c r="M10">
        <v>332</v>
      </c>
      <c r="N10" s="41"/>
    </row>
    <row r="11" spans="1:14" x14ac:dyDescent="0.25">
      <c r="A11" t="s">
        <v>534</v>
      </c>
      <c r="B11">
        <v>6.5</v>
      </c>
      <c r="C11">
        <v>7.2889999999999997</v>
      </c>
      <c r="D11">
        <v>354</v>
      </c>
      <c r="E11">
        <v>2</v>
      </c>
      <c r="F11">
        <v>16.63</v>
      </c>
      <c r="G11" s="43">
        <f>100*(1-(1-Collateral!N9/L11)^12)</f>
        <v>16.859809128363999</v>
      </c>
      <c r="H11">
        <v>16.8</v>
      </c>
      <c r="K11" s="43">
        <v>7933717</v>
      </c>
      <c r="L11" s="43">
        <v>7655155</v>
      </c>
      <c r="M11">
        <v>241</v>
      </c>
      <c r="N11" s="41"/>
    </row>
    <row r="12" spans="1:14" x14ac:dyDescent="0.25">
      <c r="A12" t="s">
        <v>533</v>
      </c>
      <c r="B12">
        <v>6.5</v>
      </c>
      <c r="C12">
        <v>7.4</v>
      </c>
      <c r="D12">
        <v>346</v>
      </c>
      <c r="E12">
        <v>9</v>
      </c>
      <c r="F12">
        <v>30.94</v>
      </c>
      <c r="G12" s="43">
        <f>100*(1-(1-Collateral!N10/L12)^12)</f>
        <v>31.748028889853398</v>
      </c>
      <c r="H12">
        <v>22.98</v>
      </c>
      <c r="I12">
        <v>20.61</v>
      </c>
      <c r="J12">
        <v>18.53</v>
      </c>
      <c r="K12" s="43">
        <v>17744028</v>
      </c>
      <c r="L12" s="43">
        <v>14918285</v>
      </c>
      <c r="M12">
        <v>1024</v>
      </c>
      <c r="N12" s="41"/>
    </row>
    <row r="13" spans="1:14" x14ac:dyDescent="0.25">
      <c r="A13" t="s">
        <v>532</v>
      </c>
      <c r="B13">
        <v>6.5</v>
      </c>
      <c r="C13">
        <v>7.4020000000000001</v>
      </c>
      <c r="D13">
        <v>347</v>
      </c>
      <c r="E13">
        <v>8</v>
      </c>
      <c r="F13">
        <v>23.62</v>
      </c>
      <c r="G13" s="43">
        <f>100*(1-(1-Collateral!N11/L13)^12)</f>
        <v>24.091225562851648</v>
      </c>
      <c r="H13">
        <v>17.72</v>
      </c>
      <c r="I13">
        <v>19.87</v>
      </c>
      <c r="J13">
        <v>16.88</v>
      </c>
      <c r="K13" s="43">
        <v>17915189</v>
      </c>
      <c r="L13" s="43">
        <v>15532481</v>
      </c>
      <c r="M13">
        <v>1025</v>
      </c>
      <c r="N13" s="41"/>
    </row>
    <row r="14" spans="1:14" x14ac:dyDescent="0.25">
      <c r="A14" t="s">
        <v>531</v>
      </c>
      <c r="B14">
        <v>6.5</v>
      </c>
      <c r="C14">
        <v>7.4029999999999996</v>
      </c>
      <c r="D14">
        <v>348</v>
      </c>
      <c r="E14">
        <v>7</v>
      </c>
      <c r="F14">
        <v>13.53</v>
      </c>
      <c r="G14" s="43">
        <f>100*(1-(1-Collateral!N12/L14)^12)</f>
        <v>13.684331131391335</v>
      </c>
      <c r="H14">
        <v>15.94</v>
      </c>
      <c r="I14">
        <v>18.84</v>
      </c>
      <c r="J14">
        <v>15.88</v>
      </c>
      <c r="K14" s="43">
        <v>17992546</v>
      </c>
      <c r="L14" s="43">
        <v>15964732</v>
      </c>
      <c r="M14">
        <v>1017</v>
      </c>
      <c r="N14" s="41"/>
    </row>
    <row r="15" spans="1:14" x14ac:dyDescent="0.25">
      <c r="A15" t="s">
        <v>530</v>
      </c>
      <c r="B15">
        <v>6.5</v>
      </c>
      <c r="C15">
        <v>7.4109999999999996</v>
      </c>
      <c r="D15">
        <v>349</v>
      </c>
      <c r="E15">
        <v>7</v>
      </c>
      <c r="F15">
        <v>15.92</v>
      </c>
      <c r="G15" s="43">
        <f>100*(1-(1-Collateral!N13/L15)^12)</f>
        <v>16.136577753749048</v>
      </c>
      <c r="H15">
        <v>18.43</v>
      </c>
      <c r="I15">
        <v>19.02</v>
      </c>
      <c r="J15">
        <v>15.11</v>
      </c>
      <c r="K15" s="43">
        <v>22458321</v>
      </c>
      <c r="L15" s="43">
        <v>20161842</v>
      </c>
      <c r="M15">
        <v>960</v>
      </c>
      <c r="N15" s="41"/>
    </row>
    <row r="16" spans="1:14" x14ac:dyDescent="0.25">
      <c r="A16" t="s">
        <v>529</v>
      </c>
      <c r="B16">
        <v>6.5</v>
      </c>
      <c r="C16">
        <v>7.431</v>
      </c>
      <c r="D16">
        <v>350</v>
      </c>
      <c r="E16">
        <v>6</v>
      </c>
      <c r="F16">
        <v>18.95</v>
      </c>
      <c r="G16" s="43">
        <f>100*(1-(1-Collateral!N14/L16)^12)</f>
        <v>19.257386001386713</v>
      </c>
      <c r="H16">
        <v>21.68</v>
      </c>
      <c r="I16">
        <v>18.39</v>
      </c>
      <c r="K16" s="43">
        <v>24365243</v>
      </c>
      <c r="L16" s="43">
        <v>22066943</v>
      </c>
      <c r="M16">
        <v>832</v>
      </c>
      <c r="N16" s="41"/>
    </row>
    <row r="17" spans="1:14" x14ac:dyDescent="0.25">
      <c r="A17" t="s">
        <v>528</v>
      </c>
      <c r="B17">
        <v>6.5</v>
      </c>
      <c r="C17">
        <v>7.4359999999999999</v>
      </c>
      <c r="D17">
        <v>351</v>
      </c>
      <c r="E17">
        <v>5</v>
      </c>
      <c r="F17">
        <v>19.75</v>
      </c>
      <c r="G17" s="43">
        <f>100*(1-(1-Collateral!N15/L17)^12)</f>
        <v>20.081365045220821</v>
      </c>
      <c r="H17">
        <v>21.32</v>
      </c>
      <c r="I17">
        <v>17.05</v>
      </c>
      <c r="K17" s="43">
        <v>24032419</v>
      </c>
      <c r="L17" s="43">
        <v>22015375</v>
      </c>
      <c r="M17">
        <v>763</v>
      </c>
      <c r="N17" s="41"/>
    </row>
    <row r="18" spans="1:14" x14ac:dyDescent="0.25">
      <c r="A18" t="s">
        <v>527</v>
      </c>
      <c r="B18">
        <v>6.5</v>
      </c>
      <c r="C18">
        <v>7.44</v>
      </c>
      <c r="D18">
        <v>352</v>
      </c>
      <c r="E18">
        <v>5</v>
      </c>
      <c r="F18">
        <v>27.76</v>
      </c>
      <c r="G18" s="43">
        <f>100*(1-(1-Collateral!N16/L18)^12)</f>
        <v>28.411207250355808</v>
      </c>
      <c r="H18">
        <v>20.350000000000001</v>
      </c>
      <c r="I18">
        <v>16.649999999999999</v>
      </c>
      <c r="K18" s="43">
        <v>25338865</v>
      </c>
      <c r="L18" s="43">
        <v>23503177</v>
      </c>
      <c r="M18">
        <v>705</v>
      </c>
      <c r="N18" s="41"/>
    </row>
    <row r="19" spans="1:14" x14ac:dyDescent="0.25">
      <c r="A19" t="s">
        <v>526</v>
      </c>
      <c r="B19">
        <v>6.5</v>
      </c>
      <c r="C19">
        <v>7.4409999999999998</v>
      </c>
      <c r="D19">
        <v>353</v>
      </c>
      <c r="E19">
        <v>4</v>
      </c>
      <c r="F19">
        <v>17.71</v>
      </c>
      <c r="G19" s="43">
        <f>100*(1-(1-Collateral!N17/L19)^12)</f>
        <v>17.979473053454242</v>
      </c>
      <c r="H19">
        <v>15.5</v>
      </c>
      <c r="I19">
        <v>14.2</v>
      </c>
      <c r="K19" s="43">
        <v>25506579</v>
      </c>
      <c r="L19" s="43">
        <v>24271618</v>
      </c>
      <c r="M19">
        <v>648</v>
      </c>
      <c r="N19" s="41"/>
    </row>
    <row r="20" spans="1:14" x14ac:dyDescent="0.25">
      <c r="A20" t="s">
        <v>525</v>
      </c>
      <c r="B20">
        <v>6.5</v>
      </c>
      <c r="C20">
        <v>7.44</v>
      </c>
      <c r="D20">
        <v>354</v>
      </c>
      <c r="E20">
        <v>3</v>
      </c>
      <c r="F20">
        <v>15.06</v>
      </c>
      <c r="G20" s="43">
        <f>100*(1-(1-Collateral!N18/L20)^12)</f>
        <v>15.253078661207443</v>
      </c>
      <c r="H20">
        <v>13.12</v>
      </c>
      <c r="I20">
        <v>13.21</v>
      </c>
      <c r="K20" s="43">
        <v>23172648</v>
      </c>
      <c r="L20" s="43">
        <v>22348664</v>
      </c>
      <c r="M20">
        <v>550</v>
      </c>
      <c r="N20" s="41"/>
    </row>
    <row r="21" spans="1:14" x14ac:dyDescent="0.25">
      <c r="A21" t="s">
        <v>524</v>
      </c>
      <c r="B21">
        <v>6.5</v>
      </c>
      <c r="C21">
        <v>7.44</v>
      </c>
      <c r="D21">
        <v>355</v>
      </c>
      <c r="E21">
        <v>2</v>
      </c>
      <c r="F21">
        <v>13.74</v>
      </c>
      <c r="G21" s="43">
        <f>100*(1-(1-Collateral!N19/L21)^12)</f>
        <v>13.896888018117814</v>
      </c>
      <c r="H21">
        <v>12.97</v>
      </c>
      <c r="I21">
        <v>12.2</v>
      </c>
      <c r="K21" s="43">
        <v>18877621</v>
      </c>
      <c r="L21" s="43">
        <v>18361098</v>
      </c>
      <c r="M21">
        <v>430</v>
      </c>
      <c r="N21" s="41"/>
    </row>
    <row r="22" spans="1:14" x14ac:dyDescent="0.25">
      <c r="A22" t="s">
        <v>523</v>
      </c>
      <c r="B22">
        <v>6.5</v>
      </c>
      <c r="C22">
        <v>7.4390000000000001</v>
      </c>
      <c r="D22">
        <v>356</v>
      </c>
      <c r="E22">
        <v>2</v>
      </c>
      <c r="F22">
        <v>10.47</v>
      </c>
      <c r="G22" s="43">
        <f>100*(1-(1-Collateral!N20/L22)^12)</f>
        <v>10.56645108102623</v>
      </c>
      <c r="H22">
        <v>12.92</v>
      </c>
      <c r="K22" s="43">
        <v>13556227</v>
      </c>
      <c r="L22" s="43">
        <v>13265215</v>
      </c>
      <c r="M22">
        <v>313</v>
      </c>
      <c r="N22" s="41"/>
    </row>
    <row r="23" spans="1:14" x14ac:dyDescent="0.25">
      <c r="A23" t="s">
        <v>522</v>
      </c>
      <c r="B23">
        <v>6.5</v>
      </c>
      <c r="C23">
        <v>7.4429999999999996</v>
      </c>
      <c r="D23">
        <v>356</v>
      </c>
      <c r="E23">
        <v>2</v>
      </c>
      <c r="F23">
        <v>14.19</v>
      </c>
      <c r="G23" s="43">
        <f>100*(1-(1-Collateral!N21/L23)^12)</f>
        <v>14.35961228286634</v>
      </c>
      <c r="H23">
        <v>13.07</v>
      </c>
      <c r="K23" s="43">
        <v>6858487</v>
      </c>
      <c r="L23" s="43">
        <v>6696383</v>
      </c>
      <c r="M23">
        <v>193</v>
      </c>
      <c r="N23" s="41"/>
    </row>
    <row r="24" spans="1:14" x14ac:dyDescent="0.25">
      <c r="A24" t="s">
        <v>521</v>
      </c>
      <c r="B24">
        <v>6.5</v>
      </c>
      <c r="C24">
        <v>7.4039999999999999</v>
      </c>
      <c r="D24">
        <v>349</v>
      </c>
      <c r="E24">
        <v>6</v>
      </c>
      <c r="F24">
        <v>14.35</v>
      </c>
      <c r="G24" s="43">
        <f>100*(1-(1-Collateral!N22/L24)^12)</f>
        <v>14.520580172049291</v>
      </c>
      <c r="H24">
        <v>14.21</v>
      </c>
      <c r="I24">
        <v>12.72</v>
      </c>
      <c r="J24">
        <v>12.8</v>
      </c>
      <c r="K24" s="43">
        <v>46459694</v>
      </c>
      <c r="L24" s="43">
        <v>43041409</v>
      </c>
      <c r="M24">
        <v>1203</v>
      </c>
      <c r="N24" s="41"/>
    </row>
    <row r="25" spans="1:14" x14ac:dyDescent="0.25">
      <c r="A25" t="s">
        <v>520</v>
      </c>
      <c r="B25">
        <v>6.5</v>
      </c>
      <c r="C25">
        <v>7.4009999999999998</v>
      </c>
      <c r="D25">
        <v>351</v>
      </c>
      <c r="E25">
        <v>6</v>
      </c>
      <c r="F25">
        <v>13.42</v>
      </c>
      <c r="G25" s="43">
        <f>100*(1-(1-Collateral!N23/L25)^12)</f>
        <v>13.568803534192675</v>
      </c>
      <c r="H25">
        <v>14.13</v>
      </c>
      <c r="I25">
        <v>12.08</v>
      </c>
      <c r="J25">
        <v>12.51</v>
      </c>
      <c r="K25" s="43">
        <v>49119988</v>
      </c>
      <c r="L25" s="43">
        <v>46068484</v>
      </c>
      <c r="M25">
        <v>1201</v>
      </c>
      <c r="N25" s="41"/>
    </row>
    <row r="26" spans="1:14" x14ac:dyDescent="0.25">
      <c r="A26" t="s">
        <v>519</v>
      </c>
      <c r="B26">
        <v>6.5</v>
      </c>
      <c r="C26">
        <v>7.4</v>
      </c>
      <c r="D26">
        <v>352</v>
      </c>
      <c r="E26">
        <v>5</v>
      </c>
      <c r="F26">
        <v>14.73</v>
      </c>
      <c r="G26" s="43">
        <f>100*(1-(1-Collateral!N24/L26)^12)</f>
        <v>14.909063589213279</v>
      </c>
      <c r="H26">
        <v>12.87</v>
      </c>
      <c r="I26">
        <v>11.7</v>
      </c>
      <c r="J26">
        <v>11.85</v>
      </c>
      <c r="K26" s="43">
        <v>49442171</v>
      </c>
      <c r="L26" s="43">
        <v>46927440</v>
      </c>
      <c r="M26">
        <v>1177</v>
      </c>
      <c r="N26" s="41"/>
    </row>
    <row r="27" spans="1:14" x14ac:dyDescent="0.25">
      <c r="A27" t="s">
        <v>518</v>
      </c>
      <c r="B27">
        <v>6.5</v>
      </c>
      <c r="C27">
        <v>7.3920000000000003</v>
      </c>
      <c r="D27">
        <v>353</v>
      </c>
      <c r="E27">
        <v>4</v>
      </c>
      <c r="F27">
        <v>13.97</v>
      </c>
      <c r="G27" s="43">
        <f>100*(1-(1-Collateral!N25/L27)^12)</f>
        <v>14.139203906456943</v>
      </c>
      <c r="H27">
        <v>11.14</v>
      </c>
      <c r="I27">
        <v>11.28</v>
      </c>
      <c r="J27">
        <v>10.86</v>
      </c>
      <c r="K27" s="43">
        <v>50293509</v>
      </c>
      <c r="L27" s="43">
        <v>48174550</v>
      </c>
      <c r="M27">
        <v>1094</v>
      </c>
      <c r="N27" s="41"/>
    </row>
    <row r="28" spans="1:14" x14ac:dyDescent="0.25">
      <c r="A28" t="s">
        <v>517</v>
      </c>
      <c r="B28">
        <v>6.5</v>
      </c>
      <c r="C28">
        <v>7.383</v>
      </c>
      <c r="D28">
        <v>354</v>
      </c>
      <c r="E28">
        <v>3</v>
      </c>
      <c r="F28">
        <v>9.69</v>
      </c>
      <c r="G28" s="43">
        <f>100*(1-(1-Collateral!N26/L28)^12)</f>
        <v>9.7706376501323629</v>
      </c>
      <c r="H28">
        <v>10.08</v>
      </c>
      <c r="I28">
        <v>10.73</v>
      </c>
      <c r="J28">
        <v>11.65</v>
      </c>
      <c r="K28" s="43">
        <v>43998684</v>
      </c>
      <c r="L28" s="43">
        <v>42492385</v>
      </c>
      <c r="M28">
        <v>944</v>
      </c>
      <c r="N28" s="41"/>
    </row>
    <row r="29" spans="1:14" x14ac:dyDescent="0.25">
      <c r="A29" t="s">
        <v>516</v>
      </c>
      <c r="B29">
        <v>6.5</v>
      </c>
      <c r="C29">
        <v>7.3630000000000004</v>
      </c>
      <c r="D29">
        <v>354</v>
      </c>
      <c r="E29">
        <v>3</v>
      </c>
      <c r="F29">
        <v>9.6999999999999993</v>
      </c>
      <c r="G29" s="43">
        <f>100*(1-(1-Collateral!N27/L29)^12)</f>
        <v>9.7769134183397615</v>
      </c>
      <c r="H29">
        <v>10.69</v>
      </c>
      <c r="I29">
        <v>12.13</v>
      </c>
      <c r="K29" s="43">
        <v>35037819</v>
      </c>
      <c r="L29" s="43">
        <v>33921640</v>
      </c>
      <c r="M29">
        <v>771</v>
      </c>
      <c r="N29" s="41"/>
    </row>
    <row r="30" spans="1:14" x14ac:dyDescent="0.25">
      <c r="A30" t="s">
        <v>515</v>
      </c>
      <c r="B30">
        <v>6.5</v>
      </c>
      <c r="C30">
        <v>7.34</v>
      </c>
      <c r="D30">
        <v>354</v>
      </c>
      <c r="E30">
        <v>3</v>
      </c>
      <c r="F30">
        <v>10.85</v>
      </c>
      <c r="G30" s="43">
        <f>100*(1-(1-Collateral!N28/L30)^12)</f>
        <v>10.945658224997533</v>
      </c>
      <c r="H30">
        <v>11.47</v>
      </c>
      <c r="I30">
        <v>13.52</v>
      </c>
      <c r="K30" s="43">
        <v>25345189</v>
      </c>
      <c r="L30" s="43">
        <v>24542910</v>
      </c>
      <c r="M30">
        <v>591</v>
      </c>
      <c r="N30" s="41"/>
    </row>
    <row r="31" spans="1:14" x14ac:dyDescent="0.25">
      <c r="A31" t="s">
        <v>514</v>
      </c>
      <c r="B31">
        <v>6.5</v>
      </c>
      <c r="C31">
        <v>7.335</v>
      </c>
      <c r="D31">
        <v>355</v>
      </c>
      <c r="E31">
        <v>3</v>
      </c>
      <c r="F31">
        <v>11.51</v>
      </c>
      <c r="G31" s="43">
        <f>100*(1-(1-Collateral!N29/L31)^12)</f>
        <v>11.617088162875433</v>
      </c>
      <c r="H31">
        <v>11.37</v>
      </c>
      <c r="I31">
        <v>14.07</v>
      </c>
      <c r="K31" s="43">
        <v>19045535</v>
      </c>
      <c r="L31" s="43">
        <v>18470353</v>
      </c>
      <c r="M31">
        <v>453</v>
      </c>
      <c r="N31" s="41"/>
    </row>
    <row r="32" spans="1:14" x14ac:dyDescent="0.25">
      <c r="A32" t="s">
        <v>513</v>
      </c>
      <c r="B32">
        <v>6.5</v>
      </c>
      <c r="C32">
        <v>7.3239999999999998</v>
      </c>
      <c r="D32">
        <v>355</v>
      </c>
      <c r="E32">
        <v>2</v>
      </c>
      <c r="F32">
        <v>12.07</v>
      </c>
      <c r="G32" s="43">
        <f>100*(1-(1-Collateral!N30/L32)^12)</f>
        <v>12.197373999673411</v>
      </c>
      <c r="H32">
        <v>13.28</v>
      </c>
      <c r="I32">
        <v>13.13</v>
      </c>
      <c r="K32" s="43">
        <v>16403344</v>
      </c>
      <c r="L32" s="43">
        <v>15936675</v>
      </c>
      <c r="M32">
        <v>341</v>
      </c>
      <c r="N32" s="41"/>
    </row>
    <row r="33" spans="1:14" x14ac:dyDescent="0.25">
      <c r="A33" t="s">
        <v>512</v>
      </c>
      <c r="B33">
        <v>6.5</v>
      </c>
      <c r="C33">
        <v>7.3719999999999999</v>
      </c>
      <c r="D33">
        <v>348</v>
      </c>
      <c r="E33">
        <v>8</v>
      </c>
      <c r="F33">
        <v>13.69</v>
      </c>
      <c r="G33" s="43">
        <f>100*(1-(1-Collateral!N31/L33)^12)</f>
        <v>13.844080440938122</v>
      </c>
      <c r="H33">
        <v>16.309999999999999</v>
      </c>
      <c r="I33">
        <v>16.39</v>
      </c>
      <c r="J33">
        <v>14.82</v>
      </c>
      <c r="K33" s="43">
        <v>6399443</v>
      </c>
      <c r="L33" s="43">
        <v>5746932</v>
      </c>
      <c r="M33">
        <v>175</v>
      </c>
      <c r="N33" s="41"/>
    </row>
    <row r="34" spans="1:14" x14ac:dyDescent="0.25">
      <c r="A34" t="s">
        <v>511</v>
      </c>
      <c r="B34">
        <v>6.5</v>
      </c>
      <c r="C34">
        <v>7.3540000000000001</v>
      </c>
      <c r="D34">
        <v>350</v>
      </c>
      <c r="E34">
        <v>7</v>
      </c>
      <c r="F34">
        <v>16.16</v>
      </c>
      <c r="G34" s="43">
        <f>100*(1-(1-Collateral!N32/L34)^12)</f>
        <v>16.379313027324159</v>
      </c>
      <c r="H34">
        <v>16.71</v>
      </c>
      <c r="I34">
        <v>15.93</v>
      </c>
      <c r="J34">
        <v>13.79</v>
      </c>
      <c r="K34" s="43">
        <v>6725493</v>
      </c>
      <c r="L34" s="43">
        <v>6121093</v>
      </c>
      <c r="M34">
        <v>174</v>
      </c>
      <c r="N34" s="41"/>
    </row>
    <row r="35" spans="1:14" x14ac:dyDescent="0.25">
      <c r="A35" t="s">
        <v>510</v>
      </c>
      <c r="B35">
        <v>6.5</v>
      </c>
      <c r="C35">
        <v>7.3520000000000003</v>
      </c>
      <c r="D35">
        <v>351</v>
      </c>
      <c r="E35">
        <v>6</v>
      </c>
      <c r="F35">
        <v>18.7</v>
      </c>
      <c r="G35" s="43">
        <f>100*(1-(1-Collateral!N33/L35)^12)</f>
        <v>18.995835176213006</v>
      </c>
      <c r="H35">
        <v>17.32</v>
      </c>
      <c r="I35">
        <v>14.39</v>
      </c>
      <c r="J35">
        <v>12.53</v>
      </c>
      <c r="K35" s="43">
        <v>6770681</v>
      </c>
      <c r="L35" s="43">
        <v>6258549</v>
      </c>
      <c r="M35">
        <v>175</v>
      </c>
      <c r="N35" s="41"/>
    </row>
    <row r="36" spans="1:14" x14ac:dyDescent="0.25">
      <c r="A36" t="s">
        <v>509</v>
      </c>
      <c r="B36">
        <v>6.5</v>
      </c>
      <c r="C36">
        <v>7.3490000000000002</v>
      </c>
      <c r="D36">
        <v>352</v>
      </c>
      <c r="E36">
        <v>5</v>
      </c>
      <c r="F36">
        <v>15.21</v>
      </c>
      <c r="G36" s="43">
        <f>100*(1-(1-Collateral!N34/L36)^12)</f>
        <v>15.406044337508362</v>
      </c>
      <c r="H36">
        <v>16.25</v>
      </c>
      <c r="I36">
        <v>12.35</v>
      </c>
      <c r="K36" s="43">
        <v>6799043</v>
      </c>
      <c r="L36" s="43">
        <v>6394407</v>
      </c>
      <c r="M36">
        <v>174</v>
      </c>
      <c r="N36" s="41"/>
    </row>
    <row r="37" spans="1:14" x14ac:dyDescent="0.25">
      <c r="A37" t="s">
        <v>508</v>
      </c>
      <c r="B37">
        <v>6.5</v>
      </c>
      <c r="C37">
        <v>7.3449999999999998</v>
      </c>
      <c r="D37">
        <v>353</v>
      </c>
      <c r="E37">
        <v>4</v>
      </c>
      <c r="F37">
        <v>17.91</v>
      </c>
      <c r="G37" s="43">
        <f>100*(1-(1-Collateral!N35/L37)^12)</f>
        <v>18.184868896130091</v>
      </c>
      <c r="H37">
        <v>15</v>
      </c>
      <c r="I37">
        <v>9.82</v>
      </c>
      <c r="K37" s="43">
        <v>6984363</v>
      </c>
      <c r="L37" s="43">
        <v>6663645</v>
      </c>
      <c r="M37">
        <v>169</v>
      </c>
      <c r="N37" s="41"/>
    </row>
    <row r="38" spans="1:14" x14ac:dyDescent="0.25">
      <c r="A38" t="s">
        <v>507</v>
      </c>
      <c r="B38">
        <v>6.5</v>
      </c>
      <c r="C38">
        <v>7.3159999999999998</v>
      </c>
      <c r="D38">
        <v>355</v>
      </c>
      <c r="E38">
        <v>3</v>
      </c>
      <c r="F38">
        <v>15.2</v>
      </c>
      <c r="G38" s="43">
        <f>100*(1-(1-Collateral!N36/L38)^12)</f>
        <v>15.393787637943257</v>
      </c>
      <c r="H38">
        <v>11.35</v>
      </c>
      <c r="I38">
        <v>12.83</v>
      </c>
      <c r="K38" s="43">
        <v>7887017</v>
      </c>
      <c r="L38" s="43">
        <v>7648245</v>
      </c>
      <c r="M38">
        <v>159</v>
      </c>
      <c r="N38" s="41"/>
    </row>
    <row r="39" spans="1:14" x14ac:dyDescent="0.25">
      <c r="A39" t="s">
        <v>506</v>
      </c>
      <c r="B39">
        <v>6.5</v>
      </c>
      <c r="C39">
        <v>7.2919999999999998</v>
      </c>
      <c r="D39">
        <v>356</v>
      </c>
      <c r="E39">
        <v>2</v>
      </c>
      <c r="F39">
        <v>10.95</v>
      </c>
      <c r="G39" s="43">
        <f>100*(1-(1-Collateral!N37/L39)^12)</f>
        <v>11.050768337801564</v>
      </c>
      <c r="H39">
        <v>8.39</v>
      </c>
      <c r="I39">
        <v>9.5299999999999994</v>
      </c>
      <c r="K39" s="43">
        <v>7968947</v>
      </c>
      <c r="L39" s="43">
        <v>7821041</v>
      </c>
      <c r="M39">
        <v>129</v>
      </c>
      <c r="N39" s="41"/>
    </row>
    <row r="40" spans="1:14" x14ac:dyDescent="0.25">
      <c r="A40" t="s">
        <v>505</v>
      </c>
      <c r="B40">
        <v>6.5</v>
      </c>
      <c r="C40">
        <v>7.2409999999999997</v>
      </c>
      <c r="D40">
        <v>357</v>
      </c>
      <c r="E40">
        <v>2</v>
      </c>
      <c r="F40">
        <v>8.74</v>
      </c>
      <c r="G40" s="43">
        <f>100*(1-(1-Collateral!N38/L40)^12)</f>
        <v>8.8071806944313167</v>
      </c>
      <c r="H40">
        <v>4.88</v>
      </c>
      <c r="I40">
        <v>7.96</v>
      </c>
      <c r="K40" s="43">
        <v>6387771</v>
      </c>
      <c r="L40" s="43">
        <v>6315626</v>
      </c>
      <c r="M40">
        <v>90</v>
      </c>
      <c r="N40" s="41"/>
    </row>
    <row r="41" spans="1:14" x14ac:dyDescent="0.25">
      <c r="A41" t="s">
        <v>504</v>
      </c>
      <c r="B41">
        <v>6.5</v>
      </c>
      <c r="C41">
        <v>7.0739999999999998</v>
      </c>
      <c r="D41">
        <v>358</v>
      </c>
      <c r="E41">
        <v>1</v>
      </c>
      <c r="F41">
        <v>5.63</v>
      </c>
      <c r="G41" s="43">
        <f>100*(1-(1-Collateral!N39/L41)^12)</f>
        <v>5.66163756444793</v>
      </c>
      <c r="H41">
        <v>12.44</v>
      </c>
      <c r="I41">
        <v>6.56</v>
      </c>
      <c r="K41" s="43">
        <v>3215016</v>
      </c>
      <c r="L41" s="43">
        <v>3196232</v>
      </c>
      <c r="M41">
        <v>39</v>
      </c>
      <c r="N41" s="41"/>
    </row>
    <row r="42" spans="1:14" x14ac:dyDescent="0.25">
      <c r="A42" t="s">
        <v>503</v>
      </c>
      <c r="B42">
        <v>6.5</v>
      </c>
      <c r="C42">
        <v>7.17</v>
      </c>
      <c r="D42">
        <v>359</v>
      </c>
      <c r="E42">
        <v>1</v>
      </c>
      <c r="F42">
        <v>0.04</v>
      </c>
      <c r="G42" s="43">
        <f>100*(1-(1-Collateral!N40/L42)^12)</f>
        <v>4.3558156261425118E-2</v>
      </c>
      <c r="H42">
        <v>10.75</v>
      </c>
      <c r="K42" s="43">
        <v>221051</v>
      </c>
      <c r="L42" s="43">
        <v>220351</v>
      </c>
      <c r="M42">
        <v>10</v>
      </c>
      <c r="N42" s="41"/>
    </row>
    <row r="43" spans="1:14" x14ac:dyDescent="0.25">
      <c r="A43" t="s">
        <v>502</v>
      </c>
      <c r="B43">
        <v>6.5</v>
      </c>
      <c r="C43">
        <v>7.0179999999999998</v>
      </c>
      <c r="D43">
        <v>133</v>
      </c>
      <c r="E43">
        <v>216</v>
      </c>
      <c r="F43">
        <v>11.78</v>
      </c>
      <c r="G43" s="43">
        <f>100*(1-(1-Collateral!N41/L43)^12)</f>
        <v>11.897078807721561</v>
      </c>
      <c r="H43">
        <v>11.9</v>
      </c>
      <c r="I43">
        <v>13.43</v>
      </c>
      <c r="J43">
        <v>14.38</v>
      </c>
      <c r="K43" s="43">
        <v>553984584</v>
      </c>
      <c r="L43" s="43">
        <v>3892813</v>
      </c>
      <c r="M43">
        <v>36953</v>
      </c>
      <c r="N43" s="41"/>
    </row>
    <row r="44" spans="1:14" x14ac:dyDescent="0.25">
      <c r="A44" t="s">
        <v>501</v>
      </c>
      <c r="B44">
        <v>6.5</v>
      </c>
      <c r="C44">
        <v>7.0179999999999998</v>
      </c>
      <c r="D44">
        <v>134</v>
      </c>
      <c r="E44">
        <v>215</v>
      </c>
      <c r="F44">
        <v>13.62</v>
      </c>
      <c r="G44" s="43">
        <f>100*(1-(1-Collateral!N42/L44)^12)</f>
        <v>13.777177520028172</v>
      </c>
      <c r="H44">
        <v>13.14</v>
      </c>
      <c r="I44">
        <v>14.8</v>
      </c>
      <c r="J44">
        <v>14.91</v>
      </c>
      <c r="K44" s="43">
        <v>555559313</v>
      </c>
      <c r="L44" s="43">
        <v>3957903</v>
      </c>
      <c r="M44">
        <v>37196</v>
      </c>
      <c r="N44" s="41"/>
    </row>
    <row r="45" spans="1:14" x14ac:dyDescent="0.25">
      <c r="A45" t="s">
        <v>500</v>
      </c>
      <c r="B45">
        <v>6.5</v>
      </c>
      <c r="C45">
        <v>7.0179999999999998</v>
      </c>
      <c r="D45">
        <v>134</v>
      </c>
      <c r="E45">
        <v>214</v>
      </c>
      <c r="F45">
        <v>13.99</v>
      </c>
      <c r="G45" s="43">
        <f>100*(1-(1-Collateral!N43/L45)^12)</f>
        <v>14.158062517386405</v>
      </c>
      <c r="H45">
        <v>14.18</v>
      </c>
      <c r="I45">
        <v>15.12</v>
      </c>
      <c r="J45">
        <v>15.25</v>
      </c>
      <c r="K45" s="43">
        <v>557822996</v>
      </c>
      <c r="L45" s="43">
        <v>4030916</v>
      </c>
      <c r="M45">
        <v>37504</v>
      </c>
      <c r="N45" s="41"/>
    </row>
    <row r="46" spans="1:14" x14ac:dyDescent="0.25">
      <c r="A46" t="s">
        <v>499</v>
      </c>
      <c r="B46">
        <v>6.5</v>
      </c>
      <c r="C46">
        <v>7.0179999999999998</v>
      </c>
      <c r="D46">
        <v>135</v>
      </c>
      <c r="E46">
        <v>213</v>
      </c>
      <c r="F46">
        <v>15.34</v>
      </c>
      <c r="G46" s="43">
        <f>100*(1-(1-Collateral!N44/L46)^12)</f>
        <v>15.541113110979122</v>
      </c>
      <c r="H46">
        <v>15.67</v>
      </c>
      <c r="I46">
        <v>15.63</v>
      </c>
      <c r="J46">
        <v>15.56</v>
      </c>
      <c r="K46" s="43">
        <v>559624566</v>
      </c>
      <c r="L46" s="43">
        <v>4106434</v>
      </c>
      <c r="M46">
        <v>37778</v>
      </c>
      <c r="N46" s="41"/>
    </row>
    <row r="47" spans="1:14" x14ac:dyDescent="0.25">
      <c r="A47" t="s">
        <v>498</v>
      </c>
      <c r="B47">
        <v>6.5</v>
      </c>
      <c r="C47">
        <v>7.0179999999999998</v>
      </c>
      <c r="D47">
        <v>136</v>
      </c>
      <c r="E47">
        <v>212</v>
      </c>
      <c r="F47">
        <v>17.57</v>
      </c>
      <c r="G47" s="43">
        <f>100*(1-(1-Collateral!N45/L47)^12)</f>
        <v>17.82715920885175</v>
      </c>
      <c r="H47">
        <v>17.29</v>
      </c>
      <c r="I47">
        <v>16.059999999999999</v>
      </c>
      <c r="J47">
        <v>15.92</v>
      </c>
      <c r="K47" s="43">
        <v>561489608</v>
      </c>
      <c r="L47" s="43">
        <v>4188495</v>
      </c>
      <c r="M47">
        <v>38085</v>
      </c>
      <c r="N47" s="41"/>
    </row>
    <row r="48" spans="1:14" x14ac:dyDescent="0.25">
      <c r="A48" t="s">
        <v>497</v>
      </c>
      <c r="B48">
        <v>6.5</v>
      </c>
      <c r="C48">
        <v>7.0179999999999998</v>
      </c>
      <c r="D48">
        <v>137</v>
      </c>
      <c r="E48">
        <v>211</v>
      </c>
      <c r="F48">
        <v>18.41</v>
      </c>
      <c r="G48" s="43">
        <f>100*(1-(1-Collateral!N46/L48)^12)</f>
        <v>18.694892678546204</v>
      </c>
      <c r="H48">
        <v>16.79</v>
      </c>
      <c r="I48">
        <v>15.99</v>
      </c>
      <c r="J48">
        <v>15.9</v>
      </c>
      <c r="K48" s="43">
        <v>563870756</v>
      </c>
      <c r="L48" s="43">
        <v>4266706</v>
      </c>
      <c r="M48">
        <v>38412</v>
      </c>
      <c r="N48" s="41"/>
    </row>
    <row r="49" spans="1:14" x14ac:dyDescent="0.25">
      <c r="A49" t="s">
        <v>496</v>
      </c>
      <c r="B49">
        <v>6.5</v>
      </c>
      <c r="C49">
        <v>7.0179999999999998</v>
      </c>
      <c r="D49">
        <v>138</v>
      </c>
      <c r="E49">
        <v>210</v>
      </c>
      <c r="F49">
        <v>20.51</v>
      </c>
      <c r="G49" s="43">
        <f>100*(1-(1-Collateral!N47/L49)^12)</f>
        <v>20.860883143088348</v>
      </c>
      <c r="H49">
        <v>16.559999999999999</v>
      </c>
      <c r="I49">
        <v>15.88</v>
      </c>
      <c r="J49">
        <v>15.91</v>
      </c>
      <c r="K49" s="43">
        <v>565229274</v>
      </c>
      <c r="L49" s="43">
        <v>4356157</v>
      </c>
      <c r="M49">
        <v>38732</v>
      </c>
      <c r="N49" s="41"/>
    </row>
    <row r="50" spans="1:14" x14ac:dyDescent="0.25">
      <c r="A50" t="s">
        <v>495</v>
      </c>
      <c r="B50">
        <v>6.5</v>
      </c>
      <c r="C50">
        <v>7.0190000000000001</v>
      </c>
      <c r="D50">
        <v>139</v>
      </c>
      <c r="E50">
        <v>209</v>
      </c>
      <c r="F50">
        <v>16.16</v>
      </c>
      <c r="G50" s="43">
        <f>100*(1-(1-Collateral!N48/L50)^12)</f>
        <v>16.375273355476171</v>
      </c>
      <c r="H50">
        <v>15.59</v>
      </c>
      <c r="I50">
        <v>15.52</v>
      </c>
      <c r="J50">
        <v>15.73</v>
      </c>
      <c r="K50" s="43">
        <v>544215089</v>
      </c>
      <c r="L50" s="43">
        <v>4387617</v>
      </c>
      <c r="M50">
        <v>39107</v>
      </c>
      <c r="N50" s="41"/>
    </row>
    <row r="51" spans="1:14" x14ac:dyDescent="0.25">
      <c r="A51" t="s">
        <v>494</v>
      </c>
      <c r="B51">
        <v>6.5</v>
      </c>
      <c r="C51">
        <v>7.0190000000000001</v>
      </c>
      <c r="D51">
        <v>140</v>
      </c>
      <c r="E51">
        <v>208</v>
      </c>
      <c r="F51">
        <v>17.16</v>
      </c>
      <c r="G51" s="43">
        <f>100*(1-(1-Collateral!N49/L51)^12)</f>
        <v>17.403393435942448</v>
      </c>
      <c r="H51">
        <v>16.02</v>
      </c>
      <c r="I51">
        <v>15.9</v>
      </c>
      <c r="J51">
        <v>15.65</v>
      </c>
      <c r="K51" s="43">
        <v>546529431</v>
      </c>
      <c r="L51" s="43">
        <v>4477833</v>
      </c>
      <c r="M51">
        <v>39405</v>
      </c>
      <c r="N51" s="41"/>
    </row>
    <row r="52" spans="1:14" x14ac:dyDescent="0.25">
      <c r="A52" t="s">
        <v>493</v>
      </c>
      <c r="B52">
        <v>6.5</v>
      </c>
      <c r="C52">
        <v>7.0190000000000001</v>
      </c>
      <c r="D52">
        <v>141</v>
      </c>
      <c r="E52">
        <v>207</v>
      </c>
      <c r="F52">
        <v>17.920000000000002</v>
      </c>
      <c r="G52" s="43">
        <f>100*(1-(1-Collateral!N50/L52)^12)</f>
        <v>18.195221167044384</v>
      </c>
      <c r="H52">
        <v>16.12</v>
      </c>
      <c r="I52">
        <v>16.02</v>
      </c>
      <c r="J52">
        <v>15.41</v>
      </c>
      <c r="K52" s="43">
        <v>548694167</v>
      </c>
      <c r="L52" s="43">
        <v>4573916</v>
      </c>
      <c r="M52">
        <v>39723</v>
      </c>
      <c r="N52" s="41"/>
    </row>
    <row r="53" spans="1:14" x14ac:dyDescent="0.25">
      <c r="A53" t="s">
        <v>492</v>
      </c>
      <c r="B53">
        <v>6.5</v>
      </c>
      <c r="C53">
        <v>7.0190000000000001</v>
      </c>
      <c r="D53">
        <v>142</v>
      </c>
      <c r="E53">
        <v>206</v>
      </c>
      <c r="F53">
        <v>17.420000000000002</v>
      </c>
      <c r="G53" s="43">
        <f>100*(1-(1-Collateral!N51/L53)^12)</f>
        <v>17.676766983641478</v>
      </c>
      <c r="H53">
        <v>16.14</v>
      </c>
      <c r="I53">
        <v>16.239999999999998</v>
      </c>
      <c r="J53">
        <v>15.33</v>
      </c>
      <c r="K53" s="43">
        <v>551048044</v>
      </c>
      <c r="L53" s="43">
        <v>4675583</v>
      </c>
      <c r="M53">
        <v>40083</v>
      </c>
      <c r="N53" s="41"/>
    </row>
    <row r="54" spans="1:14" x14ac:dyDescent="0.25">
      <c r="A54" t="s">
        <v>491</v>
      </c>
      <c r="B54">
        <v>6.5</v>
      </c>
      <c r="C54">
        <v>7.0190000000000001</v>
      </c>
      <c r="D54">
        <v>143</v>
      </c>
      <c r="E54">
        <v>205</v>
      </c>
      <c r="F54">
        <v>16.899999999999999</v>
      </c>
      <c r="G54" s="43">
        <f>100*(1-(1-Collateral!N52/L54)^12)</f>
        <v>17.135793301169876</v>
      </c>
      <c r="H54">
        <v>16.440000000000001</v>
      </c>
      <c r="I54">
        <v>16.21</v>
      </c>
      <c r="J54">
        <v>15.24</v>
      </c>
      <c r="K54" s="43">
        <v>553226263</v>
      </c>
      <c r="L54" s="43">
        <v>4776451</v>
      </c>
      <c r="M54">
        <v>40402</v>
      </c>
      <c r="N54" s="41"/>
    </row>
    <row r="55" spans="1:14" x14ac:dyDescent="0.25">
      <c r="A55" t="s">
        <v>490</v>
      </c>
      <c r="B55">
        <v>6.5</v>
      </c>
      <c r="C55">
        <v>7.0179999999999998</v>
      </c>
      <c r="D55">
        <v>144</v>
      </c>
      <c r="E55">
        <v>204</v>
      </c>
      <c r="F55">
        <v>18.2</v>
      </c>
      <c r="G55" s="43">
        <f>100*(1-(1-Collateral!N53/L55)^12)</f>
        <v>18.483884877885291</v>
      </c>
      <c r="H55">
        <v>18.239999999999998</v>
      </c>
      <c r="I55">
        <v>18.100000000000001</v>
      </c>
      <c r="J55">
        <v>16.920000000000002</v>
      </c>
      <c r="K55" s="43">
        <v>554570568</v>
      </c>
      <c r="L55" s="43">
        <v>4869487</v>
      </c>
      <c r="M55">
        <v>40710</v>
      </c>
      <c r="N55" s="41"/>
    </row>
    <row r="56" spans="1:14" x14ac:dyDescent="0.25">
      <c r="A56" t="s">
        <v>489</v>
      </c>
      <c r="B56">
        <v>6.5</v>
      </c>
      <c r="C56">
        <v>7.0179999999999998</v>
      </c>
      <c r="D56">
        <v>145</v>
      </c>
      <c r="E56">
        <v>203</v>
      </c>
      <c r="F56">
        <v>18.39</v>
      </c>
      <c r="G56" s="43">
        <f>100*(1-(1-Collateral!N54/L56)^12)</f>
        <v>18.676103573330149</v>
      </c>
      <c r="H56">
        <v>18.46</v>
      </c>
      <c r="I56">
        <v>18</v>
      </c>
      <c r="J56">
        <v>16.71</v>
      </c>
      <c r="K56" s="43">
        <v>556735769</v>
      </c>
      <c r="L56" s="43">
        <v>4978285</v>
      </c>
      <c r="M56">
        <v>41053</v>
      </c>
      <c r="N56" s="41"/>
    </row>
    <row r="57" spans="1:14" x14ac:dyDescent="0.25">
      <c r="A57" t="s">
        <v>488</v>
      </c>
      <c r="B57">
        <v>6.5</v>
      </c>
      <c r="C57">
        <v>7.0179999999999998</v>
      </c>
      <c r="D57">
        <v>146</v>
      </c>
      <c r="E57">
        <v>202</v>
      </c>
      <c r="F57">
        <v>18.12</v>
      </c>
      <c r="G57" s="43">
        <f>100*(1-(1-Collateral!N55/L57)^12)</f>
        <v>18.395548218930081</v>
      </c>
      <c r="H57">
        <v>18.010000000000002</v>
      </c>
      <c r="I57">
        <v>17.38</v>
      </c>
      <c r="J57">
        <v>16.350000000000001</v>
      </c>
      <c r="K57" s="43">
        <v>558881951</v>
      </c>
      <c r="L57" s="43">
        <v>5089819</v>
      </c>
      <c r="M57">
        <v>41374</v>
      </c>
      <c r="N57" s="41"/>
    </row>
    <row r="58" spans="1:14" x14ac:dyDescent="0.25">
      <c r="A58" t="s">
        <v>487</v>
      </c>
      <c r="B58">
        <v>6.5</v>
      </c>
      <c r="C58">
        <v>7.0179999999999998</v>
      </c>
      <c r="D58">
        <v>147</v>
      </c>
      <c r="E58">
        <v>201</v>
      </c>
      <c r="F58">
        <v>18.88</v>
      </c>
      <c r="G58" s="43">
        <f>100*(1-(1-Collateral!N56/L58)^12)</f>
        <v>19.176383589708934</v>
      </c>
      <c r="H58">
        <v>17.96</v>
      </c>
      <c r="I58">
        <v>16.54</v>
      </c>
      <c r="J58">
        <v>16.010000000000002</v>
      </c>
      <c r="K58" s="43">
        <v>560797959</v>
      </c>
      <c r="L58" s="43">
        <v>5202530</v>
      </c>
      <c r="M58">
        <v>41700</v>
      </c>
      <c r="N58" s="41"/>
    </row>
    <row r="59" spans="1:14" x14ac:dyDescent="0.25">
      <c r="A59" t="s">
        <v>486</v>
      </c>
      <c r="B59">
        <v>6.5</v>
      </c>
      <c r="C59">
        <v>7.0170000000000003</v>
      </c>
      <c r="D59">
        <v>148</v>
      </c>
      <c r="E59">
        <v>200</v>
      </c>
      <c r="F59">
        <v>17.03</v>
      </c>
      <c r="G59" s="43">
        <f>100*(1-(1-Collateral!N57/L59)^12)</f>
        <v>17.27283623601642</v>
      </c>
      <c r="H59">
        <v>17.54</v>
      </c>
      <c r="I59">
        <v>16.190000000000001</v>
      </c>
      <c r="J59">
        <v>15.53</v>
      </c>
      <c r="K59" s="43">
        <v>563010731</v>
      </c>
      <c r="L59" s="43">
        <v>5321013</v>
      </c>
      <c r="M59">
        <v>42054</v>
      </c>
      <c r="N59" s="41"/>
    </row>
    <row r="60" spans="1:14" x14ac:dyDescent="0.25">
      <c r="A60" t="s">
        <v>485</v>
      </c>
      <c r="B60">
        <v>6.5</v>
      </c>
      <c r="C60">
        <v>7.0170000000000003</v>
      </c>
      <c r="D60">
        <v>149</v>
      </c>
      <c r="E60">
        <v>199</v>
      </c>
      <c r="F60">
        <v>17.96</v>
      </c>
      <c r="G60" s="43">
        <f>100*(1-(1-Collateral!N58/L60)^12)</f>
        <v>18.234919425903197</v>
      </c>
      <c r="H60">
        <v>16.739999999999998</v>
      </c>
      <c r="I60">
        <v>15.99</v>
      </c>
      <c r="J60">
        <v>15.12</v>
      </c>
      <c r="K60" s="43">
        <v>565060921</v>
      </c>
      <c r="L60" s="43">
        <v>5432202</v>
      </c>
      <c r="M60">
        <v>42389</v>
      </c>
      <c r="N60" s="41"/>
    </row>
    <row r="61" spans="1:14" x14ac:dyDescent="0.25">
      <c r="A61" t="s">
        <v>484</v>
      </c>
      <c r="B61">
        <v>6.5</v>
      </c>
      <c r="C61">
        <v>7.0170000000000003</v>
      </c>
      <c r="D61">
        <v>150</v>
      </c>
      <c r="E61">
        <v>198</v>
      </c>
      <c r="F61">
        <v>17.63</v>
      </c>
      <c r="G61" s="43">
        <f>100*(1-(1-Collateral!N59/L61)^12)</f>
        <v>17.889005173868366</v>
      </c>
      <c r="H61">
        <v>15.09</v>
      </c>
      <c r="I61">
        <v>15.72</v>
      </c>
      <c r="J61">
        <v>14.53</v>
      </c>
      <c r="K61" s="43">
        <v>567143027</v>
      </c>
      <c r="L61" s="43">
        <v>5550528</v>
      </c>
      <c r="M61">
        <v>42726</v>
      </c>
      <c r="N61" s="41"/>
    </row>
    <row r="62" spans="1:14" x14ac:dyDescent="0.25">
      <c r="A62" t="s">
        <v>483</v>
      </c>
      <c r="B62">
        <v>6.5</v>
      </c>
      <c r="C62">
        <v>7.0170000000000003</v>
      </c>
      <c r="D62">
        <v>151</v>
      </c>
      <c r="E62">
        <v>198</v>
      </c>
      <c r="F62">
        <v>14.58</v>
      </c>
      <c r="G62" s="43">
        <f>100*(1-(1-Collateral!N60/L62)^12)</f>
        <v>14.755756774651063</v>
      </c>
      <c r="H62">
        <v>14.82</v>
      </c>
      <c r="I62">
        <v>15.39</v>
      </c>
      <c r="J62">
        <v>14.12</v>
      </c>
      <c r="K62" s="43">
        <v>569234512</v>
      </c>
      <c r="L62" s="43">
        <v>5669254</v>
      </c>
      <c r="M62">
        <v>43042</v>
      </c>
      <c r="N62" s="41"/>
    </row>
    <row r="63" spans="1:14" x14ac:dyDescent="0.25">
      <c r="A63" t="s">
        <v>482</v>
      </c>
      <c r="B63">
        <v>6.5</v>
      </c>
      <c r="C63">
        <v>7.0170000000000003</v>
      </c>
      <c r="D63">
        <v>152</v>
      </c>
      <c r="E63">
        <v>197</v>
      </c>
      <c r="F63">
        <v>13.01</v>
      </c>
      <c r="G63" s="43">
        <f>100*(1-(1-Collateral!N61/L63)^12)</f>
        <v>13.149953528069179</v>
      </c>
      <c r="H63">
        <v>15.24</v>
      </c>
      <c r="I63">
        <v>15.32</v>
      </c>
      <c r="J63">
        <v>13.9</v>
      </c>
      <c r="K63" s="43">
        <v>570561140</v>
      </c>
      <c r="L63" s="43">
        <v>5766606</v>
      </c>
      <c r="M63">
        <v>43317</v>
      </c>
      <c r="N63" s="41"/>
    </row>
    <row r="64" spans="1:14" x14ac:dyDescent="0.25">
      <c r="A64" t="s">
        <v>481</v>
      </c>
      <c r="B64">
        <v>6.5</v>
      </c>
      <c r="C64">
        <v>7.0170000000000003</v>
      </c>
      <c r="D64">
        <v>152</v>
      </c>
      <c r="E64">
        <v>196</v>
      </c>
      <c r="F64">
        <v>16.850000000000001</v>
      </c>
      <c r="G64" s="43">
        <f>100*(1-(1-Collateral!N62/L64)^12)</f>
        <v>17.085212787579472</v>
      </c>
      <c r="H64">
        <v>16.34</v>
      </c>
      <c r="I64">
        <v>15.47</v>
      </c>
      <c r="J64">
        <v>13.82</v>
      </c>
      <c r="K64" s="43">
        <v>572193038</v>
      </c>
      <c r="L64" s="43">
        <v>5860128</v>
      </c>
      <c r="M64">
        <v>43552</v>
      </c>
      <c r="N64" s="41"/>
    </row>
    <row r="65" spans="1:14" x14ac:dyDescent="0.25">
      <c r="A65" t="s">
        <v>480</v>
      </c>
      <c r="B65">
        <v>6.5</v>
      </c>
      <c r="C65">
        <v>7.0170000000000003</v>
      </c>
      <c r="D65">
        <v>153</v>
      </c>
      <c r="E65">
        <v>195</v>
      </c>
      <c r="F65">
        <v>15.82</v>
      </c>
      <c r="G65" s="43">
        <f>100*(1-(1-Collateral!N63/L65)^12)</f>
        <v>16.026078307991387</v>
      </c>
      <c r="H65">
        <v>15.95</v>
      </c>
      <c r="I65">
        <v>14.85</v>
      </c>
      <c r="J65">
        <v>13.45</v>
      </c>
      <c r="K65" s="43">
        <v>574678161</v>
      </c>
      <c r="L65" s="43">
        <v>5979623</v>
      </c>
      <c r="M65">
        <v>43900</v>
      </c>
      <c r="N65" s="41"/>
    </row>
    <row r="66" spans="1:14" x14ac:dyDescent="0.25">
      <c r="A66" t="s">
        <v>479</v>
      </c>
      <c r="B66">
        <v>6.5</v>
      </c>
      <c r="C66">
        <v>7.016</v>
      </c>
      <c r="D66">
        <v>154</v>
      </c>
      <c r="E66">
        <v>194</v>
      </c>
      <c r="F66">
        <v>16.36</v>
      </c>
      <c r="G66" s="43">
        <f>100*(1-(1-Collateral!N64/L66)^12)</f>
        <v>16.58728917883543</v>
      </c>
      <c r="H66">
        <v>15.4</v>
      </c>
      <c r="I66">
        <v>14.24</v>
      </c>
      <c r="J66">
        <v>13.12</v>
      </c>
      <c r="K66" s="43">
        <v>576570806</v>
      </c>
      <c r="L66" s="43">
        <v>6094939</v>
      </c>
      <c r="M66">
        <v>44186</v>
      </c>
      <c r="N66" s="41"/>
    </row>
    <row r="67" spans="1:14" x14ac:dyDescent="0.25">
      <c r="A67" t="s">
        <v>478</v>
      </c>
      <c r="B67">
        <v>6.5</v>
      </c>
      <c r="C67">
        <v>7.016</v>
      </c>
      <c r="D67">
        <v>155</v>
      </c>
      <c r="E67">
        <v>193</v>
      </c>
      <c r="F67">
        <v>15.68</v>
      </c>
      <c r="G67" s="43">
        <f>100*(1-(1-Collateral!N65/L67)^12)</f>
        <v>15.887536746716746</v>
      </c>
      <c r="H67">
        <v>14.59</v>
      </c>
      <c r="I67">
        <v>13.33</v>
      </c>
      <c r="J67">
        <v>12.89</v>
      </c>
      <c r="K67" s="43">
        <v>578913381</v>
      </c>
      <c r="L67" s="43">
        <v>6215790</v>
      </c>
      <c r="M67">
        <v>44509</v>
      </c>
      <c r="N67" s="41"/>
    </row>
    <row r="68" spans="1:14" x14ac:dyDescent="0.25">
      <c r="A68" t="s">
        <v>477</v>
      </c>
      <c r="B68">
        <v>6.5</v>
      </c>
      <c r="C68">
        <v>7.016</v>
      </c>
      <c r="D68">
        <v>156</v>
      </c>
      <c r="E68">
        <v>192</v>
      </c>
      <c r="F68">
        <v>14.13</v>
      </c>
      <c r="G68" s="43">
        <f>100*(1-(1-Collateral!N66/L68)^12)</f>
        <v>14.302901584501226</v>
      </c>
      <c r="H68">
        <v>13.73</v>
      </c>
      <c r="I68">
        <v>12.82</v>
      </c>
      <c r="J68">
        <v>12.55</v>
      </c>
      <c r="K68" s="43">
        <v>580672196</v>
      </c>
      <c r="L68" s="43">
        <v>6327663</v>
      </c>
      <c r="M68">
        <v>44789</v>
      </c>
      <c r="N68" s="41"/>
    </row>
    <row r="69" spans="1:14" x14ac:dyDescent="0.25">
      <c r="A69" t="s">
        <v>476</v>
      </c>
      <c r="B69">
        <v>6.5</v>
      </c>
      <c r="C69">
        <v>7.016</v>
      </c>
      <c r="D69">
        <v>157</v>
      </c>
      <c r="E69">
        <v>191</v>
      </c>
      <c r="F69">
        <v>13.95</v>
      </c>
      <c r="G69" s="43">
        <f>100*(1-(1-Collateral!N67/L69)^12)</f>
        <v>14.110209398546091</v>
      </c>
      <c r="H69">
        <v>13.06</v>
      </c>
      <c r="I69">
        <v>12.45</v>
      </c>
      <c r="J69">
        <v>12.45</v>
      </c>
      <c r="K69" s="43">
        <v>582511088</v>
      </c>
      <c r="L69" s="43">
        <v>6437965</v>
      </c>
      <c r="M69">
        <v>45075</v>
      </c>
      <c r="N69" s="41"/>
    </row>
    <row r="70" spans="1:14" x14ac:dyDescent="0.25">
      <c r="A70" t="s">
        <v>475</v>
      </c>
      <c r="B70">
        <v>6.5</v>
      </c>
      <c r="C70">
        <v>7.016</v>
      </c>
      <c r="D70">
        <v>158</v>
      </c>
      <c r="E70">
        <v>190</v>
      </c>
      <c r="F70">
        <v>13.1</v>
      </c>
      <c r="G70" s="43">
        <f>100*(1-(1-Collateral!N68/L70)^12)</f>
        <v>13.248587741044815</v>
      </c>
      <c r="H70">
        <v>12.04</v>
      </c>
      <c r="I70">
        <v>12.14</v>
      </c>
      <c r="J70">
        <v>12.37</v>
      </c>
      <c r="K70" s="43">
        <v>583460485</v>
      </c>
      <c r="L70" s="43">
        <v>6541833</v>
      </c>
      <c r="M70">
        <v>45342</v>
      </c>
      <c r="N70" s="41"/>
    </row>
    <row r="71" spans="1:14" x14ac:dyDescent="0.25">
      <c r="A71" t="s">
        <v>474</v>
      </c>
      <c r="B71">
        <v>6.5</v>
      </c>
      <c r="C71">
        <v>7.016</v>
      </c>
      <c r="D71">
        <v>159</v>
      </c>
      <c r="E71">
        <v>189</v>
      </c>
      <c r="F71">
        <v>12.14</v>
      </c>
      <c r="G71" s="43">
        <f>100*(1-(1-Collateral!N69/L71)^12)</f>
        <v>12.263497731532224</v>
      </c>
      <c r="H71">
        <v>11.9</v>
      </c>
      <c r="I71">
        <v>12.01</v>
      </c>
      <c r="J71">
        <v>12.26</v>
      </c>
      <c r="K71" s="43">
        <v>585157344</v>
      </c>
      <c r="L71" s="43">
        <v>6648062</v>
      </c>
      <c r="M71">
        <v>45598</v>
      </c>
      <c r="N71" s="41"/>
    </row>
    <row r="72" spans="1:14" x14ac:dyDescent="0.25">
      <c r="A72" t="s">
        <v>473</v>
      </c>
      <c r="B72">
        <v>6.5</v>
      </c>
      <c r="C72">
        <v>7.0149999999999997</v>
      </c>
      <c r="D72">
        <v>160</v>
      </c>
      <c r="E72">
        <v>188</v>
      </c>
      <c r="F72">
        <v>10.87</v>
      </c>
      <c r="G72" s="43">
        <f>100*(1-(1-Collateral!N70/L72)^12)</f>
        <v>10.964195584188596</v>
      </c>
      <c r="H72">
        <v>11.83</v>
      </c>
      <c r="I72">
        <v>11.98</v>
      </c>
      <c r="J72">
        <v>12.29</v>
      </c>
      <c r="K72" s="43">
        <v>585761830</v>
      </c>
      <c r="L72" s="43">
        <v>6741387</v>
      </c>
      <c r="M72">
        <v>45847</v>
      </c>
      <c r="N72" s="41"/>
    </row>
    <row r="73" spans="1:14" x14ac:dyDescent="0.25">
      <c r="A73" t="s">
        <v>472</v>
      </c>
      <c r="B73">
        <v>6.5</v>
      </c>
      <c r="C73">
        <v>7.0149999999999997</v>
      </c>
      <c r="D73">
        <v>161</v>
      </c>
      <c r="E73">
        <v>187</v>
      </c>
      <c r="F73">
        <v>12.69</v>
      </c>
      <c r="G73" s="43">
        <f>100*(1-(1-Collateral!N71/L73)^12)</f>
        <v>12.826807627789627</v>
      </c>
      <c r="H73">
        <v>12.24</v>
      </c>
      <c r="I73">
        <v>12.46</v>
      </c>
      <c r="J73">
        <v>12.44</v>
      </c>
      <c r="K73" s="43">
        <v>586932957</v>
      </c>
      <c r="L73" s="43">
        <v>6831388</v>
      </c>
      <c r="M73">
        <v>46043</v>
      </c>
      <c r="N73" s="41"/>
    </row>
    <row r="74" spans="1:14" x14ac:dyDescent="0.25">
      <c r="A74" t="s">
        <v>471</v>
      </c>
      <c r="B74">
        <v>6.5</v>
      </c>
      <c r="C74">
        <v>7.0149999999999997</v>
      </c>
      <c r="D74">
        <v>162</v>
      </c>
      <c r="E74">
        <v>186</v>
      </c>
      <c r="F74">
        <v>11.93</v>
      </c>
      <c r="G74" s="43">
        <f>100*(1-(1-Collateral!N72/L74)^12)</f>
        <v>12.046805327076093</v>
      </c>
      <c r="H74">
        <v>12.14</v>
      </c>
      <c r="I74">
        <v>12.3</v>
      </c>
      <c r="J74">
        <v>12.36</v>
      </c>
      <c r="K74" s="43">
        <v>587034721</v>
      </c>
      <c r="L74" s="43">
        <v>6933578</v>
      </c>
      <c r="M74">
        <v>46273</v>
      </c>
      <c r="N74" s="41"/>
    </row>
    <row r="75" spans="1:14" x14ac:dyDescent="0.25">
      <c r="A75" t="s">
        <v>470</v>
      </c>
      <c r="B75">
        <v>6.5</v>
      </c>
      <c r="C75">
        <v>7.0149999999999997</v>
      </c>
      <c r="D75">
        <v>162</v>
      </c>
      <c r="E75">
        <v>185</v>
      </c>
      <c r="F75">
        <v>12.09</v>
      </c>
      <c r="G75" s="43">
        <f>100*(1-(1-Collateral!N73/L75)^12)</f>
        <v>12.216523752996721</v>
      </c>
      <c r="H75">
        <v>12.13</v>
      </c>
      <c r="I75">
        <v>12.45</v>
      </c>
      <c r="J75">
        <v>12.29</v>
      </c>
      <c r="K75" s="43">
        <v>588654670</v>
      </c>
      <c r="L75" s="43">
        <v>7037190</v>
      </c>
      <c r="M75">
        <v>46492</v>
      </c>
      <c r="N75" s="41"/>
    </row>
    <row r="76" spans="1:14" x14ac:dyDescent="0.25">
      <c r="A76" t="s">
        <v>469</v>
      </c>
      <c r="B76">
        <v>6.5</v>
      </c>
      <c r="C76">
        <v>7.0149999999999997</v>
      </c>
      <c r="D76">
        <v>163</v>
      </c>
      <c r="E76">
        <v>185</v>
      </c>
      <c r="F76">
        <v>12.4</v>
      </c>
      <c r="G76" s="43">
        <f>100*(1-(1-Collateral!N74/L76)^12)</f>
        <v>12.526179753688071</v>
      </c>
      <c r="H76">
        <v>12.68</v>
      </c>
      <c r="I76">
        <v>12.61</v>
      </c>
      <c r="J76">
        <v>12.3</v>
      </c>
      <c r="K76" s="43">
        <v>590254082</v>
      </c>
      <c r="L76" s="43">
        <v>7144072</v>
      </c>
      <c r="M76">
        <v>46752</v>
      </c>
      <c r="N76" s="41"/>
    </row>
    <row r="77" spans="1:14" x14ac:dyDescent="0.25">
      <c r="A77" t="s">
        <v>468</v>
      </c>
      <c r="B77">
        <v>6.5</v>
      </c>
      <c r="C77">
        <v>7.0149999999999997</v>
      </c>
      <c r="D77">
        <v>164</v>
      </c>
      <c r="E77">
        <v>184</v>
      </c>
      <c r="F77">
        <v>11.91</v>
      </c>
      <c r="G77" s="43">
        <f>100*(1-(1-Collateral!N75/L77)^12)</f>
        <v>12.027576331570234</v>
      </c>
      <c r="H77">
        <v>12.46</v>
      </c>
      <c r="I77">
        <v>12.52</v>
      </c>
      <c r="J77">
        <v>12.28</v>
      </c>
      <c r="K77" s="43">
        <v>592131293</v>
      </c>
      <c r="L77" s="43">
        <v>7254510</v>
      </c>
      <c r="M77">
        <v>46985</v>
      </c>
      <c r="N77" s="41"/>
    </row>
    <row r="78" spans="1:14" x14ac:dyDescent="0.25">
      <c r="A78" t="s">
        <v>467</v>
      </c>
      <c r="B78">
        <v>6.5</v>
      </c>
      <c r="C78">
        <v>7.0149999999999997</v>
      </c>
      <c r="D78">
        <v>165</v>
      </c>
      <c r="E78">
        <v>183</v>
      </c>
      <c r="F78">
        <v>13.72</v>
      </c>
      <c r="G78" s="43">
        <f>100*(1-(1-Collateral!N76/L78)^12)</f>
        <v>13.878925442652768</v>
      </c>
      <c r="H78">
        <v>12.77</v>
      </c>
      <c r="I78">
        <v>12.6</v>
      </c>
      <c r="J78">
        <v>12.4</v>
      </c>
      <c r="K78" s="43">
        <v>593221139</v>
      </c>
      <c r="L78" s="43">
        <v>7360512</v>
      </c>
      <c r="M78">
        <v>47186</v>
      </c>
      <c r="N78" s="41"/>
    </row>
    <row r="79" spans="1:14" x14ac:dyDescent="0.25">
      <c r="A79" t="s">
        <v>466</v>
      </c>
      <c r="B79">
        <v>6.5</v>
      </c>
      <c r="C79">
        <v>7.0149999999999997</v>
      </c>
      <c r="D79">
        <v>166</v>
      </c>
      <c r="E79">
        <v>182</v>
      </c>
      <c r="F79">
        <v>11.74</v>
      </c>
      <c r="G79" s="43">
        <f>100*(1-(1-Collateral!N77/L79)^12)</f>
        <v>11.85521858591294</v>
      </c>
      <c r="H79">
        <v>12.55</v>
      </c>
      <c r="I79">
        <v>12.42</v>
      </c>
      <c r="J79">
        <v>12.54</v>
      </c>
      <c r="K79" s="43">
        <v>594148169</v>
      </c>
      <c r="L79" s="43">
        <v>7470538</v>
      </c>
      <c r="M79">
        <v>47469</v>
      </c>
      <c r="N79" s="41"/>
    </row>
    <row r="80" spans="1:14" x14ac:dyDescent="0.25">
      <c r="A80" t="s">
        <v>465</v>
      </c>
      <c r="B80">
        <v>6.5</v>
      </c>
      <c r="C80">
        <v>7.0149999999999997</v>
      </c>
      <c r="D80">
        <v>167</v>
      </c>
      <c r="E80">
        <v>181</v>
      </c>
      <c r="F80">
        <v>12.87</v>
      </c>
      <c r="G80" s="43">
        <f>100*(1-(1-Collateral!N78/L80)^12)</f>
        <v>13.011090582406448</v>
      </c>
      <c r="H80">
        <v>12.57</v>
      </c>
      <c r="I80">
        <v>12.42</v>
      </c>
      <c r="J80">
        <v>12.68</v>
      </c>
      <c r="K80" s="43">
        <v>589796228</v>
      </c>
      <c r="L80" s="43">
        <v>7549058</v>
      </c>
      <c r="M80">
        <v>47692</v>
      </c>
      <c r="N80" s="41"/>
    </row>
    <row r="81" spans="1:14" x14ac:dyDescent="0.25">
      <c r="A81" t="s">
        <v>464</v>
      </c>
      <c r="B81">
        <v>6.5</v>
      </c>
      <c r="C81">
        <v>7.0149999999999997</v>
      </c>
      <c r="D81">
        <v>168</v>
      </c>
      <c r="E81">
        <v>180</v>
      </c>
      <c r="F81">
        <v>13.05</v>
      </c>
      <c r="G81" s="43">
        <f>100*(1-(1-Collateral!N79/L81)^12)</f>
        <v>13.192103402871947</v>
      </c>
      <c r="H81">
        <v>12.42</v>
      </c>
      <c r="I81">
        <v>12.14</v>
      </c>
      <c r="J81">
        <v>12.95</v>
      </c>
      <c r="K81" s="43">
        <v>590853584</v>
      </c>
      <c r="L81" s="43">
        <v>7663803</v>
      </c>
      <c r="M81">
        <v>47930</v>
      </c>
      <c r="N81" s="41"/>
    </row>
    <row r="82" spans="1:14" x14ac:dyDescent="0.25">
      <c r="A82" t="s">
        <v>463</v>
      </c>
      <c r="B82">
        <v>6.5</v>
      </c>
      <c r="C82">
        <v>7.0149999999999997</v>
      </c>
      <c r="D82">
        <v>169</v>
      </c>
      <c r="E82">
        <v>179</v>
      </c>
      <c r="F82">
        <v>11.8</v>
      </c>
      <c r="G82" s="43">
        <f>100*(1-(1-Collateral!N80/L82)^12)</f>
        <v>11.91843517255975</v>
      </c>
      <c r="H82">
        <v>12.3</v>
      </c>
      <c r="I82">
        <v>12.01</v>
      </c>
      <c r="J82">
        <v>13.21</v>
      </c>
      <c r="K82" s="43">
        <v>591974700</v>
      </c>
      <c r="L82" s="43">
        <v>7776725</v>
      </c>
      <c r="M82">
        <v>48194</v>
      </c>
      <c r="N82" s="41"/>
    </row>
    <row r="83" spans="1:14" x14ac:dyDescent="0.25">
      <c r="A83" t="s">
        <v>462</v>
      </c>
      <c r="B83">
        <v>6.5</v>
      </c>
      <c r="C83">
        <v>7.016</v>
      </c>
      <c r="D83">
        <v>171</v>
      </c>
      <c r="E83">
        <v>177</v>
      </c>
      <c r="F83">
        <v>12.38</v>
      </c>
      <c r="G83" s="43">
        <f>100*(1-(1-Collateral!N81/L83)^12)</f>
        <v>12.507947613101511</v>
      </c>
      <c r="H83">
        <v>12.3</v>
      </c>
      <c r="I83">
        <v>12.13</v>
      </c>
      <c r="J83">
        <v>13.74</v>
      </c>
      <c r="K83" s="43">
        <v>565659848</v>
      </c>
      <c r="L83" s="43">
        <v>7598376</v>
      </c>
      <c r="M83">
        <v>48417</v>
      </c>
      <c r="N83" s="41"/>
    </row>
    <row r="84" spans="1:14" x14ac:dyDescent="0.25">
      <c r="A84" t="s">
        <v>461</v>
      </c>
      <c r="B84">
        <v>6.5</v>
      </c>
      <c r="C84">
        <v>7.016</v>
      </c>
      <c r="D84">
        <v>172</v>
      </c>
      <c r="E84">
        <v>176</v>
      </c>
      <c r="F84">
        <v>12.81</v>
      </c>
      <c r="G84" s="43">
        <f>100*(1-(1-Collateral!N82/L84)^12)</f>
        <v>12.950099837833218</v>
      </c>
      <c r="H84">
        <v>11.93</v>
      </c>
      <c r="I84">
        <v>12.32</v>
      </c>
      <c r="J84">
        <v>14.25</v>
      </c>
      <c r="K84" s="43">
        <v>566846949</v>
      </c>
      <c r="L84" s="43">
        <v>7711260</v>
      </c>
      <c r="M84">
        <v>29719</v>
      </c>
      <c r="N84" s="41"/>
    </row>
    <row r="85" spans="1:14" x14ac:dyDescent="0.25">
      <c r="A85" t="s">
        <v>460</v>
      </c>
      <c r="B85">
        <v>6.5</v>
      </c>
      <c r="C85">
        <v>7.016</v>
      </c>
      <c r="D85">
        <v>173</v>
      </c>
      <c r="E85">
        <v>175</v>
      </c>
      <c r="F85">
        <v>11.72</v>
      </c>
      <c r="G85" s="43">
        <f>100*(1-(1-Collateral!N83/L85)^12)</f>
        <v>11.838595651279826</v>
      </c>
      <c r="H85">
        <v>11.78</v>
      </c>
      <c r="I85">
        <v>12.77</v>
      </c>
      <c r="J85">
        <v>14.68</v>
      </c>
      <c r="K85" s="43">
        <v>568161954</v>
      </c>
      <c r="L85" s="43">
        <v>7830817</v>
      </c>
      <c r="M85">
        <v>29894</v>
      </c>
      <c r="N85" s="41"/>
    </row>
    <row r="86" spans="1:14" x14ac:dyDescent="0.25">
      <c r="A86" t="s">
        <v>459</v>
      </c>
      <c r="B86">
        <v>6.5</v>
      </c>
      <c r="C86">
        <v>7.016</v>
      </c>
      <c r="D86">
        <v>174</v>
      </c>
      <c r="E86">
        <v>174</v>
      </c>
      <c r="F86">
        <v>11.26</v>
      </c>
      <c r="G86" s="43">
        <f>100*(1-(1-Collateral!N84/L86)^12)</f>
        <v>11.368373924929443</v>
      </c>
      <c r="H86">
        <v>11.97</v>
      </c>
      <c r="I86">
        <v>13.04</v>
      </c>
      <c r="J86">
        <v>15.22</v>
      </c>
      <c r="K86" s="43">
        <v>569741673</v>
      </c>
      <c r="L86" s="43">
        <v>7943727</v>
      </c>
      <c r="M86">
        <v>30028</v>
      </c>
      <c r="N86" s="41"/>
    </row>
    <row r="87" spans="1:14" x14ac:dyDescent="0.25">
      <c r="A87" t="s">
        <v>458</v>
      </c>
      <c r="B87">
        <v>6.5</v>
      </c>
      <c r="C87">
        <v>7.016</v>
      </c>
      <c r="D87">
        <v>174</v>
      </c>
      <c r="E87">
        <v>173</v>
      </c>
      <c r="F87">
        <v>12.34</v>
      </c>
      <c r="G87" s="43">
        <f>100*(1-(1-Collateral!N85/L87)^12)</f>
        <v>12.46528906227703</v>
      </c>
      <c r="H87">
        <v>12.7</v>
      </c>
      <c r="I87">
        <v>13.86</v>
      </c>
      <c r="J87">
        <v>15.55</v>
      </c>
      <c r="K87" s="43">
        <v>571115056</v>
      </c>
      <c r="L87" s="43">
        <v>8054474</v>
      </c>
      <c r="M87">
        <v>30169</v>
      </c>
      <c r="N87" s="41"/>
    </row>
    <row r="88" spans="1:14" x14ac:dyDescent="0.25">
      <c r="A88" t="s">
        <v>457</v>
      </c>
      <c r="B88">
        <v>6.5</v>
      </c>
      <c r="C88">
        <v>7.0170000000000003</v>
      </c>
      <c r="D88">
        <v>175</v>
      </c>
      <c r="E88">
        <v>172</v>
      </c>
      <c r="F88">
        <v>12.3</v>
      </c>
      <c r="G88" s="43">
        <f>100*(1-(1-Collateral!N86/L88)^12)</f>
        <v>12.423552570123874</v>
      </c>
      <c r="H88">
        <v>13.76</v>
      </c>
      <c r="I88">
        <v>14.49</v>
      </c>
      <c r="J88">
        <v>15.76</v>
      </c>
      <c r="K88" s="43">
        <v>572529253</v>
      </c>
      <c r="L88" s="43">
        <v>8174761</v>
      </c>
      <c r="M88">
        <v>30319</v>
      </c>
      <c r="N88" s="41"/>
    </row>
    <row r="89" spans="1:14" x14ac:dyDescent="0.25">
      <c r="A89" t="s">
        <v>456</v>
      </c>
      <c r="B89">
        <v>6.5</v>
      </c>
      <c r="C89">
        <v>7.0170000000000003</v>
      </c>
      <c r="D89">
        <v>176</v>
      </c>
      <c r="E89">
        <v>171</v>
      </c>
      <c r="F89">
        <v>13.47</v>
      </c>
      <c r="G89" s="43">
        <f>100*(1-(1-Collateral!N87/L89)^12)</f>
        <v>13.6274979994222</v>
      </c>
      <c r="H89">
        <v>14.11</v>
      </c>
      <c r="I89">
        <v>15.3</v>
      </c>
      <c r="J89">
        <v>16.03</v>
      </c>
      <c r="K89" s="43">
        <v>573964729</v>
      </c>
      <c r="L89" s="43">
        <v>8296233</v>
      </c>
      <c r="M89">
        <v>30464</v>
      </c>
      <c r="N89" s="41"/>
    </row>
    <row r="90" spans="1:14" x14ac:dyDescent="0.25">
      <c r="A90" t="s">
        <v>455</v>
      </c>
      <c r="B90">
        <v>6.5</v>
      </c>
      <c r="C90">
        <v>7.0170000000000003</v>
      </c>
      <c r="D90">
        <v>177</v>
      </c>
      <c r="E90">
        <v>170</v>
      </c>
      <c r="F90">
        <v>15.48</v>
      </c>
      <c r="G90" s="43">
        <f>100*(1-(1-Collateral!N88/L90)^12)</f>
        <v>15.684564310283356</v>
      </c>
      <c r="H90">
        <v>15</v>
      </c>
      <c r="I90">
        <v>16.14</v>
      </c>
      <c r="J90">
        <v>16.27</v>
      </c>
      <c r="K90" s="43">
        <v>575536140</v>
      </c>
      <c r="L90" s="43">
        <v>8428708</v>
      </c>
      <c r="M90">
        <v>30629</v>
      </c>
      <c r="N90" s="41"/>
    </row>
    <row r="91" spans="1:14" x14ac:dyDescent="0.25">
      <c r="A91" t="s">
        <v>454</v>
      </c>
      <c r="B91">
        <v>6.5</v>
      </c>
      <c r="C91">
        <v>7.0170000000000003</v>
      </c>
      <c r="D91">
        <v>178</v>
      </c>
      <c r="E91">
        <v>169</v>
      </c>
      <c r="F91">
        <v>13.35</v>
      </c>
      <c r="G91" s="43">
        <f>100*(1-(1-Collateral!N89/L91)^12)</f>
        <v>13.496624612163222</v>
      </c>
      <c r="H91">
        <v>15.21</v>
      </c>
      <c r="I91">
        <v>16.54</v>
      </c>
      <c r="J91">
        <v>16.39</v>
      </c>
      <c r="K91" s="43">
        <v>577501798</v>
      </c>
      <c r="L91" s="43">
        <v>8579768</v>
      </c>
      <c r="M91">
        <v>30831</v>
      </c>
      <c r="N91" s="41"/>
    </row>
    <row r="92" spans="1:14" x14ac:dyDescent="0.25">
      <c r="A92" t="s">
        <v>453</v>
      </c>
      <c r="B92">
        <v>6.5</v>
      </c>
      <c r="C92">
        <v>7.0170000000000003</v>
      </c>
      <c r="D92">
        <v>179</v>
      </c>
      <c r="E92">
        <v>168</v>
      </c>
      <c r="F92">
        <v>16.14</v>
      </c>
      <c r="G92" s="43">
        <f>100*(1-(1-Collateral!N90/L92)^12)</f>
        <v>16.359350672403771</v>
      </c>
      <c r="H92">
        <v>16.489999999999998</v>
      </c>
      <c r="I92">
        <v>17.350000000000001</v>
      </c>
      <c r="J92">
        <v>16.62</v>
      </c>
      <c r="K92" s="43">
        <v>579032028</v>
      </c>
      <c r="L92" s="43">
        <v>8715082</v>
      </c>
      <c r="M92">
        <v>30994</v>
      </c>
      <c r="N92" s="41"/>
    </row>
    <row r="93" spans="1:14" x14ac:dyDescent="0.25">
      <c r="A93" t="s">
        <v>452</v>
      </c>
      <c r="B93">
        <v>6.5</v>
      </c>
      <c r="C93">
        <v>7.0179999999999998</v>
      </c>
      <c r="D93">
        <v>180</v>
      </c>
      <c r="E93">
        <v>167</v>
      </c>
      <c r="F93">
        <v>16.12</v>
      </c>
      <c r="G93" s="43">
        <f>100*(1-(1-Collateral!N91/L93)^12)</f>
        <v>16.339385003509665</v>
      </c>
      <c r="H93">
        <v>17.27</v>
      </c>
      <c r="I93">
        <v>17.21</v>
      </c>
      <c r="J93">
        <v>16.78</v>
      </c>
      <c r="K93" s="43">
        <v>580704078</v>
      </c>
      <c r="L93" s="43">
        <v>8876416</v>
      </c>
      <c r="M93">
        <v>31183</v>
      </c>
      <c r="N93" s="41"/>
    </row>
    <row r="94" spans="1:14" x14ac:dyDescent="0.25">
      <c r="A94" t="s">
        <v>451</v>
      </c>
      <c r="B94">
        <v>6.5</v>
      </c>
      <c r="C94">
        <v>7.0179999999999998</v>
      </c>
      <c r="D94">
        <v>181</v>
      </c>
      <c r="E94">
        <v>166</v>
      </c>
      <c r="F94">
        <v>17.190000000000001</v>
      </c>
      <c r="G94" s="43">
        <f>100*(1-(1-Collateral!N92/L94)^12)</f>
        <v>17.440170173730564</v>
      </c>
      <c r="H94">
        <v>17.850000000000001</v>
      </c>
      <c r="I94">
        <v>17.010000000000002</v>
      </c>
      <c r="J94">
        <v>16.82</v>
      </c>
      <c r="K94" s="43">
        <v>582088323</v>
      </c>
      <c r="L94" s="43">
        <v>9040235</v>
      </c>
      <c r="M94">
        <v>31342</v>
      </c>
      <c r="N94" s="41"/>
    </row>
    <row r="95" spans="1:14" x14ac:dyDescent="0.25">
      <c r="A95" t="s">
        <v>450</v>
      </c>
      <c r="B95">
        <v>6.5</v>
      </c>
      <c r="C95">
        <v>7.0179999999999998</v>
      </c>
      <c r="D95">
        <v>182</v>
      </c>
      <c r="E95">
        <v>165</v>
      </c>
      <c r="F95">
        <v>18.48</v>
      </c>
      <c r="G95" s="43">
        <f>100*(1-(1-Collateral!N93/L95)^12)</f>
        <v>18.766845623546036</v>
      </c>
      <c r="H95">
        <v>18.2</v>
      </c>
      <c r="I95">
        <v>16.75</v>
      </c>
      <c r="J95">
        <v>16.88</v>
      </c>
      <c r="K95" s="43">
        <v>583990113</v>
      </c>
      <c r="L95" s="43">
        <v>9216593</v>
      </c>
      <c r="M95">
        <v>31546</v>
      </c>
      <c r="N95" s="41"/>
    </row>
    <row r="96" spans="1:14" x14ac:dyDescent="0.25">
      <c r="A96" t="s">
        <v>449</v>
      </c>
      <c r="B96">
        <v>6.5</v>
      </c>
      <c r="C96">
        <v>7.0179999999999998</v>
      </c>
      <c r="D96">
        <v>183</v>
      </c>
      <c r="E96">
        <v>164</v>
      </c>
      <c r="F96">
        <v>17.87</v>
      </c>
      <c r="G96" s="43">
        <f>100*(1-(1-Collateral!N94/L96)^12)</f>
        <v>18.136416433634071</v>
      </c>
      <c r="H96">
        <v>17.16</v>
      </c>
      <c r="I96">
        <v>16.399999999999999</v>
      </c>
      <c r="J96">
        <v>16.940000000000001</v>
      </c>
      <c r="K96" s="43">
        <v>585826155</v>
      </c>
      <c r="L96" s="43">
        <v>9408305</v>
      </c>
      <c r="M96">
        <v>31736</v>
      </c>
      <c r="N96" s="41"/>
    </row>
    <row r="97" spans="1:14" x14ac:dyDescent="0.25">
      <c r="A97" t="s">
        <v>448</v>
      </c>
      <c r="B97">
        <v>6.5</v>
      </c>
      <c r="C97">
        <v>7.0179999999999998</v>
      </c>
      <c r="D97">
        <v>184</v>
      </c>
      <c r="E97">
        <v>163</v>
      </c>
      <c r="F97">
        <v>18.260000000000002</v>
      </c>
      <c r="G97" s="43">
        <f>100*(1-(1-Collateral!N95/L97)^12)</f>
        <v>18.541207383136239</v>
      </c>
      <c r="H97">
        <v>16.16</v>
      </c>
      <c r="I97">
        <v>16.239999999999998</v>
      </c>
      <c r="J97">
        <v>17.04</v>
      </c>
      <c r="K97" s="43">
        <v>587430944</v>
      </c>
      <c r="L97" s="43">
        <v>9597672</v>
      </c>
      <c r="M97">
        <v>31918</v>
      </c>
      <c r="N97" s="41"/>
    </row>
    <row r="98" spans="1:14" x14ac:dyDescent="0.25">
      <c r="A98" t="s">
        <v>447</v>
      </c>
      <c r="B98">
        <v>6.5</v>
      </c>
      <c r="C98">
        <v>7.0179999999999998</v>
      </c>
      <c r="D98">
        <v>185</v>
      </c>
      <c r="E98">
        <v>162</v>
      </c>
      <c r="F98">
        <v>15.32</v>
      </c>
      <c r="G98" s="43">
        <f>100*(1-(1-Collateral!N96/L98)^12)</f>
        <v>15.513295285438577</v>
      </c>
      <c r="H98">
        <v>15.27</v>
      </c>
      <c r="I98">
        <v>15.88</v>
      </c>
      <c r="J98">
        <v>17.23</v>
      </c>
      <c r="K98" s="43">
        <v>589062474</v>
      </c>
      <c r="L98" s="43">
        <v>9794486</v>
      </c>
      <c r="M98">
        <v>32116</v>
      </c>
      <c r="N98" s="41"/>
    </row>
    <row r="99" spans="1:14" x14ac:dyDescent="0.25">
      <c r="A99" t="s">
        <v>446</v>
      </c>
      <c r="B99">
        <v>6.5</v>
      </c>
      <c r="C99">
        <v>7.0179999999999998</v>
      </c>
      <c r="D99">
        <v>186</v>
      </c>
      <c r="E99">
        <v>161</v>
      </c>
      <c r="F99">
        <v>14.88</v>
      </c>
      <c r="G99" s="43">
        <f>100*(1-(1-Collateral!N97/L99)^12)</f>
        <v>15.061680578042303</v>
      </c>
      <c r="H99">
        <v>15.64</v>
      </c>
      <c r="I99">
        <v>16.34</v>
      </c>
      <c r="J99">
        <v>17.43</v>
      </c>
      <c r="K99" s="43">
        <v>590423803</v>
      </c>
      <c r="L99" s="43">
        <v>9965493</v>
      </c>
      <c r="M99">
        <v>32292</v>
      </c>
      <c r="N99" s="41"/>
    </row>
    <row r="100" spans="1:14" x14ac:dyDescent="0.25">
      <c r="A100" t="s">
        <v>445</v>
      </c>
      <c r="B100">
        <v>6.5</v>
      </c>
      <c r="C100">
        <v>7.0179999999999998</v>
      </c>
      <c r="D100">
        <v>187</v>
      </c>
      <c r="E100">
        <v>160</v>
      </c>
      <c r="F100">
        <v>15.61</v>
      </c>
      <c r="G100" s="43">
        <f>100*(1-(1-Collateral!N98/L100)^12)</f>
        <v>15.814313422289128</v>
      </c>
      <c r="H100">
        <v>16.309999999999999</v>
      </c>
      <c r="I100">
        <v>16.64</v>
      </c>
      <c r="J100">
        <v>17.7</v>
      </c>
      <c r="K100" s="43">
        <v>591937903</v>
      </c>
      <c r="L100" s="43">
        <v>10134779</v>
      </c>
      <c r="M100">
        <v>32463</v>
      </c>
      <c r="N100" s="41"/>
    </row>
    <row r="101" spans="1:14" x14ac:dyDescent="0.25">
      <c r="A101" t="s">
        <v>444</v>
      </c>
      <c r="B101">
        <v>6.5</v>
      </c>
      <c r="C101">
        <v>7.0179999999999998</v>
      </c>
      <c r="D101">
        <v>188</v>
      </c>
      <c r="E101">
        <v>159</v>
      </c>
      <c r="F101">
        <v>16.440000000000001</v>
      </c>
      <c r="G101" s="43">
        <f>100*(1-(1-Collateral!N99/L101)^12)</f>
        <v>16.666697233054563</v>
      </c>
      <c r="H101">
        <v>16.489999999999998</v>
      </c>
      <c r="I101">
        <v>17.010000000000002</v>
      </c>
      <c r="J101">
        <v>17.97</v>
      </c>
      <c r="K101" s="43">
        <v>593833426</v>
      </c>
      <c r="L101" s="43">
        <v>10314050</v>
      </c>
      <c r="M101">
        <v>32658</v>
      </c>
      <c r="N101" s="41"/>
    </row>
    <row r="102" spans="1:14" x14ac:dyDescent="0.25">
      <c r="A102" t="s">
        <v>443</v>
      </c>
      <c r="B102">
        <v>6.5</v>
      </c>
      <c r="C102">
        <v>7.0179999999999998</v>
      </c>
      <c r="D102">
        <v>189</v>
      </c>
      <c r="E102">
        <v>158</v>
      </c>
      <c r="F102">
        <v>16.87</v>
      </c>
      <c r="G102" s="43">
        <f>100*(1-(1-Collateral!N100/L102)^12)</f>
        <v>17.106732538822268</v>
      </c>
      <c r="H102">
        <v>17.02</v>
      </c>
      <c r="I102">
        <v>17.47</v>
      </c>
      <c r="J102">
        <v>18</v>
      </c>
      <c r="K102" s="43">
        <v>595627752</v>
      </c>
      <c r="L102" s="43">
        <v>10504794</v>
      </c>
      <c r="M102">
        <v>32847</v>
      </c>
      <c r="N102" s="41"/>
    </row>
    <row r="103" spans="1:14" x14ac:dyDescent="0.25">
      <c r="A103" t="s">
        <v>442</v>
      </c>
      <c r="B103">
        <v>6.5</v>
      </c>
      <c r="C103">
        <v>7.0179999999999998</v>
      </c>
      <c r="D103">
        <v>190</v>
      </c>
      <c r="E103">
        <v>157</v>
      </c>
      <c r="F103">
        <v>16.170000000000002</v>
      </c>
      <c r="G103" s="43">
        <f>100*(1-(1-Collateral!N101/L103)^12)</f>
        <v>16.389369512782238</v>
      </c>
      <c r="H103">
        <v>16.97</v>
      </c>
      <c r="I103">
        <v>17.84</v>
      </c>
      <c r="J103">
        <v>18.059999999999999</v>
      </c>
      <c r="K103" s="43">
        <v>597337994</v>
      </c>
      <c r="L103" s="43">
        <v>10703283</v>
      </c>
      <c r="M103">
        <v>33030</v>
      </c>
      <c r="N103" s="41"/>
    </row>
    <row r="104" spans="1:14" x14ac:dyDescent="0.25">
      <c r="A104" t="s">
        <v>441</v>
      </c>
      <c r="B104">
        <v>6.5</v>
      </c>
      <c r="C104">
        <v>7.0190000000000001</v>
      </c>
      <c r="D104">
        <v>191</v>
      </c>
      <c r="E104">
        <v>156</v>
      </c>
      <c r="F104">
        <v>18.03</v>
      </c>
      <c r="G104" s="43">
        <f>100*(1-(1-Collateral!N102/L104)^12)</f>
        <v>18.29926524278731</v>
      </c>
      <c r="H104">
        <v>17.53</v>
      </c>
      <c r="I104">
        <v>18.559999999999999</v>
      </c>
      <c r="J104">
        <v>18.18</v>
      </c>
      <c r="K104" s="43">
        <v>598801471</v>
      </c>
      <c r="L104" s="43">
        <v>10897582</v>
      </c>
      <c r="M104">
        <v>33203</v>
      </c>
      <c r="N104" s="41"/>
    </row>
    <row r="105" spans="1:14" x14ac:dyDescent="0.25">
      <c r="A105" t="s">
        <v>440</v>
      </c>
      <c r="B105">
        <v>6.5</v>
      </c>
      <c r="C105">
        <v>7.0190000000000001</v>
      </c>
      <c r="D105">
        <v>193</v>
      </c>
      <c r="E105">
        <v>155</v>
      </c>
      <c r="F105">
        <v>16.71</v>
      </c>
      <c r="G105" s="43">
        <f>100*(1-(1-Collateral!N103/L105)^12)</f>
        <v>16.940164034024484</v>
      </c>
      <c r="H105">
        <v>17.899999999999999</v>
      </c>
      <c r="I105">
        <v>18.510000000000002</v>
      </c>
      <c r="J105">
        <v>18.3</v>
      </c>
      <c r="K105" s="43">
        <v>600422089</v>
      </c>
      <c r="L105" s="43">
        <v>11113012</v>
      </c>
      <c r="M105">
        <v>33402</v>
      </c>
      <c r="N105" s="41"/>
    </row>
    <row r="106" spans="1:14" x14ac:dyDescent="0.25">
      <c r="A106" t="s">
        <v>439</v>
      </c>
      <c r="B106">
        <v>6.5</v>
      </c>
      <c r="C106">
        <v>7.0190000000000001</v>
      </c>
      <c r="D106">
        <v>194</v>
      </c>
      <c r="E106">
        <v>154</v>
      </c>
      <c r="F106">
        <v>17.84</v>
      </c>
      <c r="G106" s="43">
        <f>100*(1-(1-Collateral!N104/L106)^12)</f>
        <v>18.107832885438768</v>
      </c>
      <c r="H106">
        <v>18.690000000000001</v>
      </c>
      <c r="I106">
        <v>18.75</v>
      </c>
      <c r="J106">
        <v>18.28</v>
      </c>
      <c r="K106" s="43">
        <v>602236041</v>
      </c>
      <c r="L106" s="43">
        <v>11320071</v>
      </c>
      <c r="M106">
        <v>33600</v>
      </c>
      <c r="N106" s="41"/>
    </row>
    <row r="107" spans="1:14" x14ac:dyDescent="0.25">
      <c r="A107" t="s">
        <v>438</v>
      </c>
      <c r="B107">
        <v>6.5</v>
      </c>
      <c r="C107">
        <v>7.0190000000000001</v>
      </c>
      <c r="D107">
        <v>195</v>
      </c>
      <c r="E107">
        <v>153</v>
      </c>
      <c r="F107">
        <v>19.149999999999999</v>
      </c>
      <c r="G107" s="43">
        <f>100*(1-(1-Collateral!N105/L107)^12)</f>
        <v>19.460103533285544</v>
      </c>
      <c r="H107">
        <v>19.59</v>
      </c>
      <c r="I107">
        <v>18.93</v>
      </c>
      <c r="J107">
        <v>18.39</v>
      </c>
      <c r="K107" s="43">
        <v>604097848</v>
      </c>
      <c r="L107" s="43">
        <v>11543803</v>
      </c>
      <c r="M107">
        <v>33804</v>
      </c>
      <c r="N107" s="41"/>
    </row>
    <row r="108" spans="1:14" x14ac:dyDescent="0.25">
      <c r="A108" t="s">
        <v>437</v>
      </c>
      <c r="B108">
        <v>6.5</v>
      </c>
      <c r="C108">
        <v>7.0190000000000001</v>
      </c>
      <c r="D108">
        <v>196</v>
      </c>
      <c r="E108">
        <v>152</v>
      </c>
      <c r="F108">
        <v>19.079999999999998</v>
      </c>
      <c r="G108" s="43">
        <f>100*(1-(1-Collateral!N106/L108)^12)</f>
        <v>19.391353376218035</v>
      </c>
      <c r="H108">
        <v>19.12</v>
      </c>
      <c r="I108">
        <v>18.53</v>
      </c>
      <c r="J108">
        <v>18.29</v>
      </c>
      <c r="K108" s="43">
        <v>605721556</v>
      </c>
      <c r="L108" s="43">
        <v>11787363</v>
      </c>
      <c r="M108">
        <v>33994</v>
      </c>
      <c r="N108" s="41"/>
    </row>
    <row r="109" spans="1:14" x14ac:dyDescent="0.25">
      <c r="A109" t="s">
        <v>436</v>
      </c>
      <c r="B109">
        <v>6.5</v>
      </c>
      <c r="C109">
        <v>7.0190000000000001</v>
      </c>
      <c r="D109">
        <v>197</v>
      </c>
      <c r="E109">
        <v>151</v>
      </c>
      <c r="F109">
        <v>20.52</v>
      </c>
      <c r="G109" s="43">
        <f>100*(1-(1-Collateral!N107/L109)^12)</f>
        <v>20.879666302194487</v>
      </c>
      <c r="H109">
        <v>18.809999999999999</v>
      </c>
      <c r="I109">
        <v>18.27</v>
      </c>
      <c r="J109">
        <v>18.170000000000002</v>
      </c>
      <c r="K109" s="43">
        <v>607406069</v>
      </c>
      <c r="L109" s="43">
        <v>12034838</v>
      </c>
      <c r="M109">
        <v>34207</v>
      </c>
      <c r="N109" s="41"/>
    </row>
    <row r="110" spans="1:14" x14ac:dyDescent="0.25">
      <c r="A110" t="s">
        <v>435</v>
      </c>
      <c r="B110">
        <v>6.5</v>
      </c>
      <c r="C110">
        <v>7.0190000000000001</v>
      </c>
      <c r="D110">
        <v>198</v>
      </c>
      <c r="E110">
        <v>150</v>
      </c>
      <c r="F110">
        <v>17.72</v>
      </c>
      <c r="G110" s="43">
        <f>100*(1-(1-Collateral!N108/L110)^12)</f>
        <v>17.984732604126442</v>
      </c>
      <c r="H110">
        <v>18.260000000000002</v>
      </c>
      <c r="I110">
        <v>17.8</v>
      </c>
      <c r="J110">
        <v>18.079999999999998</v>
      </c>
      <c r="K110" s="43">
        <v>608994028</v>
      </c>
      <c r="L110" s="43">
        <v>12305506</v>
      </c>
      <c r="M110">
        <v>34418</v>
      </c>
      <c r="N110" s="41"/>
    </row>
    <row r="111" spans="1:14" x14ac:dyDescent="0.25">
      <c r="A111" t="s">
        <v>434</v>
      </c>
      <c r="B111">
        <v>6.5</v>
      </c>
      <c r="C111">
        <v>7.0190000000000001</v>
      </c>
      <c r="D111">
        <v>199</v>
      </c>
      <c r="E111">
        <v>149</v>
      </c>
      <c r="F111">
        <v>18.16</v>
      </c>
      <c r="G111" s="43">
        <f>100*(1-(1-Collateral!N109/L111)^12)</f>
        <v>18.433016800345335</v>
      </c>
      <c r="H111">
        <v>17.940000000000001</v>
      </c>
      <c r="I111">
        <v>18.079999999999998</v>
      </c>
      <c r="J111">
        <v>18.11</v>
      </c>
      <c r="K111" s="43">
        <v>610766880</v>
      </c>
      <c r="L111" s="43">
        <v>12545533</v>
      </c>
      <c r="M111">
        <v>34608</v>
      </c>
      <c r="N111" s="41"/>
    </row>
    <row r="112" spans="1:14" x14ac:dyDescent="0.25">
      <c r="A112" t="s">
        <v>433</v>
      </c>
      <c r="B112">
        <v>6.5</v>
      </c>
      <c r="C112">
        <v>7.0190000000000001</v>
      </c>
      <c r="D112">
        <v>200</v>
      </c>
      <c r="E112">
        <v>148</v>
      </c>
      <c r="F112">
        <v>18.89</v>
      </c>
      <c r="G112" s="43">
        <f>100*(1-(1-Collateral!N110/L112)^12)</f>
        <v>19.191137807396828</v>
      </c>
      <c r="H112">
        <v>17.739999999999998</v>
      </c>
      <c r="I112">
        <v>17.809999999999999</v>
      </c>
      <c r="J112">
        <v>18.010000000000002</v>
      </c>
      <c r="K112" s="43">
        <v>612530380</v>
      </c>
      <c r="L112" s="43">
        <v>12795510</v>
      </c>
      <c r="M112">
        <v>34818</v>
      </c>
      <c r="N112" s="41"/>
    </row>
    <row r="113" spans="1:14" x14ac:dyDescent="0.25">
      <c r="A113" t="s">
        <v>432</v>
      </c>
      <c r="B113">
        <v>6.5</v>
      </c>
      <c r="C113">
        <v>7.0190000000000001</v>
      </c>
      <c r="D113">
        <v>201</v>
      </c>
      <c r="E113">
        <v>147</v>
      </c>
      <c r="F113">
        <v>16.760000000000002</v>
      </c>
      <c r="G113" s="43">
        <f>100*(1-(1-Collateral!N111/L113)^12)</f>
        <v>16.992109045874649</v>
      </c>
      <c r="H113">
        <v>17.350000000000001</v>
      </c>
      <c r="I113">
        <v>17.84</v>
      </c>
      <c r="J113">
        <v>17.989999999999998</v>
      </c>
      <c r="K113" s="43">
        <v>614194381</v>
      </c>
      <c r="L113" s="43">
        <v>13059900</v>
      </c>
      <c r="M113">
        <v>35006</v>
      </c>
      <c r="N113" s="41"/>
    </row>
    <row r="114" spans="1:14" x14ac:dyDescent="0.25">
      <c r="A114" t="s">
        <v>431</v>
      </c>
      <c r="B114">
        <v>6.5</v>
      </c>
      <c r="C114">
        <v>7.0190000000000001</v>
      </c>
      <c r="D114">
        <v>202</v>
      </c>
      <c r="E114">
        <v>146</v>
      </c>
      <c r="F114">
        <v>17.55</v>
      </c>
      <c r="G114" s="43">
        <f>100*(1-(1-Collateral!N112/L114)^12)</f>
        <v>17.811617772688216</v>
      </c>
      <c r="H114">
        <v>18.23</v>
      </c>
      <c r="I114">
        <v>18.05</v>
      </c>
      <c r="J114">
        <v>17.989999999999998</v>
      </c>
      <c r="K114" s="43">
        <v>615821679</v>
      </c>
      <c r="L114" s="43">
        <v>13300541</v>
      </c>
      <c r="M114">
        <v>35209</v>
      </c>
      <c r="N114" s="41"/>
    </row>
    <row r="115" spans="1:14" x14ac:dyDescent="0.25">
      <c r="A115" t="s">
        <v>430</v>
      </c>
      <c r="B115">
        <v>6.5</v>
      </c>
      <c r="C115">
        <v>7.0190000000000001</v>
      </c>
      <c r="D115">
        <v>203</v>
      </c>
      <c r="E115">
        <v>144</v>
      </c>
      <c r="F115">
        <v>17.73</v>
      </c>
      <c r="G115" s="43">
        <f>100*(1-(1-Collateral!N113/L115)^12)</f>
        <v>17.99586166238192</v>
      </c>
      <c r="H115">
        <v>17.88</v>
      </c>
      <c r="I115">
        <v>18.059999999999999</v>
      </c>
      <c r="J115">
        <v>18.18</v>
      </c>
      <c r="K115" s="43">
        <v>617343253</v>
      </c>
      <c r="L115" s="43">
        <v>13556074</v>
      </c>
      <c r="M115">
        <v>35390</v>
      </c>
      <c r="N115" s="41"/>
    </row>
    <row r="116" spans="1:14" x14ac:dyDescent="0.25">
      <c r="A116" t="s">
        <v>429</v>
      </c>
      <c r="B116">
        <v>6.5</v>
      </c>
      <c r="C116">
        <v>7.0190000000000001</v>
      </c>
      <c r="D116">
        <v>204</v>
      </c>
      <c r="E116">
        <v>143</v>
      </c>
      <c r="F116">
        <v>19.38</v>
      </c>
      <c r="G116" s="43">
        <f>100*(1-(1-Collateral!N114/L116)^12)</f>
        <v>19.697916877554356</v>
      </c>
      <c r="H116">
        <v>18.34</v>
      </c>
      <c r="I116">
        <v>18.36</v>
      </c>
      <c r="J116">
        <v>18.34</v>
      </c>
      <c r="K116" s="43">
        <v>618767240</v>
      </c>
      <c r="L116" s="43">
        <v>13818614</v>
      </c>
      <c r="M116">
        <v>35566</v>
      </c>
      <c r="N116" s="41"/>
    </row>
    <row r="117" spans="1:14" x14ac:dyDescent="0.25">
      <c r="A117" t="s">
        <v>428</v>
      </c>
      <c r="B117">
        <v>6.5</v>
      </c>
      <c r="C117">
        <v>7.0190000000000001</v>
      </c>
      <c r="D117">
        <v>205</v>
      </c>
      <c r="E117">
        <v>142</v>
      </c>
      <c r="F117">
        <v>16.5</v>
      </c>
      <c r="G117" s="43">
        <f>100*(1-(1-Collateral!N115/L117)^12)</f>
        <v>16.729533650179906</v>
      </c>
      <c r="H117">
        <v>17.88</v>
      </c>
      <c r="I117">
        <v>18.13</v>
      </c>
      <c r="J117">
        <v>18.399999999999999</v>
      </c>
      <c r="K117" s="43">
        <v>620111544</v>
      </c>
      <c r="L117" s="43">
        <v>14109645</v>
      </c>
      <c r="M117">
        <v>35766</v>
      </c>
      <c r="N117" s="41"/>
    </row>
    <row r="118" spans="1:14" x14ac:dyDescent="0.25">
      <c r="A118" t="s">
        <v>427</v>
      </c>
      <c r="B118">
        <v>6.5</v>
      </c>
      <c r="C118">
        <v>7.0190000000000001</v>
      </c>
      <c r="D118">
        <v>206</v>
      </c>
      <c r="E118">
        <v>141</v>
      </c>
      <c r="F118">
        <v>19.100000000000001</v>
      </c>
      <c r="G118" s="43">
        <f>100*(1-(1-Collateral!N116/L118)^12)</f>
        <v>19.409913835421268</v>
      </c>
      <c r="H118">
        <v>18.25</v>
      </c>
      <c r="I118">
        <v>18.21</v>
      </c>
      <c r="J118">
        <v>18.690000000000001</v>
      </c>
      <c r="K118" s="43">
        <v>621540776</v>
      </c>
      <c r="L118" s="43">
        <v>14364315</v>
      </c>
      <c r="M118">
        <v>35935</v>
      </c>
      <c r="N118" s="41"/>
    </row>
    <row r="119" spans="1:14" x14ac:dyDescent="0.25">
      <c r="A119" t="s">
        <v>426</v>
      </c>
      <c r="B119">
        <v>6.5</v>
      </c>
      <c r="C119">
        <v>7.0190000000000001</v>
      </c>
      <c r="D119">
        <v>208</v>
      </c>
      <c r="E119">
        <v>140</v>
      </c>
      <c r="F119">
        <v>18.010000000000002</v>
      </c>
      <c r="G119" s="43">
        <f>100*(1-(1-Collateral!N117/L119)^12)</f>
        <v>18.281181441230075</v>
      </c>
      <c r="H119">
        <v>18.38</v>
      </c>
      <c r="I119">
        <v>18.13</v>
      </c>
      <c r="J119">
        <v>18.78</v>
      </c>
      <c r="K119" s="43">
        <v>622790168</v>
      </c>
      <c r="L119" s="43">
        <v>14661790</v>
      </c>
      <c r="M119">
        <v>36111</v>
      </c>
      <c r="N119" s="41"/>
    </row>
    <row r="120" spans="1:14" x14ac:dyDescent="0.25">
      <c r="A120" t="s">
        <v>425</v>
      </c>
      <c r="B120">
        <v>6.5</v>
      </c>
      <c r="C120">
        <v>7.0179999999999998</v>
      </c>
      <c r="D120">
        <v>209</v>
      </c>
      <c r="E120">
        <v>139</v>
      </c>
      <c r="F120">
        <v>17.63</v>
      </c>
      <c r="G120" s="43">
        <f>100*(1-(1-Collateral!N118/L120)^12)</f>
        <v>17.89101316371201</v>
      </c>
      <c r="H120">
        <v>18.38</v>
      </c>
      <c r="I120">
        <v>17.93</v>
      </c>
      <c r="J120">
        <v>18.87</v>
      </c>
      <c r="K120" s="43">
        <v>624135139</v>
      </c>
      <c r="L120" s="43">
        <v>14932632</v>
      </c>
      <c r="M120">
        <v>36292</v>
      </c>
      <c r="N120" s="41"/>
    </row>
    <row r="121" spans="1:14" x14ac:dyDescent="0.25">
      <c r="A121" t="s">
        <v>424</v>
      </c>
      <c r="B121">
        <v>6.5</v>
      </c>
      <c r="C121">
        <v>7.0179999999999998</v>
      </c>
      <c r="D121">
        <v>210</v>
      </c>
      <c r="E121">
        <v>138</v>
      </c>
      <c r="F121">
        <v>19.48</v>
      </c>
      <c r="G121" s="43">
        <f>100*(1-(1-Collateral!N119/L121)^12)</f>
        <v>19.800946234994566</v>
      </c>
      <c r="H121">
        <v>18.18</v>
      </c>
      <c r="I121">
        <v>18.29</v>
      </c>
      <c r="J121">
        <v>19.079999999999998</v>
      </c>
      <c r="K121" s="43">
        <v>625685111</v>
      </c>
      <c r="L121" s="43">
        <v>15217692</v>
      </c>
      <c r="M121">
        <v>36479</v>
      </c>
      <c r="N121" s="41"/>
    </row>
    <row r="122" spans="1:14" x14ac:dyDescent="0.25">
      <c r="A122" t="s">
        <v>423</v>
      </c>
      <c r="B122">
        <v>6.5</v>
      </c>
      <c r="C122">
        <v>7.0179999999999998</v>
      </c>
      <c r="D122">
        <v>211</v>
      </c>
      <c r="E122">
        <v>137</v>
      </c>
      <c r="F122">
        <v>18.02</v>
      </c>
      <c r="G122" s="43">
        <f>100*(1-(1-Collateral!N120/L122)^12)</f>
        <v>18.292237459739667</v>
      </c>
      <c r="H122">
        <v>17.89</v>
      </c>
      <c r="I122">
        <v>18.309999999999999</v>
      </c>
      <c r="J122">
        <v>19.21</v>
      </c>
      <c r="K122" s="43">
        <v>627247685</v>
      </c>
      <c r="L122" s="43">
        <v>15536313</v>
      </c>
      <c r="M122">
        <v>36682</v>
      </c>
      <c r="N122" s="41"/>
    </row>
    <row r="123" spans="1:14" x14ac:dyDescent="0.25">
      <c r="A123" t="s">
        <v>422</v>
      </c>
      <c r="B123">
        <v>6.5</v>
      </c>
      <c r="C123">
        <v>7.0190000000000001</v>
      </c>
      <c r="D123">
        <v>212</v>
      </c>
      <c r="E123">
        <v>136</v>
      </c>
      <c r="F123">
        <v>17.010000000000002</v>
      </c>
      <c r="G123" s="43">
        <f>100*(1-(1-Collateral!N121/L123)^12)</f>
        <v>17.253251599424669</v>
      </c>
      <c r="H123">
        <v>17.48</v>
      </c>
      <c r="I123">
        <v>18.66</v>
      </c>
      <c r="J123">
        <v>19.16</v>
      </c>
      <c r="K123" s="43">
        <v>628889315</v>
      </c>
      <c r="L123" s="43">
        <v>15838373</v>
      </c>
      <c r="M123">
        <v>36851</v>
      </c>
      <c r="N123" s="41"/>
    </row>
    <row r="124" spans="1:14" x14ac:dyDescent="0.25">
      <c r="A124" t="s">
        <v>421</v>
      </c>
      <c r="B124">
        <v>6.5</v>
      </c>
      <c r="C124">
        <v>7.0190000000000001</v>
      </c>
      <c r="D124">
        <v>213</v>
      </c>
      <c r="E124">
        <v>135</v>
      </c>
      <c r="F124">
        <v>18.64</v>
      </c>
      <c r="G124" s="43">
        <f>100*(1-(1-Collateral!N122/L124)^12)</f>
        <v>18.928862786333745</v>
      </c>
      <c r="H124">
        <v>18.41</v>
      </c>
      <c r="I124">
        <v>19.16</v>
      </c>
      <c r="J124">
        <v>19.23</v>
      </c>
      <c r="K124" s="43">
        <v>630296308</v>
      </c>
      <c r="L124" s="43">
        <v>16129175</v>
      </c>
      <c r="M124">
        <v>37027</v>
      </c>
      <c r="N124" s="41"/>
    </row>
    <row r="125" spans="1:14" x14ac:dyDescent="0.25">
      <c r="A125" t="s">
        <v>420</v>
      </c>
      <c r="B125">
        <v>6.5</v>
      </c>
      <c r="C125">
        <v>7.0190000000000001</v>
      </c>
      <c r="D125">
        <v>214</v>
      </c>
      <c r="E125">
        <v>134</v>
      </c>
      <c r="F125">
        <v>16.8</v>
      </c>
      <c r="G125" s="43">
        <f>100*(1-(1-Collateral!N123/L125)^12)</f>
        <v>17.032949272887311</v>
      </c>
      <c r="H125">
        <v>18.73</v>
      </c>
      <c r="I125">
        <v>19.41</v>
      </c>
      <c r="J125">
        <v>19.440000000000001</v>
      </c>
      <c r="K125" s="43">
        <v>631666306</v>
      </c>
      <c r="L125" s="43">
        <v>16451952</v>
      </c>
      <c r="M125">
        <v>37246</v>
      </c>
      <c r="N125" s="41"/>
    </row>
    <row r="126" spans="1:14" x14ac:dyDescent="0.25">
      <c r="A126" t="s">
        <v>419</v>
      </c>
      <c r="B126">
        <v>6.5</v>
      </c>
      <c r="C126">
        <v>7.0190000000000001</v>
      </c>
      <c r="D126">
        <v>215</v>
      </c>
      <c r="E126">
        <v>133</v>
      </c>
      <c r="F126">
        <v>19.760000000000002</v>
      </c>
      <c r="G126" s="43">
        <f>100*(1-(1-Collateral!N124/L126)^12)</f>
        <v>20.091240801067521</v>
      </c>
      <c r="H126">
        <v>19.82</v>
      </c>
      <c r="I126">
        <v>19.78</v>
      </c>
      <c r="J126">
        <v>19.59</v>
      </c>
      <c r="K126" s="43">
        <v>632951797</v>
      </c>
      <c r="L126" s="43">
        <v>16750239</v>
      </c>
      <c r="M126">
        <v>37413</v>
      </c>
      <c r="N126" s="41"/>
    </row>
    <row r="127" spans="1:14" x14ac:dyDescent="0.25">
      <c r="A127" t="s">
        <v>418</v>
      </c>
      <c r="B127">
        <v>6.5</v>
      </c>
      <c r="C127">
        <v>7.0190000000000001</v>
      </c>
      <c r="D127">
        <v>216</v>
      </c>
      <c r="E127">
        <v>132</v>
      </c>
      <c r="F127">
        <v>19.59</v>
      </c>
      <c r="G127" s="43">
        <f>100*(1-(1-Collateral!N125/L127)^12)</f>
        <v>19.912874488176534</v>
      </c>
      <c r="H127">
        <v>19.91</v>
      </c>
      <c r="I127">
        <v>19.850000000000001</v>
      </c>
      <c r="J127">
        <v>19.739999999999998</v>
      </c>
      <c r="K127" s="43">
        <v>634864017</v>
      </c>
      <c r="L127" s="43">
        <v>17103667</v>
      </c>
      <c r="M127">
        <v>37634</v>
      </c>
      <c r="N127" s="41"/>
    </row>
    <row r="128" spans="1:14" x14ac:dyDescent="0.25">
      <c r="A128" t="s">
        <v>417</v>
      </c>
      <c r="B128">
        <v>6.5</v>
      </c>
      <c r="C128">
        <v>7.0190000000000001</v>
      </c>
      <c r="D128">
        <v>217</v>
      </c>
      <c r="E128">
        <v>131</v>
      </c>
      <c r="F128">
        <v>20.12</v>
      </c>
      <c r="G128" s="43">
        <f>100*(1-(1-Collateral!N126/L128)^12)</f>
        <v>20.46441084326419</v>
      </c>
      <c r="H128">
        <v>20.079999999999998</v>
      </c>
      <c r="I128">
        <v>20.09</v>
      </c>
      <c r="J128">
        <v>19.940000000000001</v>
      </c>
      <c r="K128" s="43">
        <v>636373123</v>
      </c>
      <c r="L128" s="43">
        <v>17462498</v>
      </c>
      <c r="M128">
        <v>37820</v>
      </c>
      <c r="N128" s="41"/>
    </row>
    <row r="129" spans="1:14" x14ac:dyDescent="0.25">
      <c r="A129" t="s">
        <v>416</v>
      </c>
      <c r="B129">
        <v>6.5</v>
      </c>
      <c r="C129">
        <v>7.0190000000000001</v>
      </c>
      <c r="D129">
        <v>218</v>
      </c>
      <c r="E129">
        <v>130</v>
      </c>
      <c r="F129">
        <v>20.03</v>
      </c>
      <c r="G129" s="43">
        <f>100*(1-(1-Collateral!N127/L129)^12)</f>
        <v>20.369547624165453</v>
      </c>
      <c r="H129">
        <v>19.739999999999998</v>
      </c>
      <c r="I129">
        <v>19.649999999999999</v>
      </c>
      <c r="J129">
        <v>20.079999999999998</v>
      </c>
      <c r="K129" s="43">
        <v>638219970</v>
      </c>
      <c r="L129" s="43">
        <v>17838302</v>
      </c>
      <c r="M129">
        <v>38033</v>
      </c>
      <c r="N129" s="41"/>
    </row>
    <row r="130" spans="1:14" x14ac:dyDescent="0.25">
      <c r="A130" t="s">
        <v>415</v>
      </c>
      <c r="B130">
        <v>6.5</v>
      </c>
      <c r="C130">
        <v>7.0190000000000001</v>
      </c>
      <c r="D130">
        <v>220</v>
      </c>
      <c r="E130">
        <v>129</v>
      </c>
      <c r="F130">
        <v>20.09</v>
      </c>
      <c r="G130" s="43">
        <f>100*(1-(1-Collateral!N128/L130)^12)</f>
        <v>20.429670332426841</v>
      </c>
      <c r="H130">
        <v>19.79</v>
      </c>
      <c r="I130">
        <v>19.3</v>
      </c>
      <c r="J130">
        <v>20.329999999999998</v>
      </c>
      <c r="K130" s="43">
        <v>640371760</v>
      </c>
      <c r="L130" s="43">
        <v>18220003</v>
      </c>
      <c r="M130">
        <v>38263</v>
      </c>
      <c r="N130" s="41"/>
    </row>
    <row r="131" spans="1:14" x14ac:dyDescent="0.25">
      <c r="A131" t="s">
        <v>414</v>
      </c>
      <c r="B131">
        <v>6.5</v>
      </c>
      <c r="C131">
        <v>7.0110000000000001</v>
      </c>
      <c r="D131">
        <v>221</v>
      </c>
      <c r="E131">
        <v>128</v>
      </c>
      <c r="F131">
        <v>20.69</v>
      </c>
      <c r="G131" s="43">
        <f>100*(1-(1-Collateral!N129/L131)^12)</f>
        <v>21.055673697287038</v>
      </c>
      <c r="H131">
        <v>20.8</v>
      </c>
      <c r="I131">
        <v>19.87</v>
      </c>
      <c r="J131">
        <v>21.09</v>
      </c>
      <c r="K131" s="43">
        <v>320106750</v>
      </c>
      <c r="L131" s="43">
        <v>7673459</v>
      </c>
      <c r="M131">
        <v>7745</v>
      </c>
      <c r="N131" s="41"/>
    </row>
    <row r="132" spans="1:14" x14ac:dyDescent="0.25">
      <c r="A132" t="s">
        <v>413</v>
      </c>
      <c r="B132">
        <v>6.5</v>
      </c>
      <c r="C132">
        <v>7.0110000000000001</v>
      </c>
      <c r="D132">
        <v>222</v>
      </c>
      <c r="E132">
        <v>127</v>
      </c>
      <c r="F132">
        <v>21.17</v>
      </c>
      <c r="G132" s="43">
        <f>100*(1-(1-Collateral!N130/L132)^12)</f>
        <v>21.552244638282591</v>
      </c>
      <c r="H132">
        <v>20.05</v>
      </c>
      <c r="I132">
        <v>20.010000000000002</v>
      </c>
      <c r="J132">
        <v>21.48</v>
      </c>
      <c r="K132" s="43">
        <v>322202074</v>
      </c>
      <c r="L132" s="43">
        <v>7874099</v>
      </c>
      <c r="M132">
        <v>7846</v>
      </c>
      <c r="N132" s="41"/>
    </row>
    <row r="133" spans="1:14" x14ac:dyDescent="0.25">
      <c r="A133" t="s">
        <v>412</v>
      </c>
      <c r="B133">
        <v>6.5</v>
      </c>
      <c r="C133">
        <v>7.01</v>
      </c>
      <c r="D133">
        <v>223</v>
      </c>
      <c r="E133">
        <v>126</v>
      </c>
      <c r="F133">
        <v>22.44</v>
      </c>
      <c r="G133" s="43">
        <f>100*(1-(1-Collateral!N131/L133)^12)</f>
        <v>22.862185796150481</v>
      </c>
      <c r="H133">
        <v>19.14</v>
      </c>
      <c r="I133">
        <v>20.2</v>
      </c>
      <c r="J133">
        <v>21.84</v>
      </c>
      <c r="K133" s="43">
        <v>324263791</v>
      </c>
      <c r="L133" s="43">
        <v>8085153</v>
      </c>
      <c r="M133">
        <v>7950</v>
      </c>
      <c r="N133" s="41"/>
    </row>
    <row r="134" spans="1:14" x14ac:dyDescent="0.25">
      <c r="A134" t="s">
        <v>411</v>
      </c>
      <c r="B134">
        <v>6.5</v>
      </c>
      <c r="C134">
        <v>7.01</v>
      </c>
      <c r="D134">
        <v>224</v>
      </c>
      <c r="E134">
        <v>125</v>
      </c>
      <c r="F134">
        <v>18.41</v>
      </c>
      <c r="G134" s="43">
        <f>100*(1-(1-Collateral!N132/L134)^12)</f>
        <v>18.691210824253723</v>
      </c>
      <c r="H134">
        <v>19.23</v>
      </c>
      <c r="I134">
        <v>20.29</v>
      </c>
      <c r="J134">
        <v>22.05</v>
      </c>
      <c r="K134" s="43">
        <v>326097487</v>
      </c>
      <c r="L134" s="43">
        <v>8310054</v>
      </c>
      <c r="M134">
        <v>8057</v>
      </c>
      <c r="N134" s="41"/>
    </row>
    <row r="135" spans="1:14" x14ac:dyDescent="0.25">
      <c r="A135" t="s">
        <v>410</v>
      </c>
      <c r="B135">
        <v>6.5</v>
      </c>
      <c r="C135">
        <v>7.0110000000000001</v>
      </c>
      <c r="D135">
        <v>225</v>
      </c>
      <c r="E135">
        <v>124</v>
      </c>
      <c r="F135">
        <v>17.97</v>
      </c>
      <c r="G135" s="43">
        <f>100*(1-(1-Collateral!N133/L135)^12)</f>
        <v>18.247170435690339</v>
      </c>
      <c r="H135">
        <v>20.23</v>
      </c>
      <c r="I135">
        <v>20.95</v>
      </c>
      <c r="J135">
        <v>22.54</v>
      </c>
      <c r="K135" s="43">
        <v>327935741</v>
      </c>
      <c r="L135" s="43">
        <v>8505018</v>
      </c>
      <c r="M135">
        <v>8156</v>
      </c>
      <c r="N135" s="41"/>
    </row>
    <row r="136" spans="1:14" x14ac:dyDescent="0.25">
      <c r="A136" t="s">
        <v>409</v>
      </c>
      <c r="B136">
        <v>6.5</v>
      </c>
      <c r="C136">
        <v>7.0110000000000001</v>
      </c>
      <c r="D136">
        <v>226</v>
      </c>
      <c r="E136">
        <v>123</v>
      </c>
      <c r="F136">
        <v>22.74</v>
      </c>
      <c r="G136" s="43">
        <f>100*(1-(1-Collateral!N134/L136)^12)</f>
        <v>23.173913979222583</v>
      </c>
      <c r="H136">
        <v>21.55</v>
      </c>
      <c r="I136">
        <v>21.96</v>
      </c>
      <c r="J136">
        <v>23.32</v>
      </c>
      <c r="K136" s="43">
        <v>330539020</v>
      </c>
      <c r="L136" s="43">
        <v>8711797</v>
      </c>
      <c r="M136">
        <v>8262</v>
      </c>
      <c r="N136" s="41"/>
    </row>
    <row r="137" spans="1:14" x14ac:dyDescent="0.25">
      <c r="A137" t="s">
        <v>408</v>
      </c>
      <c r="B137">
        <v>6.5</v>
      </c>
      <c r="C137">
        <v>7.056</v>
      </c>
      <c r="D137">
        <v>263</v>
      </c>
      <c r="E137">
        <v>88</v>
      </c>
      <c r="F137">
        <v>23.21</v>
      </c>
      <c r="G137" s="43">
        <f>100*(1-(1-Collateral!N135/L137)^12)</f>
        <v>23.667828123603641</v>
      </c>
      <c r="H137">
        <v>24.61</v>
      </c>
      <c r="I137">
        <v>26.14</v>
      </c>
      <c r="J137">
        <v>27.84</v>
      </c>
      <c r="K137" s="43">
        <v>51327666</v>
      </c>
      <c r="L137" s="43">
        <v>4645218</v>
      </c>
      <c r="M137">
        <v>3613</v>
      </c>
      <c r="N137" s="41"/>
    </row>
    <row r="138" spans="1:14" x14ac:dyDescent="0.25">
      <c r="A138" t="s">
        <v>407</v>
      </c>
      <c r="B138">
        <v>6.5</v>
      </c>
      <c r="C138">
        <v>7.0549999999999997</v>
      </c>
      <c r="D138">
        <v>264</v>
      </c>
      <c r="E138">
        <v>87</v>
      </c>
      <c r="F138">
        <v>24.58</v>
      </c>
      <c r="G138" s="43">
        <f>100*(1-(1-Collateral!N136/L138)^12)</f>
        <v>25.086979823664745</v>
      </c>
      <c r="H138">
        <v>25.72</v>
      </c>
      <c r="I138">
        <v>27.16</v>
      </c>
      <c r="J138">
        <v>28.75</v>
      </c>
      <c r="K138" s="43">
        <v>51329794</v>
      </c>
      <c r="L138" s="43">
        <v>4754859</v>
      </c>
      <c r="M138">
        <v>3625</v>
      </c>
      <c r="N138" s="41"/>
    </row>
    <row r="139" spans="1:14" x14ac:dyDescent="0.25">
      <c r="A139" t="s">
        <v>406</v>
      </c>
      <c r="B139">
        <v>6.5</v>
      </c>
      <c r="C139">
        <v>7.056</v>
      </c>
      <c r="D139">
        <v>265</v>
      </c>
      <c r="E139">
        <v>86</v>
      </c>
      <c r="F139">
        <v>26.05</v>
      </c>
      <c r="G139" s="43">
        <f>100*(1-(1-Collateral!N137/L139)^12)</f>
        <v>26.622380062907425</v>
      </c>
      <c r="H139">
        <v>26.57</v>
      </c>
      <c r="I139">
        <v>27.65</v>
      </c>
      <c r="J139">
        <v>29.85</v>
      </c>
      <c r="K139" s="43">
        <v>51353685</v>
      </c>
      <c r="L139" s="43">
        <v>4874684</v>
      </c>
      <c r="M139">
        <v>3632</v>
      </c>
      <c r="N139" s="41"/>
    </row>
    <row r="140" spans="1:14" x14ac:dyDescent="0.25">
      <c r="A140" t="s">
        <v>405</v>
      </c>
      <c r="B140">
        <v>6.5</v>
      </c>
      <c r="C140">
        <v>7.056</v>
      </c>
      <c r="D140">
        <v>266</v>
      </c>
      <c r="E140">
        <v>85</v>
      </c>
      <c r="F140">
        <v>26.47</v>
      </c>
      <c r="G140" s="43">
        <f>100*(1-(1-Collateral!N138/L140)^12)</f>
        <v>27.060841159174686</v>
      </c>
      <c r="H140">
        <v>27.65</v>
      </c>
      <c r="I140">
        <v>28.07</v>
      </c>
      <c r="J140">
        <v>30.78</v>
      </c>
      <c r="K140" s="43">
        <v>51414956</v>
      </c>
      <c r="L140" s="43">
        <v>5012125</v>
      </c>
      <c r="M140">
        <v>3644</v>
      </c>
      <c r="N140" s="41"/>
    </row>
    <row r="141" spans="1:14" x14ac:dyDescent="0.25">
      <c r="A141" t="s">
        <v>404</v>
      </c>
      <c r="B141">
        <v>6.5</v>
      </c>
      <c r="C141">
        <v>7.0570000000000004</v>
      </c>
      <c r="D141">
        <v>268</v>
      </c>
      <c r="E141">
        <v>84</v>
      </c>
      <c r="F141">
        <v>27.25</v>
      </c>
      <c r="G141" s="43">
        <f>100*(1-(1-Collateral!N139/L141)^12)</f>
        <v>27.876601846283656</v>
      </c>
      <c r="H141">
        <v>28.56</v>
      </c>
      <c r="I141">
        <v>28.09</v>
      </c>
      <c r="J141">
        <v>32.32</v>
      </c>
      <c r="K141" s="43">
        <v>51469329</v>
      </c>
      <c r="L141" s="43">
        <v>5148152</v>
      </c>
      <c r="M141">
        <v>3654</v>
      </c>
      <c r="N141" s="41"/>
    </row>
    <row r="142" spans="1:14" x14ac:dyDescent="0.25">
      <c r="A142" t="s">
        <v>403</v>
      </c>
      <c r="B142">
        <v>6.5</v>
      </c>
      <c r="C142">
        <v>7.0570000000000004</v>
      </c>
      <c r="D142">
        <v>269</v>
      </c>
      <c r="E142">
        <v>83</v>
      </c>
      <c r="F142">
        <v>29.19</v>
      </c>
      <c r="G142" s="43">
        <f>100*(1-(1-Collateral!N140/L142)^12)</f>
        <v>29.906517297906333</v>
      </c>
      <c r="H142">
        <v>28.69</v>
      </c>
      <c r="I142">
        <v>28.74</v>
      </c>
      <c r="J142">
        <v>33.659999999999997</v>
      </c>
      <c r="K142" s="43">
        <v>51498107</v>
      </c>
      <c r="L142" s="43">
        <v>5299311</v>
      </c>
      <c r="M142">
        <v>3663</v>
      </c>
      <c r="N142" s="41"/>
    </row>
    <row r="143" spans="1:14" x14ac:dyDescent="0.25">
      <c r="A143" t="s">
        <v>402</v>
      </c>
      <c r="B143">
        <v>6.5</v>
      </c>
      <c r="C143">
        <v>7.0590000000000002</v>
      </c>
      <c r="D143">
        <v>270</v>
      </c>
      <c r="E143">
        <v>82</v>
      </c>
      <c r="F143">
        <v>29.31</v>
      </c>
      <c r="G143" s="43">
        <f>100*(1-(1-Collateral!N141/L143)^12)</f>
        <v>30.031645066362035</v>
      </c>
      <c r="H143">
        <v>28.5</v>
      </c>
      <c r="I143">
        <v>29.47</v>
      </c>
      <c r="J143">
        <v>34.65</v>
      </c>
      <c r="K143" s="43">
        <v>51579398</v>
      </c>
      <c r="L143" s="43">
        <v>5465910</v>
      </c>
      <c r="M143">
        <v>3675</v>
      </c>
      <c r="N143" s="41"/>
    </row>
    <row r="144" spans="1:14" x14ac:dyDescent="0.25">
      <c r="A144" t="s">
        <v>401</v>
      </c>
      <c r="B144">
        <v>6.5</v>
      </c>
      <c r="C144">
        <v>7.0590000000000002</v>
      </c>
      <c r="D144">
        <v>271</v>
      </c>
      <c r="E144">
        <v>81</v>
      </c>
      <c r="F144">
        <v>27.62</v>
      </c>
      <c r="G144" s="43">
        <f>100*(1-(1-Collateral!N142/L144)^12)</f>
        <v>28.266385866697028</v>
      </c>
      <c r="H144">
        <v>27.6</v>
      </c>
      <c r="I144">
        <v>30.31</v>
      </c>
      <c r="J144">
        <v>36.03</v>
      </c>
      <c r="K144" s="43">
        <v>51598464</v>
      </c>
      <c r="L144" s="43">
        <v>5630494</v>
      </c>
      <c r="M144">
        <v>3689</v>
      </c>
      <c r="N144" s="41"/>
    </row>
    <row r="145" spans="1:14" x14ac:dyDescent="0.25">
      <c r="A145" t="s">
        <v>400</v>
      </c>
      <c r="B145">
        <v>6.5</v>
      </c>
      <c r="C145">
        <v>7.0590000000000002</v>
      </c>
      <c r="D145">
        <v>272</v>
      </c>
      <c r="E145">
        <v>80</v>
      </c>
      <c r="F145">
        <v>28.48</v>
      </c>
      <c r="G145" s="43">
        <f>100*(1-(1-Collateral!N143/L145)^12)</f>
        <v>29.164683716660889</v>
      </c>
      <c r="H145">
        <v>28.77</v>
      </c>
      <c r="I145">
        <v>31.99</v>
      </c>
      <c r="J145">
        <v>37.130000000000003</v>
      </c>
      <c r="K145" s="43">
        <v>51553485</v>
      </c>
      <c r="L145" s="43">
        <v>5790478</v>
      </c>
      <c r="M145">
        <v>3696</v>
      </c>
      <c r="N145" s="41"/>
    </row>
    <row r="146" spans="1:14" x14ac:dyDescent="0.25">
      <c r="A146" t="s">
        <v>399</v>
      </c>
      <c r="B146">
        <v>6.5</v>
      </c>
      <c r="C146">
        <v>7.0590000000000002</v>
      </c>
      <c r="D146">
        <v>273</v>
      </c>
      <c r="E146">
        <v>79</v>
      </c>
      <c r="F146">
        <v>26.7</v>
      </c>
      <c r="G146" s="43">
        <f>100*(1-(1-Collateral!N144/L146)^12)</f>
        <v>27.305969069781099</v>
      </c>
      <c r="H146">
        <v>30.45</v>
      </c>
      <c r="I146">
        <v>33.42</v>
      </c>
      <c r="J146">
        <v>37.869999999999997</v>
      </c>
      <c r="K146" s="43">
        <v>51652365</v>
      </c>
      <c r="L146" s="43">
        <v>5970744</v>
      </c>
      <c r="M146">
        <v>3710</v>
      </c>
      <c r="N146" s="41"/>
    </row>
    <row r="147" spans="1:14" x14ac:dyDescent="0.25">
      <c r="A147" t="s">
        <v>398</v>
      </c>
      <c r="B147">
        <v>6.5</v>
      </c>
      <c r="C147">
        <v>7.0609999999999999</v>
      </c>
      <c r="D147">
        <v>274</v>
      </c>
      <c r="E147">
        <v>78</v>
      </c>
      <c r="F147">
        <v>31.05</v>
      </c>
      <c r="G147" s="43">
        <f>100*(1-(1-Collateral!N145/L147)^12)</f>
        <v>31.86788134410109</v>
      </c>
      <c r="H147">
        <v>32.869999999999997</v>
      </c>
      <c r="I147">
        <v>36.31</v>
      </c>
      <c r="J147">
        <v>38.56</v>
      </c>
      <c r="K147" s="43">
        <v>51706992</v>
      </c>
      <c r="L147" s="43">
        <v>6138521</v>
      </c>
      <c r="M147">
        <v>3719</v>
      </c>
      <c r="N147" s="41"/>
    </row>
    <row r="148" spans="1:14" x14ac:dyDescent="0.25">
      <c r="A148" t="s">
        <v>397</v>
      </c>
      <c r="B148">
        <v>6.5</v>
      </c>
      <c r="C148">
        <v>7.0620000000000003</v>
      </c>
      <c r="D148">
        <v>275</v>
      </c>
      <c r="E148">
        <v>77</v>
      </c>
      <c r="F148">
        <v>33.43</v>
      </c>
      <c r="G148" s="43">
        <f>100*(1-(1-Collateral!N146/L148)^12)</f>
        <v>34.370491069554468</v>
      </c>
      <c r="H148">
        <v>35.08</v>
      </c>
      <c r="I148">
        <v>38.28</v>
      </c>
      <c r="J148">
        <v>39.090000000000003</v>
      </c>
      <c r="K148" s="43">
        <v>51762217</v>
      </c>
      <c r="L148" s="43">
        <v>6342446</v>
      </c>
      <c r="M148">
        <v>3738</v>
      </c>
      <c r="N148" s="41"/>
    </row>
    <row r="149" spans="1:14" x14ac:dyDescent="0.25">
      <c r="A149" t="s">
        <v>396</v>
      </c>
      <c r="B149">
        <v>6.5</v>
      </c>
      <c r="C149">
        <v>7.0739999999999998</v>
      </c>
      <c r="D149">
        <v>277</v>
      </c>
      <c r="E149">
        <v>76</v>
      </c>
      <c r="F149">
        <v>38.03</v>
      </c>
      <c r="G149" s="43">
        <f>100*(1-(1-Collateral!N147/L149)^12)</f>
        <v>39.251734307222677</v>
      </c>
      <c r="H149">
        <v>39.56</v>
      </c>
      <c r="I149">
        <v>43.01</v>
      </c>
      <c r="J149">
        <v>43.47</v>
      </c>
      <c r="K149" s="43">
        <v>30714249</v>
      </c>
      <c r="L149" s="43">
        <v>2964274</v>
      </c>
      <c r="M149">
        <v>1098</v>
      </c>
      <c r="N149" s="41"/>
    </row>
    <row r="150" spans="1:14" x14ac:dyDescent="0.25">
      <c r="A150" t="s">
        <v>395</v>
      </c>
      <c r="B150">
        <v>6.5</v>
      </c>
      <c r="C150">
        <v>7.0750000000000002</v>
      </c>
      <c r="D150">
        <v>278</v>
      </c>
      <c r="E150">
        <v>75</v>
      </c>
      <c r="F150">
        <v>40.19</v>
      </c>
      <c r="G150" s="43">
        <f>100*(1-(1-Collateral!N148/L150)^12)</f>
        <v>41.546864948031683</v>
      </c>
      <c r="H150">
        <v>43.2</v>
      </c>
      <c r="I150">
        <v>45.02</v>
      </c>
      <c r="J150">
        <v>43.51</v>
      </c>
      <c r="K150" s="43">
        <v>30929423</v>
      </c>
      <c r="L150" s="43">
        <v>3110142</v>
      </c>
      <c r="M150">
        <v>1116</v>
      </c>
      <c r="N150" s="41"/>
    </row>
    <row r="151" spans="1:14" x14ac:dyDescent="0.25">
      <c r="A151" t="s">
        <v>394</v>
      </c>
      <c r="B151">
        <v>6.5</v>
      </c>
      <c r="C151">
        <v>7.0750000000000002</v>
      </c>
      <c r="D151">
        <v>279</v>
      </c>
      <c r="E151">
        <v>74</v>
      </c>
      <c r="F151">
        <v>41.47</v>
      </c>
      <c r="G151" s="43">
        <f>100*(1-(1-Collateral!N149/L151)^12)</f>
        <v>42.916237234289412</v>
      </c>
      <c r="H151">
        <v>45.45</v>
      </c>
      <c r="I151">
        <v>45.89</v>
      </c>
      <c r="J151">
        <v>43.64</v>
      </c>
      <c r="K151" s="43">
        <v>31028828</v>
      </c>
      <c r="L151" s="43">
        <v>3259216</v>
      </c>
      <c r="M151">
        <v>1132</v>
      </c>
      <c r="N151" s="41"/>
    </row>
    <row r="152" spans="1:14" x14ac:dyDescent="0.25">
      <c r="A152" t="s">
        <v>393</v>
      </c>
      <c r="B152">
        <v>6.5</v>
      </c>
      <c r="C152">
        <v>7.0750000000000002</v>
      </c>
      <c r="D152">
        <v>280</v>
      </c>
      <c r="E152">
        <v>73</v>
      </c>
      <c r="F152">
        <v>48.59</v>
      </c>
      <c r="G152" s="43">
        <f>100*(1-(1-Collateral!N150/L152)^12)</f>
        <v>50.554367799911546</v>
      </c>
      <c r="H152">
        <v>46.34</v>
      </c>
      <c r="I152">
        <v>46.07</v>
      </c>
      <c r="J152">
        <v>43.16</v>
      </c>
      <c r="K152" s="43">
        <v>31210964</v>
      </c>
      <c r="L152" s="43">
        <v>3428760</v>
      </c>
      <c r="M152">
        <v>1154</v>
      </c>
      <c r="N152" s="41"/>
    </row>
    <row r="153" spans="1:14" x14ac:dyDescent="0.25">
      <c r="A153" t="s">
        <v>392</v>
      </c>
      <c r="B153">
        <v>6.5</v>
      </c>
      <c r="C153">
        <v>7.0750000000000002</v>
      </c>
      <c r="D153">
        <v>282</v>
      </c>
      <c r="E153">
        <v>72</v>
      </c>
      <c r="F153">
        <v>46.68</v>
      </c>
      <c r="G153" s="43">
        <f>100*(1-(1-Collateral!N151/L153)^12)</f>
        <v>48.501800434845997</v>
      </c>
      <c r="H153">
        <v>46.99</v>
      </c>
      <c r="I153">
        <v>44.77</v>
      </c>
      <c r="J153">
        <v>42.3</v>
      </c>
      <c r="K153" s="43">
        <v>31438331</v>
      </c>
      <c r="L153" s="43">
        <v>3655480</v>
      </c>
      <c r="M153">
        <v>1174</v>
      </c>
      <c r="N153" s="41"/>
    </row>
    <row r="154" spans="1:14" x14ac:dyDescent="0.25">
      <c r="A154" t="s">
        <v>391</v>
      </c>
      <c r="B154">
        <v>6.5</v>
      </c>
      <c r="C154">
        <v>7.0739999999999998</v>
      </c>
      <c r="D154">
        <v>283</v>
      </c>
      <c r="E154">
        <v>71</v>
      </c>
      <c r="F154">
        <v>44.38</v>
      </c>
      <c r="G154" s="43">
        <f>100*(1-(1-Collateral!N152/L154)^12)</f>
        <v>46.033182446609274</v>
      </c>
      <c r="H154">
        <v>46.65</v>
      </c>
      <c r="I154">
        <v>44.3</v>
      </c>
      <c r="J154">
        <v>41.73</v>
      </c>
      <c r="K154" s="43">
        <v>31543797</v>
      </c>
      <c r="L154" s="43">
        <v>3870169</v>
      </c>
      <c r="M154">
        <v>1194</v>
      </c>
      <c r="N154" s="41"/>
    </row>
    <row r="155" spans="1:14" x14ac:dyDescent="0.25">
      <c r="A155" t="s">
        <v>390</v>
      </c>
      <c r="B155">
        <v>6.5</v>
      </c>
      <c r="C155">
        <v>7.0730000000000004</v>
      </c>
      <c r="D155">
        <v>284</v>
      </c>
      <c r="E155">
        <v>70</v>
      </c>
      <c r="F155">
        <v>50.39</v>
      </c>
      <c r="G155" s="43">
        <f>100*(1-(1-Collateral!N153/L155)^12)</f>
        <v>52.501567126427382</v>
      </c>
      <c r="H155">
        <v>45.98</v>
      </c>
      <c r="I155">
        <v>44.05</v>
      </c>
      <c r="J155">
        <v>41.31</v>
      </c>
      <c r="K155" s="43">
        <v>31654157</v>
      </c>
      <c r="L155" s="43">
        <v>4079998</v>
      </c>
      <c r="M155">
        <v>1210</v>
      </c>
      <c r="N155" s="41"/>
    </row>
    <row r="156" spans="1:14" x14ac:dyDescent="0.25">
      <c r="A156" t="s">
        <v>389</v>
      </c>
      <c r="B156">
        <v>6.5</v>
      </c>
      <c r="C156">
        <v>7.0739999999999998</v>
      </c>
      <c r="D156">
        <v>285</v>
      </c>
      <c r="E156">
        <v>69</v>
      </c>
      <c r="F156">
        <v>45.49</v>
      </c>
      <c r="G156" s="43">
        <f>100*(1-(1-Collateral!N154/L156)^12)</f>
        <v>47.226712763812159</v>
      </c>
      <c r="H156">
        <v>42.64</v>
      </c>
      <c r="I156">
        <v>42.09</v>
      </c>
      <c r="J156">
        <v>40.090000000000003</v>
      </c>
      <c r="K156" s="43">
        <v>31809803</v>
      </c>
      <c r="L156" s="43">
        <v>4344970</v>
      </c>
      <c r="M156">
        <v>1232</v>
      </c>
      <c r="N156" s="41"/>
    </row>
    <row r="157" spans="1:14" x14ac:dyDescent="0.25">
      <c r="A157" t="s">
        <v>388</v>
      </c>
      <c r="B157">
        <v>6.5</v>
      </c>
      <c r="C157">
        <v>7.0730000000000004</v>
      </c>
      <c r="D157">
        <v>286</v>
      </c>
      <c r="E157">
        <v>68</v>
      </c>
      <c r="F157">
        <v>42.07</v>
      </c>
      <c r="G157" s="43">
        <f>100*(1-(1-Collateral!N155/L157)^12)</f>
        <v>43.556352537882262</v>
      </c>
      <c r="H157">
        <v>41.83</v>
      </c>
      <c r="I157">
        <v>41.29</v>
      </c>
      <c r="J157">
        <v>38.81</v>
      </c>
      <c r="K157" s="43">
        <v>31964172</v>
      </c>
      <c r="L157" s="43">
        <v>4594965</v>
      </c>
      <c r="M157">
        <v>1264</v>
      </c>
      <c r="N157" s="41"/>
    </row>
    <row r="158" spans="1:14" x14ac:dyDescent="0.25">
      <c r="A158" t="s">
        <v>387</v>
      </c>
      <c r="B158">
        <v>6.5</v>
      </c>
      <c r="C158">
        <v>7.0720000000000001</v>
      </c>
      <c r="D158">
        <v>287</v>
      </c>
      <c r="E158">
        <v>67</v>
      </c>
      <c r="F158">
        <v>40.520000000000003</v>
      </c>
      <c r="G158" s="43">
        <f>100*(1-(1-Collateral!N156/L158)^12)</f>
        <v>41.899021274668868</v>
      </c>
      <c r="H158">
        <v>42.11</v>
      </c>
      <c r="I158">
        <v>40.19</v>
      </c>
      <c r="J158">
        <v>37.630000000000003</v>
      </c>
      <c r="K158" s="43">
        <v>32157166</v>
      </c>
      <c r="L158" s="43">
        <v>4850487</v>
      </c>
      <c r="M158">
        <v>1290</v>
      </c>
      <c r="N158" s="41"/>
    </row>
    <row r="159" spans="1:14" x14ac:dyDescent="0.25">
      <c r="A159" t="s">
        <v>386</v>
      </c>
      <c r="B159">
        <v>6.5</v>
      </c>
      <c r="C159">
        <v>7.0720000000000001</v>
      </c>
      <c r="D159">
        <v>288</v>
      </c>
      <c r="E159">
        <v>66</v>
      </c>
      <c r="F159">
        <v>43.54</v>
      </c>
      <c r="G159" s="43">
        <f>100*(1-(1-Collateral!N157/L159)^12)</f>
        <v>45.130527809946607</v>
      </c>
      <c r="H159">
        <v>41.59</v>
      </c>
      <c r="I159">
        <v>39.72</v>
      </c>
      <c r="J159">
        <v>36.46</v>
      </c>
      <c r="K159" s="43">
        <v>32296812</v>
      </c>
      <c r="L159" s="43">
        <v>5080014</v>
      </c>
      <c r="M159">
        <v>1318</v>
      </c>
      <c r="N159" s="41"/>
    </row>
    <row r="160" spans="1:14" x14ac:dyDescent="0.25">
      <c r="A160" t="s">
        <v>385</v>
      </c>
      <c r="B160">
        <v>6.5</v>
      </c>
      <c r="C160">
        <v>7.0709999999999997</v>
      </c>
      <c r="D160">
        <v>289</v>
      </c>
      <c r="E160">
        <v>65</v>
      </c>
      <c r="F160">
        <v>42.52</v>
      </c>
      <c r="G160" s="43">
        <f>100*(1-(1-Collateral!N158/L160)^12)</f>
        <v>44.036969720166361</v>
      </c>
      <c r="H160">
        <v>40.78</v>
      </c>
      <c r="I160">
        <v>39.06</v>
      </c>
      <c r="J160">
        <v>34.770000000000003</v>
      </c>
      <c r="K160" s="43">
        <v>32408642</v>
      </c>
      <c r="L160" s="43">
        <v>5352263</v>
      </c>
      <c r="M160">
        <v>1338</v>
      </c>
      <c r="N160" s="41"/>
    </row>
    <row r="161" spans="1:14" x14ac:dyDescent="0.25">
      <c r="A161" t="s">
        <v>384</v>
      </c>
      <c r="B161">
        <v>6.5</v>
      </c>
      <c r="C161">
        <v>6.9690000000000003</v>
      </c>
      <c r="D161">
        <v>301</v>
      </c>
      <c r="E161">
        <v>53</v>
      </c>
      <c r="F161">
        <v>35.78</v>
      </c>
      <c r="G161" s="43">
        <f>100*(1-(1-Collateral!N159/L161)^12)</f>
        <v>36.864891887028776</v>
      </c>
      <c r="H161">
        <v>35.6</v>
      </c>
      <c r="I161">
        <v>36.42</v>
      </c>
      <c r="J161">
        <v>33.04</v>
      </c>
      <c r="K161" s="43">
        <v>10117684</v>
      </c>
      <c r="L161" s="43">
        <v>2151128</v>
      </c>
      <c r="M161">
        <v>830</v>
      </c>
      <c r="N161" s="41"/>
    </row>
    <row r="162" spans="1:14" x14ac:dyDescent="0.25">
      <c r="A162" t="s">
        <v>383</v>
      </c>
      <c r="B162">
        <v>6.5</v>
      </c>
      <c r="C162">
        <v>6.9690000000000003</v>
      </c>
      <c r="D162">
        <v>302</v>
      </c>
      <c r="E162">
        <v>52</v>
      </c>
      <c r="F162">
        <v>37.97</v>
      </c>
      <c r="G162" s="43">
        <f>100*(1-(1-Collateral!N160/L162)^12)</f>
        <v>39.185717635638703</v>
      </c>
      <c r="H162">
        <v>36.590000000000003</v>
      </c>
      <c r="I162">
        <v>36.590000000000003</v>
      </c>
      <c r="J162">
        <v>31.97</v>
      </c>
      <c r="K162" s="43">
        <v>10166400</v>
      </c>
      <c r="L162" s="43">
        <v>2244476</v>
      </c>
      <c r="M162">
        <v>845</v>
      </c>
      <c r="N162" s="41"/>
    </row>
    <row r="163" spans="1:14" x14ac:dyDescent="0.25">
      <c r="A163" t="s">
        <v>382</v>
      </c>
      <c r="B163">
        <v>6.5</v>
      </c>
      <c r="C163">
        <v>6.9690000000000003</v>
      </c>
      <c r="D163">
        <v>303</v>
      </c>
      <c r="E163">
        <v>51</v>
      </c>
      <c r="F163">
        <v>33.51</v>
      </c>
      <c r="G163" s="43">
        <f>100*(1-(1-Collateral!N161/L163)^12)</f>
        <v>34.457094541910273</v>
      </c>
      <c r="H163">
        <v>35.840000000000003</v>
      </c>
      <c r="I163">
        <v>35.85</v>
      </c>
      <c r="J163">
        <v>30.92</v>
      </c>
      <c r="K163" s="43">
        <v>10290193</v>
      </c>
      <c r="L163" s="43">
        <v>2368056</v>
      </c>
      <c r="M163">
        <v>870</v>
      </c>
      <c r="N163" s="41"/>
    </row>
    <row r="164" spans="1:14" x14ac:dyDescent="0.25">
      <c r="A164" t="s">
        <v>381</v>
      </c>
      <c r="B164">
        <v>6.5</v>
      </c>
      <c r="C164">
        <v>6.968</v>
      </c>
      <c r="D164">
        <v>304</v>
      </c>
      <c r="E164">
        <v>50</v>
      </c>
      <c r="F164">
        <v>38.49</v>
      </c>
      <c r="G164" s="43">
        <f>100*(1-(1-Collateral!N162/L164)^12)</f>
        <v>39.738183011237815</v>
      </c>
      <c r="H164">
        <v>37.29</v>
      </c>
      <c r="I164">
        <v>35.53</v>
      </c>
      <c r="J164">
        <v>30.03</v>
      </c>
      <c r="K164" s="43">
        <v>10336807</v>
      </c>
      <c r="L164" s="43">
        <v>2462901</v>
      </c>
      <c r="M164">
        <v>880</v>
      </c>
      <c r="N164" s="41"/>
    </row>
    <row r="165" spans="1:14" x14ac:dyDescent="0.25">
      <c r="A165" t="s">
        <v>380</v>
      </c>
      <c r="B165">
        <v>6.5</v>
      </c>
      <c r="C165">
        <v>6.9660000000000002</v>
      </c>
      <c r="D165">
        <v>305</v>
      </c>
      <c r="E165">
        <v>49</v>
      </c>
      <c r="F165">
        <v>36.22</v>
      </c>
      <c r="G165" s="43">
        <f>100*(1-(1-Collateral!N163/L165)^12)</f>
        <v>37.33223883549843</v>
      </c>
      <c r="H165">
        <v>36.97</v>
      </c>
      <c r="I165">
        <v>33.78</v>
      </c>
      <c r="J165">
        <v>28.77</v>
      </c>
      <c r="K165" s="43">
        <v>10360138</v>
      </c>
      <c r="L165" s="43">
        <v>2572481</v>
      </c>
      <c r="M165">
        <v>891</v>
      </c>
      <c r="N165" s="41"/>
    </row>
    <row r="166" spans="1:14" x14ac:dyDescent="0.25">
      <c r="A166" t="s">
        <v>379</v>
      </c>
      <c r="B166">
        <v>6.5</v>
      </c>
      <c r="C166">
        <v>6.9649999999999999</v>
      </c>
      <c r="D166">
        <v>307</v>
      </c>
      <c r="E166">
        <v>48</v>
      </c>
      <c r="F166">
        <v>37.869999999999997</v>
      </c>
      <c r="G166" s="43">
        <f>100*(1-(1-Collateral!N164/L166)^12)</f>
        <v>39.081439582935353</v>
      </c>
      <c r="H166">
        <v>36.07</v>
      </c>
      <c r="I166">
        <v>32.020000000000003</v>
      </c>
      <c r="J166">
        <v>27.63</v>
      </c>
      <c r="K166" s="43">
        <v>10422919</v>
      </c>
      <c r="L166" s="43">
        <v>2689628</v>
      </c>
      <c r="M166">
        <v>902</v>
      </c>
      <c r="N166" s="41"/>
    </row>
    <row r="167" spans="1:14" x14ac:dyDescent="0.25">
      <c r="A167" t="s">
        <v>378</v>
      </c>
      <c r="B167">
        <v>6.5</v>
      </c>
      <c r="C167">
        <v>6.9640000000000004</v>
      </c>
      <c r="D167">
        <v>308</v>
      </c>
      <c r="E167">
        <v>47</v>
      </c>
      <c r="F167">
        <v>37.03</v>
      </c>
      <c r="G167" s="43">
        <f>100*(1-(1-Collateral!N165/L167)^12)</f>
        <v>38.188774116876921</v>
      </c>
      <c r="H167">
        <v>33.64</v>
      </c>
      <c r="I167">
        <v>29.65</v>
      </c>
      <c r="J167">
        <v>26.58</v>
      </c>
      <c r="K167" s="43">
        <v>10463282</v>
      </c>
      <c r="L167" s="43">
        <v>2806493</v>
      </c>
      <c r="M167">
        <v>917</v>
      </c>
      <c r="N167" s="41"/>
    </row>
    <row r="168" spans="1:14" x14ac:dyDescent="0.25">
      <c r="A168" t="s">
        <v>377</v>
      </c>
      <c r="B168">
        <v>6.5</v>
      </c>
      <c r="C168">
        <v>6.9630000000000001</v>
      </c>
      <c r="D168">
        <v>309</v>
      </c>
      <c r="E168">
        <v>46</v>
      </c>
      <c r="F168">
        <v>33.51</v>
      </c>
      <c r="G168" s="43">
        <f>100*(1-(1-Collateral!N166/L168)^12)</f>
        <v>34.456119823526436</v>
      </c>
      <c r="H168">
        <v>30.51</v>
      </c>
      <c r="I168">
        <v>27.27</v>
      </c>
      <c r="J168">
        <v>25.8</v>
      </c>
      <c r="K168" s="43">
        <v>10553015</v>
      </c>
      <c r="L168" s="43">
        <v>2943680</v>
      </c>
      <c r="M168">
        <v>939</v>
      </c>
      <c r="N168" s="41"/>
    </row>
    <row r="169" spans="1:14" x14ac:dyDescent="0.25">
      <c r="A169" t="s">
        <v>376</v>
      </c>
      <c r="B169">
        <v>6.5</v>
      </c>
      <c r="C169">
        <v>6.9630000000000001</v>
      </c>
      <c r="D169">
        <v>310</v>
      </c>
      <c r="E169">
        <v>45</v>
      </c>
      <c r="F169">
        <v>30.91</v>
      </c>
      <c r="G169" s="43">
        <f>100*(1-(1-Collateral!N167/L169)^12)</f>
        <v>31.721367008412706</v>
      </c>
      <c r="H169">
        <v>27.83</v>
      </c>
      <c r="I169">
        <v>25.73</v>
      </c>
      <c r="J169">
        <v>25.22</v>
      </c>
      <c r="K169" s="43">
        <v>10592020</v>
      </c>
      <c r="L169" s="43">
        <v>3056470</v>
      </c>
      <c r="M169">
        <v>951</v>
      </c>
      <c r="N169" s="41"/>
    </row>
    <row r="170" spans="1:14" x14ac:dyDescent="0.25">
      <c r="A170" t="s">
        <v>375</v>
      </c>
      <c r="B170">
        <v>6.5</v>
      </c>
      <c r="C170">
        <v>6.9630000000000001</v>
      </c>
      <c r="D170">
        <v>311</v>
      </c>
      <c r="E170">
        <v>44</v>
      </c>
      <c r="F170">
        <v>27.38</v>
      </c>
      <c r="G170" s="43">
        <f>100*(1-(1-Collateral!N168/L170)^12)</f>
        <v>28.016377878835208</v>
      </c>
      <c r="H170">
        <v>25.6</v>
      </c>
      <c r="I170">
        <v>24.21</v>
      </c>
      <c r="J170">
        <v>25.14</v>
      </c>
      <c r="K170" s="43">
        <v>10660903</v>
      </c>
      <c r="L170" s="43">
        <v>3177318</v>
      </c>
      <c r="M170">
        <v>965</v>
      </c>
      <c r="N170" s="41"/>
    </row>
    <row r="171" spans="1:14" x14ac:dyDescent="0.25">
      <c r="A171" t="s">
        <v>374</v>
      </c>
      <c r="B171">
        <v>6.5</v>
      </c>
      <c r="C171">
        <v>6.9619999999999997</v>
      </c>
      <c r="D171">
        <v>312</v>
      </c>
      <c r="E171">
        <v>43</v>
      </c>
      <c r="F171">
        <v>25.48</v>
      </c>
      <c r="G171" s="43">
        <f>100*(1-(1-Collateral!N169/L171)^12)</f>
        <v>26.024870570540049</v>
      </c>
      <c r="H171">
        <v>24.11</v>
      </c>
      <c r="I171">
        <v>23.56</v>
      </c>
      <c r="J171">
        <v>25.24</v>
      </c>
      <c r="K171" s="43">
        <v>10715003</v>
      </c>
      <c r="L171" s="43">
        <v>3280013</v>
      </c>
      <c r="M171">
        <v>979</v>
      </c>
      <c r="N171" s="41"/>
    </row>
    <row r="172" spans="1:14" x14ac:dyDescent="0.25">
      <c r="A172" t="s">
        <v>373</v>
      </c>
      <c r="B172">
        <v>6.5</v>
      </c>
      <c r="C172">
        <v>6.9619999999999997</v>
      </c>
      <c r="D172">
        <v>313</v>
      </c>
      <c r="E172">
        <v>42</v>
      </c>
      <c r="F172">
        <v>24.52</v>
      </c>
      <c r="G172" s="43">
        <f>100*(1-(1-Collateral!N170/L172)^12)</f>
        <v>25.025064380732186</v>
      </c>
      <c r="H172">
        <v>23.75</v>
      </c>
      <c r="I172">
        <v>23.13</v>
      </c>
      <c r="J172">
        <v>25.53</v>
      </c>
      <c r="K172" s="43">
        <v>10741406</v>
      </c>
      <c r="L172" s="43">
        <v>3368877</v>
      </c>
      <c r="M172">
        <v>988</v>
      </c>
      <c r="N172" s="41"/>
    </row>
    <row r="173" spans="1:14" x14ac:dyDescent="0.25">
      <c r="A173" t="s">
        <v>372</v>
      </c>
      <c r="B173">
        <v>6.5</v>
      </c>
      <c r="C173">
        <v>6.9619999999999997</v>
      </c>
      <c r="D173">
        <v>314</v>
      </c>
      <c r="E173">
        <v>41</v>
      </c>
      <c r="F173">
        <v>22.45</v>
      </c>
      <c r="G173" s="43">
        <f>100*(1-(1-Collateral!N171/L173)^12)</f>
        <v>22.876083233977862</v>
      </c>
      <c r="H173">
        <v>22.86</v>
      </c>
      <c r="I173">
        <v>23.41</v>
      </c>
      <c r="J173">
        <v>26.16</v>
      </c>
      <c r="K173" s="43">
        <v>10745325</v>
      </c>
      <c r="L173" s="43">
        <v>3454082</v>
      </c>
      <c r="M173">
        <v>990</v>
      </c>
      <c r="N173" s="41"/>
    </row>
    <row r="174" spans="1:14" x14ac:dyDescent="0.25">
      <c r="A174" t="s">
        <v>371</v>
      </c>
      <c r="B174">
        <v>6.5</v>
      </c>
      <c r="C174">
        <v>6.9619999999999997</v>
      </c>
      <c r="D174">
        <v>315</v>
      </c>
      <c r="E174">
        <v>40</v>
      </c>
      <c r="F174">
        <v>24.3</v>
      </c>
      <c r="G174" s="43">
        <f>100*(1-(1-Collateral!N172/L174)^12)</f>
        <v>24.797866519525268</v>
      </c>
      <c r="H174">
        <v>23.05</v>
      </c>
      <c r="I174">
        <v>24.3</v>
      </c>
      <c r="J174">
        <v>26.57</v>
      </c>
      <c r="K174" s="43">
        <v>10753221</v>
      </c>
      <c r="L174" s="43">
        <v>3534727</v>
      </c>
      <c r="M174">
        <v>995</v>
      </c>
      <c r="N174" s="41"/>
    </row>
    <row r="175" spans="1:14" x14ac:dyDescent="0.25">
      <c r="A175" t="s">
        <v>370</v>
      </c>
      <c r="B175">
        <v>6.5</v>
      </c>
      <c r="C175">
        <v>6.9619999999999997</v>
      </c>
      <c r="D175">
        <v>317</v>
      </c>
      <c r="E175">
        <v>39</v>
      </c>
      <c r="F175">
        <v>21.92</v>
      </c>
      <c r="G175" s="43">
        <f>100*(1-(1-Collateral!N173/L175)^12)</f>
        <v>22.323946854408948</v>
      </c>
      <c r="H175">
        <v>22.47</v>
      </c>
      <c r="I175">
        <v>24.8</v>
      </c>
      <c r="J175">
        <v>26.9</v>
      </c>
      <c r="K175" s="43">
        <v>10758134</v>
      </c>
      <c r="L175" s="43">
        <v>3627276</v>
      </c>
      <c r="M175">
        <v>1000</v>
      </c>
      <c r="N175" s="41"/>
    </row>
    <row r="176" spans="1:14" x14ac:dyDescent="0.25">
      <c r="A176" t="s">
        <v>369</v>
      </c>
      <c r="B176">
        <v>6.5</v>
      </c>
      <c r="C176">
        <v>6.9610000000000003</v>
      </c>
      <c r="D176">
        <v>318</v>
      </c>
      <c r="E176">
        <v>38</v>
      </c>
      <c r="F176">
        <v>23.05</v>
      </c>
      <c r="G176" s="43">
        <f>100*(1-(1-Collateral!N174/L176)^12)</f>
        <v>23.496976057218809</v>
      </c>
      <c r="H176">
        <v>23.97</v>
      </c>
      <c r="I176">
        <v>26.18</v>
      </c>
      <c r="J176">
        <v>27.51</v>
      </c>
      <c r="K176" s="43">
        <v>10771469</v>
      </c>
      <c r="L176" s="43">
        <v>3710413</v>
      </c>
      <c r="M176">
        <v>1006</v>
      </c>
      <c r="N176" s="41"/>
    </row>
    <row r="177" spans="1:14" x14ac:dyDescent="0.25">
      <c r="A177" t="s">
        <v>368</v>
      </c>
      <c r="B177">
        <v>6.5</v>
      </c>
      <c r="C177">
        <v>6.9619999999999997</v>
      </c>
      <c r="D177">
        <v>319</v>
      </c>
      <c r="E177">
        <v>37</v>
      </c>
      <c r="F177">
        <v>22.55</v>
      </c>
      <c r="G177" s="43">
        <f>100*(1-(1-Collateral!N175/L177)^12)</f>
        <v>22.983712135409075</v>
      </c>
      <c r="H177">
        <v>25.72</v>
      </c>
      <c r="I177">
        <v>27.02</v>
      </c>
      <c r="J177">
        <v>28.18</v>
      </c>
      <c r="K177" s="43">
        <v>10791905</v>
      </c>
      <c r="L177" s="43">
        <v>3796695</v>
      </c>
      <c r="M177">
        <v>1015</v>
      </c>
      <c r="N177" s="41"/>
    </row>
    <row r="178" spans="1:14" x14ac:dyDescent="0.25">
      <c r="A178" t="s">
        <v>367</v>
      </c>
      <c r="B178">
        <v>6.5</v>
      </c>
      <c r="C178">
        <v>6.9610000000000003</v>
      </c>
      <c r="D178">
        <v>320</v>
      </c>
      <c r="E178">
        <v>36</v>
      </c>
      <c r="F178">
        <v>26.66</v>
      </c>
      <c r="G178" s="43">
        <f>100*(1-(1-Collateral!N176/L178)^12)</f>
        <v>27.265448681664907</v>
      </c>
      <c r="H178">
        <v>27.28</v>
      </c>
      <c r="I178">
        <v>27.98</v>
      </c>
      <c r="J178">
        <v>28.86</v>
      </c>
      <c r="K178" s="43">
        <v>10816199</v>
      </c>
      <c r="L178" s="43">
        <v>3888367</v>
      </c>
      <c r="M178">
        <v>1027</v>
      </c>
      <c r="N178" s="41"/>
    </row>
    <row r="179" spans="1:14" x14ac:dyDescent="0.25">
      <c r="A179" t="s">
        <v>366</v>
      </c>
      <c r="B179">
        <v>6.5</v>
      </c>
      <c r="C179">
        <v>6.9610000000000003</v>
      </c>
      <c r="D179">
        <v>321</v>
      </c>
      <c r="E179">
        <v>35</v>
      </c>
      <c r="F179">
        <v>28.39</v>
      </c>
      <c r="G179" s="43">
        <f>100*(1-(1-Collateral!N177/L179)^12)</f>
        <v>29.075136693372183</v>
      </c>
      <c r="H179">
        <v>28.5</v>
      </c>
      <c r="I179">
        <v>28.89</v>
      </c>
      <c r="J179">
        <v>29.12</v>
      </c>
      <c r="K179" s="43">
        <v>10838750</v>
      </c>
      <c r="L179" s="43">
        <v>4002386</v>
      </c>
      <c r="M179">
        <v>1037</v>
      </c>
      <c r="N179" s="41"/>
    </row>
    <row r="180" spans="1:14" x14ac:dyDescent="0.25">
      <c r="A180" t="s">
        <v>365</v>
      </c>
      <c r="B180">
        <v>6.5</v>
      </c>
      <c r="C180">
        <v>6.9610000000000003</v>
      </c>
      <c r="D180">
        <v>322</v>
      </c>
      <c r="E180">
        <v>34</v>
      </c>
      <c r="F180">
        <v>27.1</v>
      </c>
      <c r="G180" s="43">
        <f>100*(1-(1-Collateral!N178/L180)^12)</f>
        <v>27.718457774496407</v>
      </c>
      <c r="H180">
        <v>28.33</v>
      </c>
      <c r="I180">
        <v>28.83</v>
      </c>
      <c r="J180">
        <v>29.55</v>
      </c>
      <c r="K180" s="43">
        <v>10849406</v>
      </c>
      <c r="L180" s="43">
        <v>4121212</v>
      </c>
      <c r="M180">
        <v>1046</v>
      </c>
      <c r="N180" s="41"/>
    </row>
    <row r="181" spans="1:14" x14ac:dyDescent="0.25">
      <c r="A181" t="s">
        <v>364</v>
      </c>
      <c r="B181">
        <v>6.5</v>
      </c>
      <c r="C181">
        <v>6.9610000000000003</v>
      </c>
      <c r="D181">
        <v>323</v>
      </c>
      <c r="E181">
        <v>33</v>
      </c>
      <c r="F181">
        <v>30.28</v>
      </c>
      <c r="G181" s="43">
        <f>100*(1-(1-Collateral!N179/L181)^12)</f>
        <v>31.056391800825843</v>
      </c>
      <c r="H181">
        <v>28.74</v>
      </c>
      <c r="I181">
        <v>29.1</v>
      </c>
      <c r="J181">
        <v>30.28</v>
      </c>
      <c r="K181" s="43">
        <v>10939233</v>
      </c>
      <c r="L181" s="43">
        <v>4271922</v>
      </c>
      <c r="M181">
        <v>1054</v>
      </c>
      <c r="N181" s="41"/>
    </row>
    <row r="182" spans="1:14" x14ac:dyDescent="0.25">
      <c r="A182" t="s">
        <v>363</v>
      </c>
      <c r="B182">
        <v>6.5</v>
      </c>
      <c r="C182">
        <v>6.9610000000000003</v>
      </c>
      <c r="D182">
        <v>324</v>
      </c>
      <c r="E182">
        <v>32</v>
      </c>
      <c r="F182">
        <v>28.1</v>
      </c>
      <c r="G182" s="43">
        <f>100*(1-(1-Collateral!N180/L182)^12)</f>
        <v>28.7713461961273</v>
      </c>
      <c r="H182">
        <v>29.42</v>
      </c>
      <c r="I182">
        <v>28.97</v>
      </c>
      <c r="J182">
        <v>38.78</v>
      </c>
      <c r="K182" s="43">
        <v>10954402</v>
      </c>
      <c r="L182" s="43">
        <v>4403526</v>
      </c>
      <c r="M182">
        <v>1067</v>
      </c>
      <c r="N182" s="41"/>
    </row>
    <row r="183" spans="1:14" x14ac:dyDescent="0.25">
      <c r="A183" t="s">
        <v>362</v>
      </c>
      <c r="B183">
        <v>6.5</v>
      </c>
      <c r="C183">
        <v>6.9610000000000003</v>
      </c>
      <c r="D183">
        <v>325</v>
      </c>
      <c r="E183">
        <v>31</v>
      </c>
      <c r="F183">
        <v>28.04</v>
      </c>
      <c r="G183" s="43">
        <f>100*(1-(1-Collateral!N181/L183)^12)</f>
        <v>28.709803243284103</v>
      </c>
      <c r="H183">
        <v>29.33</v>
      </c>
      <c r="I183">
        <v>29.41</v>
      </c>
      <c r="J183">
        <v>38.950000000000003</v>
      </c>
      <c r="K183" s="43">
        <v>10973725</v>
      </c>
      <c r="L183" s="43">
        <v>4539035</v>
      </c>
      <c r="M183">
        <v>1076</v>
      </c>
      <c r="N183" s="41"/>
    </row>
    <row r="184" spans="1:14" x14ac:dyDescent="0.25">
      <c r="A184" t="s">
        <v>361</v>
      </c>
      <c r="B184">
        <v>6.5</v>
      </c>
      <c r="C184">
        <v>6.9610000000000003</v>
      </c>
      <c r="D184">
        <v>326</v>
      </c>
      <c r="E184">
        <v>30</v>
      </c>
      <c r="F184">
        <v>32.200000000000003</v>
      </c>
      <c r="G184" s="43">
        <f>100*(1-(1-Collateral!N182/L184)^12)</f>
        <v>33.077747624652886</v>
      </c>
      <c r="H184">
        <v>29.54</v>
      </c>
      <c r="I184">
        <v>29.88</v>
      </c>
      <c r="J184">
        <v>38.9</v>
      </c>
      <c r="K184" s="43">
        <v>10980516</v>
      </c>
      <c r="L184" s="43">
        <v>4669132</v>
      </c>
      <c r="M184">
        <v>1088</v>
      </c>
      <c r="N184" s="41"/>
    </row>
    <row r="185" spans="1:14" x14ac:dyDescent="0.25">
      <c r="A185" t="s">
        <v>360</v>
      </c>
      <c r="B185">
        <v>6.5</v>
      </c>
      <c r="C185">
        <v>7.0640000000000001</v>
      </c>
      <c r="D185">
        <v>316</v>
      </c>
      <c r="E185">
        <v>40</v>
      </c>
      <c r="F185">
        <v>25.97</v>
      </c>
      <c r="G185" s="43">
        <f>100*(1-(1-Collateral!N183/L185)^12)</f>
        <v>26.539852866887404</v>
      </c>
      <c r="H185">
        <v>26.75</v>
      </c>
      <c r="I185">
        <v>28.21</v>
      </c>
      <c r="J185">
        <v>44.53</v>
      </c>
      <c r="K185" s="43">
        <v>34343715</v>
      </c>
      <c r="L185" s="43">
        <v>12100405</v>
      </c>
      <c r="M185">
        <v>1663</v>
      </c>
      <c r="N185" s="41"/>
    </row>
    <row r="186" spans="1:14" x14ac:dyDescent="0.25">
      <c r="A186" t="s">
        <v>359</v>
      </c>
      <c r="B186">
        <v>6.5</v>
      </c>
      <c r="C186">
        <v>7.0629999999999997</v>
      </c>
      <c r="D186">
        <v>317</v>
      </c>
      <c r="E186">
        <v>39</v>
      </c>
      <c r="F186">
        <v>27.62</v>
      </c>
      <c r="G186" s="43">
        <f>100*(1-(1-Collateral!N184/L186)^12)</f>
        <v>28.268623617765478</v>
      </c>
      <c r="H186">
        <v>27.92</v>
      </c>
      <c r="I186">
        <v>29.62</v>
      </c>
      <c r="J186">
        <v>44.12</v>
      </c>
      <c r="K186" s="43">
        <v>34302969</v>
      </c>
      <c r="L186" s="43">
        <v>12409831</v>
      </c>
      <c r="M186">
        <v>1666</v>
      </c>
      <c r="N186" s="41"/>
    </row>
    <row r="187" spans="1:14" x14ac:dyDescent="0.25">
      <c r="A187" t="s">
        <v>358</v>
      </c>
      <c r="B187">
        <v>6.5</v>
      </c>
      <c r="C187">
        <v>7.0640000000000001</v>
      </c>
      <c r="D187">
        <v>318</v>
      </c>
      <c r="E187">
        <v>38</v>
      </c>
      <c r="F187">
        <v>26.64</v>
      </c>
      <c r="G187" s="43">
        <f>100*(1-(1-Collateral!N185/L187)^12)</f>
        <v>27.239935637035106</v>
      </c>
      <c r="H187">
        <v>27.95</v>
      </c>
      <c r="I187">
        <v>31</v>
      </c>
      <c r="J187">
        <v>44.25</v>
      </c>
      <c r="K187" s="43">
        <v>34371246</v>
      </c>
      <c r="L187" s="43">
        <v>12785657</v>
      </c>
      <c r="M187">
        <v>1670</v>
      </c>
      <c r="N187" s="41"/>
    </row>
    <row r="188" spans="1:14" x14ac:dyDescent="0.25">
      <c r="A188" t="s">
        <v>357</v>
      </c>
      <c r="B188">
        <v>6.5</v>
      </c>
      <c r="C188">
        <v>7.0650000000000004</v>
      </c>
      <c r="D188">
        <v>319</v>
      </c>
      <c r="E188">
        <v>37</v>
      </c>
      <c r="F188">
        <v>29.48</v>
      </c>
      <c r="G188" s="43">
        <f>100*(1-(1-Collateral!N186/L188)^12)</f>
        <v>30.215791006420723</v>
      </c>
      <c r="H188">
        <v>29.62</v>
      </c>
      <c r="I188">
        <v>56.57</v>
      </c>
      <c r="J188">
        <v>44.14</v>
      </c>
      <c r="K188" s="43">
        <v>34406085</v>
      </c>
      <c r="L188" s="43">
        <v>13146154</v>
      </c>
      <c r="M188">
        <v>1675</v>
      </c>
      <c r="N188" s="41"/>
    </row>
    <row r="189" spans="1:14" x14ac:dyDescent="0.25">
      <c r="A189" t="s">
        <v>356</v>
      </c>
      <c r="B189">
        <v>6.5</v>
      </c>
      <c r="C189">
        <v>7.0650000000000004</v>
      </c>
      <c r="D189">
        <v>321</v>
      </c>
      <c r="E189">
        <v>36</v>
      </c>
      <c r="F189">
        <v>27.76</v>
      </c>
      <c r="G189" s="43">
        <f>100*(1-(1-Collateral!N187/L189)^12)</f>
        <v>28.407426640540468</v>
      </c>
      <c r="H189">
        <v>31.29</v>
      </c>
      <c r="I189">
        <v>57</v>
      </c>
      <c r="J189">
        <v>43.95</v>
      </c>
      <c r="K189" s="43">
        <v>34435396</v>
      </c>
      <c r="L189" s="43">
        <v>13555685</v>
      </c>
      <c r="M189">
        <v>1679</v>
      </c>
      <c r="N189" s="41"/>
    </row>
    <row r="190" spans="1:14" x14ac:dyDescent="0.25">
      <c r="A190" t="s">
        <v>355</v>
      </c>
      <c r="B190">
        <v>6.5</v>
      </c>
      <c r="C190">
        <v>7.0659999999999998</v>
      </c>
      <c r="D190">
        <v>322</v>
      </c>
      <c r="E190">
        <v>35</v>
      </c>
      <c r="F190">
        <v>31.61</v>
      </c>
      <c r="G190" s="43">
        <f>100*(1-(1-Collateral!N188/L190)^12)</f>
        <v>32.453663173072812</v>
      </c>
      <c r="H190">
        <v>33.97</v>
      </c>
      <c r="I190">
        <v>57.23</v>
      </c>
      <c r="J190">
        <v>43.6</v>
      </c>
      <c r="K190" s="43">
        <v>34503402</v>
      </c>
      <c r="L190" s="43">
        <v>13967868</v>
      </c>
      <c r="M190">
        <v>1688</v>
      </c>
      <c r="N190" s="41"/>
    </row>
    <row r="191" spans="1:14" x14ac:dyDescent="0.25">
      <c r="A191" t="s">
        <v>354</v>
      </c>
      <c r="B191">
        <v>6.5</v>
      </c>
      <c r="C191">
        <v>6.9610000000000003</v>
      </c>
      <c r="D191">
        <v>334</v>
      </c>
      <c r="E191">
        <v>23</v>
      </c>
      <c r="F191">
        <v>33.520000000000003</v>
      </c>
      <c r="G191" s="43">
        <f>100*(1-(1-Collateral!N189/L191)^12)</f>
        <v>34.47293255142614</v>
      </c>
      <c r="H191">
        <v>60.22</v>
      </c>
      <c r="I191">
        <v>47.07</v>
      </c>
      <c r="J191">
        <v>36.520000000000003</v>
      </c>
      <c r="K191" s="43">
        <v>11164525</v>
      </c>
      <c r="L191" s="43">
        <v>5868537</v>
      </c>
      <c r="M191">
        <v>1144</v>
      </c>
      <c r="N191" s="41"/>
    </row>
    <row r="192" spans="1:14" x14ac:dyDescent="0.25">
      <c r="A192" t="s">
        <v>353</v>
      </c>
      <c r="B192">
        <v>6.5</v>
      </c>
      <c r="C192">
        <v>6.9640000000000004</v>
      </c>
      <c r="D192">
        <v>335</v>
      </c>
      <c r="E192">
        <v>22</v>
      </c>
      <c r="F192">
        <v>35.36</v>
      </c>
      <c r="G192" s="43">
        <f>100*(1-(1-Collateral!N190/L192)^12)</f>
        <v>36.41624690362498</v>
      </c>
      <c r="H192">
        <v>59.81</v>
      </c>
      <c r="I192">
        <v>45.68</v>
      </c>
      <c r="J192">
        <v>35.76</v>
      </c>
      <c r="K192" s="43">
        <v>11218327</v>
      </c>
      <c r="L192" s="43">
        <v>6099519</v>
      </c>
      <c r="M192">
        <v>1150</v>
      </c>
      <c r="N192" s="41"/>
    </row>
    <row r="193" spans="1:14" x14ac:dyDescent="0.25">
      <c r="A193" t="s">
        <v>352</v>
      </c>
      <c r="B193">
        <v>6.5</v>
      </c>
      <c r="C193">
        <v>6.968</v>
      </c>
      <c r="D193">
        <v>337</v>
      </c>
      <c r="E193">
        <v>21</v>
      </c>
      <c r="F193">
        <v>85.37</v>
      </c>
      <c r="G193" s="43">
        <f>100*(1-(1-Collateral!N191/L193)^12)</f>
        <v>89.874555071466972</v>
      </c>
      <c r="H193">
        <v>58.1</v>
      </c>
      <c r="I193">
        <v>44.65</v>
      </c>
      <c r="J193">
        <v>34.799999999999997</v>
      </c>
      <c r="K193" s="43">
        <v>11231048</v>
      </c>
      <c r="L193" s="43">
        <v>6333213</v>
      </c>
      <c r="M193">
        <v>1169</v>
      </c>
      <c r="N193" s="41"/>
    </row>
    <row r="194" spans="1:14" x14ac:dyDescent="0.25">
      <c r="A194" t="s">
        <v>351</v>
      </c>
      <c r="B194">
        <v>6.5</v>
      </c>
      <c r="C194">
        <v>6.9770000000000003</v>
      </c>
      <c r="D194">
        <v>338</v>
      </c>
      <c r="E194">
        <v>20</v>
      </c>
      <c r="F194">
        <v>31.4</v>
      </c>
      <c r="G194" s="43">
        <f>100*(1-(1-Collateral!N192/L194)^12)</f>
        <v>32.238121824180801</v>
      </c>
      <c r="H194">
        <v>29.94</v>
      </c>
      <c r="I194">
        <v>27.25</v>
      </c>
      <c r="J194">
        <v>25.17</v>
      </c>
      <c r="K194" s="43">
        <v>11329419</v>
      </c>
      <c r="L194" s="43">
        <v>7504522</v>
      </c>
      <c r="M194">
        <v>1201</v>
      </c>
      <c r="N194" s="41"/>
    </row>
    <row r="195" spans="1:14" x14ac:dyDescent="0.25">
      <c r="A195" t="s">
        <v>350</v>
      </c>
      <c r="B195">
        <v>6.5</v>
      </c>
      <c r="C195">
        <v>6.9779999999999998</v>
      </c>
      <c r="D195">
        <v>339</v>
      </c>
      <c r="E195">
        <v>19</v>
      </c>
      <c r="F195">
        <v>26.85</v>
      </c>
      <c r="G195" s="43">
        <f>100*(1-(1-Collateral!N193/L195)^12)</f>
        <v>27.45819434599991</v>
      </c>
      <c r="H195">
        <v>26.72</v>
      </c>
      <c r="I195">
        <v>25.86</v>
      </c>
      <c r="J195">
        <v>24.52</v>
      </c>
      <c r="K195" s="43">
        <v>11316174</v>
      </c>
      <c r="L195" s="43">
        <v>7744819</v>
      </c>
      <c r="M195">
        <v>1202</v>
      </c>
      <c r="N195" s="41"/>
    </row>
    <row r="196" spans="1:14" x14ac:dyDescent="0.25">
      <c r="A196" t="s">
        <v>349</v>
      </c>
      <c r="B196">
        <v>6.5</v>
      </c>
      <c r="C196">
        <v>6.9790000000000001</v>
      </c>
      <c r="D196">
        <v>340</v>
      </c>
      <c r="E196">
        <v>18</v>
      </c>
      <c r="F196">
        <v>31.48</v>
      </c>
      <c r="G196" s="43">
        <f>100*(1-(1-Collateral!N194/L196)^12)</f>
        <v>32.320135685987481</v>
      </c>
      <c r="H196">
        <v>27</v>
      </c>
      <c r="I196">
        <v>25.45</v>
      </c>
      <c r="J196">
        <v>24.07</v>
      </c>
      <c r="K196" s="43">
        <v>11343909</v>
      </c>
      <c r="L196" s="43">
        <v>7972364</v>
      </c>
      <c r="M196">
        <v>1210</v>
      </c>
      <c r="N196" s="41"/>
    </row>
    <row r="197" spans="1:14" x14ac:dyDescent="0.25">
      <c r="A197" t="s">
        <v>348</v>
      </c>
      <c r="B197">
        <v>6.5</v>
      </c>
      <c r="C197">
        <v>6.9790000000000001</v>
      </c>
      <c r="D197">
        <v>341</v>
      </c>
      <c r="E197">
        <v>17</v>
      </c>
      <c r="F197">
        <v>21.65</v>
      </c>
      <c r="G197" s="43">
        <f>100*(1-(1-Collateral!N195/L197)^12)</f>
        <v>22.04557408716974</v>
      </c>
      <c r="H197">
        <v>24.47</v>
      </c>
      <c r="I197">
        <v>24</v>
      </c>
      <c r="J197">
        <v>22.78</v>
      </c>
      <c r="K197" s="43">
        <v>11347921</v>
      </c>
      <c r="L197" s="43">
        <v>8237220</v>
      </c>
      <c r="M197">
        <v>1213</v>
      </c>
      <c r="N197" s="41"/>
    </row>
    <row r="198" spans="1:14" x14ac:dyDescent="0.25">
      <c r="A198" t="s">
        <v>347</v>
      </c>
      <c r="B198">
        <v>6.5</v>
      </c>
      <c r="C198">
        <v>6.9790000000000001</v>
      </c>
      <c r="D198">
        <v>342</v>
      </c>
      <c r="E198">
        <v>16</v>
      </c>
      <c r="F198">
        <v>27.57</v>
      </c>
      <c r="G198" s="43">
        <f>100*(1-(1-Collateral!N196/L198)^12)</f>
        <v>28.208150841246539</v>
      </c>
      <c r="H198">
        <v>24.97</v>
      </c>
      <c r="I198">
        <v>24.07</v>
      </c>
      <c r="J198">
        <v>21.92</v>
      </c>
      <c r="K198" s="43">
        <v>11350830</v>
      </c>
      <c r="L198" s="43">
        <v>8417126</v>
      </c>
      <c r="M198">
        <v>1218</v>
      </c>
      <c r="N198" s="41"/>
    </row>
    <row r="199" spans="1:14" x14ac:dyDescent="0.25">
      <c r="A199" t="s">
        <v>346</v>
      </c>
      <c r="B199">
        <v>6.5</v>
      </c>
      <c r="C199">
        <v>6.9790000000000001</v>
      </c>
      <c r="D199">
        <v>343</v>
      </c>
      <c r="E199">
        <v>15</v>
      </c>
      <c r="F199">
        <v>23.97</v>
      </c>
      <c r="G199" s="43">
        <f>100*(1-(1-Collateral!N197/L199)^12)</f>
        <v>24.460594103262466</v>
      </c>
      <c r="H199">
        <v>23.81</v>
      </c>
      <c r="I199">
        <v>23.18</v>
      </c>
      <c r="J199">
        <v>20.87</v>
      </c>
      <c r="K199" s="43">
        <v>11352776</v>
      </c>
      <c r="L199" s="43">
        <v>8656146</v>
      </c>
      <c r="M199">
        <v>1223</v>
      </c>
      <c r="N199" s="41"/>
    </row>
    <row r="200" spans="1:14" x14ac:dyDescent="0.25">
      <c r="A200" t="s">
        <v>345</v>
      </c>
      <c r="B200">
        <v>6.5</v>
      </c>
      <c r="C200">
        <v>6.98</v>
      </c>
      <c r="D200">
        <v>344</v>
      </c>
      <c r="E200">
        <v>14</v>
      </c>
      <c r="F200">
        <v>23.08</v>
      </c>
      <c r="G200" s="43">
        <f>100*(1-(1-Collateral!N198/L200)^12)</f>
        <v>23.534923395395502</v>
      </c>
      <c r="H200">
        <v>23.43</v>
      </c>
      <c r="I200">
        <v>23.02</v>
      </c>
      <c r="J200">
        <v>19.84</v>
      </c>
      <c r="K200" s="43">
        <v>11361114</v>
      </c>
      <c r="L200" s="43">
        <v>8875025</v>
      </c>
      <c r="M200">
        <v>1225</v>
      </c>
      <c r="N200" s="41"/>
    </row>
    <row r="201" spans="1:14" x14ac:dyDescent="0.25">
      <c r="A201" t="s">
        <v>344</v>
      </c>
      <c r="B201">
        <v>6.5</v>
      </c>
      <c r="C201">
        <v>6.98</v>
      </c>
      <c r="D201">
        <v>345</v>
      </c>
      <c r="E201">
        <v>13</v>
      </c>
      <c r="F201">
        <v>24.11</v>
      </c>
      <c r="G201" s="43">
        <f>100*(1-(1-Collateral!N199/L201)^12)</f>
        <v>24.597530265998067</v>
      </c>
      <c r="H201">
        <v>23.12</v>
      </c>
      <c r="I201">
        <v>23.13</v>
      </c>
      <c r="J201">
        <v>19.010000000000002</v>
      </c>
      <c r="K201" s="43">
        <v>11369700</v>
      </c>
      <c r="L201" s="43">
        <v>9086996</v>
      </c>
      <c r="M201">
        <v>1227</v>
      </c>
      <c r="N201" s="41"/>
    </row>
    <row r="202" spans="1:14" x14ac:dyDescent="0.25">
      <c r="A202" t="s">
        <v>343</v>
      </c>
      <c r="B202">
        <v>6.5</v>
      </c>
      <c r="C202">
        <v>6.98</v>
      </c>
      <c r="D202">
        <v>346</v>
      </c>
      <c r="E202">
        <v>12</v>
      </c>
      <c r="F202">
        <v>22.98</v>
      </c>
      <c r="G202" s="43">
        <f>100*(1-(1-Collateral!N200/L202)^12)</f>
        <v>23.428099690807503</v>
      </c>
      <c r="H202">
        <v>22.51</v>
      </c>
      <c r="I202">
        <v>22.62</v>
      </c>
      <c r="J202">
        <v>18.25</v>
      </c>
      <c r="K202" s="43">
        <v>11694601</v>
      </c>
      <c r="L202" s="43">
        <v>9625351</v>
      </c>
      <c r="M202">
        <v>1230</v>
      </c>
      <c r="N202" s="41"/>
    </row>
    <row r="203" spans="1:14" x14ac:dyDescent="0.25">
      <c r="A203" t="s">
        <v>342</v>
      </c>
      <c r="B203">
        <v>6.5</v>
      </c>
      <c r="C203">
        <v>6.9809999999999999</v>
      </c>
      <c r="D203">
        <v>347</v>
      </c>
      <c r="E203">
        <v>11</v>
      </c>
      <c r="F203">
        <v>22.2</v>
      </c>
      <c r="G203" s="43">
        <f>100*(1-(1-Collateral!N201/L203)^12)</f>
        <v>22.614001570282316</v>
      </c>
      <c r="H203">
        <v>22.65</v>
      </c>
      <c r="I203">
        <v>21.52</v>
      </c>
      <c r="J203">
        <v>17.420000000000002</v>
      </c>
      <c r="K203" s="43">
        <v>11292785</v>
      </c>
      <c r="L203" s="43">
        <v>9442021</v>
      </c>
      <c r="M203">
        <v>1229</v>
      </c>
      <c r="N203" s="41"/>
    </row>
    <row r="204" spans="1:14" x14ac:dyDescent="0.25">
      <c r="A204" t="s">
        <v>341</v>
      </c>
      <c r="B204">
        <v>6.5</v>
      </c>
      <c r="C204">
        <v>6.9809999999999999</v>
      </c>
      <c r="D204">
        <v>348</v>
      </c>
      <c r="E204">
        <v>10</v>
      </c>
      <c r="F204">
        <v>22.48</v>
      </c>
      <c r="G204" s="43">
        <f>100*(1-(1-Collateral!N202/L204)^12)</f>
        <v>22.903938853215454</v>
      </c>
      <c r="H204">
        <v>23.14</v>
      </c>
      <c r="I204">
        <v>19.670000000000002</v>
      </c>
      <c r="J204">
        <v>16.43</v>
      </c>
      <c r="K204" s="43">
        <v>11277992</v>
      </c>
      <c r="L204" s="43">
        <v>9635292</v>
      </c>
      <c r="M204">
        <v>1222</v>
      </c>
      <c r="N204" s="41"/>
    </row>
    <row r="205" spans="1:14" x14ac:dyDescent="0.25">
      <c r="A205" t="s">
        <v>340</v>
      </c>
      <c r="B205">
        <v>6.5</v>
      </c>
      <c r="C205">
        <v>6.9809999999999999</v>
      </c>
      <c r="D205">
        <v>350</v>
      </c>
      <c r="E205">
        <v>9</v>
      </c>
      <c r="F205">
        <v>23.29</v>
      </c>
      <c r="G205" s="43">
        <f>100*(1-(1-Collateral!N203/L205)^12)</f>
        <v>23.749326406584093</v>
      </c>
      <c r="H205">
        <v>22.75</v>
      </c>
      <c r="I205">
        <v>18.440000000000001</v>
      </c>
      <c r="J205">
        <v>15.21</v>
      </c>
      <c r="K205" s="43">
        <v>11288072</v>
      </c>
      <c r="L205" s="43">
        <v>9859428</v>
      </c>
      <c r="M205">
        <v>1229</v>
      </c>
      <c r="N205" s="41"/>
    </row>
    <row r="206" spans="1:14" x14ac:dyDescent="0.25">
      <c r="A206" t="s">
        <v>339</v>
      </c>
      <c r="B206">
        <v>6.5</v>
      </c>
      <c r="C206">
        <v>6.9809999999999999</v>
      </c>
      <c r="D206">
        <v>351</v>
      </c>
      <c r="E206">
        <v>8</v>
      </c>
      <c r="F206">
        <v>23.71</v>
      </c>
      <c r="G206" s="43">
        <f>100*(1-(1-Collateral!N204/L206)^12)</f>
        <v>24.185221911295884</v>
      </c>
      <c r="H206">
        <v>20.37</v>
      </c>
      <c r="I206">
        <v>16.510000000000002</v>
      </c>
      <c r="J206">
        <v>14</v>
      </c>
      <c r="K206" s="43">
        <v>11316148</v>
      </c>
      <c r="L206" s="43">
        <v>10111960</v>
      </c>
      <c r="M206">
        <v>1240</v>
      </c>
      <c r="N206" s="41"/>
    </row>
    <row r="207" spans="1:14" x14ac:dyDescent="0.25">
      <c r="A207" t="s">
        <v>338</v>
      </c>
      <c r="B207">
        <v>6.5</v>
      </c>
      <c r="C207">
        <v>6.9809999999999999</v>
      </c>
      <c r="D207">
        <v>352</v>
      </c>
      <c r="E207">
        <v>7</v>
      </c>
      <c r="F207">
        <v>21.06</v>
      </c>
      <c r="G207" s="43">
        <f>100*(1-(1-Collateral!N205/L207)^12)</f>
        <v>21.429394708727234</v>
      </c>
      <c r="H207">
        <v>15.95</v>
      </c>
      <c r="I207">
        <v>14.63</v>
      </c>
      <c r="J207">
        <v>12.27</v>
      </c>
      <c r="K207" s="43">
        <v>11328276</v>
      </c>
      <c r="L207" s="43">
        <v>10361360</v>
      </c>
      <c r="M207">
        <v>1254</v>
      </c>
      <c r="N207" s="41"/>
    </row>
    <row r="208" spans="1:14" x14ac:dyDescent="0.25">
      <c r="A208" t="s">
        <v>337</v>
      </c>
      <c r="B208">
        <v>6.5</v>
      </c>
      <c r="C208">
        <v>6.9779999999999998</v>
      </c>
      <c r="D208">
        <v>353</v>
      </c>
      <c r="E208">
        <v>6</v>
      </c>
      <c r="F208">
        <v>15.96</v>
      </c>
      <c r="G208" s="43">
        <f>100*(1-(1-Collateral!N206/L208)^12)</f>
        <v>16.172162224621054</v>
      </c>
      <c r="H208">
        <v>13.88</v>
      </c>
      <c r="I208">
        <v>13.68</v>
      </c>
      <c r="K208" s="43">
        <v>10959149</v>
      </c>
      <c r="L208" s="43">
        <v>10208323</v>
      </c>
      <c r="M208">
        <v>1199</v>
      </c>
      <c r="N208" s="41"/>
    </row>
    <row r="209" spans="1:14" x14ac:dyDescent="0.25">
      <c r="A209" t="s">
        <v>336</v>
      </c>
      <c r="B209">
        <v>6.5</v>
      </c>
      <c r="C209">
        <v>7.1120000000000001</v>
      </c>
      <c r="D209">
        <v>343</v>
      </c>
      <c r="E209">
        <v>16</v>
      </c>
      <c r="F209">
        <v>9.9</v>
      </c>
      <c r="G209" s="43">
        <f>100*(1-(1-Collateral!N207/L209)^12)</f>
        <v>9.9857754267501768</v>
      </c>
      <c r="H209">
        <v>11.06</v>
      </c>
      <c r="I209">
        <v>11.37</v>
      </c>
      <c r="J209">
        <v>14.92</v>
      </c>
      <c r="K209" s="43">
        <v>35431351</v>
      </c>
      <c r="L209" s="43">
        <v>28756417</v>
      </c>
      <c r="M209">
        <v>1872</v>
      </c>
      <c r="N209" s="41"/>
    </row>
    <row r="210" spans="1:14" x14ac:dyDescent="0.25">
      <c r="A210" t="s">
        <v>335</v>
      </c>
      <c r="B210">
        <v>6.5</v>
      </c>
      <c r="C210">
        <v>7.1120000000000001</v>
      </c>
      <c r="D210">
        <v>344</v>
      </c>
      <c r="E210">
        <v>15</v>
      </c>
      <c r="F210">
        <v>13.28</v>
      </c>
      <c r="G210" s="43">
        <f>100*(1-(1-Collateral!N208/L210)^12)</f>
        <v>13.426223873882092</v>
      </c>
      <c r="H210">
        <v>11.05</v>
      </c>
      <c r="I210">
        <v>12.51</v>
      </c>
      <c r="J210">
        <v>15.01</v>
      </c>
      <c r="K210" s="43">
        <v>35477018</v>
      </c>
      <c r="L210" s="43">
        <v>29075949</v>
      </c>
      <c r="M210">
        <v>1882</v>
      </c>
      <c r="N210" s="41"/>
    </row>
    <row r="211" spans="1:14" x14ac:dyDescent="0.25">
      <c r="A211" t="s">
        <v>334</v>
      </c>
      <c r="B211">
        <v>6.5</v>
      </c>
      <c r="C211">
        <v>7.1130000000000004</v>
      </c>
      <c r="D211">
        <v>345</v>
      </c>
      <c r="E211">
        <v>14</v>
      </c>
      <c r="F211">
        <v>9.93</v>
      </c>
      <c r="G211" s="43">
        <f>100*(1-(1-Collateral!N209/L211)^12)</f>
        <v>10.014179608055384</v>
      </c>
      <c r="H211">
        <v>10.45</v>
      </c>
      <c r="I211">
        <v>13.62</v>
      </c>
      <c r="J211">
        <v>15.04</v>
      </c>
      <c r="K211" s="43">
        <v>35540276</v>
      </c>
      <c r="L211" s="43">
        <v>29511939</v>
      </c>
      <c r="M211">
        <v>1881</v>
      </c>
      <c r="N211" s="41"/>
    </row>
    <row r="212" spans="1:14" x14ac:dyDescent="0.25">
      <c r="A212" t="s">
        <v>333</v>
      </c>
      <c r="B212">
        <v>6.5</v>
      </c>
      <c r="C212">
        <v>7.1130000000000004</v>
      </c>
      <c r="D212">
        <v>346</v>
      </c>
      <c r="E212">
        <v>13</v>
      </c>
      <c r="F212">
        <v>9.89</v>
      </c>
      <c r="G212" s="43">
        <f>100*(1-(1-Collateral!N210/L212)^12)</f>
        <v>9.9712874402444704</v>
      </c>
      <c r="H212">
        <v>11.69</v>
      </c>
      <c r="I212">
        <v>15.31</v>
      </c>
      <c r="J212">
        <v>15.2</v>
      </c>
      <c r="K212" s="43">
        <v>35511081</v>
      </c>
      <c r="L212" s="43">
        <v>29760897</v>
      </c>
      <c r="M212">
        <v>1875</v>
      </c>
      <c r="N212" s="41"/>
    </row>
    <row r="213" spans="1:14" x14ac:dyDescent="0.25">
      <c r="A213" t="s">
        <v>332</v>
      </c>
      <c r="B213">
        <v>6.5</v>
      </c>
      <c r="C213">
        <v>7.1139999999999999</v>
      </c>
      <c r="D213">
        <v>347</v>
      </c>
      <c r="E213">
        <v>12</v>
      </c>
      <c r="F213">
        <v>11.53</v>
      </c>
      <c r="G213" s="43">
        <f>100*(1-(1-Collateral!N211/L213)^12)</f>
        <v>11.64506741495277</v>
      </c>
      <c r="H213">
        <v>13.95</v>
      </c>
      <c r="I213">
        <v>17.32</v>
      </c>
      <c r="J213">
        <v>15.48</v>
      </c>
      <c r="K213" s="43">
        <v>35504328</v>
      </c>
      <c r="L213" s="43">
        <v>30036324</v>
      </c>
      <c r="M213">
        <v>1875</v>
      </c>
      <c r="N213" s="41"/>
    </row>
    <row r="214" spans="1:14" x14ac:dyDescent="0.25">
      <c r="A214" t="s">
        <v>331</v>
      </c>
      <c r="B214">
        <v>6.5</v>
      </c>
      <c r="C214">
        <v>7.1139999999999999</v>
      </c>
      <c r="D214">
        <v>348</v>
      </c>
      <c r="E214">
        <v>11</v>
      </c>
      <c r="F214">
        <v>13.62</v>
      </c>
      <c r="G214" s="43">
        <f>100*(1-(1-Collateral!N212/L214)^12)</f>
        <v>13.780960854491253</v>
      </c>
      <c r="H214">
        <v>16.690000000000001</v>
      </c>
      <c r="I214">
        <v>18.03</v>
      </c>
      <c r="J214">
        <v>15.91</v>
      </c>
      <c r="K214" s="43">
        <v>35498175</v>
      </c>
      <c r="L214" s="43">
        <v>30364802</v>
      </c>
      <c r="M214">
        <v>1875</v>
      </c>
      <c r="N214" s="41"/>
    </row>
    <row r="215" spans="1:14" x14ac:dyDescent="0.25">
      <c r="A215" t="s">
        <v>330</v>
      </c>
      <c r="B215">
        <v>6.5</v>
      </c>
      <c r="C215">
        <v>7.1150000000000002</v>
      </c>
      <c r="D215">
        <v>349</v>
      </c>
      <c r="E215">
        <v>10</v>
      </c>
      <c r="F215">
        <v>16.57</v>
      </c>
      <c r="G215" s="43">
        <f>100*(1-(1-Collateral!N213/L215)^12)</f>
        <v>16.798963316305581</v>
      </c>
      <c r="H215">
        <v>18.760000000000002</v>
      </c>
      <c r="I215">
        <v>18.309999999999999</v>
      </c>
      <c r="J215">
        <v>16.86</v>
      </c>
      <c r="K215" s="43">
        <v>35468257</v>
      </c>
      <c r="L215" s="43">
        <v>30738401</v>
      </c>
      <c r="M215">
        <v>1874</v>
      </c>
      <c r="N215" s="41"/>
    </row>
    <row r="216" spans="1:14" x14ac:dyDescent="0.25">
      <c r="A216" t="s">
        <v>329</v>
      </c>
      <c r="B216">
        <v>6.5</v>
      </c>
      <c r="C216">
        <v>7.0979999999999999</v>
      </c>
      <c r="D216">
        <v>350</v>
      </c>
      <c r="E216">
        <v>9</v>
      </c>
      <c r="F216">
        <v>17.53</v>
      </c>
      <c r="G216" s="43">
        <f>100*(1-(1-Collateral!N214/L216)^12)</f>
        <v>17.789669729751857</v>
      </c>
      <c r="H216">
        <v>18.010000000000002</v>
      </c>
      <c r="I216">
        <v>15.15</v>
      </c>
      <c r="J216">
        <v>14.38</v>
      </c>
      <c r="K216" s="43">
        <v>51356913</v>
      </c>
      <c r="L216" s="43">
        <v>45995125</v>
      </c>
      <c r="M216">
        <v>3997</v>
      </c>
      <c r="N216" s="41"/>
    </row>
    <row r="217" spans="1:14" x14ac:dyDescent="0.25">
      <c r="A217" t="s">
        <v>328</v>
      </c>
      <c r="B217">
        <v>6.5</v>
      </c>
      <c r="C217">
        <v>7.0979999999999999</v>
      </c>
      <c r="D217">
        <v>351</v>
      </c>
      <c r="E217">
        <v>8</v>
      </c>
      <c r="F217">
        <v>17.600000000000001</v>
      </c>
      <c r="G217" s="43">
        <f>100*(1-(1-Collateral!N215/L217)^12)</f>
        <v>17.86201928051927</v>
      </c>
      <c r="H217">
        <v>16.77</v>
      </c>
      <c r="I217">
        <v>14.13</v>
      </c>
      <c r="J217">
        <v>13.73</v>
      </c>
      <c r="K217" s="43">
        <v>51354799</v>
      </c>
      <c r="L217" s="43">
        <v>46775024</v>
      </c>
      <c r="M217">
        <v>3993</v>
      </c>
      <c r="N217" s="41"/>
    </row>
    <row r="218" spans="1:14" x14ac:dyDescent="0.25">
      <c r="A218" t="s">
        <v>327</v>
      </c>
      <c r="B218">
        <v>6.5</v>
      </c>
      <c r="C218">
        <v>7.0990000000000002</v>
      </c>
      <c r="D218">
        <v>352</v>
      </c>
      <c r="E218">
        <v>7</v>
      </c>
      <c r="F218">
        <v>18.82</v>
      </c>
      <c r="G218" s="43">
        <f>100*(1-(1-Collateral!N216/L218)^12)</f>
        <v>19.123654872810793</v>
      </c>
      <c r="H218">
        <v>15.23</v>
      </c>
      <c r="I218">
        <v>12.84</v>
      </c>
      <c r="J218">
        <v>13.26</v>
      </c>
      <c r="K218" s="43">
        <v>51043811</v>
      </c>
      <c r="L218" s="43">
        <v>47263855</v>
      </c>
      <c r="M218">
        <v>3991</v>
      </c>
      <c r="N218" s="41"/>
    </row>
    <row r="219" spans="1:14" x14ac:dyDescent="0.25">
      <c r="A219" t="s">
        <v>326</v>
      </c>
      <c r="B219">
        <v>6.5</v>
      </c>
      <c r="C219">
        <v>7.0990000000000002</v>
      </c>
      <c r="D219">
        <v>353</v>
      </c>
      <c r="E219">
        <v>6</v>
      </c>
      <c r="F219">
        <v>13.75</v>
      </c>
      <c r="G219" s="43">
        <f>100*(1-(1-Collateral!N217/L219)^12)</f>
        <v>13.908111946468903</v>
      </c>
      <c r="H219">
        <v>12.19</v>
      </c>
      <c r="I219">
        <v>11.49</v>
      </c>
      <c r="J219">
        <v>12.28</v>
      </c>
      <c r="K219" s="43">
        <v>49149519</v>
      </c>
      <c r="L219" s="43">
        <v>46238699</v>
      </c>
      <c r="M219">
        <v>3796</v>
      </c>
      <c r="N219" s="41"/>
    </row>
    <row r="220" spans="1:14" x14ac:dyDescent="0.25">
      <c r="A220" t="s">
        <v>325</v>
      </c>
      <c r="B220">
        <v>6.5</v>
      </c>
      <c r="C220">
        <v>7.093</v>
      </c>
      <c r="D220">
        <v>354</v>
      </c>
      <c r="E220">
        <v>5</v>
      </c>
      <c r="F220">
        <v>12.98</v>
      </c>
      <c r="G220" s="43">
        <f>100*(1-(1-Collateral!N218/L220)^12)</f>
        <v>13.123926710354251</v>
      </c>
      <c r="H220">
        <v>11.39</v>
      </c>
      <c r="I220">
        <v>11.41</v>
      </c>
      <c r="K220" s="43">
        <v>46006124</v>
      </c>
      <c r="L220" s="43">
        <v>43705193</v>
      </c>
      <c r="M220">
        <v>3497</v>
      </c>
      <c r="N220" s="41"/>
    </row>
    <row r="221" spans="1:14" x14ac:dyDescent="0.25">
      <c r="A221" t="s">
        <v>324</v>
      </c>
      <c r="B221">
        <v>6.5</v>
      </c>
      <c r="C221">
        <v>7.0830000000000002</v>
      </c>
      <c r="D221">
        <v>355</v>
      </c>
      <c r="E221">
        <v>5</v>
      </c>
      <c r="F221">
        <v>9.7799999999999994</v>
      </c>
      <c r="G221" s="43">
        <f>100*(1-(1-Collateral!N219/L221)^12)</f>
        <v>9.8571661777767439</v>
      </c>
      <c r="H221">
        <v>10.38</v>
      </c>
      <c r="I221">
        <v>12.47</v>
      </c>
      <c r="K221" s="43">
        <v>41621081</v>
      </c>
      <c r="L221" s="43">
        <v>39866403</v>
      </c>
      <c r="M221">
        <v>3155</v>
      </c>
      <c r="N221" s="41"/>
    </row>
    <row r="222" spans="1:14" x14ac:dyDescent="0.25">
      <c r="A222" t="s">
        <v>323</v>
      </c>
      <c r="B222">
        <v>6.5</v>
      </c>
      <c r="C222">
        <v>7.0750000000000002</v>
      </c>
      <c r="D222">
        <v>355</v>
      </c>
      <c r="E222">
        <v>4</v>
      </c>
      <c r="F222">
        <v>11.38</v>
      </c>
      <c r="G222" s="43">
        <f>100*(1-(1-Collateral!N220/L222)^12)</f>
        <v>11.49000176704077</v>
      </c>
      <c r="H222">
        <v>10.81</v>
      </c>
      <c r="I222">
        <v>13.68</v>
      </c>
      <c r="K222" s="43">
        <v>37221981</v>
      </c>
      <c r="L222" s="43">
        <v>35842670</v>
      </c>
      <c r="M222">
        <v>2821</v>
      </c>
      <c r="N222" s="41"/>
    </row>
    <row r="223" spans="1:14" x14ac:dyDescent="0.25">
      <c r="A223" t="s">
        <v>322</v>
      </c>
      <c r="B223">
        <v>6.5</v>
      </c>
      <c r="C223">
        <v>7.0750000000000002</v>
      </c>
      <c r="D223">
        <v>356</v>
      </c>
      <c r="E223">
        <v>3</v>
      </c>
      <c r="F223">
        <v>10.01</v>
      </c>
      <c r="G223" s="43">
        <f>100*(1-(1-Collateral!N221/L223)^12)</f>
        <v>10.09656918712154</v>
      </c>
      <c r="H223">
        <v>11.47</v>
      </c>
      <c r="I223">
        <v>13.47</v>
      </c>
      <c r="K223" s="43">
        <v>29726265</v>
      </c>
      <c r="L223" s="43">
        <v>28738471</v>
      </c>
      <c r="M223">
        <v>2390</v>
      </c>
      <c r="N223" s="41"/>
    </row>
    <row r="224" spans="1:14" x14ac:dyDescent="0.25">
      <c r="A224" t="s">
        <v>321</v>
      </c>
      <c r="B224">
        <v>6.5</v>
      </c>
      <c r="C224">
        <v>7.0609999999999999</v>
      </c>
      <c r="D224">
        <v>356</v>
      </c>
      <c r="E224">
        <v>3</v>
      </c>
      <c r="F224">
        <v>11.11</v>
      </c>
      <c r="G224" s="43">
        <f>100*(1-(1-Collateral!N222/L224)^12)</f>
        <v>11.214630092529465</v>
      </c>
      <c r="H224">
        <v>14.63</v>
      </c>
      <c r="I224">
        <v>13.78</v>
      </c>
      <c r="K224" s="43">
        <v>21031295</v>
      </c>
      <c r="L224" s="43">
        <v>20317856</v>
      </c>
      <c r="M224">
        <v>1934</v>
      </c>
      <c r="N224" s="41"/>
    </row>
    <row r="225" spans="1:14" x14ac:dyDescent="0.25">
      <c r="A225" t="s">
        <v>320</v>
      </c>
      <c r="B225">
        <v>6.5</v>
      </c>
      <c r="C225">
        <v>7.07</v>
      </c>
      <c r="D225">
        <v>356</v>
      </c>
      <c r="E225">
        <v>3</v>
      </c>
      <c r="F225">
        <v>13.48</v>
      </c>
      <c r="G225" s="43">
        <f>100*(1-(1-Collateral!N223/L225)^12)</f>
        <v>13.637291600321856</v>
      </c>
      <c r="H225">
        <v>16.690000000000001</v>
      </c>
      <c r="I225">
        <v>13.18</v>
      </c>
      <c r="K225" s="43">
        <v>14743431</v>
      </c>
      <c r="L225" s="43">
        <v>14242497</v>
      </c>
      <c r="M225">
        <v>1512</v>
      </c>
      <c r="N225" s="41"/>
    </row>
    <row r="226" spans="1:14" x14ac:dyDescent="0.25">
      <c r="A226" t="s">
        <v>319</v>
      </c>
      <c r="B226">
        <v>6.5</v>
      </c>
      <c r="C226">
        <v>7.117</v>
      </c>
      <c r="D226">
        <v>356</v>
      </c>
      <c r="E226">
        <v>3</v>
      </c>
      <c r="F226">
        <v>19.27</v>
      </c>
      <c r="G226" s="43">
        <f>100*(1-(1-Collateral!N224/L226)^12)</f>
        <v>19.587356601526007</v>
      </c>
      <c r="H226">
        <v>15.43</v>
      </c>
      <c r="K226" s="43">
        <v>8997924</v>
      </c>
      <c r="L226" s="43">
        <v>8683216</v>
      </c>
      <c r="M226">
        <v>1124</v>
      </c>
      <c r="N226" s="41"/>
    </row>
    <row r="227" spans="1:14" x14ac:dyDescent="0.25">
      <c r="A227" t="s">
        <v>318</v>
      </c>
      <c r="B227">
        <v>6.5</v>
      </c>
      <c r="C227">
        <v>7.0330000000000004</v>
      </c>
      <c r="D227">
        <v>348</v>
      </c>
      <c r="E227">
        <v>11</v>
      </c>
      <c r="F227">
        <v>19.93</v>
      </c>
      <c r="G227" s="43">
        <f>100*(1-(1-Collateral!N225/L227)^12)</f>
        <v>20.266215172002966</v>
      </c>
      <c r="H227">
        <v>19.420000000000002</v>
      </c>
      <c r="I227">
        <v>18.46</v>
      </c>
      <c r="J227">
        <v>16.03</v>
      </c>
      <c r="K227" s="43">
        <v>60566123</v>
      </c>
      <c r="L227" s="43">
        <v>51773193</v>
      </c>
      <c r="M227">
        <v>4306</v>
      </c>
      <c r="N227" s="41"/>
    </row>
    <row r="228" spans="1:14" x14ac:dyDescent="0.25">
      <c r="A228" t="s">
        <v>317</v>
      </c>
      <c r="B228">
        <v>6.5</v>
      </c>
      <c r="C228">
        <v>7.0339999999999998</v>
      </c>
      <c r="D228">
        <v>349</v>
      </c>
      <c r="E228">
        <v>10</v>
      </c>
      <c r="F228">
        <v>19.36</v>
      </c>
      <c r="G228" s="43">
        <f>100*(1-(1-Collateral!N226/L228)^12)</f>
        <v>19.671267229137413</v>
      </c>
      <c r="H228">
        <v>18.22</v>
      </c>
      <c r="I228">
        <v>17.510000000000002</v>
      </c>
      <c r="J228">
        <v>15.54</v>
      </c>
      <c r="K228" s="43">
        <v>60327607</v>
      </c>
      <c r="L228" s="43">
        <v>52552136</v>
      </c>
      <c r="M228">
        <v>4294</v>
      </c>
      <c r="N228" s="41"/>
    </row>
    <row r="229" spans="1:14" x14ac:dyDescent="0.25">
      <c r="A229" t="s">
        <v>316</v>
      </c>
      <c r="B229">
        <v>6.5</v>
      </c>
      <c r="C229">
        <v>7.0359999999999996</v>
      </c>
      <c r="D229">
        <v>350</v>
      </c>
      <c r="E229">
        <v>9</v>
      </c>
      <c r="F229">
        <v>18.97</v>
      </c>
      <c r="G229" s="43">
        <f>100*(1-(1-Collateral!N227/L229)^12)</f>
        <v>19.278059571831974</v>
      </c>
      <c r="H229">
        <v>18.03</v>
      </c>
      <c r="I229">
        <v>16.87</v>
      </c>
      <c r="J229">
        <v>14.87</v>
      </c>
      <c r="K229" s="43">
        <v>60095185</v>
      </c>
      <c r="L229" s="43">
        <v>53317272</v>
      </c>
      <c r="M229">
        <v>4269</v>
      </c>
      <c r="N229" s="41"/>
    </row>
    <row r="230" spans="1:14" x14ac:dyDescent="0.25">
      <c r="A230" t="s">
        <v>315</v>
      </c>
      <c r="B230">
        <v>6.5</v>
      </c>
      <c r="C230">
        <v>7.0359999999999996</v>
      </c>
      <c r="D230">
        <v>351</v>
      </c>
      <c r="E230">
        <v>8</v>
      </c>
      <c r="F230">
        <v>16.309999999999999</v>
      </c>
      <c r="G230" s="43">
        <f>100*(1-(1-Collateral!N228/L230)^12)</f>
        <v>16.534300287645507</v>
      </c>
      <c r="H230">
        <v>17.489999999999998</v>
      </c>
      <c r="I230">
        <v>15.81</v>
      </c>
      <c r="J230">
        <v>14.27</v>
      </c>
      <c r="K230" s="43">
        <v>59852599</v>
      </c>
      <c r="L230" s="43">
        <v>54056538</v>
      </c>
      <c r="M230">
        <v>4220</v>
      </c>
      <c r="N230" s="41"/>
    </row>
    <row r="231" spans="1:14" x14ac:dyDescent="0.25">
      <c r="A231" t="s">
        <v>314</v>
      </c>
      <c r="B231">
        <v>6.5</v>
      </c>
      <c r="C231">
        <v>7.0339999999999998</v>
      </c>
      <c r="D231">
        <v>352</v>
      </c>
      <c r="E231">
        <v>7</v>
      </c>
      <c r="F231">
        <v>18.77</v>
      </c>
      <c r="G231" s="43">
        <f>100*(1-(1-Collateral!N229/L231)^12)</f>
        <v>19.064355522251741</v>
      </c>
      <c r="H231">
        <v>16.8</v>
      </c>
      <c r="I231">
        <v>15.22</v>
      </c>
      <c r="J231">
        <v>13.63</v>
      </c>
      <c r="K231" s="43">
        <v>57868773</v>
      </c>
      <c r="L231" s="43">
        <v>52929029</v>
      </c>
      <c r="M231">
        <v>4014</v>
      </c>
      <c r="N231" s="41"/>
    </row>
    <row r="232" spans="1:14" x14ac:dyDescent="0.25">
      <c r="A232" t="s">
        <v>313</v>
      </c>
      <c r="B232">
        <v>6.5</v>
      </c>
      <c r="C232">
        <v>7.0279999999999996</v>
      </c>
      <c r="D232">
        <v>353</v>
      </c>
      <c r="E232">
        <v>6</v>
      </c>
      <c r="F232">
        <v>17.37</v>
      </c>
      <c r="G232" s="43">
        <f>100*(1-(1-Collateral!N230/L232)^12)</f>
        <v>17.624714591864777</v>
      </c>
      <c r="H232">
        <v>15.7</v>
      </c>
      <c r="I232">
        <v>14.13</v>
      </c>
      <c r="J232">
        <v>12.13</v>
      </c>
      <c r="K232" s="43">
        <v>55746954</v>
      </c>
      <c r="L232" s="43">
        <v>51778237</v>
      </c>
      <c r="M232">
        <v>3747</v>
      </c>
      <c r="N232" s="41"/>
    </row>
    <row r="233" spans="1:14" x14ac:dyDescent="0.25">
      <c r="A233" t="s">
        <v>312</v>
      </c>
      <c r="B233">
        <v>6.5</v>
      </c>
      <c r="C233">
        <v>7.0209999999999999</v>
      </c>
      <c r="D233">
        <v>354</v>
      </c>
      <c r="E233">
        <v>5</v>
      </c>
      <c r="F233">
        <v>14.19</v>
      </c>
      <c r="G233" s="43">
        <f>100*(1-(1-Collateral!N231/L233)^12)</f>
        <v>14.362647273827033</v>
      </c>
      <c r="H233">
        <v>14.1</v>
      </c>
      <c r="I233">
        <v>13.58</v>
      </c>
      <c r="K233" s="43">
        <v>52798507</v>
      </c>
      <c r="L233" s="43">
        <v>49705220</v>
      </c>
      <c r="M233">
        <v>3472</v>
      </c>
      <c r="N233" s="41"/>
    </row>
    <row r="234" spans="1:14" x14ac:dyDescent="0.25">
      <c r="A234" t="s">
        <v>311</v>
      </c>
      <c r="B234">
        <v>6.5</v>
      </c>
      <c r="C234">
        <v>7.016</v>
      </c>
      <c r="D234">
        <v>355</v>
      </c>
      <c r="E234">
        <v>4</v>
      </c>
      <c r="F234">
        <v>15.5</v>
      </c>
      <c r="G234" s="43">
        <f>100*(1-(1-Collateral!N232/L234)^12)</f>
        <v>15.70020027021145</v>
      </c>
      <c r="H234">
        <v>13.63</v>
      </c>
      <c r="I234">
        <v>13.57</v>
      </c>
      <c r="K234" s="43">
        <v>48936468</v>
      </c>
      <c r="L234" s="43">
        <v>46522109</v>
      </c>
      <c r="M234">
        <v>3154</v>
      </c>
      <c r="N234" s="41"/>
    </row>
    <row r="235" spans="1:14" x14ac:dyDescent="0.25">
      <c r="A235" t="s">
        <v>310</v>
      </c>
      <c r="B235">
        <v>6.5</v>
      </c>
      <c r="C235">
        <v>7.0129999999999999</v>
      </c>
      <c r="D235">
        <v>355</v>
      </c>
      <c r="E235">
        <v>4</v>
      </c>
      <c r="F235">
        <v>12.89</v>
      </c>
      <c r="G235" s="43">
        <f>100*(1-(1-Collateral!N233/L235)^12)</f>
        <v>13.027967143517682</v>
      </c>
      <c r="H235">
        <v>12.63</v>
      </c>
      <c r="I235">
        <v>12.93</v>
      </c>
      <c r="K235" s="43">
        <v>42635627</v>
      </c>
      <c r="L235" s="43">
        <v>40917456</v>
      </c>
      <c r="M235">
        <v>2759</v>
      </c>
      <c r="N235" s="41"/>
    </row>
    <row r="236" spans="1:14" x14ac:dyDescent="0.25">
      <c r="A236" t="s">
        <v>309</v>
      </c>
      <c r="B236">
        <v>6.5</v>
      </c>
      <c r="C236">
        <v>7.0019999999999998</v>
      </c>
      <c r="D236">
        <v>356</v>
      </c>
      <c r="E236">
        <v>3</v>
      </c>
      <c r="F236">
        <v>12.82</v>
      </c>
      <c r="G236" s="43">
        <f>100*(1-(1-Collateral!N234/L236)^12)</f>
        <v>12.956115962975757</v>
      </c>
      <c r="H236">
        <v>13.09</v>
      </c>
      <c r="I236">
        <v>12.71</v>
      </c>
      <c r="K236" s="43">
        <v>35445941</v>
      </c>
      <c r="L236" s="43">
        <v>34224522</v>
      </c>
      <c r="M236">
        <v>2275</v>
      </c>
      <c r="N236" s="41"/>
    </row>
    <row r="237" spans="1:14" x14ac:dyDescent="0.25">
      <c r="A237" t="s">
        <v>308</v>
      </c>
      <c r="B237">
        <v>6.5</v>
      </c>
      <c r="C237">
        <v>6.9950000000000001</v>
      </c>
      <c r="D237">
        <v>356</v>
      </c>
      <c r="E237">
        <v>3</v>
      </c>
      <c r="F237">
        <v>12.27</v>
      </c>
      <c r="G237" s="43">
        <f>100*(1-(1-Collateral!N235/L237)^12)</f>
        <v>12.396042777004713</v>
      </c>
      <c r="H237">
        <v>13.51</v>
      </c>
      <c r="I237">
        <v>11.94</v>
      </c>
      <c r="K237" s="43">
        <v>26151946</v>
      </c>
      <c r="L237" s="43">
        <v>25351121</v>
      </c>
      <c r="M237">
        <v>1793</v>
      </c>
      <c r="N237" s="41"/>
    </row>
    <row r="238" spans="1:14" x14ac:dyDescent="0.25">
      <c r="A238" t="s">
        <v>307</v>
      </c>
      <c r="B238">
        <v>6.5</v>
      </c>
      <c r="C238">
        <v>7.0270000000000001</v>
      </c>
      <c r="D238">
        <v>357</v>
      </c>
      <c r="E238">
        <v>3</v>
      </c>
      <c r="F238">
        <v>14.35</v>
      </c>
      <c r="G238" s="43">
        <f>100*(1-(1-Collateral!N236/L238)^12)</f>
        <v>14.528020355027149</v>
      </c>
      <c r="H238">
        <v>13.29</v>
      </c>
      <c r="K238" s="43">
        <v>17968052</v>
      </c>
      <c r="L238" s="43">
        <v>17466101</v>
      </c>
      <c r="M238">
        <v>1387</v>
      </c>
      <c r="N238" s="41"/>
    </row>
    <row r="239" spans="1:14" x14ac:dyDescent="0.25">
      <c r="A239" t="s">
        <v>306</v>
      </c>
      <c r="B239">
        <v>6.5</v>
      </c>
      <c r="C239">
        <v>6.9790000000000001</v>
      </c>
      <c r="D239">
        <v>334</v>
      </c>
      <c r="E239">
        <v>22</v>
      </c>
      <c r="F239">
        <v>28.83</v>
      </c>
      <c r="G239" s="43">
        <f>100*(1-(1-Collateral!N237/L239)^12)</f>
        <v>29.535347890428167</v>
      </c>
      <c r="H239">
        <v>27.08</v>
      </c>
      <c r="I239">
        <v>29.33</v>
      </c>
      <c r="J239">
        <v>35.369999999999997</v>
      </c>
      <c r="K239" s="43">
        <v>9586310</v>
      </c>
      <c r="L239" s="43">
        <v>4584003</v>
      </c>
      <c r="M239">
        <v>1433</v>
      </c>
      <c r="N239" s="41"/>
    </row>
    <row r="240" spans="1:14" x14ac:dyDescent="0.25">
      <c r="A240" t="s">
        <v>305</v>
      </c>
      <c r="B240">
        <v>6.5</v>
      </c>
      <c r="C240">
        <v>6.9790000000000001</v>
      </c>
      <c r="D240">
        <v>335</v>
      </c>
      <c r="E240">
        <v>21</v>
      </c>
      <c r="F240">
        <v>23.63</v>
      </c>
      <c r="G240" s="43">
        <f>100*(1-(1-Collateral!N238/L240)^12)</f>
        <v>24.101290082951042</v>
      </c>
      <c r="H240">
        <v>27.45</v>
      </c>
      <c r="I240">
        <v>31.04</v>
      </c>
      <c r="J240">
        <v>35.94</v>
      </c>
      <c r="K240" s="43">
        <v>9600336</v>
      </c>
      <c r="L240" s="43">
        <v>4735456</v>
      </c>
      <c r="M240">
        <v>1434</v>
      </c>
      <c r="N240" s="41"/>
    </row>
    <row r="241" spans="1:14" x14ac:dyDescent="0.25">
      <c r="A241" t="s">
        <v>304</v>
      </c>
      <c r="B241">
        <v>6.5</v>
      </c>
      <c r="C241">
        <v>6.9809999999999999</v>
      </c>
      <c r="D241">
        <v>337</v>
      </c>
      <c r="E241">
        <v>20</v>
      </c>
      <c r="F241">
        <v>28.72</v>
      </c>
      <c r="G241" s="43">
        <f>100*(1-(1-Collateral!N239/L241)^12)</f>
        <v>29.420015539940046</v>
      </c>
      <c r="H241">
        <v>29.13</v>
      </c>
      <c r="I241">
        <v>33.47</v>
      </c>
      <c r="J241">
        <v>36.770000000000003</v>
      </c>
      <c r="K241" s="43">
        <v>9598200</v>
      </c>
      <c r="L241" s="43">
        <v>4843974</v>
      </c>
      <c r="M241">
        <v>1433</v>
      </c>
      <c r="N241" s="41"/>
    </row>
    <row r="242" spans="1:14" x14ac:dyDescent="0.25">
      <c r="A242" t="s">
        <v>303</v>
      </c>
      <c r="B242">
        <v>6.5</v>
      </c>
      <c r="C242">
        <v>6.9829999999999997</v>
      </c>
      <c r="D242">
        <v>338</v>
      </c>
      <c r="E242">
        <v>19</v>
      </c>
      <c r="F242">
        <v>29.94</v>
      </c>
      <c r="G242" s="43">
        <f>100*(1-(1-Collateral!N240/L242)^12)</f>
        <v>30.702708569923843</v>
      </c>
      <c r="H242">
        <v>31.53</v>
      </c>
      <c r="I242">
        <v>35.700000000000003</v>
      </c>
      <c r="J242">
        <v>37.49</v>
      </c>
      <c r="K242" s="43">
        <v>9559680</v>
      </c>
      <c r="L242" s="43">
        <v>4944961</v>
      </c>
      <c r="M242">
        <v>1437</v>
      </c>
      <c r="N242" s="41"/>
    </row>
    <row r="243" spans="1:14" x14ac:dyDescent="0.25">
      <c r="A243" t="s">
        <v>302</v>
      </c>
      <c r="B243">
        <v>6.5</v>
      </c>
      <c r="C243">
        <v>6.9850000000000003</v>
      </c>
      <c r="D243">
        <v>339</v>
      </c>
      <c r="E243">
        <v>18</v>
      </c>
      <c r="F243">
        <v>28.81</v>
      </c>
      <c r="G243" s="43">
        <f>100*(1-(1-Collateral!N241/L243)^12)</f>
        <v>29.514046868929388</v>
      </c>
      <c r="H243">
        <v>34.53</v>
      </c>
      <c r="I243">
        <v>38.25</v>
      </c>
      <c r="J243">
        <v>37.53</v>
      </c>
      <c r="K243" s="43">
        <v>9570282</v>
      </c>
      <c r="L243" s="43">
        <v>5105213</v>
      </c>
      <c r="M243">
        <v>1438</v>
      </c>
      <c r="N243" s="41"/>
    </row>
    <row r="244" spans="1:14" x14ac:dyDescent="0.25">
      <c r="A244" t="s">
        <v>301</v>
      </c>
      <c r="B244">
        <v>6.5</v>
      </c>
      <c r="C244">
        <v>6.9870000000000001</v>
      </c>
      <c r="D244">
        <v>340</v>
      </c>
      <c r="E244">
        <v>17</v>
      </c>
      <c r="F244">
        <v>35.69</v>
      </c>
      <c r="G244" s="43">
        <f>100*(1-(1-Collateral!N242/L244)^12)</f>
        <v>36.763850656835032</v>
      </c>
      <c r="H244">
        <v>37.58</v>
      </c>
      <c r="I244">
        <v>40.130000000000003</v>
      </c>
      <c r="J244">
        <v>37.4</v>
      </c>
      <c r="K244" s="43">
        <v>9575681</v>
      </c>
      <c r="L244" s="43">
        <v>5252530</v>
      </c>
      <c r="M244">
        <v>1436</v>
      </c>
      <c r="N244" s="41"/>
    </row>
    <row r="245" spans="1:14" x14ac:dyDescent="0.25">
      <c r="A245" t="s">
        <v>300</v>
      </c>
      <c r="B245">
        <v>6.5</v>
      </c>
      <c r="C245">
        <v>6.9889999999999999</v>
      </c>
      <c r="D245">
        <v>341</v>
      </c>
      <c r="E245">
        <v>16</v>
      </c>
      <c r="F245">
        <v>38.67</v>
      </c>
      <c r="G245" s="43">
        <f>100*(1-(1-Collateral!N243/L245)^12)</f>
        <v>39.930899306565323</v>
      </c>
      <c r="H245">
        <v>39.6</v>
      </c>
      <c r="I245">
        <v>40.9</v>
      </c>
      <c r="J245">
        <v>37.119999999999997</v>
      </c>
      <c r="K245" s="43">
        <v>9558471</v>
      </c>
      <c r="L245" s="43">
        <v>5442417</v>
      </c>
      <c r="M245">
        <v>1435</v>
      </c>
      <c r="N245" s="41"/>
    </row>
    <row r="246" spans="1:14" x14ac:dyDescent="0.25">
      <c r="A246" t="s">
        <v>299</v>
      </c>
      <c r="B246">
        <v>6.5</v>
      </c>
      <c r="C246">
        <v>6.9909999999999997</v>
      </c>
      <c r="D246">
        <v>342</v>
      </c>
      <c r="E246">
        <v>15</v>
      </c>
      <c r="F246">
        <v>38.090000000000003</v>
      </c>
      <c r="G246" s="43">
        <f>100*(1-(1-Collateral!N244/L246)^12)</f>
        <v>39.311372633594885</v>
      </c>
      <c r="H246">
        <v>41.72</v>
      </c>
      <c r="I246">
        <v>40.479999999999997</v>
      </c>
      <c r="J246">
        <v>36.39</v>
      </c>
      <c r="K246" s="43">
        <v>9549415</v>
      </c>
      <c r="L246" s="43">
        <v>5681674</v>
      </c>
      <c r="M246">
        <v>1436</v>
      </c>
      <c r="N246" s="41"/>
    </row>
    <row r="247" spans="1:14" x14ac:dyDescent="0.25">
      <c r="A247" t="s">
        <v>298</v>
      </c>
      <c r="B247">
        <v>6.5</v>
      </c>
      <c r="C247">
        <v>6.9939999999999998</v>
      </c>
      <c r="D247">
        <v>344</v>
      </c>
      <c r="E247">
        <v>14</v>
      </c>
      <c r="F247">
        <v>41.76</v>
      </c>
      <c r="G247" s="43">
        <f>100*(1-(1-Collateral!N245/L247)^12)</f>
        <v>43.228634854018566</v>
      </c>
      <c r="H247">
        <v>42.52</v>
      </c>
      <c r="I247">
        <v>39.99</v>
      </c>
      <c r="J247">
        <v>35.51</v>
      </c>
      <c r="K247" s="43">
        <v>9559905</v>
      </c>
      <c r="L247" s="43">
        <v>5909022</v>
      </c>
      <c r="M247">
        <v>1437</v>
      </c>
      <c r="N247" s="41"/>
    </row>
    <row r="248" spans="1:14" x14ac:dyDescent="0.25">
      <c r="A248" t="s">
        <v>297</v>
      </c>
      <c r="B248">
        <v>6.5</v>
      </c>
      <c r="C248">
        <v>6.9950000000000001</v>
      </c>
      <c r="D248">
        <v>345</v>
      </c>
      <c r="E248">
        <v>13</v>
      </c>
      <c r="F248">
        <v>44.89</v>
      </c>
      <c r="G248" s="43">
        <f>100*(1-(1-Collateral!N246/L248)^12)</f>
        <v>46.575742817936408</v>
      </c>
      <c r="H248">
        <v>42.13</v>
      </c>
      <c r="I248">
        <v>39.26</v>
      </c>
      <c r="J248">
        <v>33.93</v>
      </c>
      <c r="K248" s="43">
        <v>9562985</v>
      </c>
      <c r="L248" s="43">
        <v>6186172</v>
      </c>
      <c r="M248">
        <v>1434</v>
      </c>
      <c r="N248" s="41"/>
    </row>
    <row r="249" spans="1:14" x14ac:dyDescent="0.25">
      <c r="A249" t="s">
        <v>296</v>
      </c>
      <c r="B249">
        <v>6.5</v>
      </c>
      <c r="C249">
        <v>6.9960000000000004</v>
      </c>
      <c r="D249">
        <v>346</v>
      </c>
      <c r="E249">
        <v>12</v>
      </c>
      <c r="F249">
        <v>40.659999999999997</v>
      </c>
      <c r="G249" s="43">
        <f>100*(1-(1-Collateral!N247/L249)^12)</f>
        <v>42.056310935220388</v>
      </c>
      <c r="H249">
        <v>39.119999999999997</v>
      </c>
      <c r="I249">
        <v>36.74</v>
      </c>
      <c r="J249">
        <v>31.83</v>
      </c>
      <c r="K249" s="43">
        <v>9529976</v>
      </c>
      <c r="L249" s="43">
        <v>6493352</v>
      </c>
      <c r="M249">
        <v>1431</v>
      </c>
      <c r="N249" s="41"/>
    </row>
    <row r="250" spans="1:14" x14ac:dyDescent="0.25">
      <c r="A250" t="s">
        <v>295</v>
      </c>
      <c r="B250">
        <v>6.5</v>
      </c>
      <c r="C250">
        <v>6.9969999999999999</v>
      </c>
      <c r="D250">
        <v>347</v>
      </c>
      <c r="E250">
        <v>11</v>
      </c>
      <c r="F250">
        <v>40.53</v>
      </c>
      <c r="G250" s="43">
        <f>100*(1-(1-Collateral!N248/L250)^12)</f>
        <v>41.908208097497948</v>
      </c>
      <c r="H250">
        <v>37.15</v>
      </c>
      <c r="I250">
        <v>34.49</v>
      </c>
      <c r="J250">
        <v>30.13</v>
      </c>
      <c r="K250" s="43">
        <v>9526715</v>
      </c>
      <c r="L250" s="43">
        <v>6782440</v>
      </c>
      <c r="M250">
        <v>1432</v>
      </c>
      <c r="N250" s="41"/>
    </row>
    <row r="251" spans="1:14" x14ac:dyDescent="0.25">
      <c r="A251" t="s">
        <v>294</v>
      </c>
      <c r="B251">
        <v>6.5</v>
      </c>
      <c r="C251">
        <v>7.101</v>
      </c>
      <c r="D251">
        <v>335</v>
      </c>
      <c r="E251">
        <v>21</v>
      </c>
      <c r="F251">
        <v>40.94</v>
      </c>
      <c r="G251" s="43">
        <f>100*(1-(1-Collateral!N249/L251)^12)</f>
        <v>42.34654233721006</v>
      </c>
      <c r="H251">
        <v>42.17</v>
      </c>
      <c r="I251">
        <v>42.45</v>
      </c>
      <c r="J251">
        <v>41.38</v>
      </c>
      <c r="K251" s="43">
        <v>9020948</v>
      </c>
      <c r="L251" s="43">
        <v>3865467</v>
      </c>
      <c r="M251">
        <v>1246</v>
      </c>
      <c r="N251" s="41"/>
    </row>
    <row r="252" spans="1:14" x14ac:dyDescent="0.25">
      <c r="A252" t="s">
        <v>293</v>
      </c>
      <c r="B252">
        <v>6.5</v>
      </c>
      <c r="C252">
        <v>7.1040000000000001</v>
      </c>
      <c r="D252">
        <v>336</v>
      </c>
      <c r="E252">
        <v>20</v>
      </c>
      <c r="F252">
        <v>40.299999999999997</v>
      </c>
      <c r="G252" s="43">
        <f>100*(1-(1-Collateral!N250/L252)^12)</f>
        <v>41.667473568986026</v>
      </c>
      <c r="H252">
        <v>41.58</v>
      </c>
      <c r="I252">
        <v>43.16</v>
      </c>
      <c r="J252">
        <v>41.44</v>
      </c>
      <c r="K252" s="43">
        <v>9018995</v>
      </c>
      <c r="L252" s="43">
        <v>4038187</v>
      </c>
      <c r="M252">
        <v>1246</v>
      </c>
      <c r="N252" s="41"/>
    </row>
    <row r="253" spans="1:14" x14ac:dyDescent="0.25">
      <c r="A253" t="s">
        <v>292</v>
      </c>
      <c r="B253">
        <v>6.5</v>
      </c>
      <c r="C253">
        <v>7.1059999999999999</v>
      </c>
      <c r="D253">
        <v>338</v>
      </c>
      <c r="E253">
        <v>19</v>
      </c>
      <c r="F253">
        <v>45.44</v>
      </c>
      <c r="G253" s="43">
        <f>100*(1-(1-Collateral!N251/L253)^12)</f>
        <v>47.169871602962985</v>
      </c>
      <c r="H253">
        <v>41.59</v>
      </c>
      <c r="I253">
        <v>43.42</v>
      </c>
      <c r="J253">
        <v>41.72</v>
      </c>
      <c r="K253" s="43">
        <v>9043451</v>
      </c>
      <c r="L253" s="43">
        <v>4233308</v>
      </c>
      <c r="M253">
        <v>1254</v>
      </c>
      <c r="N253" s="41"/>
    </row>
    <row r="254" spans="1:14" x14ac:dyDescent="0.25">
      <c r="A254" t="s">
        <v>291</v>
      </c>
      <c r="B254">
        <v>6.5</v>
      </c>
      <c r="C254">
        <v>7.109</v>
      </c>
      <c r="D254">
        <v>339</v>
      </c>
      <c r="E254">
        <v>18</v>
      </c>
      <c r="F254">
        <v>38.82</v>
      </c>
      <c r="G254" s="43">
        <f>100*(1-(1-Collateral!N252/L254)^12)</f>
        <v>40.085393174261576</v>
      </c>
      <c r="H254">
        <v>42.65</v>
      </c>
      <c r="I254">
        <v>42.59</v>
      </c>
      <c r="J254">
        <v>41.42</v>
      </c>
      <c r="K254" s="43">
        <v>9039746</v>
      </c>
      <c r="L254" s="43">
        <v>4454069</v>
      </c>
      <c r="M254">
        <v>1253</v>
      </c>
      <c r="N254" s="41"/>
    </row>
    <row r="255" spans="1:14" x14ac:dyDescent="0.25">
      <c r="A255" t="s">
        <v>290</v>
      </c>
      <c r="B255">
        <v>6.5</v>
      </c>
      <c r="C255">
        <v>7.1109999999999998</v>
      </c>
      <c r="D255">
        <v>340</v>
      </c>
      <c r="E255">
        <v>17</v>
      </c>
      <c r="F255">
        <v>40.29</v>
      </c>
      <c r="G255" s="43">
        <f>100*(1-(1-Collateral!N253/L255)^12)</f>
        <v>41.66152401611587</v>
      </c>
      <c r="H255">
        <v>44.73</v>
      </c>
      <c r="I255">
        <v>42.67</v>
      </c>
      <c r="J255">
        <v>40.94</v>
      </c>
      <c r="K255" s="43">
        <v>9037807</v>
      </c>
      <c r="L255" s="43">
        <v>4641386</v>
      </c>
      <c r="M255">
        <v>1255</v>
      </c>
      <c r="N255" s="41"/>
    </row>
    <row r="256" spans="1:14" x14ac:dyDescent="0.25">
      <c r="A256" t="s">
        <v>289</v>
      </c>
      <c r="B256">
        <v>6.5</v>
      </c>
      <c r="C256">
        <v>7.1130000000000004</v>
      </c>
      <c r="D256">
        <v>341</v>
      </c>
      <c r="E256">
        <v>16</v>
      </c>
      <c r="F256">
        <v>48.49</v>
      </c>
      <c r="G256" s="43">
        <f>100*(1-(1-Collateral!N254/L256)^12)</f>
        <v>50.454586756400602</v>
      </c>
      <c r="H256">
        <v>45.2</v>
      </c>
      <c r="I256">
        <v>41.88</v>
      </c>
      <c r="J256">
        <v>39.950000000000003</v>
      </c>
      <c r="K256" s="43">
        <v>9052752</v>
      </c>
      <c r="L256" s="43">
        <v>4858700</v>
      </c>
      <c r="M256">
        <v>1256</v>
      </c>
      <c r="N256" s="41"/>
    </row>
    <row r="257" spans="1:14" x14ac:dyDescent="0.25">
      <c r="A257" t="s">
        <v>288</v>
      </c>
      <c r="B257">
        <v>6.5</v>
      </c>
      <c r="C257">
        <v>7.0039999999999996</v>
      </c>
      <c r="D257">
        <v>312</v>
      </c>
      <c r="E257">
        <v>40</v>
      </c>
      <c r="F257">
        <v>38.049999999999997</v>
      </c>
      <c r="G257" s="43">
        <f>100*(1-(1-Collateral!N255/L257)^12)</f>
        <v>39.274854600765821</v>
      </c>
      <c r="H257">
        <v>35.9</v>
      </c>
      <c r="I257">
        <v>37.840000000000003</v>
      </c>
      <c r="J257">
        <v>43.39</v>
      </c>
      <c r="K257" s="43">
        <v>191413105</v>
      </c>
      <c r="L257" s="43">
        <v>24376060</v>
      </c>
      <c r="M257">
        <v>9978</v>
      </c>
      <c r="N257" s="41"/>
    </row>
    <row r="258" spans="1:14" x14ac:dyDescent="0.25">
      <c r="A258" t="s">
        <v>287</v>
      </c>
      <c r="B258">
        <v>6.5</v>
      </c>
      <c r="C258">
        <v>7.0049999999999999</v>
      </c>
      <c r="D258">
        <v>314</v>
      </c>
      <c r="E258">
        <v>39</v>
      </c>
      <c r="F258">
        <v>35.01</v>
      </c>
      <c r="G258" s="43">
        <f>100*(1-(1-Collateral!N256/L258)^12)</f>
        <v>36.046312825243795</v>
      </c>
      <c r="H258">
        <v>35.69</v>
      </c>
      <c r="I258">
        <v>40.270000000000003</v>
      </c>
      <c r="J258">
        <v>44.04</v>
      </c>
      <c r="K258" s="43">
        <v>191629622</v>
      </c>
      <c r="L258" s="43">
        <v>25399120</v>
      </c>
      <c r="M258">
        <v>10026</v>
      </c>
      <c r="N258" s="41"/>
    </row>
    <row r="259" spans="1:14" x14ac:dyDescent="0.25">
      <c r="A259" t="s">
        <v>286</v>
      </c>
      <c r="B259">
        <v>6.5</v>
      </c>
      <c r="C259">
        <v>7.0060000000000002</v>
      </c>
      <c r="D259">
        <v>315</v>
      </c>
      <c r="E259">
        <v>38</v>
      </c>
      <c r="F259">
        <v>34.6</v>
      </c>
      <c r="G259" s="43">
        <f>100*(1-(1-Collateral!N257/L259)^12)</f>
        <v>35.61404386867769</v>
      </c>
      <c r="H259">
        <v>36.200000000000003</v>
      </c>
      <c r="I259">
        <v>44.06</v>
      </c>
      <c r="J259">
        <v>45.95</v>
      </c>
      <c r="K259" s="43">
        <v>191711270</v>
      </c>
      <c r="L259" s="43">
        <v>26351846</v>
      </c>
      <c r="M259">
        <v>10047</v>
      </c>
      <c r="N259" s="41"/>
    </row>
    <row r="260" spans="1:14" x14ac:dyDescent="0.25">
      <c r="A260" t="s">
        <v>285</v>
      </c>
      <c r="B260">
        <v>6.5</v>
      </c>
      <c r="C260">
        <v>7.0069999999999997</v>
      </c>
      <c r="D260">
        <v>316</v>
      </c>
      <c r="E260">
        <v>37</v>
      </c>
      <c r="F260">
        <v>37.46</v>
      </c>
      <c r="G260" s="43">
        <f>100*(1-(1-Collateral!N258/L260)^12)</f>
        <v>38.644516362247231</v>
      </c>
      <c r="H260">
        <v>39.75</v>
      </c>
      <c r="I260">
        <v>47.27</v>
      </c>
      <c r="J260">
        <v>49.07</v>
      </c>
      <c r="K260" s="43">
        <v>191779660</v>
      </c>
      <c r="L260" s="43">
        <v>27338666</v>
      </c>
      <c r="M260">
        <v>10072</v>
      </c>
      <c r="N260" s="41"/>
    </row>
    <row r="261" spans="1:14" x14ac:dyDescent="0.25">
      <c r="A261" t="s">
        <v>284</v>
      </c>
      <c r="B261">
        <v>6.5</v>
      </c>
      <c r="C261">
        <v>7.0069999999999997</v>
      </c>
      <c r="D261">
        <v>317</v>
      </c>
      <c r="E261">
        <v>36</v>
      </c>
      <c r="F261">
        <v>36.630000000000003</v>
      </c>
      <c r="G261" s="43">
        <f>100*(1-(1-Collateral!N259/L261)^12)</f>
        <v>37.760871073360725</v>
      </c>
      <c r="H261">
        <v>44.55</v>
      </c>
      <c r="I261">
        <v>48.26</v>
      </c>
      <c r="J261">
        <v>53.17</v>
      </c>
      <c r="K261" s="43">
        <v>192120009</v>
      </c>
      <c r="L261" s="43">
        <v>28498022</v>
      </c>
      <c r="M261">
        <v>10109</v>
      </c>
      <c r="N261" s="41"/>
    </row>
    <row r="262" spans="1:14" x14ac:dyDescent="0.25">
      <c r="A262" t="s">
        <v>283</v>
      </c>
      <c r="B262">
        <v>6.5</v>
      </c>
      <c r="C262">
        <v>7.008</v>
      </c>
      <c r="D262">
        <v>318</v>
      </c>
      <c r="E262">
        <v>35</v>
      </c>
      <c r="F262">
        <v>44.9</v>
      </c>
      <c r="G262" s="43">
        <f>100*(1-(1-Collateral!N260/L262)^12)</f>
        <v>46.585899793459674</v>
      </c>
      <c r="H262">
        <v>50.97</v>
      </c>
      <c r="I262">
        <v>48.35</v>
      </c>
      <c r="J262">
        <v>57.34</v>
      </c>
      <c r="K262" s="43">
        <v>192293495</v>
      </c>
      <c r="L262" s="43">
        <v>29658683</v>
      </c>
      <c r="M262">
        <v>10145</v>
      </c>
      <c r="N262" s="41"/>
    </row>
    <row r="263" spans="1:14" x14ac:dyDescent="0.25">
      <c r="A263" t="s">
        <v>282</v>
      </c>
      <c r="B263">
        <v>6.5</v>
      </c>
      <c r="C263">
        <v>7.0090000000000003</v>
      </c>
      <c r="D263">
        <v>319</v>
      </c>
      <c r="E263">
        <v>34</v>
      </c>
      <c r="F263">
        <v>51.18</v>
      </c>
      <c r="G263" s="43">
        <f>100*(1-(1-Collateral!N261/L263)^12)</f>
        <v>53.352554510705332</v>
      </c>
      <c r="H263">
        <v>53.85</v>
      </c>
      <c r="I263">
        <v>48.48</v>
      </c>
      <c r="J263">
        <v>59.67</v>
      </c>
      <c r="K263" s="43">
        <v>192335593</v>
      </c>
      <c r="L263" s="43">
        <v>31181153</v>
      </c>
      <c r="M263">
        <v>10174</v>
      </c>
      <c r="N263" s="41"/>
    </row>
    <row r="264" spans="1:14" x14ac:dyDescent="0.25">
      <c r="A264" t="s">
        <v>281</v>
      </c>
      <c r="B264">
        <v>6.5</v>
      </c>
      <c r="C264">
        <v>7.0090000000000003</v>
      </c>
      <c r="D264">
        <v>321</v>
      </c>
      <c r="E264">
        <v>33</v>
      </c>
      <c r="F264">
        <v>56.18</v>
      </c>
      <c r="G264" s="43">
        <f>100*(1-(1-Collateral!N262/L264)^12)</f>
        <v>58.773344334943168</v>
      </c>
      <c r="H264">
        <v>51.7</v>
      </c>
      <c r="I264">
        <v>47.58</v>
      </c>
      <c r="J264">
        <v>61.25</v>
      </c>
      <c r="K264" s="43">
        <v>192173206</v>
      </c>
      <c r="L264" s="43">
        <v>33106638</v>
      </c>
      <c r="M264">
        <v>10204</v>
      </c>
      <c r="N264" s="41"/>
    </row>
    <row r="265" spans="1:14" x14ac:dyDescent="0.25">
      <c r="A265" t="s">
        <v>280</v>
      </c>
      <c r="B265">
        <v>6.5</v>
      </c>
      <c r="C265">
        <v>7.0090000000000003</v>
      </c>
      <c r="D265">
        <v>322</v>
      </c>
      <c r="E265">
        <v>32</v>
      </c>
      <c r="F265">
        <v>54.09</v>
      </c>
      <c r="G265" s="43">
        <f>100*(1-(1-Collateral!N263/L265)^12)</f>
        <v>56.506568829840667</v>
      </c>
      <c r="H265">
        <v>45.59</v>
      </c>
      <c r="I265">
        <v>47.81</v>
      </c>
      <c r="J265">
        <v>62.63</v>
      </c>
      <c r="K265" s="43">
        <v>192153340</v>
      </c>
      <c r="L265" s="43">
        <v>35472194</v>
      </c>
      <c r="M265">
        <v>10232</v>
      </c>
      <c r="N265" s="41"/>
    </row>
    <row r="266" spans="1:14" x14ac:dyDescent="0.25">
      <c r="A266" t="s">
        <v>279</v>
      </c>
      <c r="B266">
        <v>6.5</v>
      </c>
      <c r="C266">
        <v>7.01</v>
      </c>
      <c r="D266">
        <v>323</v>
      </c>
      <c r="E266">
        <v>31</v>
      </c>
      <c r="F266">
        <v>44.08</v>
      </c>
      <c r="G266" s="43">
        <f>100*(1-(1-Collateral!N264/L266)^12)</f>
        <v>45.706597535317705</v>
      </c>
      <c r="H266">
        <v>42.5</v>
      </c>
      <c r="I266">
        <v>50.84</v>
      </c>
      <c r="J266">
        <v>63.51</v>
      </c>
      <c r="K266" s="43">
        <v>192259439</v>
      </c>
      <c r="L266" s="43">
        <v>37889642</v>
      </c>
      <c r="M266">
        <v>10271</v>
      </c>
      <c r="N266" s="41"/>
    </row>
    <row r="267" spans="1:14" x14ac:dyDescent="0.25">
      <c r="A267" t="s">
        <v>278</v>
      </c>
      <c r="B267">
        <v>6.5</v>
      </c>
      <c r="C267">
        <v>7.01</v>
      </c>
      <c r="D267">
        <v>324</v>
      </c>
      <c r="E267">
        <v>30</v>
      </c>
      <c r="F267">
        <v>37.28</v>
      </c>
      <c r="G267" s="43">
        <f>100*(1-(1-Collateral!N265/L267)^12)</f>
        <v>38.452491561225955</v>
      </c>
      <c r="H267">
        <v>43.14</v>
      </c>
      <c r="I267">
        <v>57.62</v>
      </c>
      <c r="J267">
        <v>64.430000000000007</v>
      </c>
      <c r="K267" s="43">
        <v>192339354</v>
      </c>
      <c r="L267" s="43">
        <v>39812478</v>
      </c>
      <c r="M267">
        <v>10303</v>
      </c>
      <c r="N267" s="41"/>
    </row>
    <row r="268" spans="1:14" x14ac:dyDescent="0.25">
      <c r="A268" t="s">
        <v>277</v>
      </c>
      <c r="C268">
        <v>7.0119999999999996</v>
      </c>
      <c r="D268">
        <v>325</v>
      </c>
      <c r="E268">
        <v>29</v>
      </c>
      <c r="F268">
        <v>45.83</v>
      </c>
      <c r="G268" s="43">
        <f>100*(1-(1-Collateral!N266/L268)^12)</f>
        <v>47.583917514946272</v>
      </c>
      <c r="H268">
        <v>49.95</v>
      </c>
      <c r="I268">
        <v>64.8</v>
      </c>
      <c r="J268">
        <v>65.61</v>
      </c>
      <c r="K268" s="43">
        <v>192464133</v>
      </c>
      <c r="L268" s="43">
        <v>41463914</v>
      </c>
      <c r="M268">
        <v>10326</v>
      </c>
      <c r="N268" s="41"/>
    </row>
    <row r="272" spans="1:14" x14ac:dyDescent="0.25">
      <c r="K272" s="43">
        <v>18085314289.990002</v>
      </c>
    </row>
  </sheetData>
  <sortState xmlns:xlrd2="http://schemas.microsoft.com/office/spreadsheetml/2017/richdata2" ref="W1:X272">
    <sortCondition ref="W1:W27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3"/>
  <sheetViews>
    <sheetView zoomScaleNormal="100" workbookViewId="0">
      <selection activeCell="L4" sqref="L4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20.7109375" bestFit="1" customWidth="1"/>
    <col min="4" max="4" width="9.140625" bestFit="1" customWidth="1"/>
    <col min="5" max="5" width="16.85546875" bestFit="1" customWidth="1"/>
    <col min="6" max="6" width="18" style="43" bestFit="1" customWidth="1"/>
    <col min="7" max="7" width="10.5703125" style="43" bestFit="1" customWidth="1"/>
    <col min="8" max="8" width="18" style="43" bestFit="1" customWidth="1"/>
    <col min="9" max="9" width="23.85546875" style="43" bestFit="1" customWidth="1"/>
    <col min="10" max="10" width="18" style="43" bestFit="1" customWidth="1"/>
    <col min="11" max="11" width="23.7109375" style="43" bestFit="1" customWidth="1"/>
    <col min="12" max="12" width="19" style="43" bestFit="1" customWidth="1"/>
    <col min="13" max="13" width="25" bestFit="1" customWidth="1"/>
    <col min="15" max="15" width="15.28515625" bestFit="1" customWidth="1"/>
  </cols>
  <sheetData>
    <row r="1" spans="1:15" x14ac:dyDescent="0.25">
      <c r="A1" s="45" t="s">
        <v>0</v>
      </c>
      <c r="B1" s="45" t="s">
        <v>1</v>
      </c>
      <c r="C1" s="45" t="s">
        <v>553</v>
      </c>
      <c r="D1" s="45" t="s">
        <v>2</v>
      </c>
      <c r="E1" s="45" t="s">
        <v>3</v>
      </c>
      <c r="F1" s="31" t="s">
        <v>4</v>
      </c>
      <c r="G1" s="30"/>
      <c r="H1" s="31" t="s">
        <v>5</v>
      </c>
      <c r="I1" s="30" t="s">
        <v>573</v>
      </c>
      <c r="J1" s="31" t="s">
        <v>6</v>
      </c>
      <c r="K1" s="30" t="s">
        <v>276</v>
      </c>
      <c r="L1" s="44" t="s">
        <v>7</v>
      </c>
      <c r="M1" s="44" t="s">
        <v>275</v>
      </c>
    </row>
    <row r="2" spans="1:15" x14ac:dyDescent="0.25">
      <c r="A2" t="s">
        <v>8</v>
      </c>
      <c r="F2" s="35">
        <v>81221269097</v>
      </c>
      <c r="G2" s="34"/>
      <c r="H2" s="35">
        <v>19755172597</v>
      </c>
      <c r="I2" s="34"/>
      <c r="J2" s="35">
        <f>SUM(J4:J268)</f>
        <v>3565918226352.1665</v>
      </c>
      <c r="K2" s="34"/>
      <c r="L2" s="43">
        <v>100976441694</v>
      </c>
      <c r="M2" s="42">
        <f>SUM(M4:M268)</f>
        <v>100976441694.26993</v>
      </c>
    </row>
    <row r="3" spans="1:15" x14ac:dyDescent="0.25">
      <c r="A3" t="s">
        <v>9</v>
      </c>
      <c r="D3">
        <v>6.5</v>
      </c>
      <c r="F3" s="35"/>
      <c r="G3" s="34"/>
      <c r="H3" s="35"/>
      <c r="I3" s="34"/>
      <c r="J3" s="35"/>
      <c r="K3" s="34"/>
    </row>
    <row r="4" spans="1:15" x14ac:dyDescent="0.25">
      <c r="A4" t="s">
        <v>10</v>
      </c>
      <c r="B4">
        <v>0.828598422</v>
      </c>
      <c r="C4">
        <f>Summary!L4/Summary!K4</f>
        <v>0.82859844180753506</v>
      </c>
      <c r="D4">
        <v>6.5</v>
      </c>
      <c r="F4" s="35">
        <v>585818143.36000001</v>
      </c>
      <c r="G4" s="34">
        <f>Collateral!K2</f>
        <v>585818</v>
      </c>
      <c r="H4" s="35">
        <v>84344438.879999995</v>
      </c>
      <c r="I4" s="34">
        <f>Collateral!O2</f>
        <v>84344</v>
      </c>
      <c r="J4" s="35">
        <v>14985462881.389999</v>
      </c>
      <c r="K4" s="34">
        <f>Collateral!I2*1000</f>
        <v>14985463000</v>
      </c>
      <c r="L4" s="43">
        <v>670162582.25</v>
      </c>
      <c r="M4" s="42">
        <f t="shared" ref="M4:M35" si="0">H4+F4</f>
        <v>670162582.24000001</v>
      </c>
      <c r="O4" s="40"/>
    </row>
    <row r="5" spans="1:15" x14ac:dyDescent="0.25">
      <c r="A5" t="s">
        <v>11</v>
      </c>
      <c r="B5">
        <v>0.85648975199999999</v>
      </c>
      <c r="C5">
        <f>Summary!L5/Summary!K5</f>
        <v>0.85648979654260471</v>
      </c>
      <c r="D5">
        <v>6.5</v>
      </c>
      <c r="F5" s="35">
        <v>499043991.42000002</v>
      </c>
      <c r="G5" s="34">
        <f>Collateral!K3</f>
        <v>499044</v>
      </c>
      <c r="H5" s="35">
        <v>83999914.810000002</v>
      </c>
      <c r="I5" s="34">
        <f>Collateral!O3</f>
        <v>84000</v>
      </c>
      <c r="J5" s="35">
        <v>15008632589.709999</v>
      </c>
      <c r="K5" s="34">
        <f>Collateral!I3*1000</f>
        <v>15008633000</v>
      </c>
      <c r="L5" s="43">
        <v>583043906.24000001</v>
      </c>
      <c r="M5" s="42">
        <f t="shared" si="0"/>
        <v>583043906.23000002</v>
      </c>
    </row>
    <row r="6" spans="1:15" x14ac:dyDescent="0.25">
      <c r="A6" t="s">
        <v>12</v>
      </c>
      <c r="B6">
        <v>0.88049460599999996</v>
      </c>
      <c r="C6">
        <f>Summary!L6/Summary!K6</f>
        <v>0.8804945915930259</v>
      </c>
      <c r="D6">
        <v>6.5</v>
      </c>
      <c r="F6" s="35">
        <v>691453269.58000004</v>
      </c>
      <c r="G6" s="34">
        <f>Collateral!K4</f>
        <v>691453</v>
      </c>
      <c r="H6" s="35">
        <v>84249361.379999995</v>
      </c>
      <c r="I6" s="34">
        <f>Collateral!O4</f>
        <v>84249</v>
      </c>
      <c r="J6" s="35">
        <v>14862274985.65</v>
      </c>
      <c r="K6" s="34">
        <f>Collateral!I4*1000</f>
        <v>14862275000</v>
      </c>
      <c r="L6" s="43">
        <v>775702630.96000004</v>
      </c>
      <c r="M6" s="42">
        <f t="shared" si="0"/>
        <v>775702630.96000004</v>
      </c>
    </row>
    <row r="7" spans="1:15" x14ac:dyDescent="0.25">
      <c r="A7" t="s">
        <v>13</v>
      </c>
      <c r="B7">
        <v>0.91727386499999997</v>
      </c>
      <c r="C7">
        <f>Summary!L7/Summary!K7</f>
        <v>0.91727386842058567</v>
      </c>
      <c r="D7">
        <v>6.5</v>
      </c>
      <c r="F7" s="35">
        <v>406981237.74000001</v>
      </c>
      <c r="G7" s="34">
        <f>Collateral!K5</f>
        <v>406981</v>
      </c>
      <c r="H7" s="35">
        <v>81732412.680000007</v>
      </c>
      <c r="I7" s="34">
        <f>Collateral!O5</f>
        <v>81732</v>
      </c>
      <c r="J7" s="35">
        <v>14682079563.879999</v>
      </c>
      <c r="K7" s="34">
        <f>Collateral!I5*1000</f>
        <v>14682080000</v>
      </c>
      <c r="L7" s="43">
        <v>488713650.42000002</v>
      </c>
      <c r="M7" s="42">
        <f t="shared" si="0"/>
        <v>488713650.42000002</v>
      </c>
    </row>
    <row r="8" spans="1:15" x14ac:dyDescent="0.25">
      <c r="A8" t="s">
        <v>14</v>
      </c>
      <c r="B8">
        <v>0.93567467599999998</v>
      </c>
      <c r="C8">
        <f>Summary!L8/Summary!K8</f>
        <v>0.93567466631487251</v>
      </c>
      <c r="D8">
        <v>6.5</v>
      </c>
      <c r="F8" s="35">
        <v>268275936.62</v>
      </c>
      <c r="G8" s="34">
        <f>Collateral!K6</f>
        <v>268276</v>
      </c>
      <c r="H8" s="35">
        <v>73756232.450000003</v>
      </c>
      <c r="I8" s="34">
        <f>Collateral!O6</f>
        <v>73756</v>
      </c>
      <c r="J8" s="35">
        <v>13348259284.35</v>
      </c>
      <c r="K8" s="34">
        <f>Collateral!I6*1000</f>
        <v>13348259000</v>
      </c>
      <c r="L8" s="43">
        <v>342032169.06999999</v>
      </c>
      <c r="M8" s="42">
        <f t="shared" si="0"/>
        <v>342032169.06999999</v>
      </c>
    </row>
    <row r="9" spans="1:15" x14ac:dyDescent="0.25">
      <c r="A9" t="s">
        <v>15</v>
      </c>
      <c r="B9">
        <v>0.94845032600000001</v>
      </c>
      <c r="C9">
        <f>Summary!L9/Summary!K9</f>
        <v>0.94845032001439045</v>
      </c>
      <c r="D9">
        <v>6.5</v>
      </c>
      <c r="F9" s="35">
        <v>205618261.36000001</v>
      </c>
      <c r="G9" s="34">
        <f>Collateral!K7</f>
        <v>205618</v>
      </c>
      <c r="H9" s="35">
        <v>65831353.479999997</v>
      </c>
      <c r="I9" s="34">
        <f>Collateral!O7</f>
        <v>65831</v>
      </c>
      <c r="J9" s="35">
        <v>11947862381.969999</v>
      </c>
      <c r="K9" s="34">
        <f>Collateral!I7*1000</f>
        <v>11947862000</v>
      </c>
      <c r="L9" s="43">
        <v>271449614.85000002</v>
      </c>
      <c r="M9" s="42">
        <f t="shared" si="0"/>
        <v>271449614.84000003</v>
      </c>
    </row>
    <row r="10" spans="1:15" x14ac:dyDescent="0.25">
      <c r="A10" t="s">
        <v>16</v>
      </c>
      <c r="B10">
        <v>0.95841388100000002</v>
      </c>
      <c r="C10">
        <f>Summary!L10/Summary!K10</f>
        <v>0.95841381711053431</v>
      </c>
      <c r="D10">
        <v>6.5</v>
      </c>
      <c r="F10" s="35">
        <v>166685576.34999999</v>
      </c>
      <c r="G10" s="34">
        <f>Collateral!K8</f>
        <v>166686</v>
      </c>
      <c r="H10" s="35">
        <v>56485259.689999998</v>
      </c>
      <c r="I10" s="34">
        <f>Collateral!O8</f>
        <v>56485</v>
      </c>
      <c r="J10" s="35">
        <v>10261362366.84</v>
      </c>
      <c r="K10" s="34">
        <f>Collateral!I8*1000</f>
        <v>10261362000</v>
      </c>
      <c r="L10" s="43">
        <v>223170836.03999999</v>
      </c>
      <c r="M10" s="42">
        <f t="shared" si="0"/>
        <v>223170836.03999999</v>
      </c>
    </row>
    <row r="11" spans="1:15" x14ac:dyDescent="0.25">
      <c r="A11" t="s">
        <v>17</v>
      </c>
      <c r="B11">
        <v>0.96488886900000004</v>
      </c>
      <c r="C11">
        <f>Summary!L11/Summary!K11</f>
        <v>0.96488884088000615</v>
      </c>
      <c r="D11">
        <v>6.5</v>
      </c>
      <c r="F11" s="35">
        <v>123068787.8</v>
      </c>
      <c r="G11" s="34">
        <f>Collateral!K9</f>
        <v>123069</v>
      </c>
      <c r="H11" s="35">
        <v>42132045.07</v>
      </c>
      <c r="I11" s="34">
        <f>Collateral!O9</f>
        <v>42132</v>
      </c>
      <c r="J11" s="35">
        <v>7655154917.4099998</v>
      </c>
      <c r="K11" s="34">
        <f>Collateral!I9*1000</f>
        <v>7655155000</v>
      </c>
      <c r="L11" s="43">
        <v>165200832.87</v>
      </c>
      <c r="M11" s="42">
        <f t="shared" si="0"/>
        <v>165200832.87</v>
      </c>
    </row>
    <row r="12" spans="1:15" x14ac:dyDescent="0.25">
      <c r="A12" t="s">
        <v>18</v>
      </c>
      <c r="B12">
        <v>0.84074965800000001</v>
      </c>
      <c r="C12">
        <f>Summary!L12/Summary!K12</f>
        <v>0.84074963136893155</v>
      </c>
      <c r="D12">
        <v>6.5</v>
      </c>
      <c r="F12" s="35">
        <v>480125275.88</v>
      </c>
      <c r="G12" s="34">
        <f>Collateral!K10</f>
        <v>480125</v>
      </c>
      <c r="H12" s="35">
        <v>83405172.849999994</v>
      </c>
      <c r="I12" s="34">
        <f>Collateral!O10</f>
        <v>83405</v>
      </c>
      <c r="J12" s="35">
        <v>14918285440.450001</v>
      </c>
      <c r="K12" s="34">
        <f>Collateral!I10*1000</f>
        <v>14918285000</v>
      </c>
      <c r="L12" s="43">
        <v>563530448.73000002</v>
      </c>
      <c r="M12" s="42">
        <f t="shared" si="0"/>
        <v>563530448.73000002</v>
      </c>
    </row>
    <row r="13" spans="1:15" x14ac:dyDescent="0.25">
      <c r="A13" t="s">
        <v>19</v>
      </c>
      <c r="B13">
        <v>0.86700069199999996</v>
      </c>
      <c r="C13">
        <f>Summary!L13/Summary!K13</f>
        <v>0.86700067746982745</v>
      </c>
      <c r="D13">
        <v>6.5</v>
      </c>
      <c r="F13" s="35">
        <v>365763136.98000002</v>
      </c>
      <c r="G13" s="34">
        <f>Collateral!K11</f>
        <v>365763</v>
      </c>
      <c r="H13" s="35">
        <v>86112600.900000006</v>
      </c>
      <c r="I13" s="34">
        <f>Collateral!O11</f>
        <v>86113</v>
      </c>
      <c r="J13" s="35">
        <v>15532480982.09</v>
      </c>
      <c r="K13" s="34">
        <f>Collateral!I11*1000</f>
        <v>15532481000</v>
      </c>
      <c r="L13" s="43">
        <v>451875737.88</v>
      </c>
      <c r="M13" s="42">
        <f t="shared" si="0"/>
        <v>451875737.88</v>
      </c>
    </row>
    <row r="14" spans="1:15" x14ac:dyDescent="0.25">
      <c r="A14" t="s">
        <v>20</v>
      </c>
      <c r="B14">
        <v>0.88729695099999994</v>
      </c>
      <c r="C14">
        <f>Summary!L14/Summary!K14</f>
        <v>0.88729699510008198</v>
      </c>
      <c r="D14">
        <v>6.5</v>
      </c>
      <c r="F14" s="35">
        <v>207749562.94999999</v>
      </c>
      <c r="G14" s="34">
        <f>Collateral!K12</f>
        <v>207750</v>
      </c>
      <c r="H14" s="35">
        <v>87598048.680000007</v>
      </c>
      <c r="I14" s="34">
        <f>Collateral!O12</f>
        <v>87598</v>
      </c>
      <c r="J14" s="35">
        <v>15964731583.639999</v>
      </c>
      <c r="K14" s="34">
        <f>Collateral!I12*1000</f>
        <v>15964732000</v>
      </c>
      <c r="L14" s="43">
        <v>295347611.63</v>
      </c>
      <c r="M14" s="42">
        <f t="shared" si="0"/>
        <v>295347611.63</v>
      </c>
    </row>
    <row r="15" spans="1:15" x14ac:dyDescent="0.25">
      <c r="A15" t="s">
        <v>21</v>
      </c>
      <c r="B15">
        <v>0.89774485699999995</v>
      </c>
      <c r="C15">
        <f>Summary!L15/Summary!K15</f>
        <v>0.89774484922537179</v>
      </c>
      <c r="D15">
        <v>6.5</v>
      </c>
      <c r="F15" s="35">
        <v>310014220.63</v>
      </c>
      <c r="G15" s="34">
        <f>Collateral!K13</f>
        <v>310014</v>
      </c>
      <c r="H15" s="35">
        <v>110887234.69</v>
      </c>
      <c r="I15" s="34">
        <f>Collateral!O13</f>
        <v>110887</v>
      </c>
      <c r="J15" s="35">
        <v>20161842005.700001</v>
      </c>
      <c r="K15" s="34">
        <f>Collateral!I13*1000</f>
        <v>20161842000</v>
      </c>
      <c r="L15" s="43">
        <v>420901455.31999999</v>
      </c>
      <c r="M15" s="42">
        <f t="shared" si="0"/>
        <v>420901455.31999999</v>
      </c>
    </row>
    <row r="16" spans="1:15" x14ac:dyDescent="0.25">
      <c r="A16" t="s">
        <v>22</v>
      </c>
      <c r="B16">
        <v>0.90567302599999999</v>
      </c>
      <c r="C16">
        <f>Summary!L16/Summary!K16</f>
        <v>0.90567301134653166</v>
      </c>
      <c r="D16">
        <v>6.5</v>
      </c>
      <c r="F16" s="35">
        <v>407808926.41000003</v>
      </c>
      <c r="G16" s="34">
        <f>Collateral!K14</f>
        <v>407809</v>
      </c>
      <c r="H16" s="35">
        <v>121736713.73</v>
      </c>
      <c r="I16" s="34">
        <f>Collateral!O14</f>
        <v>121737</v>
      </c>
      <c r="J16" s="35">
        <v>22066943065.18</v>
      </c>
      <c r="K16" s="34">
        <f>Collateral!I14*1000</f>
        <v>22066943000</v>
      </c>
      <c r="L16" s="43">
        <v>529545640.13999999</v>
      </c>
      <c r="M16" s="42">
        <f t="shared" si="0"/>
        <v>529545640.14000005</v>
      </c>
    </row>
    <row r="17" spans="1:13" x14ac:dyDescent="0.25">
      <c r="A17" t="s">
        <v>23</v>
      </c>
      <c r="B17">
        <v>0.91606985799999996</v>
      </c>
      <c r="C17">
        <f>Summary!L17/Summary!K17</f>
        <v>0.91606987211732616</v>
      </c>
      <c r="D17">
        <v>6.5</v>
      </c>
      <c r="F17" s="35">
        <v>425243888.49000001</v>
      </c>
      <c r="G17" s="34">
        <f>Collateral!K15</f>
        <v>425244</v>
      </c>
      <c r="H17" s="35">
        <v>121552207.03</v>
      </c>
      <c r="I17" s="34">
        <f>Collateral!O15</f>
        <v>121552</v>
      </c>
      <c r="J17" s="35">
        <v>22015374656.09</v>
      </c>
      <c r="K17" s="34">
        <f>Collateral!I15*1000</f>
        <v>22015375000</v>
      </c>
      <c r="L17" s="43">
        <v>546796095.51999998</v>
      </c>
      <c r="M17" s="42">
        <f t="shared" si="0"/>
        <v>546796095.51999998</v>
      </c>
    </row>
    <row r="18" spans="1:13" x14ac:dyDescent="0.25">
      <c r="A18" t="s">
        <v>24</v>
      </c>
      <c r="B18">
        <v>0.92755448399999996</v>
      </c>
      <c r="C18">
        <f>Summary!L18/Summary!K18</f>
        <v>0.92755445044598483</v>
      </c>
      <c r="D18">
        <v>6.5</v>
      </c>
      <c r="F18" s="35">
        <v>664635664.24000001</v>
      </c>
      <c r="G18" s="34">
        <f>Collateral!K16</f>
        <v>664635</v>
      </c>
      <c r="H18" s="35">
        <v>130908138.53</v>
      </c>
      <c r="I18" s="34">
        <f>Collateral!O16</f>
        <v>130908</v>
      </c>
      <c r="J18" s="35">
        <v>23503177465.709999</v>
      </c>
      <c r="K18" s="34">
        <f>Collateral!I16*1000</f>
        <v>23503177000</v>
      </c>
      <c r="L18" s="43">
        <v>795543802.76999998</v>
      </c>
      <c r="M18" s="42">
        <f t="shared" si="0"/>
        <v>795543802.76999998</v>
      </c>
    </row>
    <row r="19" spans="1:13" x14ac:dyDescent="0.25">
      <c r="A19" t="s">
        <v>25</v>
      </c>
      <c r="B19">
        <v>0.95158264400000003</v>
      </c>
      <c r="C19">
        <f>Summary!L19/Summary!K19</f>
        <v>0.95158264853942198</v>
      </c>
      <c r="D19">
        <v>6.5</v>
      </c>
      <c r="F19" s="35">
        <v>416871320.76999998</v>
      </c>
      <c r="G19" s="34">
        <f>Collateral!K17</f>
        <v>416871</v>
      </c>
      <c r="H19" s="35">
        <v>133728476.03</v>
      </c>
      <c r="I19" s="34">
        <f>Collateral!O17</f>
        <v>133728</v>
      </c>
      <c r="J19" s="35">
        <v>24271617740.529999</v>
      </c>
      <c r="K19" s="34">
        <f>Collateral!I17*1000</f>
        <v>24271618000</v>
      </c>
      <c r="L19" s="43">
        <v>550599796.79999995</v>
      </c>
      <c r="M19" s="42">
        <f t="shared" si="0"/>
        <v>550599796.79999995</v>
      </c>
    </row>
    <row r="20" spans="1:13" x14ac:dyDescent="0.25">
      <c r="A20" t="s">
        <v>26</v>
      </c>
      <c r="B20">
        <v>0.96444153099999996</v>
      </c>
      <c r="C20">
        <f>Summary!L20/Summary!K20</f>
        <v>0.96444152606124256</v>
      </c>
      <c r="D20">
        <v>6.5</v>
      </c>
      <c r="F20" s="35">
        <v>323653930.70999998</v>
      </c>
      <c r="G20" s="34">
        <f>Collateral!K18</f>
        <v>323654</v>
      </c>
      <c r="H20" s="35">
        <v>122807660.79000001</v>
      </c>
      <c r="I20" s="34">
        <f>Collateral!O18</f>
        <v>122808</v>
      </c>
      <c r="J20" s="35">
        <v>22348663914.889999</v>
      </c>
      <c r="K20" s="34">
        <f>Collateral!I18*1000</f>
        <v>22348664000</v>
      </c>
      <c r="L20" s="43">
        <v>446461591.50999999</v>
      </c>
      <c r="M20" s="42">
        <f t="shared" si="0"/>
        <v>446461591.5</v>
      </c>
    </row>
    <row r="21" spans="1:13" x14ac:dyDescent="0.25">
      <c r="A21" t="s">
        <v>27</v>
      </c>
      <c r="B21">
        <v>0.97263834999999998</v>
      </c>
      <c r="C21">
        <f>Summary!L21/Summary!K21</f>
        <v>0.97263834251148484</v>
      </c>
      <c r="D21">
        <v>6.5</v>
      </c>
      <c r="F21" s="35">
        <v>241807370.69</v>
      </c>
      <c r="G21" s="34">
        <f>Collateral!K19</f>
        <v>241807</v>
      </c>
      <c r="H21" s="35">
        <v>100764999.17</v>
      </c>
      <c r="I21" s="34">
        <f>Collateral!O19</f>
        <v>100765</v>
      </c>
      <c r="J21" s="35">
        <v>18361098377.279999</v>
      </c>
      <c r="K21" s="34">
        <f>Collateral!I19*1000</f>
        <v>18361098000</v>
      </c>
      <c r="L21" s="43">
        <v>342572369.86000001</v>
      </c>
      <c r="M21" s="42">
        <f t="shared" si="0"/>
        <v>342572369.86000001</v>
      </c>
    </row>
    <row r="22" spans="1:13" x14ac:dyDescent="0.25">
      <c r="A22" t="s">
        <v>28</v>
      </c>
      <c r="B22">
        <v>0.97853295399999995</v>
      </c>
      <c r="C22">
        <f>Summary!L22/Summary!K22</f>
        <v>0.97853296496141584</v>
      </c>
      <c r="D22">
        <v>6.5</v>
      </c>
      <c r="F22" s="35">
        <v>133103368.01000001</v>
      </c>
      <c r="G22" s="34">
        <f>Collateral!K20</f>
        <v>133103</v>
      </c>
      <c r="H22" s="35">
        <v>72573735.159999996</v>
      </c>
      <c r="I22" s="34">
        <f>Collateral!O20</f>
        <v>72574</v>
      </c>
      <c r="J22" s="35">
        <v>13265215016.98</v>
      </c>
      <c r="K22" s="34">
        <f>Collateral!I20*1000</f>
        <v>13265215000</v>
      </c>
      <c r="L22" s="43">
        <v>205677103.16999999</v>
      </c>
      <c r="M22" s="42">
        <f t="shared" si="0"/>
        <v>205677103.17000002</v>
      </c>
    </row>
    <row r="23" spans="1:13" x14ac:dyDescent="0.25">
      <c r="A23" t="s">
        <v>29</v>
      </c>
      <c r="B23">
        <v>0.97636447199999998</v>
      </c>
      <c r="C23">
        <f>Summary!L23/Summary!K23</f>
        <v>0.97636446639032781</v>
      </c>
      <c r="D23">
        <v>6.5</v>
      </c>
      <c r="F23" s="35">
        <v>91137120.719999999</v>
      </c>
      <c r="G23" s="34">
        <f>Collateral!K21</f>
        <v>91137</v>
      </c>
      <c r="H23" s="35">
        <v>36765342.600000001</v>
      </c>
      <c r="I23" s="34">
        <f>Collateral!O21</f>
        <v>36765</v>
      </c>
      <c r="J23" s="35">
        <v>6696383366.5500002</v>
      </c>
      <c r="K23" s="34">
        <f>Collateral!I21*1000</f>
        <v>6696383000</v>
      </c>
      <c r="L23" s="43">
        <v>127902463.31</v>
      </c>
      <c r="M23" s="42">
        <f t="shared" si="0"/>
        <v>127902463.31999999</v>
      </c>
    </row>
    <row r="24" spans="1:13" x14ac:dyDescent="0.25">
      <c r="A24" t="s">
        <v>30</v>
      </c>
      <c r="B24">
        <v>0.92642472399999998</v>
      </c>
      <c r="C24">
        <f>Summary!L24/Summary!K24</f>
        <v>0.92642471988730701</v>
      </c>
      <c r="D24">
        <v>6.5</v>
      </c>
      <c r="F24" s="35">
        <v>594288426.14999998</v>
      </c>
      <c r="G24" s="34">
        <f>Collateral!K22</f>
        <v>594289</v>
      </c>
      <c r="H24" s="35">
        <v>236357792.36000001</v>
      </c>
      <c r="I24" s="34">
        <f>Collateral!O22</f>
        <v>236358</v>
      </c>
      <c r="J24" s="35">
        <v>43041409016.690002</v>
      </c>
      <c r="K24" s="34">
        <f>Collateral!I22*1000</f>
        <v>43041409000</v>
      </c>
      <c r="L24" s="43">
        <v>830646218.51999998</v>
      </c>
      <c r="M24" s="42">
        <f t="shared" si="0"/>
        <v>830646218.50999999</v>
      </c>
    </row>
    <row r="25" spans="1:13" x14ac:dyDescent="0.25">
      <c r="A25" t="s">
        <v>31</v>
      </c>
      <c r="B25">
        <v>0.93787652700000002</v>
      </c>
      <c r="C25">
        <f>Summary!L25/Summary!K25</f>
        <v>0.93787653205452737</v>
      </c>
      <c r="D25">
        <v>6.5</v>
      </c>
      <c r="F25" s="35">
        <v>593792979</v>
      </c>
      <c r="G25" s="34">
        <f>Collateral!K23</f>
        <v>593793</v>
      </c>
      <c r="H25" s="35">
        <v>252751762</v>
      </c>
      <c r="I25" s="34">
        <f>Collateral!O23</f>
        <v>252752</v>
      </c>
      <c r="J25" s="35">
        <v>46068484027.730003</v>
      </c>
      <c r="K25" s="34">
        <f>Collateral!I23*1000</f>
        <v>46068484000</v>
      </c>
      <c r="L25" s="43">
        <v>846544741</v>
      </c>
      <c r="M25" s="42">
        <f t="shared" si="0"/>
        <v>846544741</v>
      </c>
    </row>
    <row r="26" spans="1:13" x14ac:dyDescent="0.25">
      <c r="A26" t="s">
        <v>32</v>
      </c>
      <c r="B26">
        <v>0.94913792799999996</v>
      </c>
      <c r="C26">
        <f>Summary!L26/Summary!K26</f>
        <v>0.94913793328371443</v>
      </c>
      <c r="D26">
        <v>6.5</v>
      </c>
      <c r="F26" s="35">
        <v>664919663.16999996</v>
      </c>
      <c r="G26" s="34">
        <f>Collateral!K24</f>
        <v>664919</v>
      </c>
      <c r="H26" s="35">
        <v>257789660.06</v>
      </c>
      <c r="I26" s="34">
        <f>Collateral!O24</f>
        <v>257790</v>
      </c>
      <c r="J26" s="35">
        <v>46927439993.68</v>
      </c>
      <c r="K26" s="34">
        <f>Collateral!I24*1000</f>
        <v>46927440000</v>
      </c>
      <c r="L26" s="43">
        <v>922709323.24000001</v>
      </c>
      <c r="M26" s="42">
        <f t="shared" si="0"/>
        <v>922709323.23000002</v>
      </c>
    </row>
    <row r="27" spans="1:13" x14ac:dyDescent="0.25">
      <c r="A27" t="s">
        <v>33</v>
      </c>
      <c r="B27">
        <v>0.95786815400000003</v>
      </c>
      <c r="C27">
        <f>Summary!L27/Summary!K27</f>
        <v>0.95786814159258604</v>
      </c>
      <c r="D27">
        <v>6.5</v>
      </c>
      <c r="F27" s="35">
        <v>646668487.21000004</v>
      </c>
      <c r="G27" s="34">
        <f>Collateral!K25</f>
        <v>646669</v>
      </c>
      <c r="H27" s="35">
        <v>264445900.34</v>
      </c>
      <c r="I27" s="34">
        <f>Collateral!O25</f>
        <v>264446</v>
      </c>
      <c r="J27" s="35">
        <v>48174550364.730003</v>
      </c>
      <c r="K27" s="34">
        <f>Collateral!I25*1000</f>
        <v>48174550000</v>
      </c>
      <c r="L27" s="43">
        <v>911114387.54999995</v>
      </c>
      <c r="M27" s="42">
        <f t="shared" si="0"/>
        <v>911114387.55000007</v>
      </c>
    </row>
    <row r="28" spans="1:13" x14ac:dyDescent="0.25">
      <c r="A28" t="s">
        <v>34</v>
      </c>
      <c r="B28">
        <v>0.96576490999999998</v>
      </c>
      <c r="C28">
        <f>Summary!L28/Summary!K28</f>
        <v>0.9657649078776992</v>
      </c>
      <c r="D28">
        <v>6.5</v>
      </c>
      <c r="F28" s="35">
        <v>396203704.04000002</v>
      </c>
      <c r="G28" s="34">
        <f>Collateral!K26</f>
        <v>396204</v>
      </c>
      <c r="H28" s="35">
        <v>232310625.13</v>
      </c>
      <c r="I28" s="34">
        <f>Collateral!O26</f>
        <v>232311</v>
      </c>
      <c r="J28" s="35">
        <v>42492385159.5</v>
      </c>
      <c r="K28" s="34">
        <f>Collateral!I26*1000</f>
        <v>42492385000</v>
      </c>
      <c r="L28" s="43">
        <v>628514329.16999996</v>
      </c>
      <c r="M28" s="42">
        <f t="shared" si="0"/>
        <v>628514329.17000008</v>
      </c>
    </row>
    <row r="29" spans="1:13" x14ac:dyDescent="0.25">
      <c r="A29" t="s">
        <v>35</v>
      </c>
      <c r="B29">
        <v>0.96814358599999994</v>
      </c>
      <c r="C29">
        <f>Summary!L29/Summary!K29</f>
        <v>0.96814359364091696</v>
      </c>
      <c r="D29">
        <v>6.5</v>
      </c>
      <c r="F29" s="35">
        <v>316496699.23000002</v>
      </c>
      <c r="G29" s="34">
        <f>Collateral!K27</f>
        <v>316497</v>
      </c>
      <c r="H29" s="35">
        <v>185453922.41999999</v>
      </c>
      <c r="I29" s="34">
        <f>Collateral!O27</f>
        <v>185454</v>
      </c>
      <c r="J29" s="35">
        <v>33921639722.200001</v>
      </c>
      <c r="K29" s="34">
        <f>Collateral!I27*1000</f>
        <v>33921640000</v>
      </c>
      <c r="L29" s="43">
        <v>501950621.64999998</v>
      </c>
      <c r="M29" s="42">
        <f t="shared" si="0"/>
        <v>501950621.64999998</v>
      </c>
    </row>
    <row r="30" spans="1:13" x14ac:dyDescent="0.25">
      <c r="A30" t="s">
        <v>36</v>
      </c>
      <c r="B30">
        <v>0.96834590899999995</v>
      </c>
      <c r="C30">
        <f>Summary!L30/Summary!K30</f>
        <v>0.96834590580484525</v>
      </c>
      <c r="D30">
        <v>6.5</v>
      </c>
      <c r="F30" s="35">
        <v>255469527.38999999</v>
      </c>
      <c r="G30" s="34">
        <f>Collateral!K28</f>
        <v>255470</v>
      </c>
      <c r="H30" s="35">
        <v>134322252.13999999</v>
      </c>
      <c r="I30" s="34">
        <f>Collateral!O28</f>
        <v>134322</v>
      </c>
      <c r="J30" s="35">
        <v>24542909789.959999</v>
      </c>
      <c r="K30" s="34">
        <f>Collateral!I28*1000</f>
        <v>24542910000</v>
      </c>
      <c r="L30" s="43">
        <v>389791779.52999997</v>
      </c>
      <c r="M30" s="42">
        <f t="shared" si="0"/>
        <v>389791779.52999997</v>
      </c>
    </row>
    <row r="31" spans="1:13" x14ac:dyDescent="0.25">
      <c r="A31" t="s">
        <v>37</v>
      </c>
      <c r="B31">
        <v>0.96979965499999998</v>
      </c>
      <c r="C31">
        <f>Summary!L31/Summary!K31</f>
        <v>0.96979964070318847</v>
      </c>
      <c r="D31">
        <v>6.5</v>
      </c>
      <c r="F31" s="35">
        <v>203747037.30000001</v>
      </c>
      <c r="G31" s="34">
        <f>Collateral!K29</f>
        <v>203747</v>
      </c>
      <c r="H31" s="35">
        <v>101149027.73999999</v>
      </c>
      <c r="I31" s="34">
        <f>Collateral!O29</f>
        <v>101149</v>
      </c>
      <c r="J31" s="35">
        <v>18470353435.880001</v>
      </c>
      <c r="K31" s="34">
        <f>Collateral!I29*1000</f>
        <v>18470353000</v>
      </c>
      <c r="L31" s="43">
        <v>304896065.04000002</v>
      </c>
      <c r="M31" s="42">
        <f t="shared" si="0"/>
        <v>304896065.04000002</v>
      </c>
    </row>
    <row r="32" spans="1:13" x14ac:dyDescent="0.25">
      <c r="A32" t="s">
        <v>38</v>
      </c>
      <c r="B32">
        <v>0.97155039899999995</v>
      </c>
      <c r="C32">
        <f>Summary!L32/Summary!K32</f>
        <v>0.97155037411883816</v>
      </c>
      <c r="D32">
        <v>6.5</v>
      </c>
      <c r="F32" s="35">
        <v>184453867.81999999</v>
      </c>
      <c r="G32" s="34">
        <f>Collateral!K30</f>
        <v>184454</v>
      </c>
      <c r="H32" s="35">
        <v>87321237.409999996</v>
      </c>
      <c r="I32" s="34">
        <f>Collateral!O30</f>
        <v>87321</v>
      </c>
      <c r="J32" s="35">
        <v>15936675265.809999</v>
      </c>
      <c r="K32" s="34">
        <f>Collateral!I30*1000</f>
        <v>15936675000</v>
      </c>
      <c r="L32" s="43">
        <v>271775105.24000001</v>
      </c>
      <c r="M32" s="42">
        <f t="shared" si="0"/>
        <v>271775105.23000002</v>
      </c>
    </row>
    <row r="33" spans="1:13" x14ac:dyDescent="0.25">
      <c r="A33" t="s">
        <v>39</v>
      </c>
      <c r="B33">
        <v>0.89803624100000001</v>
      </c>
      <c r="C33">
        <f>Summary!L33/Summary!K33</f>
        <v>0.89803628222018694</v>
      </c>
      <c r="D33">
        <v>6.5</v>
      </c>
      <c r="F33" s="35">
        <v>75678271.969999999</v>
      </c>
      <c r="G33" s="34">
        <f>Collateral!K31</f>
        <v>75678</v>
      </c>
      <c r="H33" s="35">
        <v>31538496.370000001</v>
      </c>
      <c r="I33" s="34">
        <f>Collateral!O31</f>
        <v>31538</v>
      </c>
      <c r="J33" s="35">
        <v>5746931741.3000002</v>
      </c>
      <c r="K33" s="34">
        <f>Collateral!I31*1000</f>
        <v>5746932000</v>
      </c>
      <c r="L33" s="43">
        <v>107216768.34</v>
      </c>
      <c r="M33" s="42">
        <f t="shared" si="0"/>
        <v>107216768.34</v>
      </c>
    </row>
    <row r="34" spans="1:13" x14ac:dyDescent="0.25">
      <c r="A34" t="s">
        <v>40</v>
      </c>
      <c r="B34">
        <v>0.91013299800000003</v>
      </c>
      <c r="C34">
        <f>Summary!L34/Summary!K34</f>
        <v>0.91013298207283833</v>
      </c>
      <c r="D34">
        <v>6.5</v>
      </c>
      <c r="F34" s="35">
        <v>95620537.879999995</v>
      </c>
      <c r="G34" s="34">
        <f>Collateral!K32</f>
        <v>95620</v>
      </c>
      <c r="H34" s="35">
        <v>33673223.299999997</v>
      </c>
      <c r="I34" s="34">
        <f>Collateral!O32</f>
        <v>33673</v>
      </c>
      <c r="J34" s="35">
        <v>6121093022.2399998</v>
      </c>
      <c r="K34" s="34">
        <f>Collateral!I32*1000</f>
        <v>6121093000</v>
      </c>
      <c r="L34" s="43">
        <v>129293761.18000001</v>
      </c>
      <c r="M34" s="42">
        <f t="shared" si="0"/>
        <v>129293761.17999999</v>
      </c>
    </row>
    <row r="35" spans="1:13" x14ac:dyDescent="0.25">
      <c r="A35" t="s">
        <v>41</v>
      </c>
      <c r="B35">
        <v>0.92436029799999997</v>
      </c>
      <c r="C35">
        <f>Summary!L35/Summary!K35</f>
        <v>0.924360341300971</v>
      </c>
      <c r="D35">
        <v>6.5</v>
      </c>
      <c r="F35" s="35">
        <v>114058955.28</v>
      </c>
      <c r="G35" s="34">
        <f>Collateral!K33</f>
        <v>114059</v>
      </c>
      <c r="H35" s="35">
        <v>34517648.700000003</v>
      </c>
      <c r="I35" s="34">
        <f>Collateral!O33</f>
        <v>34518</v>
      </c>
      <c r="J35" s="35">
        <v>6258548637.7799997</v>
      </c>
      <c r="K35" s="34">
        <f>Collateral!I33*1000</f>
        <v>6258549000</v>
      </c>
      <c r="L35" s="43">
        <v>148576603.99000001</v>
      </c>
      <c r="M35" s="42">
        <f t="shared" si="0"/>
        <v>148576603.98000002</v>
      </c>
    </row>
    <row r="36" spans="1:13" x14ac:dyDescent="0.25">
      <c r="A36" t="s">
        <v>42</v>
      </c>
      <c r="B36">
        <v>0.94048633199999998</v>
      </c>
      <c r="C36">
        <f>Summary!L36/Summary!K36</f>
        <v>0.94048633020853079</v>
      </c>
      <c r="D36">
        <v>6.5</v>
      </c>
      <c r="F36" s="35">
        <v>93734062.549999997</v>
      </c>
      <c r="G36" s="34">
        <f>Collateral!K34</f>
        <v>93734</v>
      </c>
      <c r="H36" s="35">
        <v>35143455.960000001</v>
      </c>
      <c r="I36" s="34">
        <f>Collateral!O34</f>
        <v>35143</v>
      </c>
      <c r="J36" s="35">
        <v>6394407341.6000004</v>
      </c>
      <c r="K36" s="34">
        <f>Collateral!I34*1000</f>
        <v>6394407000</v>
      </c>
      <c r="L36" s="43">
        <v>128877518.52</v>
      </c>
      <c r="M36" s="42">
        <f t="shared" ref="M36:M68" si="1">H36+F36</f>
        <v>128877518.50999999</v>
      </c>
    </row>
    <row r="37" spans="1:13" x14ac:dyDescent="0.25">
      <c r="A37" t="s">
        <v>43</v>
      </c>
      <c r="B37">
        <v>0.95408062500000002</v>
      </c>
      <c r="C37">
        <f>Summary!L37/Summary!K37</f>
        <v>0.95408056540016606</v>
      </c>
      <c r="D37">
        <v>6.5</v>
      </c>
      <c r="F37" s="35">
        <v>115899141.79000001</v>
      </c>
      <c r="G37" s="34">
        <f>Collateral!K35</f>
        <v>115899</v>
      </c>
      <c r="H37" s="35">
        <v>36721888.049999997</v>
      </c>
      <c r="I37" s="34">
        <f>Collateral!O35</f>
        <v>36722</v>
      </c>
      <c r="J37" s="35">
        <v>6663645285.8999996</v>
      </c>
      <c r="K37" s="34">
        <f>Collateral!I35*1000</f>
        <v>6663645000</v>
      </c>
      <c r="L37" s="43">
        <v>152621029.83000001</v>
      </c>
      <c r="M37" s="42">
        <f t="shared" si="1"/>
        <v>152621029.84</v>
      </c>
    </row>
    <row r="38" spans="1:13" x14ac:dyDescent="0.25">
      <c r="A38" t="s">
        <v>44</v>
      </c>
      <c r="B38">
        <v>0.96972586299999997</v>
      </c>
      <c r="C38">
        <f>Summary!L38/Summary!K38</f>
        <v>0.96972594328121775</v>
      </c>
      <c r="D38">
        <v>6.5</v>
      </c>
      <c r="F38" s="35">
        <v>111944865.93000001</v>
      </c>
      <c r="G38" s="34">
        <f>Collateral!K36</f>
        <v>111945</v>
      </c>
      <c r="H38" s="35">
        <v>42033714.299999997</v>
      </c>
      <c r="I38" s="34">
        <f>Collateral!O36</f>
        <v>42034</v>
      </c>
      <c r="J38" s="35">
        <v>7648244553.9200001</v>
      </c>
      <c r="K38" s="34">
        <f>Collateral!I36*1000</f>
        <v>7648245000</v>
      </c>
      <c r="L38" s="43">
        <v>153978580.22999999</v>
      </c>
      <c r="M38" s="42">
        <f t="shared" si="1"/>
        <v>153978580.23000002</v>
      </c>
    </row>
    <row r="39" spans="1:13" x14ac:dyDescent="0.25">
      <c r="A39" t="s">
        <v>45</v>
      </c>
      <c r="B39">
        <v>0.98143970599999997</v>
      </c>
      <c r="C39">
        <f>Summary!L39/Summary!K39</f>
        <v>0.9814397058984079</v>
      </c>
      <c r="D39">
        <v>6.5</v>
      </c>
      <c r="F39" s="35">
        <v>82168323.659999996</v>
      </c>
      <c r="G39" s="34">
        <f>Collateral!K37</f>
        <v>82168</v>
      </c>
      <c r="H39" s="35">
        <v>42808620.700000003</v>
      </c>
      <c r="I39" s="34">
        <f>Collateral!O37</f>
        <v>42809</v>
      </c>
      <c r="J39" s="35">
        <v>7821041196.1099997</v>
      </c>
      <c r="K39" s="34">
        <f>Collateral!I37*1000</f>
        <v>7821041000</v>
      </c>
      <c r="L39" s="43">
        <v>124976944.36</v>
      </c>
      <c r="M39" s="42">
        <f t="shared" si="1"/>
        <v>124976944.36</v>
      </c>
    </row>
    <row r="40" spans="1:13" x14ac:dyDescent="0.25">
      <c r="A40" t="s">
        <v>46</v>
      </c>
      <c r="B40">
        <v>0.98870577999999998</v>
      </c>
      <c r="C40">
        <f>Summary!L40/Summary!K40</f>
        <v>0.98870576293358048</v>
      </c>
      <c r="D40">
        <v>6.5</v>
      </c>
      <c r="F40" s="35">
        <v>53361244.920000002</v>
      </c>
      <c r="G40" s="34">
        <f>Collateral!K38</f>
        <v>53361</v>
      </c>
      <c r="H40" s="35">
        <v>34498580.590000004</v>
      </c>
      <c r="I40" s="34">
        <f>Collateral!O38</f>
        <v>34499</v>
      </c>
      <c r="J40" s="35">
        <v>6315626377.5900002</v>
      </c>
      <c r="K40" s="34">
        <f>Collateral!I38*1000</f>
        <v>6315626000</v>
      </c>
      <c r="L40" s="43">
        <v>87859825.510000005</v>
      </c>
      <c r="M40" s="42">
        <f t="shared" si="1"/>
        <v>87859825.510000005</v>
      </c>
    </row>
    <row r="41" spans="1:13" x14ac:dyDescent="0.25">
      <c r="A41" t="s">
        <v>47</v>
      </c>
      <c r="B41">
        <v>0.99415752499999999</v>
      </c>
      <c r="C41">
        <f>Summary!L41/Summary!K41</f>
        <v>0.99415741632390009</v>
      </c>
      <c r="D41">
        <v>6.5</v>
      </c>
      <c r="F41" s="35">
        <v>18084500.34</v>
      </c>
      <c r="G41" s="34">
        <f>Collateral!K39</f>
        <v>18085</v>
      </c>
      <c r="H41" s="35">
        <v>17410778.48</v>
      </c>
      <c r="I41" s="34">
        <f>Collateral!O39</f>
        <v>17411</v>
      </c>
      <c r="J41" s="35">
        <v>3196231979.5100002</v>
      </c>
      <c r="K41" s="34">
        <f>Collateral!I39*1000</f>
        <v>3196232000</v>
      </c>
      <c r="L41" s="43">
        <v>35495278.82</v>
      </c>
      <c r="M41" s="42">
        <f t="shared" si="1"/>
        <v>35495278.82</v>
      </c>
    </row>
    <row r="42" spans="1:13" x14ac:dyDescent="0.25">
      <c r="A42" t="s">
        <v>48</v>
      </c>
      <c r="B42">
        <v>0.99683715799999995</v>
      </c>
      <c r="C42">
        <f>Summary!L42/Summary!K42</f>
        <v>0.99683330996014496</v>
      </c>
      <c r="D42">
        <v>6.5</v>
      </c>
      <c r="F42" s="35">
        <v>183156.14</v>
      </c>
      <c r="G42" s="34">
        <f>Collateral!K40</f>
        <v>183</v>
      </c>
      <c r="H42" s="35">
        <v>1194536.4099999999</v>
      </c>
      <c r="I42" s="34">
        <f>Collateral!O40</f>
        <v>1195</v>
      </c>
      <c r="J42" s="35">
        <v>220351461.84999999</v>
      </c>
      <c r="K42" s="34">
        <f>Collateral!I40*1000</f>
        <v>220351000</v>
      </c>
      <c r="L42" s="43">
        <v>1377692.55</v>
      </c>
      <c r="M42" s="42">
        <f t="shared" si="1"/>
        <v>1377692.5499999998</v>
      </c>
    </row>
    <row r="43" spans="1:13" x14ac:dyDescent="0.25">
      <c r="A43" t="s">
        <v>49</v>
      </c>
      <c r="B43">
        <v>7.0269349999999998E-3</v>
      </c>
      <c r="C43">
        <f>Summary!L43/Summary!K43</f>
        <v>7.026933803630897E-3</v>
      </c>
      <c r="D43">
        <v>6.5</v>
      </c>
      <c r="F43" s="35">
        <v>65091029.369999997</v>
      </c>
      <c r="G43" s="34">
        <f>Collateral!K41</f>
        <v>65091</v>
      </c>
      <c r="H43" s="35">
        <v>21438581.77</v>
      </c>
      <c r="I43" s="34">
        <f>Collateral!O41</f>
        <v>21439</v>
      </c>
      <c r="J43" s="35">
        <v>3892813433.5300002</v>
      </c>
      <c r="K43" s="34">
        <f>Collateral!I41*1000</f>
        <v>3892813000</v>
      </c>
      <c r="L43" s="43">
        <v>86529611.129999995</v>
      </c>
      <c r="M43" s="42">
        <f t="shared" si="1"/>
        <v>86529611.140000001</v>
      </c>
    </row>
    <row r="44" spans="1:13" x14ac:dyDescent="0.25">
      <c r="A44" t="s">
        <v>50</v>
      </c>
      <c r="B44">
        <v>7.1241769999999998E-3</v>
      </c>
      <c r="C44">
        <f>Summary!L44/Summary!K44</f>
        <v>7.1241772163398148E-3</v>
      </c>
      <c r="D44">
        <v>6.5</v>
      </c>
      <c r="F44" s="35">
        <v>73012512.620000005</v>
      </c>
      <c r="G44" s="34">
        <f>Collateral!K42</f>
        <v>73012</v>
      </c>
      <c r="H44" s="35">
        <v>21834058.48</v>
      </c>
      <c r="I44" s="34">
        <f>Collateral!O42</f>
        <v>21834</v>
      </c>
      <c r="J44" s="35">
        <v>3957903140.6900001</v>
      </c>
      <c r="K44" s="34">
        <f>Collateral!I42*1000</f>
        <v>3957903000</v>
      </c>
      <c r="L44" s="43">
        <v>94846571.099999994</v>
      </c>
      <c r="M44" s="42">
        <f t="shared" si="1"/>
        <v>94846571.100000009</v>
      </c>
    </row>
    <row r="45" spans="1:13" x14ac:dyDescent="0.25">
      <c r="A45" t="s">
        <v>51</v>
      </c>
      <c r="B45">
        <v>7.2261549999999997E-3</v>
      </c>
      <c r="C45">
        <f>Summary!L45/Summary!K45</f>
        <v>7.2261560188529765E-3</v>
      </c>
      <c r="D45">
        <v>6.5</v>
      </c>
      <c r="F45" s="35">
        <v>75578131.219999999</v>
      </c>
      <c r="G45" s="34">
        <f>Collateral!K43</f>
        <v>75578</v>
      </c>
      <c r="H45" s="35">
        <v>22243439.02</v>
      </c>
      <c r="I45" s="34">
        <f>Collateral!O43</f>
        <v>22243</v>
      </c>
      <c r="J45" s="35">
        <v>4030915653.3099999</v>
      </c>
      <c r="K45" s="34">
        <f>Collateral!I43*1000</f>
        <v>4030916000</v>
      </c>
      <c r="L45" s="43">
        <v>97821570.230000004</v>
      </c>
      <c r="M45" s="42">
        <f t="shared" si="1"/>
        <v>97821570.239999995</v>
      </c>
    </row>
    <row r="46" spans="1:13" x14ac:dyDescent="0.25">
      <c r="A46" t="s">
        <v>52</v>
      </c>
      <c r="B46">
        <v>7.3378369999999998E-3</v>
      </c>
      <c r="C46">
        <f>Summary!L46/Summary!K46</f>
        <v>7.3378372742843459E-3</v>
      </c>
      <c r="D46">
        <v>6.5</v>
      </c>
      <c r="F46" s="35">
        <v>82250670.700000003</v>
      </c>
      <c r="G46" s="34">
        <f>Collateral!K44</f>
        <v>82251</v>
      </c>
      <c r="H46" s="35">
        <v>22688638.449999999</v>
      </c>
      <c r="I46" s="34">
        <f>Collateral!O44</f>
        <v>22689</v>
      </c>
      <c r="J46" s="35">
        <v>4106433997.6500001</v>
      </c>
      <c r="K46" s="34">
        <f>Collateral!I44*1000</f>
        <v>4106434000</v>
      </c>
      <c r="L46" s="43">
        <v>104939309.15000001</v>
      </c>
      <c r="M46" s="42">
        <f t="shared" si="1"/>
        <v>104939309.15000001</v>
      </c>
    </row>
    <row r="47" spans="1:13" x14ac:dyDescent="0.25">
      <c r="A47" t="s">
        <v>53</v>
      </c>
      <c r="B47">
        <v>7.459612E-3</v>
      </c>
      <c r="C47">
        <f>Summary!L47/Summary!K47</f>
        <v>7.4596126808459118E-3</v>
      </c>
      <c r="D47">
        <v>6.5</v>
      </c>
      <c r="F47" s="35">
        <v>93111882.019999996</v>
      </c>
      <c r="G47" s="34">
        <f>Collateral!K45</f>
        <v>93112</v>
      </c>
      <c r="H47" s="35">
        <v>23191966.969999999</v>
      </c>
      <c r="I47" s="34">
        <f>Collateral!O45</f>
        <v>23192</v>
      </c>
      <c r="J47" s="35">
        <v>4188494864.1500001</v>
      </c>
      <c r="K47" s="34">
        <f>Collateral!I45*1000</f>
        <v>4188495000</v>
      </c>
      <c r="L47" s="43">
        <v>116303848.98999999</v>
      </c>
      <c r="M47" s="42">
        <f t="shared" si="1"/>
        <v>116303848.98999999</v>
      </c>
    </row>
    <row r="48" spans="1:13" x14ac:dyDescent="0.25">
      <c r="A48" t="s">
        <v>54</v>
      </c>
      <c r="B48">
        <v>7.5668150000000002E-3</v>
      </c>
      <c r="C48">
        <f>Summary!L48/Summary!K48</f>
        <v>7.5668155416806189E-3</v>
      </c>
      <c r="D48">
        <v>6.5</v>
      </c>
      <c r="F48" s="35">
        <v>98316835.859999999</v>
      </c>
      <c r="G48" s="34">
        <f>Collateral!K46</f>
        <v>98316</v>
      </c>
      <c r="H48" s="35">
        <v>23643802.920000002</v>
      </c>
      <c r="I48" s="34">
        <f>Collateral!O46</f>
        <v>23644</v>
      </c>
      <c r="J48" s="35">
        <v>4266705951.96</v>
      </c>
      <c r="K48" s="34">
        <f>Collateral!I46*1000</f>
        <v>4266706000</v>
      </c>
      <c r="L48" s="43">
        <v>121960638.78</v>
      </c>
      <c r="M48" s="42">
        <f t="shared" si="1"/>
        <v>121960638.78</v>
      </c>
    </row>
    <row r="49" spans="1:13" x14ac:dyDescent="0.25">
      <c r="A49" t="s">
        <v>55</v>
      </c>
      <c r="B49">
        <v>7.7068850000000001E-3</v>
      </c>
      <c r="C49">
        <f>Summary!L49/Summary!K49</f>
        <v>7.7068849763786296E-3</v>
      </c>
      <c r="D49">
        <v>6.5</v>
      </c>
      <c r="F49" s="35">
        <v>109759730.02</v>
      </c>
      <c r="G49" s="34">
        <f>Collateral!K47</f>
        <v>109759</v>
      </c>
      <c r="H49" s="35">
        <v>24190312.190000001</v>
      </c>
      <c r="I49" s="34">
        <f>Collateral!O47</f>
        <v>24190</v>
      </c>
      <c r="J49" s="35">
        <v>4356157229.1099997</v>
      </c>
      <c r="K49" s="34">
        <f>Collateral!I47*1000</f>
        <v>4356157000</v>
      </c>
      <c r="L49" s="43">
        <v>133950042.20999999</v>
      </c>
      <c r="M49" s="42">
        <f t="shared" si="1"/>
        <v>133950042.20999999</v>
      </c>
    </row>
    <row r="50" spans="1:13" x14ac:dyDescent="0.25">
      <c r="A50" t="s">
        <v>56</v>
      </c>
      <c r="B50">
        <v>8.0622839999999994E-3</v>
      </c>
      <c r="C50">
        <f>Summary!L50/Summary!K50</f>
        <v>8.0622847265449486E-3</v>
      </c>
      <c r="D50">
        <v>6.5</v>
      </c>
      <c r="F50" s="35">
        <v>90216133</v>
      </c>
      <c r="G50" s="34">
        <f>Collateral!K48</f>
        <v>90216</v>
      </c>
      <c r="H50" s="35">
        <v>24254853.710000001</v>
      </c>
      <c r="I50" s="34">
        <f>Collateral!O48</f>
        <v>24255</v>
      </c>
      <c r="J50" s="35">
        <v>4387616575.2200003</v>
      </c>
      <c r="K50" s="34">
        <f>Collateral!I48*1000</f>
        <v>4387617000</v>
      </c>
      <c r="L50" s="43">
        <v>114470986.70999999</v>
      </c>
      <c r="M50" s="42">
        <f t="shared" si="1"/>
        <v>114470986.71000001</v>
      </c>
    </row>
    <row r="51" spans="1:13" x14ac:dyDescent="0.25">
      <c r="A51" t="s">
        <v>57</v>
      </c>
      <c r="B51">
        <v>8.1932140000000007E-3</v>
      </c>
      <c r="C51">
        <f>Summary!L51/Summary!K51</f>
        <v>8.193214758456439E-3</v>
      </c>
      <c r="D51">
        <v>6.5</v>
      </c>
      <c r="F51" s="35">
        <v>96354768.680000007</v>
      </c>
      <c r="G51" s="34">
        <f>Collateral!K49</f>
        <v>96355</v>
      </c>
      <c r="H51" s="35">
        <v>24776774.600000001</v>
      </c>
      <c r="I51" s="34">
        <f>Collateral!O49</f>
        <v>24777</v>
      </c>
      <c r="J51" s="35">
        <v>4477832708.2299995</v>
      </c>
      <c r="K51" s="34">
        <f>Collateral!I49*1000</f>
        <v>4477833000</v>
      </c>
      <c r="L51" s="43">
        <v>121131543.29000001</v>
      </c>
      <c r="M51" s="42">
        <f t="shared" si="1"/>
        <v>121131543.28</v>
      </c>
    </row>
    <row r="52" spans="1:13" x14ac:dyDescent="0.25">
      <c r="A52" t="s">
        <v>58</v>
      </c>
      <c r="B52">
        <v>8.3360020000000003E-3</v>
      </c>
      <c r="C52">
        <f>Summary!L52/Summary!K52</f>
        <v>8.3360025950485455E-3</v>
      </c>
      <c r="D52">
        <v>6.5</v>
      </c>
      <c r="F52" s="35">
        <v>101768683.73999999</v>
      </c>
      <c r="G52" s="34">
        <f>Collateral!K50</f>
        <v>101769</v>
      </c>
      <c r="H52" s="35">
        <v>25326545.170000002</v>
      </c>
      <c r="I52" s="34">
        <f>Collateral!O50</f>
        <v>25327</v>
      </c>
      <c r="J52" s="35">
        <v>4573915603.1499996</v>
      </c>
      <c r="K52" s="34">
        <f>Collateral!I50*1000</f>
        <v>4573916000</v>
      </c>
      <c r="L52" s="43">
        <v>127095228.91</v>
      </c>
      <c r="M52" s="42">
        <f t="shared" si="1"/>
        <v>127095228.91</v>
      </c>
    </row>
    <row r="53" spans="1:13" x14ac:dyDescent="0.25">
      <c r="A53" t="s">
        <v>59</v>
      </c>
      <c r="B53">
        <v>8.4848909999999996E-3</v>
      </c>
      <c r="C53">
        <f>Summary!L53/Summary!K53</f>
        <v>8.4848917456641949E-3</v>
      </c>
      <c r="D53">
        <v>6.5</v>
      </c>
      <c r="F53" s="35">
        <v>101318152.48999999</v>
      </c>
      <c r="G53" s="34">
        <f>Collateral!K51</f>
        <v>101318</v>
      </c>
      <c r="H53" s="35">
        <v>25874798.370000001</v>
      </c>
      <c r="I53" s="34">
        <f>Collateral!O51</f>
        <v>25875</v>
      </c>
      <c r="J53" s="35">
        <v>4675582539.8299999</v>
      </c>
      <c r="K53" s="34">
        <f>Collateral!I51*1000</f>
        <v>4675583000</v>
      </c>
      <c r="L53" s="43">
        <v>127192950.86</v>
      </c>
      <c r="M53" s="42">
        <f t="shared" si="1"/>
        <v>127192950.86</v>
      </c>
    </row>
    <row r="54" spans="1:13" x14ac:dyDescent="0.25">
      <c r="A54" t="s">
        <v>60</v>
      </c>
      <c r="B54">
        <v>8.6338119999999994E-3</v>
      </c>
      <c r="C54">
        <f>Summary!L54/Summary!K54</f>
        <v>8.6338110090771313E-3</v>
      </c>
      <c r="D54">
        <v>6.5</v>
      </c>
      <c r="F54" s="35">
        <v>100627367.08</v>
      </c>
      <c r="G54" s="34">
        <f>Collateral!K52</f>
        <v>100628</v>
      </c>
      <c r="H54" s="35">
        <v>26417426.949999999</v>
      </c>
      <c r="I54" s="34">
        <f>Collateral!O52</f>
        <v>26417</v>
      </c>
      <c r="J54" s="35">
        <v>4776451301.8299999</v>
      </c>
      <c r="K54" s="34">
        <f>Collateral!I52*1000</f>
        <v>4776451000</v>
      </c>
      <c r="L54" s="43">
        <v>127044794.03</v>
      </c>
      <c r="M54" s="42">
        <f t="shared" si="1"/>
        <v>127044794.03</v>
      </c>
    </row>
    <row r="55" spans="1:13" x14ac:dyDescent="0.25">
      <c r="A55" t="s">
        <v>61</v>
      </c>
      <c r="B55">
        <v>8.7806440000000006E-3</v>
      </c>
      <c r="C55">
        <f>Summary!L55/Summary!K55</f>
        <v>8.7806444859872181E-3</v>
      </c>
      <c r="D55">
        <v>6.5</v>
      </c>
      <c r="F55" s="35">
        <v>108866001.72</v>
      </c>
      <c r="G55" s="34">
        <f>Collateral!K53</f>
        <v>108866</v>
      </c>
      <c r="H55" s="35">
        <v>26965993.91</v>
      </c>
      <c r="I55" s="34">
        <f>Collateral!O53</f>
        <v>26966</v>
      </c>
      <c r="J55" s="35">
        <v>4869486968.0299997</v>
      </c>
      <c r="K55" s="34">
        <f>Collateral!I53*1000</f>
        <v>4869487000</v>
      </c>
      <c r="L55" s="43">
        <v>135831995.63</v>
      </c>
      <c r="M55" s="42">
        <f t="shared" si="1"/>
        <v>135831995.63</v>
      </c>
    </row>
    <row r="56" spans="1:13" x14ac:dyDescent="0.25">
      <c r="A56" t="s">
        <v>62</v>
      </c>
      <c r="B56">
        <v>8.9419159999999994E-3</v>
      </c>
      <c r="C56">
        <f>Summary!L56/Summary!K56</f>
        <v>8.9419169329499285E-3</v>
      </c>
      <c r="D56">
        <v>6.5</v>
      </c>
      <c r="F56" s="35">
        <v>111956763.56999999</v>
      </c>
      <c r="G56" s="34">
        <f>Collateral!K54</f>
        <v>111957</v>
      </c>
      <c r="H56" s="35">
        <v>27572054.489999998</v>
      </c>
      <c r="I56" s="34">
        <f>Collateral!O54</f>
        <v>27572</v>
      </c>
      <c r="J56" s="35">
        <v>4978284615.3199997</v>
      </c>
      <c r="K56" s="34">
        <f>Collateral!I54*1000</f>
        <v>4978285000</v>
      </c>
      <c r="L56" s="43">
        <v>139528818.06</v>
      </c>
      <c r="M56" s="42">
        <f t="shared" si="1"/>
        <v>139528818.06</v>
      </c>
    </row>
    <row r="57" spans="1:13" x14ac:dyDescent="0.25">
      <c r="A57" t="s">
        <v>63</v>
      </c>
      <c r="B57">
        <v>9.1071450000000005E-3</v>
      </c>
      <c r="C57">
        <f>Summary!L57/Summary!K57</f>
        <v>9.1071450614800768E-3</v>
      </c>
      <c r="D57">
        <v>6.5</v>
      </c>
      <c r="F57" s="35">
        <v>112710969.47</v>
      </c>
      <c r="G57" s="34">
        <f>Collateral!K55</f>
        <v>112711</v>
      </c>
      <c r="H57" s="35">
        <v>28180275.850000001</v>
      </c>
      <c r="I57" s="34">
        <f>Collateral!O55</f>
        <v>28180</v>
      </c>
      <c r="J57" s="35">
        <v>5089818755</v>
      </c>
      <c r="K57" s="34">
        <f>Collateral!I55*1000</f>
        <v>5089819000</v>
      </c>
      <c r="L57" s="43">
        <v>140891245.31999999</v>
      </c>
      <c r="M57" s="42">
        <f t="shared" si="1"/>
        <v>140891245.31999999</v>
      </c>
    </row>
    <row r="58" spans="1:13" x14ac:dyDescent="0.25">
      <c r="A58" t="s">
        <v>64</v>
      </c>
      <c r="B58">
        <v>9.2770130000000006E-3</v>
      </c>
      <c r="C58">
        <f>Summary!L58/Summary!K58</f>
        <v>9.2770130784302664E-3</v>
      </c>
      <c r="D58">
        <v>6.5</v>
      </c>
      <c r="F58" s="35">
        <v>119013205.54000001</v>
      </c>
      <c r="G58" s="34">
        <f>Collateral!K56</f>
        <v>119014</v>
      </c>
      <c r="H58" s="35">
        <v>28824926.280000001</v>
      </c>
      <c r="I58" s="34">
        <f>Collateral!O56</f>
        <v>28825</v>
      </c>
      <c r="J58" s="35">
        <v>5202529724.4700003</v>
      </c>
      <c r="K58" s="34">
        <f>Collateral!I56*1000</f>
        <v>5202530000</v>
      </c>
      <c r="L58" s="43">
        <v>147838131.83000001</v>
      </c>
      <c r="M58" s="42">
        <f t="shared" si="1"/>
        <v>147838131.81999999</v>
      </c>
    </row>
    <row r="59" spans="1:13" x14ac:dyDescent="0.25">
      <c r="A59" t="s">
        <v>65</v>
      </c>
      <c r="B59">
        <v>9.4509969999999992E-3</v>
      </c>
      <c r="C59">
        <f>Summary!L59/Summary!K59</f>
        <v>9.4509974801883483E-3</v>
      </c>
      <c r="D59">
        <v>6.5</v>
      </c>
      <c r="F59" s="35">
        <v>111206665.19</v>
      </c>
      <c r="G59" s="34">
        <f>Collateral!K57</f>
        <v>111206</v>
      </c>
      <c r="H59" s="35">
        <v>29424423.100000001</v>
      </c>
      <c r="I59" s="34">
        <f>Collateral!O57</f>
        <v>29424</v>
      </c>
      <c r="J59" s="35">
        <v>5321012865.6000004</v>
      </c>
      <c r="K59" s="34">
        <f>Collateral!I57*1000</f>
        <v>5321013000</v>
      </c>
      <c r="L59" s="43">
        <v>140631088.30000001</v>
      </c>
      <c r="M59" s="42">
        <f t="shared" si="1"/>
        <v>140631088.28999999</v>
      </c>
    </row>
    <row r="60" spans="1:13" x14ac:dyDescent="0.25">
      <c r="A60" t="s">
        <v>66</v>
      </c>
      <c r="B60">
        <v>9.6134800000000006E-3</v>
      </c>
      <c r="C60">
        <f>Summary!L60/Summary!K60</f>
        <v>9.6134802427789903E-3</v>
      </c>
      <c r="D60">
        <v>6.5</v>
      </c>
      <c r="F60" s="35">
        <v>118453002.47</v>
      </c>
      <c r="G60" s="34">
        <f>Collateral!K58</f>
        <v>118453</v>
      </c>
      <c r="H60" s="35">
        <v>30065945.399999999</v>
      </c>
      <c r="I60" s="34">
        <f>Collateral!O58</f>
        <v>30066</v>
      </c>
      <c r="J60" s="35">
        <v>5432201665.5</v>
      </c>
      <c r="K60" s="34">
        <f>Collateral!I58*1000</f>
        <v>5432202000</v>
      </c>
      <c r="L60" s="43">
        <v>148518947.87</v>
      </c>
      <c r="M60" s="42">
        <f t="shared" si="1"/>
        <v>148518947.87</v>
      </c>
    </row>
    <row r="61" spans="1:13" x14ac:dyDescent="0.25">
      <c r="A61" t="s">
        <v>67</v>
      </c>
      <c r="B61">
        <v>9.7868220000000006E-3</v>
      </c>
      <c r="C61">
        <f>Summary!L61/Summary!K61</f>
        <v>9.7868222578005887E-3</v>
      </c>
      <c r="D61">
        <v>6.5</v>
      </c>
      <c r="F61" s="35">
        <v>118806364.54000001</v>
      </c>
      <c r="G61" s="34">
        <f>Collateral!K59</f>
        <v>118807</v>
      </c>
      <c r="H61" s="35">
        <v>30708780.359999999</v>
      </c>
      <c r="I61" s="34">
        <f>Collateral!O59</f>
        <v>30709</v>
      </c>
      <c r="J61" s="35">
        <v>5550527806.79</v>
      </c>
      <c r="K61" s="34">
        <f>Collateral!I59*1000</f>
        <v>5550528000</v>
      </c>
      <c r="L61" s="43">
        <v>149515144.90000001</v>
      </c>
      <c r="M61" s="42">
        <f t="shared" si="1"/>
        <v>149515144.90000001</v>
      </c>
    </row>
    <row r="62" spans="1:13" x14ac:dyDescent="0.25">
      <c r="A62" t="s">
        <v>68</v>
      </c>
      <c r="B62">
        <v>9.9594350000000009E-3</v>
      </c>
      <c r="C62">
        <f>Summary!L62/Summary!K62</f>
        <v>9.9594347856406858E-3</v>
      </c>
      <c r="D62">
        <v>6.5</v>
      </c>
      <c r="F62" s="35">
        <v>103533722.48999999</v>
      </c>
      <c r="G62" s="34">
        <f>Collateral!K60</f>
        <v>103533</v>
      </c>
      <c r="H62" s="35">
        <v>31269155.809999999</v>
      </c>
      <c r="I62" s="34">
        <f>Collateral!O60</f>
        <v>31269</v>
      </c>
      <c r="J62" s="35">
        <v>5669254262.54</v>
      </c>
      <c r="K62" s="34">
        <f>Collateral!I60*1000</f>
        <v>5669254000</v>
      </c>
      <c r="L62" s="43">
        <v>134802878.31</v>
      </c>
      <c r="M62" s="42">
        <f t="shared" si="1"/>
        <v>134802878.29999998</v>
      </c>
    </row>
    <row r="63" spans="1:13" x14ac:dyDescent="0.25">
      <c r="A63" t="s">
        <v>69</v>
      </c>
      <c r="B63">
        <v>1.0106903E-2</v>
      </c>
      <c r="C63">
        <f>Summary!L63/Summary!K63</f>
        <v>1.010690282902898E-2</v>
      </c>
      <c r="D63">
        <v>6.5</v>
      </c>
      <c r="F63" s="35">
        <v>96120983.890000001</v>
      </c>
      <c r="G63" s="34">
        <f>Collateral!K61</f>
        <v>96121</v>
      </c>
      <c r="H63" s="35">
        <v>31756322.280000001</v>
      </c>
      <c r="I63" s="34">
        <f>Collateral!O61</f>
        <v>31756</v>
      </c>
      <c r="J63" s="35">
        <v>5766606020.7799997</v>
      </c>
      <c r="K63" s="34">
        <f>Collateral!I61*1000</f>
        <v>5766606000</v>
      </c>
      <c r="L63" s="43">
        <v>127877306.17</v>
      </c>
      <c r="M63" s="42">
        <f t="shared" si="1"/>
        <v>127877306.17</v>
      </c>
    </row>
    <row r="64" spans="1:13" x14ac:dyDescent="0.25">
      <c r="A64" t="s">
        <v>70</v>
      </c>
      <c r="B64">
        <v>1.0241521999999999E-2</v>
      </c>
      <c r="C64">
        <f>Summary!L64/Summary!K64</f>
        <v>1.0241522721917494E-2</v>
      </c>
      <c r="D64">
        <v>6.5</v>
      </c>
      <c r="F64" s="35">
        <v>119831006.94</v>
      </c>
      <c r="G64" s="34">
        <f>Collateral!K62</f>
        <v>119831</v>
      </c>
      <c r="H64" s="35">
        <v>32391319.859999999</v>
      </c>
      <c r="I64" s="34">
        <f>Collateral!O62</f>
        <v>32391</v>
      </c>
      <c r="J64" s="35">
        <v>5860127695.1199999</v>
      </c>
      <c r="K64" s="34">
        <f>Collateral!I62*1000</f>
        <v>5860128000</v>
      </c>
      <c r="L64" s="43">
        <v>152222326.78999999</v>
      </c>
      <c r="M64" s="42">
        <f t="shared" si="1"/>
        <v>152222326.80000001</v>
      </c>
    </row>
    <row r="65" spans="1:13" x14ac:dyDescent="0.25">
      <c r="A65" t="s">
        <v>71</v>
      </c>
      <c r="B65">
        <v>1.0405169000000001E-2</v>
      </c>
      <c r="C65">
        <f>Summary!L65/Summary!K65</f>
        <v>1.0405168328642996E-2</v>
      </c>
      <c r="D65">
        <v>6.5</v>
      </c>
      <c r="F65" s="35">
        <v>115693624.42</v>
      </c>
      <c r="G65" s="34">
        <f>Collateral!K63</f>
        <v>115694</v>
      </c>
      <c r="H65" s="35">
        <v>33016176.100000001</v>
      </c>
      <c r="I65" s="34">
        <f>Collateral!O63</f>
        <v>33016</v>
      </c>
      <c r="J65" s="35">
        <v>5979623390.2200003</v>
      </c>
      <c r="K65" s="34">
        <f>Collateral!I63*1000</f>
        <v>5979623000</v>
      </c>
      <c r="L65" s="43">
        <v>148709800.52000001</v>
      </c>
      <c r="M65" s="42">
        <f t="shared" si="1"/>
        <v>148709800.52000001</v>
      </c>
    </row>
    <row r="66" spans="1:13" x14ac:dyDescent="0.25">
      <c r="A66" t="s">
        <v>72</v>
      </c>
      <c r="B66">
        <v>1.0571016000000001E-2</v>
      </c>
      <c r="C66">
        <f>Summary!L66/Summary!K66</f>
        <v>1.0571015626483176E-2</v>
      </c>
      <c r="D66">
        <v>6.5</v>
      </c>
      <c r="F66" s="35">
        <v>120998134.65000001</v>
      </c>
      <c r="G66" s="34">
        <f>Collateral!K64</f>
        <v>120998</v>
      </c>
      <c r="H66" s="35">
        <v>33669536.170000002</v>
      </c>
      <c r="I66" s="34">
        <f>Collateral!O64</f>
        <v>33670</v>
      </c>
      <c r="J66" s="35">
        <v>6094939107.6300001</v>
      </c>
      <c r="K66" s="34">
        <f>Collateral!I64*1000</f>
        <v>6094939000</v>
      </c>
      <c r="L66" s="43">
        <v>154667670.83000001</v>
      </c>
      <c r="M66" s="42">
        <f t="shared" si="1"/>
        <v>154667670.81999999</v>
      </c>
    </row>
    <row r="67" spans="1:13" x14ac:dyDescent="0.25">
      <c r="A67" t="s">
        <v>73</v>
      </c>
      <c r="B67">
        <v>1.0736994999999999E-2</v>
      </c>
      <c r="C67">
        <f>Summary!L67/Summary!K67</f>
        <v>1.0736994866594731E-2</v>
      </c>
      <c r="D67">
        <v>6.5</v>
      </c>
      <c r="F67" s="35">
        <v>118802201.88</v>
      </c>
      <c r="G67" s="34">
        <f>Collateral!K65</f>
        <v>118803</v>
      </c>
      <c r="H67" s="35">
        <v>34312250.539999999</v>
      </c>
      <c r="I67" s="34">
        <f>Collateral!O65</f>
        <v>34312</v>
      </c>
      <c r="J67" s="35">
        <v>6215790033.6999998</v>
      </c>
      <c r="K67" s="34">
        <f>Collateral!I65*1000</f>
        <v>6215790000</v>
      </c>
      <c r="L67" s="43">
        <v>153114452.41999999</v>
      </c>
      <c r="M67" s="42">
        <f t="shared" si="1"/>
        <v>153114452.41999999</v>
      </c>
    </row>
    <row r="68" spans="1:13" x14ac:dyDescent="0.25">
      <c r="A68" t="s">
        <v>74</v>
      </c>
      <c r="B68">
        <v>1.0897133999999999E-2</v>
      </c>
      <c r="C68">
        <f>Summary!L68/Summary!K68</f>
        <v>1.089713446517422E-2</v>
      </c>
      <c r="D68">
        <v>6.5</v>
      </c>
      <c r="F68" s="35">
        <v>110889342.43000001</v>
      </c>
      <c r="G68" s="34">
        <f>Collateral!K66</f>
        <v>110889</v>
      </c>
      <c r="H68" s="35">
        <v>34875366.409999996</v>
      </c>
      <c r="I68" s="34">
        <f>Collateral!O66</f>
        <v>34875</v>
      </c>
      <c r="J68" s="35">
        <v>6327662678.2799997</v>
      </c>
      <c r="K68" s="34">
        <f>Collateral!I66*1000</f>
        <v>6327663000</v>
      </c>
      <c r="L68" s="43">
        <v>145764708.84</v>
      </c>
      <c r="M68" s="42">
        <f t="shared" si="1"/>
        <v>145764708.84</v>
      </c>
    </row>
    <row r="69" spans="1:13" x14ac:dyDescent="0.25">
      <c r="A69" t="s">
        <v>75</v>
      </c>
      <c r="B69">
        <v>1.1052091E-2</v>
      </c>
      <c r="C69">
        <f>Summary!L69/Summary!K69</f>
        <v>1.1052090050515913E-2</v>
      </c>
      <c r="D69">
        <v>6.5</v>
      </c>
      <c r="F69" s="35">
        <v>111328117.01000001</v>
      </c>
      <c r="G69" s="34">
        <f>Collateral!K67</f>
        <v>111328</v>
      </c>
      <c r="H69" s="35">
        <v>35475211.07</v>
      </c>
      <c r="I69" s="34">
        <f>Collateral!O67</f>
        <v>35475</v>
      </c>
      <c r="J69" s="35">
        <v>6437965478.5200005</v>
      </c>
      <c r="K69" s="34">
        <f>Collateral!I67*1000</f>
        <v>6437965000</v>
      </c>
      <c r="L69" s="43">
        <v>146803328.08000001</v>
      </c>
      <c r="M69" s="42">
        <f t="shared" ref="M69:M132" si="2">H69+F69</f>
        <v>146803328.08000001</v>
      </c>
    </row>
    <row r="70" spans="1:13" x14ac:dyDescent="0.25">
      <c r="A70" t="s">
        <v>76</v>
      </c>
      <c r="B70">
        <v>1.1212128E-2</v>
      </c>
      <c r="C70">
        <f>Summary!L70/Summary!K70</f>
        <v>1.1212126901790102E-2</v>
      </c>
      <c r="D70">
        <v>6.5</v>
      </c>
      <c r="F70" s="35">
        <v>107412569.95999999</v>
      </c>
      <c r="G70" s="34">
        <f>Collateral!K68</f>
        <v>107412</v>
      </c>
      <c r="H70" s="35">
        <v>36016617.509999998</v>
      </c>
      <c r="I70" s="34">
        <f>Collateral!O68</f>
        <v>36017</v>
      </c>
      <c r="J70" s="35">
        <v>6541833492.3199997</v>
      </c>
      <c r="K70" s="34">
        <f>Collateral!I68*1000</f>
        <v>6541833000</v>
      </c>
      <c r="L70" s="43">
        <v>143429187.47</v>
      </c>
      <c r="M70" s="42">
        <f t="shared" si="2"/>
        <v>143429187.47</v>
      </c>
    </row>
    <row r="71" spans="1:13" x14ac:dyDescent="0.25">
      <c r="A71" t="s">
        <v>77</v>
      </c>
      <c r="B71">
        <v>1.1361151999999999E-2</v>
      </c>
      <c r="C71">
        <f>Summary!L71/Summary!K71</f>
        <v>1.1361152804740326E-2</v>
      </c>
      <c r="D71">
        <v>6.5</v>
      </c>
      <c r="F71" s="35">
        <v>102647751.40000001</v>
      </c>
      <c r="G71" s="34">
        <f>Collateral!K69</f>
        <v>102647</v>
      </c>
      <c r="H71" s="35">
        <v>36566205.740000002</v>
      </c>
      <c r="I71" s="34">
        <f>Collateral!O69</f>
        <v>36566</v>
      </c>
      <c r="J71" s="35">
        <v>6648061590.5500002</v>
      </c>
      <c r="K71" s="34">
        <f>Collateral!I69*1000</f>
        <v>6648062000</v>
      </c>
      <c r="L71" s="43">
        <v>139213957.13999999</v>
      </c>
      <c r="M71" s="42">
        <f t="shared" si="2"/>
        <v>139213957.14000002</v>
      </c>
    </row>
    <row r="72" spans="1:13" x14ac:dyDescent="0.25">
      <c r="A72" t="s">
        <v>78</v>
      </c>
      <c r="B72">
        <v>1.150875E-2</v>
      </c>
      <c r="C72">
        <f>Summary!L72/Summary!K72</f>
        <v>1.1508750920147869E-2</v>
      </c>
      <c r="D72">
        <v>6.5</v>
      </c>
      <c r="F72" s="35">
        <v>95561212.480000004</v>
      </c>
      <c r="G72" s="34">
        <f>Collateral!K70</f>
        <v>95561</v>
      </c>
      <c r="H72" s="35">
        <v>37033332.030000001</v>
      </c>
      <c r="I72" s="34">
        <f>Collateral!O70</f>
        <v>37033</v>
      </c>
      <c r="J72" s="35">
        <v>6741386712.04</v>
      </c>
      <c r="K72" s="34">
        <f>Collateral!I70*1000</f>
        <v>6741387000</v>
      </c>
      <c r="L72" s="43">
        <v>132594544.51000001</v>
      </c>
      <c r="M72" s="42">
        <f t="shared" si="2"/>
        <v>132594544.51000001</v>
      </c>
    </row>
    <row r="73" spans="1:13" x14ac:dyDescent="0.25">
      <c r="A73" t="s">
        <v>79</v>
      </c>
      <c r="B73">
        <v>1.1639129E-2</v>
      </c>
      <c r="C73">
        <f>Summary!L73/Summary!K73</f>
        <v>1.1639128317001288E-2</v>
      </c>
      <c r="D73">
        <v>6.5</v>
      </c>
      <c r="F73" s="35">
        <v>108494017.92</v>
      </c>
      <c r="G73" s="34">
        <f>Collateral!K71</f>
        <v>108494</v>
      </c>
      <c r="H73" s="35">
        <v>37590892.560000002</v>
      </c>
      <c r="I73" s="34">
        <f>Collateral!O71</f>
        <v>37591</v>
      </c>
      <c r="J73" s="35">
        <v>6831388367.6800003</v>
      </c>
      <c r="K73" s="34">
        <f>Collateral!I71*1000</f>
        <v>6831388000</v>
      </c>
      <c r="L73" s="43">
        <v>146084910.47999999</v>
      </c>
      <c r="M73" s="42">
        <f t="shared" si="2"/>
        <v>146084910.48000002</v>
      </c>
    </row>
    <row r="74" spans="1:13" x14ac:dyDescent="0.25">
      <c r="A74" t="s">
        <v>80</v>
      </c>
      <c r="B74">
        <v>1.1811189999999999E-2</v>
      </c>
      <c r="C74">
        <f>Summary!L74/Summary!K74</f>
        <v>1.1811188933064831E-2</v>
      </c>
      <c r="D74">
        <v>6.5</v>
      </c>
      <c r="F74" s="35">
        <v>104691808.47</v>
      </c>
      <c r="G74" s="34">
        <f>Collateral!K72</f>
        <v>104691</v>
      </c>
      <c r="H74" s="35">
        <v>38123820.920000002</v>
      </c>
      <c r="I74" s="34">
        <f>Collateral!O72</f>
        <v>38124</v>
      </c>
      <c r="J74" s="35">
        <v>6933578413.3400002</v>
      </c>
      <c r="K74" s="34">
        <f>Collateral!I72*1000</f>
        <v>6933578000</v>
      </c>
      <c r="L74" s="43">
        <v>142815629.38999999</v>
      </c>
      <c r="M74" s="42">
        <f t="shared" si="2"/>
        <v>142815629.38999999</v>
      </c>
    </row>
    <row r="75" spans="1:13" x14ac:dyDescent="0.25">
      <c r="A75" t="s">
        <v>81</v>
      </c>
      <c r="B75">
        <v>1.19547E-2</v>
      </c>
      <c r="C75">
        <f>Summary!L75/Summary!K75</f>
        <v>1.1954700028116655E-2</v>
      </c>
      <c r="D75">
        <v>6.5</v>
      </c>
      <c r="F75" s="35">
        <v>107083613.2</v>
      </c>
      <c r="G75" s="34">
        <f>Collateral!K73</f>
        <v>107083</v>
      </c>
      <c r="H75" s="35">
        <v>38698005.460000001</v>
      </c>
      <c r="I75" s="34">
        <f>Collateral!O73</f>
        <v>38698</v>
      </c>
      <c r="J75" s="35">
        <v>7037190097.2799997</v>
      </c>
      <c r="K75" s="34">
        <f>Collateral!I73*1000</f>
        <v>7037190000</v>
      </c>
      <c r="L75" s="43">
        <v>145781618.66</v>
      </c>
      <c r="M75" s="42">
        <f t="shared" si="2"/>
        <v>145781618.66</v>
      </c>
    </row>
    <row r="76" spans="1:13" x14ac:dyDescent="0.25">
      <c r="A76" t="s">
        <v>82</v>
      </c>
      <c r="B76">
        <v>1.2103384E-2</v>
      </c>
      <c r="C76">
        <f>Summary!L76/Summary!K76</f>
        <v>1.2103384318484052E-2</v>
      </c>
      <c r="D76">
        <v>6.5</v>
      </c>
      <c r="F76" s="35">
        <v>110497642.17</v>
      </c>
      <c r="G76" s="34">
        <f>Collateral!K74</f>
        <v>110498</v>
      </c>
      <c r="H76" s="35">
        <v>39295435.119999997</v>
      </c>
      <c r="I76" s="34">
        <f>Collateral!O74</f>
        <v>39295</v>
      </c>
      <c r="J76" s="35">
        <v>7144071958.9799995</v>
      </c>
      <c r="K76" s="34">
        <f>Collateral!I74*1000</f>
        <v>7144072000</v>
      </c>
      <c r="L76" s="43">
        <v>149793077.28</v>
      </c>
      <c r="M76" s="42">
        <f t="shared" si="2"/>
        <v>149793077.28999999</v>
      </c>
    </row>
    <row r="77" spans="1:13" x14ac:dyDescent="0.25">
      <c r="A77" t="s">
        <v>83</v>
      </c>
      <c r="B77">
        <v>1.2251522000000001E-2</v>
      </c>
      <c r="C77">
        <f>Summary!L77/Summary!K77</f>
        <v>1.2251522737880364E-2</v>
      </c>
      <c r="D77">
        <v>6.5</v>
      </c>
      <c r="F77" s="35">
        <v>108488530.55</v>
      </c>
      <c r="G77" s="34">
        <f>Collateral!K75</f>
        <v>108488</v>
      </c>
      <c r="H77" s="35">
        <v>39882753.240000002</v>
      </c>
      <c r="I77" s="34">
        <f>Collateral!O75</f>
        <v>39883</v>
      </c>
      <c r="J77" s="35">
        <v>7254509851.46</v>
      </c>
      <c r="K77" s="34">
        <f>Collateral!I75*1000</f>
        <v>7254510000</v>
      </c>
      <c r="L77" s="43">
        <v>148371283.78999999</v>
      </c>
      <c r="M77" s="42">
        <f t="shared" si="2"/>
        <v>148371283.78999999</v>
      </c>
    </row>
    <row r="78" spans="1:13" x14ac:dyDescent="0.25">
      <c r="A78" t="s">
        <v>84</v>
      </c>
      <c r="B78">
        <v>1.2407703000000001E-2</v>
      </c>
      <c r="C78">
        <f>Summary!L78/Summary!K78</f>
        <v>1.2407703495542495E-2</v>
      </c>
      <c r="D78">
        <v>6.5</v>
      </c>
      <c r="F78" s="35">
        <v>122716167.76000001</v>
      </c>
      <c r="G78" s="34">
        <f>Collateral!K76</f>
        <v>122716</v>
      </c>
      <c r="H78" s="35">
        <v>40533995.049999997</v>
      </c>
      <c r="I78" s="34">
        <f>Collateral!O76</f>
        <v>40534</v>
      </c>
      <c r="J78" s="35">
        <v>7360511523.8900003</v>
      </c>
      <c r="K78" s="34">
        <f>Collateral!I76*1000</f>
        <v>7360512000</v>
      </c>
      <c r="L78" s="43">
        <v>163250162.81</v>
      </c>
      <c r="M78" s="42">
        <f t="shared" si="2"/>
        <v>163250162.81</v>
      </c>
    </row>
    <row r="79" spans="1:13" x14ac:dyDescent="0.25">
      <c r="A79" t="s">
        <v>85</v>
      </c>
      <c r="B79">
        <v>1.2573526E-2</v>
      </c>
      <c r="C79">
        <f>Summary!L79/Summary!K79</f>
        <v>1.2573526924392491E-2</v>
      </c>
      <c r="D79">
        <v>6.5</v>
      </c>
      <c r="F79" s="35">
        <v>109902034.42</v>
      </c>
      <c r="G79" s="34">
        <f>Collateral!K77</f>
        <v>109902</v>
      </c>
      <c r="H79" s="35">
        <v>41060559.490000002</v>
      </c>
      <c r="I79" s="34">
        <f>Collateral!O77</f>
        <v>41061</v>
      </c>
      <c r="J79" s="35">
        <v>7470537740.3299999</v>
      </c>
      <c r="K79" s="34">
        <f>Collateral!I77*1000</f>
        <v>7470538000</v>
      </c>
      <c r="L79" s="43">
        <v>150962593.91</v>
      </c>
      <c r="M79" s="42">
        <f t="shared" si="2"/>
        <v>150962593.91</v>
      </c>
    </row>
    <row r="80" spans="1:13" x14ac:dyDescent="0.25">
      <c r="A80" t="s">
        <v>86</v>
      </c>
      <c r="B80">
        <v>1.2799435E-2</v>
      </c>
      <c r="C80">
        <f>Summary!L80/Summary!K80</f>
        <v>1.2799434180172478E-2</v>
      </c>
      <c r="D80">
        <v>6.5</v>
      </c>
      <c r="F80" s="35">
        <v>118950684.20999999</v>
      </c>
      <c r="G80" s="34">
        <f>Collateral!K78</f>
        <v>118951</v>
      </c>
      <c r="H80" s="35">
        <v>41534892.710000001</v>
      </c>
      <c r="I80" s="34">
        <f>Collateral!O78</f>
        <v>41535</v>
      </c>
      <c r="J80" s="35">
        <v>7549058497.3599997</v>
      </c>
      <c r="K80" s="34">
        <f>Collateral!I78*1000</f>
        <v>7549058000</v>
      </c>
      <c r="L80" s="43">
        <v>160485576.91999999</v>
      </c>
      <c r="M80" s="42">
        <f t="shared" si="2"/>
        <v>160485576.91999999</v>
      </c>
    </row>
    <row r="81" spans="1:13" x14ac:dyDescent="0.25">
      <c r="A81" t="s">
        <v>87</v>
      </c>
      <c r="B81">
        <v>1.2970732E-2</v>
      </c>
      <c r="C81">
        <f>Summary!L81/Summary!K81</f>
        <v>1.2970731171870153E-2</v>
      </c>
      <c r="D81">
        <v>6.5</v>
      </c>
      <c r="F81" s="35">
        <v>121761304.69</v>
      </c>
      <c r="G81" s="34">
        <f>Collateral!K79</f>
        <v>121762</v>
      </c>
      <c r="H81" s="35">
        <v>42171649.969999999</v>
      </c>
      <c r="I81" s="34">
        <f>Collateral!O79</f>
        <v>42172</v>
      </c>
      <c r="J81" s="35">
        <v>7663803454.7600002</v>
      </c>
      <c r="K81" s="34">
        <f>Collateral!I79*1000</f>
        <v>7663803000</v>
      </c>
      <c r="L81" s="43">
        <v>163932954.66</v>
      </c>
      <c r="M81" s="42">
        <f t="shared" si="2"/>
        <v>163932954.66</v>
      </c>
    </row>
    <row r="82" spans="1:13" x14ac:dyDescent="0.25">
      <c r="A82" t="s">
        <v>88</v>
      </c>
      <c r="B82">
        <v>1.3136922000000001E-2</v>
      </c>
      <c r="C82">
        <f>Summary!L82/Summary!K82</f>
        <v>1.3136921223153625E-2</v>
      </c>
      <c r="D82">
        <v>6.5</v>
      </c>
      <c r="F82" s="35">
        <v>113881824.51000001</v>
      </c>
      <c r="G82" s="34">
        <f>Collateral!K80</f>
        <v>113882</v>
      </c>
      <c r="H82" s="35">
        <v>42740627.740000002</v>
      </c>
      <c r="I82" s="34">
        <f>Collateral!O80</f>
        <v>42741</v>
      </c>
      <c r="J82" s="35">
        <v>7776725476.1999998</v>
      </c>
      <c r="K82" s="34">
        <f>Collateral!I80*1000</f>
        <v>7776725000</v>
      </c>
      <c r="L82" s="43">
        <v>156622452.25</v>
      </c>
      <c r="M82" s="42">
        <f t="shared" si="2"/>
        <v>156622452.25</v>
      </c>
    </row>
    <row r="83" spans="1:13" x14ac:dyDescent="0.25">
      <c r="A83" t="s">
        <v>89</v>
      </c>
      <c r="B83">
        <v>1.3432764999999999E-2</v>
      </c>
      <c r="C83">
        <f>Summary!L83/Summary!K83</f>
        <v>1.3432765339214956E-2</v>
      </c>
      <c r="D83">
        <v>6.5</v>
      </c>
      <c r="F83" s="35">
        <v>114893032.81999999</v>
      </c>
      <c r="G83" s="34">
        <f>Collateral!K81</f>
        <v>114893</v>
      </c>
      <c r="H83" s="35">
        <v>41780043.829999998</v>
      </c>
      <c r="I83" s="34">
        <f>Collateral!O81</f>
        <v>41780</v>
      </c>
      <c r="J83" s="35">
        <v>7598375779.5</v>
      </c>
      <c r="K83" s="34">
        <f>Collateral!I81*1000</f>
        <v>7598376000</v>
      </c>
      <c r="L83" s="43">
        <v>156673076.65000001</v>
      </c>
      <c r="M83" s="42">
        <f t="shared" si="2"/>
        <v>156673076.64999998</v>
      </c>
    </row>
    <row r="84" spans="1:13" x14ac:dyDescent="0.25">
      <c r="A84" t="s">
        <v>90</v>
      </c>
      <c r="B84">
        <v>1.3603776999999999E-2</v>
      </c>
      <c r="C84">
        <f>Summary!L84/Summary!K84</f>
        <v>1.3603777904430426E-2</v>
      </c>
      <c r="D84">
        <v>6.5</v>
      </c>
      <c r="F84" s="35">
        <v>119557306.70999999</v>
      </c>
      <c r="G84" s="34">
        <f>Collateral!K82</f>
        <v>119558</v>
      </c>
      <c r="H84" s="35">
        <v>42416757.619999997</v>
      </c>
      <c r="I84" s="34">
        <f>Collateral!O82</f>
        <v>42417</v>
      </c>
      <c r="J84" s="35">
        <v>7711259705.2799997</v>
      </c>
      <c r="K84" s="34">
        <f>Collateral!I82*1000</f>
        <v>7711260000</v>
      </c>
      <c r="L84" s="43">
        <v>161974064.31999999</v>
      </c>
      <c r="M84" s="42">
        <f t="shared" si="2"/>
        <v>161974064.32999998</v>
      </c>
    </row>
    <row r="85" spans="1:13" x14ac:dyDescent="0.25">
      <c r="A85" t="s">
        <v>91</v>
      </c>
      <c r="B85">
        <v>1.378272E-2</v>
      </c>
      <c r="C85">
        <f>Summary!L85/Summary!K85</f>
        <v>1.3782719777114819E-2</v>
      </c>
      <c r="D85">
        <v>6.5</v>
      </c>
      <c r="F85" s="35">
        <v>112910288.36</v>
      </c>
      <c r="G85" s="34">
        <f>Collateral!K83</f>
        <v>112911</v>
      </c>
      <c r="H85" s="35">
        <v>43028351.329999998</v>
      </c>
      <c r="I85" s="34">
        <f>Collateral!O83</f>
        <v>43028</v>
      </c>
      <c r="J85" s="35">
        <v>7830817011.9899998</v>
      </c>
      <c r="K85" s="34">
        <f>Collateral!I83*1000</f>
        <v>7830817000</v>
      </c>
      <c r="L85" s="43">
        <v>155938639.69</v>
      </c>
      <c r="M85" s="42">
        <f t="shared" si="2"/>
        <v>155938639.69</v>
      </c>
    </row>
    <row r="86" spans="1:13" x14ac:dyDescent="0.25">
      <c r="A86" t="s">
        <v>92</v>
      </c>
      <c r="B86">
        <v>1.3942683000000001E-2</v>
      </c>
      <c r="C86">
        <f>Summary!L86/Summary!K86</f>
        <v>1.3942682054784503E-2</v>
      </c>
      <c r="D86">
        <v>6.5</v>
      </c>
      <c r="F86" s="35">
        <v>110746701.5</v>
      </c>
      <c r="G86" s="34">
        <f>Collateral!K84</f>
        <v>110746</v>
      </c>
      <c r="H86" s="35">
        <v>43628226.850000001</v>
      </c>
      <c r="I86" s="34">
        <f>Collateral!O84</f>
        <v>43628</v>
      </c>
      <c r="J86" s="35">
        <v>7943727300.3500004</v>
      </c>
      <c r="K86" s="34">
        <f>Collateral!I84*1000</f>
        <v>7943727000</v>
      </c>
      <c r="L86" s="43">
        <v>154374928.36000001</v>
      </c>
      <c r="M86" s="42">
        <f t="shared" si="2"/>
        <v>154374928.34999999</v>
      </c>
    </row>
    <row r="87" spans="1:13" x14ac:dyDescent="0.25">
      <c r="A87" t="s">
        <v>93</v>
      </c>
      <c r="B87">
        <v>1.4103067E-2</v>
      </c>
      <c r="C87">
        <f>Summary!L87/Summary!K87</f>
        <v>1.4103067176012254E-2</v>
      </c>
      <c r="D87">
        <v>6.5</v>
      </c>
      <c r="F87" s="35">
        <v>120286901.59</v>
      </c>
      <c r="G87" s="34">
        <f>Collateral!K85</f>
        <v>120287</v>
      </c>
      <c r="H87" s="35">
        <v>44279774.979999997</v>
      </c>
      <c r="I87" s="34">
        <f>Collateral!O85</f>
        <v>44280</v>
      </c>
      <c r="J87" s="35">
        <v>8054474001.8500004</v>
      </c>
      <c r="K87" s="34">
        <f>Collateral!I85*1000</f>
        <v>8054474000</v>
      </c>
      <c r="L87" s="43">
        <v>164566676.58000001</v>
      </c>
      <c r="M87" s="42">
        <f t="shared" si="2"/>
        <v>164566676.56999999</v>
      </c>
    </row>
    <row r="88" spans="1:13" x14ac:dyDescent="0.25">
      <c r="A88" t="s">
        <v>94</v>
      </c>
      <c r="B88">
        <v>1.4278328999999999E-2</v>
      </c>
      <c r="C88">
        <f>Summary!L88/Summary!K88</f>
        <v>1.4278328936320743E-2</v>
      </c>
      <c r="D88">
        <v>6.5</v>
      </c>
      <c r="F88" s="35">
        <v>121471891.84</v>
      </c>
      <c r="G88" s="34">
        <f>Collateral!K86</f>
        <v>121472</v>
      </c>
      <c r="H88" s="35">
        <v>44937746.649999999</v>
      </c>
      <c r="I88" s="34">
        <f>Collateral!O86</f>
        <v>44938</v>
      </c>
      <c r="J88" s="35">
        <v>8174760903.4399996</v>
      </c>
      <c r="K88" s="34">
        <f>Collateral!I86*1000</f>
        <v>8174761000</v>
      </c>
      <c r="L88" s="43">
        <v>166409638.49000001</v>
      </c>
      <c r="M88" s="42">
        <f t="shared" si="2"/>
        <v>166409638.49000001</v>
      </c>
    </row>
    <row r="89" spans="1:13" x14ac:dyDescent="0.25">
      <c r="A89" t="s">
        <v>95</v>
      </c>
      <c r="B89">
        <v>1.4454254999999999E-2</v>
      </c>
      <c r="C89">
        <f>Summary!L89/Summary!K89</f>
        <v>1.4454255777100199E-2</v>
      </c>
      <c r="D89">
        <v>6.5</v>
      </c>
      <c r="F89" s="35">
        <v>132475167.84</v>
      </c>
      <c r="G89" s="34">
        <f>Collateral!K87</f>
        <v>132475</v>
      </c>
      <c r="H89" s="35">
        <v>45655319.310000002</v>
      </c>
      <c r="I89" s="34">
        <f>Collateral!O87</f>
        <v>45655</v>
      </c>
      <c r="J89" s="35">
        <v>8296232795.29</v>
      </c>
      <c r="K89" s="34">
        <f>Collateral!I87*1000</f>
        <v>8296233000</v>
      </c>
      <c r="L89" s="43">
        <v>178130487.15000001</v>
      </c>
      <c r="M89" s="42">
        <f t="shared" si="2"/>
        <v>178130487.15000001</v>
      </c>
    </row>
    <row r="90" spans="1:13" x14ac:dyDescent="0.25">
      <c r="A90" t="s">
        <v>96</v>
      </c>
      <c r="B90">
        <v>1.4644967E-2</v>
      </c>
      <c r="C90">
        <f>Summary!L90/Summary!K90</f>
        <v>1.4644967386409479E-2</v>
      </c>
      <c r="D90">
        <v>6.5</v>
      </c>
      <c r="F90" s="35">
        <v>151060399.69999999</v>
      </c>
      <c r="G90" s="34">
        <f>Collateral!K88</f>
        <v>151060</v>
      </c>
      <c r="H90" s="35">
        <v>46473562.82</v>
      </c>
      <c r="I90" s="34">
        <f>Collateral!O88</f>
        <v>46474</v>
      </c>
      <c r="J90" s="35">
        <v>8428707963.1199999</v>
      </c>
      <c r="K90" s="34">
        <f>Collateral!I88*1000</f>
        <v>8428708000</v>
      </c>
      <c r="L90" s="43">
        <v>197533962.53</v>
      </c>
      <c r="M90" s="42">
        <f t="shared" si="2"/>
        <v>197533962.51999998</v>
      </c>
    </row>
    <row r="91" spans="1:13" x14ac:dyDescent="0.25">
      <c r="A91" t="s">
        <v>97</v>
      </c>
      <c r="B91">
        <v>1.4856696000000001E-2</v>
      </c>
      <c r="C91">
        <f>Summary!L91/Summary!K91</f>
        <v>1.4856694870411469E-2</v>
      </c>
      <c r="D91">
        <v>6.5</v>
      </c>
      <c r="F91" s="35">
        <v>135313763.27000001</v>
      </c>
      <c r="G91" s="34">
        <f>Collateral!K89</f>
        <v>135314</v>
      </c>
      <c r="H91" s="35">
        <v>47206511.560000002</v>
      </c>
      <c r="I91" s="34">
        <f>Collateral!O89</f>
        <v>47207</v>
      </c>
      <c r="J91" s="35">
        <v>8579768362.8199997</v>
      </c>
      <c r="K91" s="34">
        <f>Collateral!I89*1000</f>
        <v>8579768000</v>
      </c>
      <c r="L91" s="43">
        <v>182520274.81999999</v>
      </c>
      <c r="M91" s="42">
        <f t="shared" si="2"/>
        <v>182520274.83000001</v>
      </c>
    </row>
    <row r="92" spans="1:13" x14ac:dyDescent="0.25">
      <c r="A92" t="s">
        <v>98</v>
      </c>
      <c r="B92">
        <v>1.5051123E-2</v>
      </c>
      <c r="C92">
        <f>Summary!L92/Summary!K92</f>
        <v>1.5051122526161887E-2</v>
      </c>
      <c r="D92">
        <v>6.5</v>
      </c>
      <c r="F92" s="35">
        <v>161334265.65000001</v>
      </c>
      <c r="G92" s="34">
        <f>Collateral!K90</f>
        <v>161334</v>
      </c>
      <c r="H92" s="35">
        <v>48080401.219999999</v>
      </c>
      <c r="I92" s="34">
        <f>Collateral!O90</f>
        <v>48080</v>
      </c>
      <c r="J92" s="35">
        <v>8715082126.0900002</v>
      </c>
      <c r="K92" s="34">
        <f>Collateral!I90*1000</f>
        <v>8715082000</v>
      </c>
      <c r="L92" s="43">
        <v>209414666.87</v>
      </c>
      <c r="M92" s="42">
        <f t="shared" si="2"/>
        <v>209414666.87</v>
      </c>
    </row>
    <row r="93" spans="1:13" x14ac:dyDescent="0.25">
      <c r="A93" t="s">
        <v>99</v>
      </c>
      <c r="B93">
        <v>1.5285610999999999E-2</v>
      </c>
      <c r="C93">
        <f>Summary!L93/Summary!K93</f>
        <v>1.5285609893719396E-2</v>
      </c>
      <c r="D93">
        <v>6.5</v>
      </c>
      <c r="F93" s="35">
        <v>163818821.91999999</v>
      </c>
      <c r="G93" s="34">
        <f>Collateral!K91</f>
        <v>163818</v>
      </c>
      <c r="H93" s="35">
        <v>48967752.369999997</v>
      </c>
      <c r="I93" s="34">
        <f>Collateral!O91</f>
        <v>48968</v>
      </c>
      <c r="J93" s="35">
        <v>8876416391.7399998</v>
      </c>
      <c r="K93" s="34">
        <f>Collateral!I91*1000</f>
        <v>8876416000</v>
      </c>
      <c r="L93" s="43">
        <v>212786574.28</v>
      </c>
      <c r="M93" s="42">
        <f t="shared" si="2"/>
        <v>212786574.28999999</v>
      </c>
    </row>
    <row r="94" spans="1:13" x14ac:dyDescent="0.25">
      <c r="A94" t="s">
        <v>100</v>
      </c>
      <c r="B94">
        <v>1.5530693E-2</v>
      </c>
      <c r="C94">
        <f>Summary!L94/Summary!K94</f>
        <v>1.5530692925444581E-2</v>
      </c>
      <c r="D94">
        <v>6.5</v>
      </c>
      <c r="F94" s="35">
        <v>176357967.72</v>
      </c>
      <c r="G94" s="34">
        <f>Collateral!K92</f>
        <v>176358</v>
      </c>
      <c r="H94" s="35">
        <v>49923025.130000003</v>
      </c>
      <c r="I94" s="34">
        <f>Collateral!O92</f>
        <v>49923</v>
      </c>
      <c r="J94" s="35">
        <v>9040235213.6499996</v>
      </c>
      <c r="K94" s="34">
        <f>Collateral!I92*1000</f>
        <v>9040235000</v>
      </c>
      <c r="L94" s="43">
        <v>226280992.84999999</v>
      </c>
      <c r="M94" s="42">
        <f t="shared" si="2"/>
        <v>226280992.84999999</v>
      </c>
    </row>
    <row r="95" spans="1:13" x14ac:dyDescent="0.25">
      <c r="A95" t="s">
        <v>101</v>
      </c>
      <c r="B95">
        <v>1.5782105000000001E-2</v>
      </c>
      <c r="C95">
        <f>Summary!L95/Summary!K95</f>
        <v>1.578210451655369E-2</v>
      </c>
      <c r="D95">
        <v>6.5</v>
      </c>
      <c r="F95" s="35">
        <v>191711454.25999999</v>
      </c>
      <c r="G95" s="34">
        <f>Collateral!K93</f>
        <v>191712</v>
      </c>
      <c r="H95" s="35">
        <v>50961455.920000002</v>
      </c>
      <c r="I95" s="34">
        <f>Collateral!O93</f>
        <v>50961</v>
      </c>
      <c r="J95" s="35">
        <v>9216593181.3700008</v>
      </c>
      <c r="K95" s="34">
        <f>Collateral!I93*1000</f>
        <v>9216593000</v>
      </c>
      <c r="L95" s="43">
        <v>242672910.18000001</v>
      </c>
      <c r="M95" s="42">
        <f t="shared" si="2"/>
        <v>242672910.18000001</v>
      </c>
    </row>
    <row r="96" spans="1:13" x14ac:dyDescent="0.25">
      <c r="A96" t="s">
        <v>102</v>
      </c>
      <c r="B96">
        <v>1.6059891999999999E-2</v>
      </c>
      <c r="C96">
        <f>Summary!L96/Summary!K96</f>
        <v>1.605989237540956E-2</v>
      </c>
      <c r="D96">
        <v>6.5</v>
      </c>
      <c r="F96" s="35">
        <v>189367290.22999999</v>
      </c>
      <c r="G96" s="34">
        <f>Collateral!K94</f>
        <v>189367</v>
      </c>
      <c r="H96" s="35">
        <v>51987191.469999999</v>
      </c>
      <c r="I96" s="34">
        <f>Collateral!O94</f>
        <v>51987</v>
      </c>
      <c r="J96" s="35">
        <v>9408304635.6299992</v>
      </c>
      <c r="K96" s="34">
        <f>Collateral!I94*1000</f>
        <v>9408305000</v>
      </c>
      <c r="L96" s="43">
        <v>241354481.69999999</v>
      </c>
      <c r="M96" s="42">
        <f t="shared" si="2"/>
        <v>241354481.69999999</v>
      </c>
    </row>
    <row r="97" spans="1:13" x14ac:dyDescent="0.25">
      <c r="A97" t="s">
        <v>103</v>
      </c>
      <c r="B97">
        <v>1.6338383000000001E-2</v>
      </c>
      <c r="C97">
        <f>Summary!L97/Summary!K97</f>
        <v>1.633838342707394E-2</v>
      </c>
      <c r="D97">
        <v>6.5</v>
      </c>
      <c r="F97" s="35">
        <v>196735144.91</v>
      </c>
      <c r="G97" s="34">
        <f>Collateral!K95</f>
        <v>196735</v>
      </c>
      <c r="H97" s="35">
        <v>53052823.979999997</v>
      </c>
      <c r="I97" s="34">
        <f>Collateral!O95</f>
        <v>53053</v>
      </c>
      <c r="J97" s="35">
        <v>9597671925.8700008</v>
      </c>
      <c r="K97" s="34">
        <f>Collateral!I95*1000</f>
        <v>9597672000</v>
      </c>
      <c r="L97" s="43">
        <v>249787968.88999999</v>
      </c>
      <c r="M97" s="42">
        <f t="shared" si="2"/>
        <v>249787968.88999999</v>
      </c>
    </row>
    <row r="98" spans="1:13" x14ac:dyDescent="0.25">
      <c r="A98" t="s">
        <v>104</v>
      </c>
      <c r="B98">
        <v>1.6627244999999999E-2</v>
      </c>
      <c r="C98">
        <f>Summary!L98/Summary!K98</f>
        <v>1.6627244871823221E-2</v>
      </c>
      <c r="D98">
        <v>6.5</v>
      </c>
      <c r="F98" s="35">
        <v>171006977.11000001</v>
      </c>
      <c r="G98" s="34">
        <f>Collateral!K96</f>
        <v>171007</v>
      </c>
      <c r="H98" s="35">
        <v>53979538.359999999</v>
      </c>
      <c r="I98" s="34">
        <f>Collateral!O96</f>
        <v>53980</v>
      </c>
      <c r="J98" s="35">
        <v>9794486024.2600002</v>
      </c>
      <c r="K98" s="34">
        <f>Collateral!I96*1000</f>
        <v>9794486000</v>
      </c>
      <c r="L98" s="43">
        <v>224986515.47</v>
      </c>
      <c r="M98" s="42">
        <f t="shared" si="2"/>
        <v>224986515.47000003</v>
      </c>
    </row>
    <row r="99" spans="1:13" x14ac:dyDescent="0.25">
      <c r="A99" t="s">
        <v>105</v>
      </c>
      <c r="B99">
        <v>1.6878542E-2</v>
      </c>
      <c r="C99">
        <f>Summary!L99/Summary!K99</f>
        <v>1.6878542073277488E-2</v>
      </c>
      <c r="D99">
        <v>6.5</v>
      </c>
      <c r="F99" s="35">
        <v>169286285.66</v>
      </c>
      <c r="G99" s="34">
        <f>Collateral!K97</f>
        <v>169286</v>
      </c>
      <c r="H99" s="35">
        <v>54896502.880000003</v>
      </c>
      <c r="I99" s="34">
        <f>Collateral!O97</f>
        <v>54897</v>
      </c>
      <c r="J99" s="35">
        <v>9965493001.3700008</v>
      </c>
      <c r="K99" s="34">
        <f>Collateral!I97*1000</f>
        <v>9965493000</v>
      </c>
      <c r="L99" s="43">
        <v>224182788.53999999</v>
      </c>
      <c r="M99" s="42">
        <f t="shared" si="2"/>
        <v>224182788.53999999</v>
      </c>
    </row>
    <row r="100" spans="1:13" x14ac:dyDescent="0.25">
      <c r="A100" t="s">
        <v>106</v>
      </c>
      <c r="B100">
        <v>1.7121356000000001E-2</v>
      </c>
      <c r="C100">
        <f>Summary!L100/Summary!K100</f>
        <v>1.7121355041864923E-2</v>
      </c>
      <c r="D100">
        <v>6.5</v>
      </c>
      <c r="F100" s="35">
        <v>179271060.21000001</v>
      </c>
      <c r="G100" s="34">
        <f>Collateral!K98</f>
        <v>179271</v>
      </c>
      <c r="H100" s="35">
        <v>55867553.229999997</v>
      </c>
      <c r="I100" s="34">
        <f>Collateral!O98</f>
        <v>55868</v>
      </c>
      <c r="J100" s="35">
        <v>10134779287.030001</v>
      </c>
      <c r="K100" s="34">
        <f>Collateral!I98*1000</f>
        <v>10134779000</v>
      </c>
      <c r="L100" s="43">
        <v>235138613.44</v>
      </c>
      <c r="M100" s="42">
        <f t="shared" si="2"/>
        <v>235138613.44</v>
      </c>
    </row>
    <row r="101" spans="1:13" x14ac:dyDescent="0.25">
      <c r="A101" t="s">
        <v>107</v>
      </c>
      <c r="B101">
        <v>1.7368591999999999E-2</v>
      </c>
      <c r="C101">
        <f>Summary!L101/Summary!K101</f>
        <v>1.736859117122181E-2</v>
      </c>
      <c r="D101">
        <v>6.5</v>
      </c>
      <c r="F101" s="35">
        <v>190744002.66</v>
      </c>
      <c r="G101" s="34">
        <f>Collateral!K99</f>
        <v>190744</v>
      </c>
      <c r="H101" s="35">
        <v>56900750.490000002</v>
      </c>
      <c r="I101" s="34">
        <f>Collateral!O99</f>
        <v>56901</v>
      </c>
      <c r="J101" s="35">
        <v>10314050347.24</v>
      </c>
      <c r="K101" s="34">
        <f>Collateral!I99*1000</f>
        <v>10314050000</v>
      </c>
      <c r="L101" s="43">
        <v>247644753.15000001</v>
      </c>
      <c r="M101" s="42">
        <f t="shared" si="2"/>
        <v>247644753.15000001</v>
      </c>
    </row>
    <row r="102" spans="1:13" x14ac:dyDescent="0.25">
      <c r="A102" t="s">
        <v>108</v>
      </c>
      <c r="B102">
        <v>1.7636509000000002E-2</v>
      </c>
      <c r="C102">
        <f>Summary!L102/Summary!K102</f>
        <v>1.7636508649449229E-2</v>
      </c>
      <c r="D102">
        <v>6.5</v>
      </c>
      <c r="F102" s="35">
        <v>198488827.75999999</v>
      </c>
      <c r="G102" s="34">
        <f>Collateral!K100</f>
        <v>198489</v>
      </c>
      <c r="H102" s="35">
        <v>57975897.140000001</v>
      </c>
      <c r="I102" s="34">
        <f>Collateral!O100</f>
        <v>57976</v>
      </c>
      <c r="J102" s="35">
        <v>10504794349.91</v>
      </c>
      <c r="K102" s="34">
        <f>Collateral!I100*1000</f>
        <v>10504794000</v>
      </c>
      <c r="L102" s="43">
        <v>256464724.90000001</v>
      </c>
      <c r="M102" s="42">
        <f t="shared" si="2"/>
        <v>256464724.89999998</v>
      </c>
    </row>
    <row r="103" spans="1:13" x14ac:dyDescent="0.25">
      <c r="A103" t="s">
        <v>109</v>
      </c>
      <c r="B103">
        <v>1.7918303E-2</v>
      </c>
      <c r="C103">
        <f>Summary!L103/Summary!K103</f>
        <v>1.7918302715564414E-2</v>
      </c>
      <c r="D103">
        <v>6.5</v>
      </c>
      <c r="F103" s="35">
        <v>194298345.63999999</v>
      </c>
      <c r="G103" s="34">
        <f>Collateral!K101</f>
        <v>194298</v>
      </c>
      <c r="H103" s="35">
        <v>59028334.219999999</v>
      </c>
      <c r="I103" s="34">
        <f>Collateral!O101</f>
        <v>59028</v>
      </c>
      <c r="J103" s="35">
        <v>10703283177.67</v>
      </c>
      <c r="K103" s="34">
        <f>Collateral!I101*1000</f>
        <v>10703283000</v>
      </c>
      <c r="L103" s="43">
        <v>253326679.86000001</v>
      </c>
      <c r="M103" s="42">
        <f t="shared" si="2"/>
        <v>253326679.85999998</v>
      </c>
    </row>
    <row r="104" spans="1:13" x14ac:dyDescent="0.25">
      <c r="A104" t="s">
        <v>110</v>
      </c>
      <c r="B104">
        <v>1.8198988999999999E-2</v>
      </c>
      <c r="C104">
        <f>Summary!L104/Summary!K104</f>
        <v>1.8198990028867181E-2</v>
      </c>
      <c r="D104">
        <v>6.5</v>
      </c>
      <c r="F104" s="35">
        <v>218187583.56999999</v>
      </c>
      <c r="G104" s="34">
        <f>Collateral!K102</f>
        <v>218187</v>
      </c>
      <c r="H104" s="35">
        <v>60210186.439999998</v>
      </c>
      <c r="I104" s="34">
        <f>Collateral!O102</f>
        <v>60210</v>
      </c>
      <c r="J104" s="35">
        <v>10897581523.309999</v>
      </c>
      <c r="K104" s="34">
        <f>Collateral!I102*1000</f>
        <v>10897582000</v>
      </c>
      <c r="L104" s="43">
        <v>278397770</v>
      </c>
      <c r="M104" s="42">
        <f t="shared" si="2"/>
        <v>278397770.00999999</v>
      </c>
    </row>
    <row r="105" spans="1:13" x14ac:dyDescent="0.25">
      <c r="A105" t="s">
        <v>111</v>
      </c>
      <c r="B105">
        <v>1.8508666E-2</v>
      </c>
      <c r="C105">
        <f>Summary!L105/Summary!K105</f>
        <v>1.850866615934911E-2</v>
      </c>
      <c r="D105">
        <v>6.5</v>
      </c>
      <c r="F105" s="35">
        <v>207058577.59</v>
      </c>
      <c r="G105" s="34">
        <f>Collateral!K103</f>
        <v>207058</v>
      </c>
      <c r="H105" s="35">
        <v>61316816.710000001</v>
      </c>
      <c r="I105" s="34">
        <f>Collateral!O103</f>
        <v>61317</v>
      </c>
      <c r="J105" s="35">
        <v>11113011951.879999</v>
      </c>
      <c r="K105" s="34">
        <f>Collateral!I103*1000</f>
        <v>11113012000</v>
      </c>
      <c r="L105" s="43">
        <v>268375394.30000001</v>
      </c>
      <c r="M105" s="42">
        <f t="shared" si="2"/>
        <v>268375394.30000001</v>
      </c>
    </row>
    <row r="106" spans="1:13" x14ac:dyDescent="0.25">
      <c r="A106" t="s">
        <v>112</v>
      </c>
      <c r="B106">
        <v>1.8796733999999999E-2</v>
      </c>
      <c r="C106">
        <f>Summary!L106/Summary!K106</f>
        <v>1.8796734551461358E-2</v>
      </c>
      <c r="D106">
        <v>6.5</v>
      </c>
      <c r="F106" s="35">
        <v>223732195.62</v>
      </c>
      <c r="G106" s="34">
        <f>Collateral!K104</f>
        <v>223732</v>
      </c>
      <c r="H106" s="35">
        <v>62528699.689999998</v>
      </c>
      <c r="I106" s="34">
        <f>Collateral!O104</f>
        <v>62529</v>
      </c>
      <c r="J106" s="35">
        <v>11320070529.469999</v>
      </c>
      <c r="K106" s="34">
        <f>Collateral!I104*1000</f>
        <v>11320071000</v>
      </c>
      <c r="L106" s="43">
        <v>286260895.31</v>
      </c>
      <c r="M106" s="42">
        <f t="shared" si="2"/>
        <v>286260895.31</v>
      </c>
    </row>
    <row r="107" spans="1:13" x14ac:dyDescent="0.25">
      <c r="A107" t="s">
        <v>113</v>
      </c>
      <c r="B107">
        <v>1.910916E-2</v>
      </c>
      <c r="C107">
        <f>Summary!L107/Summary!K107</f>
        <v>1.9109160938444527E-2</v>
      </c>
      <c r="D107">
        <v>6.5</v>
      </c>
      <c r="F107" s="35">
        <v>243560627.33000001</v>
      </c>
      <c r="G107" s="34">
        <f>Collateral!K105</f>
        <v>243560</v>
      </c>
      <c r="H107" s="35">
        <v>63847977.289999999</v>
      </c>
      <c r="I107" s="34">
        <f>Collateral!O105</f>
        <v>63848</v>
      </c>
      <c r="J107" s="35">
        <v>11543802725.09</v>
      </c>
      <c r="K107" s="34">
        <f>Collateral!I105*1000</f>
        <v>11543803000</v>
      </c>
      <c r="L107" s="43">
        <v>307408604.62</v>
      </c>
      <c r="M107" s="42">
        <f t="shared" si="2"/>
        <v>307408604.62</v>
      </c>
    </row>
    <row r="108" spans="1:13" x14ac:dyDescent="0.25">
      <c r="A108" t="s">
        <v>114</v>
      </c>
      <c r="B108">
        <v>1.9460036E-2</v>
      </c>
      <c r="C108">
        <f>Summary!L108/Summary!K108</f>
        <v>1.9460035528271673E-2</v>
      </c>
      <c r="D108">
        <v>6.5</v>
      </c>
      <c r="F108" s="35">
        <v>247474423.75999999</v>
      </c>
      <c r="G108" s="34">
        <f>Collateral!K106</f>
        <v>247474</v>
      </c>
      <c r="H108" s="35">
        <v>65188458.869999997</v>
      </c>
      <c r="I108" s="34">
        <f>Collateral!O106</f>
        <v>65188</v>
      </c>
      <c r="J108" s="35">
        <v>11787363352.42</v>
      </c>
      <c r="K108" s="34">
        <f>Collateral!I106*1000</f>
        <v>11787363000</v>
      </c>
      <c r="L108" s="43">
        <v>312662882.63</v>
      </c>
      <c r="M108" s="42">
        <f t="shared" si="2"/>
        <v>312662882.63</v>
      </c>
    </row>
    <row r="109" spans="1:13" x14ac:dyDescent="0.25">
      <c r="A109" t="s">
        <v>115</v>
      </c>
      <c r="B109">
        <v>1.9813496E-2</v>
      </c>
      <c r="C109">
        <f>Summary!L109/Summary!K109</f>
        <v>1.9813496463434249E-2</v>
      </c>
      <c r="D109">
        <v>6.5</v>
      </c>
      <c r="F109" s="35">
        <v>270668139.63</v>
      </c>
      <c r="G109" s="34">
        <f>Collateral!K107</f>
        <v>270668</v>
      </c>
      <c r="H109" s="35">
        <v>66654569.57</v>
      </c>
      <c r="I109" s="34">
        <f>Collateral!O107</f>
        <v>66655</v>
      </c>
      <c r="J109" s="35">
        <v>12034837776.18</v>
      </c>
      <c r="K109" s="34">
        <f>Collateral!I107*1000</f>
        <v>12034838000</v>
      </c>
      <c r="L109" s="43">
        <v>337322709.19999999</v>
      </c>
      <c r="M109" s="42">
        <f t="shared" si="2"/>
        <v>337322709.19999999</v>
      </c>
    </row>
    <row r="110" spans="1:13" x14ac:dyDescent="0.25">
      <c r="A110" t="s">
        <v>116</v>
      </c>
      <c r="B110">
        <v>2.0206282999999998E-2</v>
      </c>
      <c r="C110">
        <f>Summary!L110/Summary!K110</f>
        <v>2.0206283533539017E-2</v>
      </c>
      <c r="D110">
        <v>6.5</v>
      </c>
      <c r="F110" s="35">
        <v>240027431.09</v>
      </c>
      <c r="G110" s="34">
        <f>Collateral!K108</f>
        <v>240028</v>
      </c>
      <c r="H110" s="35">
        <v>67954710.549999997</v>
      </c>
      <c r="I110" s="34">
        <f>Collateral!O108</f>
        <v>67955</v>
      </c>
      <c r="J110" s="35">
        <v>12305505915.809999</v>
      </c>
      <c r="K110" s="34">
        <f>Collateral!I108*1000</f>
        <v>12305506000</v>
      </c>
      <c r="L110" s="43">
        <v>307982141.63999999</v>
      </c>
      <c r="M110" s="42">
        <f t="shared" si="2"/>
        <v>307982141.63999999</v>
      </c>
    </row>
    <row r="111" spans="1:13" x14ac:dyDescent="0.25">
      <c r="A111" t="s">
        <v>117</v>
      </c>
      <c r="B111">
        <v>2.0540625E-2</v>
      </c>
      <c r="C111">
        <f>Summary!L111/Summary!K111</f>
        <v>2.0540624272226419E-2</v>
      </c>
      <c r="D111">
        <v>6.5</v>
      </c>
      <c r="F111" s="35">
        <v>249976817.59999999</v>
      </c>
      <c r="G111" s="34">
        <f>Collateral!K109</f>
        <v>249977</v>
      </c>
      <c r="H111" s="35">
        <v>69308746.329999998</v>
      </c>
      <c r="I111" s="34">
        <f>Collateral!O109</f>
        <v>69309</v>
      </c>
      <c r="J111" s="35">
        <v>12545533346.9</v>
      </c>
      <c r="K111" s="34">
        <f>Collateral!I109*1000</f>
        <v>12545533000</v>
      </c>
      <c r="L111" s="43">
        <v>319285563.93000001</v>
      </c>
      <c r="M111" s="42">
        <f t="shared" si="2"/>
        <v>319285563.93000001</v>
      </c>
    </row>
    <row r="112" spans="1:13" x14ac:dyDescent="0.25">
      <c r="A112" t="s">
        <v>118</v>
      </c>
      <c r="B112">
        <v>2.0889593000000001E-2</v>
      </c>
      <c r="C112">
        <f>Summary!L112/Summary!K112</f>
        <v>2.0889592447643168E-2</v>
      </c>
      <c r="D112">
        <v>6.5</v>
      </c>
      <c r="F112" s="35">
        <v>264389885.05000001</v>
      </c>
      <c r="G112" s="34">
        <f>Collateral!K110</f>
        <v>264390</v>
      </c>
      <c r="H112" s="35">
        <v>70740857.859999999</v>
      </c>
      <c r="I112" s="34">
        <f>Collateral!O110</f>
        <v>70741</v>
      </c>
      <c r="J112" s="35">
        <v>12795510164.5</v>
      </c>
      <c r="K112" s="34">
        <f>Collateral!I110*1000</f>
        <v>12795510000</v>
      </c>
      <c r="L112" s="43">
        <v>335130742.91000003</v>
      </c>
      <c r="M112" s="42">
        <f t="shared" si="2"/>
        <v>335130742.91000003</v>
      </c>
    </row>
    <row r="113" spans="1:13" x14ac:dyDescent="0.25">
      <c r="A113" t="s">
        <v>119</v>
      </c>
      <c r="B113">
        <v>2.1263463999999999E-2</v>
      </c>
      <c r="C113">
        <f>Summary!L113/Summary!K113</f>
        <v>2.1263463821887357E-2</v>
      </c>
      <c r="D113">
        <v>6.5</v>
      </c>
      <c r="F113" s="35">
        <v>240641171.56</v>
      </c>
      <c r="G113" s="34">
        <f>Collateral!K111</f>
        <v>240642</v>
      </c>
      <c r="H113" s="35">
        <v>72044325.040000007</v>
      </c>
      <c r="I113" s="34">
        <f>Collateral!O111</f>
        <v>72044</v>
      </c>
      <c r="J113" s="35">
        <v>13059900049.549999</v>
      </c>
      <c r="K113" s="34">
        <f>Collateral!I111*1000</f>
        <v>13059900000</v>
      </c>
      <c r="L113" s="43">
        <v>312685496.60000002</v>
      </c>
      <c r="M113" s="42">
        <f t="shared" si="2"/>
        <v>312685496.60000002</v>
      </c>
    </row>
    <row r="114" spans="1:13" x14ac:dyDescent="0.25">
      <c r="A114" t="s">
        <v>120</v>
      </c>
      <c r="B114">
        <v>2.1598039999999999E-2</v>
      </c>
      <c r="C114">
        <f>Summary!L114/Summary!K114</f>
        <v>2.1598039584442754E-2</v>
      </c>
      <c r="D114">
        <v>6.5</v>
      </c>
      <c r="F114" s="35">
        <v>255532827.38</v>
      </c>
      <c r="G114" s="34">
        <f>Collateral!K112</f>
        <v>255533</v>
      </c>
      <c r="H114" s="35">
        <v>73428459.849999994</v>
      </c>
      <c r="I114" s="34">
        <f>Collateral!O112</f>
        <v>73428</v>
      </c>
      <c r="J114" s="35">
        <v>13300541221.1</v>
      </c>
      <c r="K114" s="34">
        <f>Collateral!I112*1000</f>
        <v>13300541000</v>
      </c>
      <c r="L114" s="43">
        <v>328961287.23000002</v>
      </c>
      <c r="M114" s="42">
        <f t="shared" si="2"/>
        <v>328961287.23000002</v>
      </c>
    </row>
    <row r="115" spans="1:13" x14ac:dyDescent="0.25">
      <c r="A115" t="s">
        <v>121</v>
      </c>
      <c r="B115">
        <v>2.1958729999999999E-2</v>
      </c>
      <c r="C115">
        <f>Summary!L115/Summary!K115</f>
        <v>2.1958730307853547E-2</v>
      </c>
      <c r="D115">
        <v>6.5</v>
      </c>
      <c r="F115" s="35">
        <v>262540209.16999999</v>
      </c>
      <c r="G115" s="34">
        <f>Collateral!K113</f>
        <v>262541</v>
      </c>
      <c r="H115" s="35">
        <v>74850550.930000007</v>
      </c>
      <c r="I115" s="34">
        <f>Collateral!O113</f>
        <v>74851</v>
      </c>
      <c r="J115" s="35">
        <v>13556074048.48</v>
      </c>
      <c r="K115" s="34">
        <f>Collateral!I113*1000</f>
        <v>13556074000</v>
      </c>
      <c r="L115" s="43">
        <v>337390760.10000002</v>
      </c>
      <c r="M115" s="42">
        <f t="shared" si="2"/>
        <v>337390760.10000002</v>
      </c>
    </row>
    <row r="116" spans="1:13" x14ac:dyDescent="0.25">
      <c r="A116" t="s">
        <v>122</v>
      </c>
      <c r="B116">
        <v>2.2332491999999999E-2</v>
      </c>
      <c r="C116">
        <f>Summary!L116/Summary!K116</f>
        <v>2.233249129349511E-2</v>
      </c>
      <c r="D116">
        <v>6.5</v>
      </c>
      <c r="F116" s="35">
        <v>291030466.12</v>
      </c>
      <c r="G116" s="34">
        <f>Collateral!K114</f>
        <v>291031</v>
      </c>
      <c r="H116" s="35">
        <v>76426955.719999999</v>
      </c>
      <c r="I116" s="34">
        <f>Collateral!O114</f>
        <v>76427</v>
      </c>
      <c r="J116" s="35">
        <v>13818614257.65</v>
      </c>
      <c r="K116" s="34">
        <f>Collateral!I114*1000</f>
        <v>13818614000</v>
      </c>
      <c r="L116" s="43">
        <v>367457421.82999998</v>
      </c>
      <c r="M116" s="42">
        <f t="shared" si="2"/>
        <v>367457421.84000003</v>
      </c>
    </row>
    <row r="117" spans="1:13" x14ac:dyDescent="0.25">
      <c r="A117" t="s">
        <v>123</v>
      </c>
      <c r="B117">
        <v>2.2753398000000001E-2</v>
      </c>
      <c r="C117">
        <f>Summary!L117/Summary!K117</f>
        <v>2.2753398378921326E-2</v>
      </c>
      <c r="D117">
        <v>6.5</v>
      </c>
      <c r="F117" s="35">
        <v>254670260.47</v>
      </c>
      <c r="G117" s="34">
        <f>Collateral!K115</f>
        <v>254671</v>
      </c>
      <c r="H117" s="35">
        <v>77806407.939999998</v>
      </c>
      <c r="I117" s="34">
        <f>Collateral!O115</f>
        <v>77806</v>
      </c>
      <c r="J117" s="35">
        <v>14109644723.76</v>
      </c>
      <c r="K117" s="34">
        <f>Collateral!I115*1000</f>
        <v>14109645000</v>
      </c>
      <c r="L117" s="43">
        <v>332476668.39999998</v>
      </c>
      <c r="M117" s="42">
        <f t="shared" si="2"/>
        <v>332476668.40999997</v>
      </c>
    </row>
    <row r="118" spans="1:13" x14ac:dyDescent="0.25">
      <c r="A118" t="s">
        <v>124</v>
      </c>
      <c r="B118">
        <v>2.3110816999999999E-2</v>
      </c>
      <c r="C118">
        <f>Summary!L118/Summary!K118</f>
        <v>2.3110816787344616E-2</v>
      </c>
      <c r="D118">
        <v>6.5</v>
      </c>
      <c r="F118" s="35">
        <v>297474669.45999998</v>
      </c>
      <c r="G118" s="34">
        <f>Collateral!K116</f>
        <v>297475</v>
      </c>
      <c r="H118" s="35">
        <v>79417727.620000005</v>
      </c>
      <c r="I118" s="34">
        <f>Collateral!O116</f>
        <v>79418</v>
      </c>
      <c r="J118" s="35">
        <v>14364314984.23</v>
      </c>
      <c r="K118" s="34">
        <f>Collateral!I116*1000</f>
        <v>14364315000</v>
      </c>
      <c r="L118" s="43">
        <v>376892397.07999998</v>
      </c>
      <c r="M118" s="42">
        <f t="shared" si="2"/>
        <v>376892397.07999998</v>
      </c>
    </row>
    <row r="119" spans="1:13" x14ac:dyDescent="0.25">
      <c r="A119" t="s">
        <v>125</v>
      </c>
      <c r="B119">
        <v>2.3542101999999999E-2</v>
      </c>
      <c r="C119">
        <f>Summary!L119/Summary!K119</f>
        <v>2.3542102546487215E-2</v>
      </c>
      <c r="D119">
        <v>6.5</v>
      </c>
      <c r="F119" s="35">
        <v>286483324.01999998</v>
      </c>
      <c r="G119" s="34">
        <f>Collateral!K117</f>
        <v>286483</v>
      </c>
      <c r="H119" s="35">
        <v>80969509.939999998</v>
      </c>
      <c r="I119" s="34">
        <f>Collateral!O117</f>
        <v>80970</v>
      </c>
      <c r="J119" s="35">
        <v>14661789653.690001</v>
      </c>
      <c r="K119" s="34">
        <f>Collateral!I117*1000</f>
        <v>14661790000</v>
      </c>
      <c r="L119" s="43">
        <v>367452833.95999998</v>
      </c>
      <c r="M119" s="42">
        <f t="shared" si="2"/>
        <v>367452833.95999998</v>
      </c>
    </row>
    <row r="120" spans="1:13" x14ac:dyDescent="0.25">
      <c r="A120" t="s">
        <v>126</v>
      </c>
      <c r="B120">
        <v>2.3925318000000001E-2</v>
      </c>
      <c r="C120">
        <f>Summary!L120/Summary!K120</f>
        <v>2.3925318519840619E-2</v>
      </c>
      <c r="D120">
        <v>6.5</v>
      </c>
      <c r="F120" s="35">
        <v>285524666.41000003</v>
      </c>
      <c r="G120" s="34">
        <f>Collateral!K118</f>
        <v>285525</v>
      </c>
      <c r="H120" s="35">
        <v>82431378.079999998</v>
      </c>
      <c r="I120" s="34">
        <f>Collateral!O118</f>
        <v>82431</v>
      </c>
      <c r="J120" s="35">
        <v>14932631885.26</v>
      </c>
      <c r="K120" s="34">
        <f>Collateral!I118*1000</f>
        <v>14932632000</v>
      </c>
      <c r="L120" s="43">
        <v>367956044.48000002</v>
      </c>
      <c r="M120" s="42">
        <f t="shared" si="2"/>
        <v>367956044.49000001</v>
      </c>
    </row>
    <row r="121" spans="1:13" x14ac:dyDescent="0.25">
      <c r="A121" t="s">
        <v>127</v>
      </c>
      <c r="B121">
        <v>2.4321645999999999E-2</v>
      </c>
      <c r="C121">
        <f>Summary!L121/Summary!K121</f>
        <v>2.4321646356069357E-2</v>
      </c>
      <c r="D121">
        <v>6.5</v>
      </c>
      <c r="F121" s="35">
        <v>319954483.38999999</v>
      </c>
      <c r="G121" s="34">
        <f>Collateral!K119</f>
        <v>319954</v>
      </c>
      <c r="H121" s="35">
        <v>84161944.359999999</v>
      </c>
      <c r="I121" s="34">
        <f>Collateral!O119</f>
        <v>84162</v>
      </c>
      <c r="J121" s="35">
        <v>15217692033.75</v>
      </c>
      <c r="K121" s="34">
        <f>Collateral!I119*1000</f>
        <v>15217692000</v>
      </c>
      <c r="L121" s="43">
        <v>404116427.75</v>
      </c>
      <c r="M121" s="42">
        <f t="shared" si="2"/>
        <v>404116427.75</v>
      </c>
    </row>
    <row r="122" spans="1:13" x14ac:dyDescent="0.25">
      <c r="A122" t="s">
        <v>128</v>
      </c>
      <c r="B122">
        <v>2.4769024000000001E-2</v>
      </c>
      <c r="C122">
        <f>Summary!L122/Summary!K122</f>
        <v>2.4769024057856824E-2</v>
      </c>
      <c r="D122">
        <v>6.5</v>
      </c>
      <c r="F122" s="35">
        <v>302455069.26999998</v>
      </c>
      <c r="G122" s="34">
        <f>Collateral!K120</f>
        <v>302456</v>
      </c>
      <c r="H122" s="35">
        <v>85793013.349999994</v>
      </c>
      <c r="I122" s="34">
        <f>Collateral!O120</f>
        <v>85793</v>
      </c>
      <c r="J122" s="35">
        <v>15536312775.309999</v>
      </c>
      <c r="K122" s="34">
        <f>Collateral!I120*1000</f>
        <v>15536313000</v>
      </c>
      <c r="L122" s="43">
        <v>388248082.63</v>
      </c>
      <c r="M122" s="42">
        <f t="shared" si="2"/>
        <v>388248082.62</v>
      </c>
    </row>
    <row r="123" spans="1:13" x14ac:dyDescent="0.25">
      <c r="A123" t="s">
        <v>129</v>
      </c>
      <c r="B123">
        <v>2.5184676E-2</v>
      </c>
      <c r="C123">
        <f>Summary!L123/Summary!K123</f>
        <v>2.5184674985295304E-2</v>
      </c>
      <c r="D123">
        <v>6.5</v>
      </c>
      <c r="F123" s="35">
        <v>291461865.08999997</v>
      </c>
      <c r="G123" s="34">
        <f>Collateral!K121</f>
        <v>291462</v>
      </c>
      <c r="H123" s="35">
        <v>87369608.599999994</v>
      </c>
      <c r="I123" s="34">
        <f>Collateral!O121</f>
        <v>87370</v>
      </c>
      <c r="J123" s="35">
        <v>15838373499.459999</v>
      </c>
      <c r="K123" s="34">
        <f>Collateral!I121*1000</f>
        <v>15838373000</v>
      </c>
      <c r="L123" s="43">
        <v>378831473.69</v>
      </c>
      <c r="M123" s="42">
        <f t="shared" si="2"/>
        <v>378831473.68999994</v>
      </c>
    </row>
    <row r="124" spans="1:13" x14ac:dyDescent="0.25">
      <c r="A124" t="s">
        <v>130</v>
      </c>
      <c r="B124">
        <v>2.5589830000000001E-2</v>
      </c>
      <c r="C124">
        <f>Summary!L124/Summary!K124</f>
        <v>2.5589829410836405E-2</v>
      </c>
      <c r="D124">
        <v>6.5</v>
      </c>
      <c r="F124" s="35">
        <v>323498583.88</v>
      </c>
      <c r="G124" s="34">
        <f>Collateral!K122</f>
        <v>323499</v>
      </c>
      <c r="H124" s="35">
        <v>89118306.010000005</v>
      </c>
      <c r="I124" s="34">
        <f>Collateral!O122</f>
        <v>89118</v>
      </c>
      <c r="J124" s="35">
        <v>16129175232.66</v>
      </c>
      <c r="K124" s="34">
        <f>Collateral!I122*1000</f>
        <v>16129175000</v>
      </c>
      <c r="L124" s="43">
        <v>412616889.88999999</v>
      </c>
      <c r="M124" s="42">
        <f t="shared" si="2"/>
        <v>412616889.88999999</v>
      </c>
    </row>
    <row r="125" spans="1:13" x14ac:dyDescent="0.25">
      <c r="A125" t="s">
        <v>131</v>
      </c>
      <c r="B125">
        <v>2.6045321999999999E-2</v>
      </c>
      <c r="C125">
        <f>Summary!L125/Summary!K125</f>
        <v>2.6045321467566135E-2</v>
      </c>
      <c r="D125">
        <v>6.5</v>
      </c>
      <c r="F125" s="35">
        <v>298286479.83999997</v>
      </c>
      <c r="G125" s="34">
        <f>Collateral!K123</f>
        <v>298287</v>
      </c>
      <c r="H125" s="35">
        <v>90730115.569999993</v>
      </c>
      <c r="I125" s="34">
        <f>Collateral!O123</f>
        <v>90730</v>
      </c>
      <c r="J125" s="35">
        <v>16451952472.950001</v>
      </c>
      <c r="K125" s="34">
        <f>Collateral!I123*1000</f>
        <v>16451952000</v>
      </c>
      <c r="L125" s="43">
        <v>389016595.39999998</v>
      </c>
      <c r="M125" s="42">
        <f t="shared" si="2"/>
        <v>389016595.40999997</v>
      </c>
    </row>
    <row r="126" spans="1:13" x14ac:dyDescent="0.25">
      <c r="A126" t="s">
        <v>132</v>
      </c>
      <c r="B126">
        <v>2.6463687999999999E-2</v>
      </c>
      <c r="C126">
        <f>Summary!L126/Summary!K126</f>
        <v>2.6463688197728586E-2</v>
      </c>
      <c r="D126">
        <v>6.5</v>
      </c>
      <c r="F126" s="35">
        <v>354928671.61000001</v>
      </c>
      <c r="G126" s="34">
        <f>Collateral!K124</f>
        <v>354928</v>
      </c>
      <c r="H126" s="35">
        <v>92652646.180000007</v>
      </c>
      <c r="I126" s="34">
        <f>Collateral!O124</f>
        <v>92653</v>
      </c>
      <c r="J126" s="35">
        <v>16750238952.790001</v>
      </c>
      <c r="K126" s="34">
        <f>Collateral!I124*1000</f>
        <v>16750239000</v>
      </c>
      <c r="L126" s="43">
        <v>447581317.79000002</v>
      </c>
      <c r="M126" s="42">
        <f t="shared" si="2"/>
        <v>447581317.79000002</v>
      </c>
    </row>
    <row r="127" spans="1:13" x14ac:dyDescent="0.25">
      <c r="A127" t="s">
        <v>133</v>
      </c>
      <c r="B127">
        <v>2.6940677E-2</v>
      </c>
      <c r="C127">
        <f>Summary!L127/Summary!K127</f>
        <v>2.6940677912133112E-2</v>
      </c>
      <c r="D127">
        <v>6.5</v>
      </c>
      <c r="F127" s="35">
        <v>358831256.99000001</v>
      </c>
      <c r="G127" s="34">
        <f>Collateral!K125</f>
        <v>358831</v>
      </c>
      <c r="H127" s="35">
        <v>94588175.400000006</v>
      </c>
      <c r="I127" s="34">
        <f>Collateral!O125</f>
        <v>94588</v>
      </c>
      <c r="J127" s="35">
        <v>17103666611.4</v>
      </c>
      <c r="K127" s="34">
        <f>Collateral!I125*1000</f>
        <v>17103667000</v>
      </c>
      <c r="L127" s="43">
        <v>453419432.38999999</v>
      </c>
      <c r="M127" s="42">
        <f t="shared" si="2"/>
        <v>453419432.38999999</v>
      </c>
    </row>
    <row r="128" spans="1:13" x14ac:dyDescent="0.25">
      <c r="A128" t="s">
        <v>134</v>
      </c>
      <c r="B128">
        <v>2.7440658999999999E-2</v>
      </c>
      <c r="C128">
        <f>Summary!L128/Summary!K128</f>
        <v>2.7440659212127034E-2</v>
      </c>
      <c r="D128">
        <v>6.5</v>
      </c>
      <c r="F128" s="35">
        <v>375804129.68000001</v>
      </c>
      <c r="G128" s="34">
        <f>Collateral!K126</f>
        <v>375804</v>
      </c>
      <c r="H128" s="35">
        <v>96623779.540000007</v>
      </c>
      <c r="I128" s="34">
        <f>Collateral!O126</f>
        <v>96624</v>
      </c>
      <c r="J128" s="35">
        <v>17462497868.389999</v>
      </c>
      <c r="K128" s="34">
        <f>Collateral!I126*1000</f>
        <v>17462498000</v>
      </c>
      <c r="L128" s="43">
        <v>472427909.22000003</v>
      </c>
      <c r="M128" s="42">
        <f t="shared" si="2"/>
        <v>472427909.22000003</v>
      </c>
    </row>
    <row r="129" spans="1:13" x14ac:dyDescent="0.25">
      <c r="A129" t="s">
        <v>135</v>
      </c>
      <c r="B129">
        <v>2.7950084E-2</v>
      </c>
      <c r="C129">
        <f>Summary!L129/Summary!K129</f>
        <v>2.7950084357278887E-2</v>
      </c>
      <c r="D129">
        <v>6.5</v>
      </c>
      <c r="F129" s="35">
        <v>381701057.76999998</v>
      </c>
      <c r="G129" s="34">
        <f>Collateral!K127</f>
        <v>381701</v>
      </c>
      <c r="H129" s="35">
        <v>98691325.689999998</v>
      </c>
      <c r="I129" s="34">
        <f>Collateral!O127</f>
        <v>98691</v>
      </c>
      <c r="J129" s="35">
        <v>17838301998.07</v>
      </c>
      <c r="K129" s="34">
        <f>Collateral!I127*1000</f>
        <v>17838302000</v>
      </c>
      <c r="L129" s="43">
        <v>480392383.45999998</v>
      </c>
      <c r="M129" s="42">
        <f t="shared" si="2"/>
        <v>480392383.45999998</v>
      </c>
    </row>
    <row r="130" spans="1:13" x14ac:dyDescent="0.25">
      <c r="A130" t="s">
        <v>136</v>
      </c>
      <c r="B130">
        <v>2.8452228E-2</v>
      </c>
      <c r="C130">
        <f>Summary!L130/Summary!K130</f>
        <v>2.8452227499851025E-2</v>
      </c>
      <c r="D130">
        <v>6.5</v>
      </c>
      <c r="F130" s="35">
        <v>390542491.76999998</v>
      </c>
      <c r="G130" s="34">
        <f>Collateral!K128</f>
        <v>390543</v>
      </c>
      <c r="H130" s="35">
        <v>100806763.83</v>
      </c>
      <c r="I130" s="34">
        <f>Collateral!O128</f>
        <v>100807</v>
      </c>
      <c r="J130" s="35">
        <v>18220003055.84</v>
      </c>
      <c r="K130" s="34">
        <f>Collateral!I128*1000</f>
        <v>18220003000</v>
      </c>
      <c r="L130" s="43">
        <v>491349255.60000002</v>
      </c>
      <c r="M130" s="42">
        <f t="shared" si="2"/>
        <v>491349255.59999996</v>
      </c>
    </row>
    <row r="131" spans="1:13" x14ac:dyDescent="0.25">
      <c r="A131" t="s">
        <v>137</v>
      </c>
      <c r="B131">
        <v>2.3971561999999998E-2</v>
      </c>
      <c r="C131">
        <f>Summary!L131/Summary!K131</f>
        <v>2.3971562611535057E-2</v>
      </c>
      <c r="D131">
        <v>6.5</v>
      </c>
      <c r="F131" s="35">
        <v>169135067.84999999</v>
      </c>
      <c r="G131" s="34">
        <f>Collateral!K129</f>
        <v>169135</v>
      </c>
      <c r="H131" s="35">
        <v>42480755.140000001</v>
      </c>
      <c r="I131" s="34">
        <f>Collateral!O129</f>
        <v>42481</v>
      </c>
      <c r="J131" s="35">
        <v>7673458747.3900003</v>
      </c>
      <c r="K131" s="34">
        <f>Collateral!I129*1000</f>
        <v>7673459000</v>
      </c>
      <c r="L131" s="43">
        <v>211615822.99000001</v>
      </c>
      <c r="M131" s="42">
        <f t="shared" si="2"/>
        <v>211615822.99000001</v>
      </c>
    </row>
    <row r="132" spans="1:13" x14ac:dyDescent="0.25">
      <c r="A132" t="s">
        <v>138</v>
      </c>
      <c r="B132">
        <v>2.4438385999999999E-2</v>
      </c>
      <c r="C132">
        <f>Summary!L132/Summary!K132</f>
        <v>2.4438387072579799E-2</v>
      </c>
      <c r="D132">
        <v>6.5</v>
      </c>
      <c r="F132" s="35">
        <v>177439391.12</v>
      </c>
      <c r="G132" s="34">
        <f>Collateral!K130</f>
        <v>177439</v>
      </c>
      <c r="H132" s="35">
        <v>43612538.43</v>
      </c>
      <c r="I132" s="34">
        <f>Collateral!O130</f>
        <v>43613</v>
      </c>
      <c r="J132" s="35">
        <v>7874098727.9700003</v>
      </c>
      <c r="K132" s="34">
        <f>Collateral!I130*1000</f>
        <v>7874099000</v>
      </c>
      <c r="L132" s="43">
        <v>221051929.55000001</v>
      </c>
      <c r="M132" s="42">
        <f t="shared" si="2"/>
        <v>221051929.55000001</v>
      </c>
    </row>
    <row r="133" spans="1:13" x14ac:dyDescent="0.25">
      <c r="A133" t="s">
        <v>139</v>
      </c>
      <c r="B133">
        <v>2.4933876000000001E-2</v>
      </c>
      <c r="C133">
        <f>Summary!L133/Summary!K133</f>
        <v>2.4933875518651418E-2</v>
      </c>
      <c r="D133">
        <v>6.5</v>
      </c>
      <c r="F133" s="35">
        <v>193133644.09999999</v>
      </c>
      <c r="G133" s="34">
        <f>Collateral!K131</f>
        <v>193134</v>
      </c>
      <c r="H133" s="35">
        <v>44840763.289999999</v>
      </c>
      <c r="I133" s="34">
        <f>Collateral!O131</f>
        <v>44841</v>
      </c>
      <c r="J133" s="35">
        <v>8085153220.46</v>
      </c>
      <c r="K133" s="34">
        <f>Collateral!I131*1000</f>
        <v>8085153000</v>
      </c>
      <c r="L133" s="43">
        <v>237974407.38999999</v>
      </c>
      <c r="M133" s="42">
        <f t="shared" ref="M133:M196" si="3">H133+F133</f>
        <v>237974407.38999999</v>
      </c>
    </row>
    <row r="134" spans="1:13" x14ac:dyDescent="0.25">
      <c r="A134" t="s">
        <v>140</v>
      </c>
      <c r="B134">
        <v>2.5483342999999999E-2</v>
      </c>
      <c r="C134">
        <f>Summary!L134/Summary!K134</f>
        <v>2.5483342654523431E-2</v>
      </c>
      <c r="D134">
        <v>6.5</v>
      </c>
      <c r="F134" s="35">
        <v>162458550.93000001</v>
      </c>
      <c r="G134" s="34">
        <f>Collateral!K132</f>
        <v>162458</v>
      </c>
      <c r="H134" s="35">
        <v>45892819.829999998</v>
      </c>
      <c r="I134" s="34">
        <f>Collateral!O132</f>
        <v>45893</v>
      </c>
      <c r="J134" s="35">
        <v>8310054123.3800001</v>
      </c>
      <c r="K134" s="34">
        <f>Collateral!I132*1000</f>
        <v>8310054000</v>
      </c>
      <c r="L134" s="43">
        <v>208351370.75999999</v>
      </c>
      <c r="M134" s="42">
        <f t="shared" si="3"/>
        <v>208351370.75999999</v>
      </c>
    </row>
    <row r="135" spans="1:13" x14ac:dyDescent="0.25">
      <c r="A135" t="s">
        <v>141</v>
      </c>
      <c r="B135">
        <v>2.5935013E-2</v>
      </c>
      <c r="C135">
        <f>Summary!L135/Summary!K135</f>
        <v>2.5935013896518221E-2</v>
      </c>
      <c r="D135">
        <v>6.5</v>
      </c>
      <c r="F135" s="35">
        <v>162277913.15000001</v>
      </c>
      <c r="G135" s="34">
        <f>Collateral!K133</f>
        <v>162278</v>
      </c>
      <c r="H135" s="35">
        <v>46947893.630000003</v>
      </c>
      <c r="I135" s="34">
        <f>Collateral!O133</f>
        <v>46948</v>
      </c>
      <c r="J135" s="35">
        <v>8505017602.3199997</v>
      </c>
      <c r="K135" s="34">
        <f>Collateral!I133*1000</f>
        <v>8505018000</v>
      </c>
      <c r="L135" s="43">
        <v>209225806.78</v>
      </c>
      <c r="M135" s="42">
        <f t="shared" si="3"/>
        <v>209225806.78</v>
      </c>
    </row>
    <row r="136" spans="1:13" x14ac:dyDescent="0.25">
      <c r="A136" t="s">
        <v>142</v>
      </c>
      <c r="B136">
        <v>2.6356335000000002E-2</v>
      </c>
      <c r="C136">
        <f>Summary!L136/Summary!K136</f>
        <v>2.6356334571331397E-2</v>
      </c>
      <c r="D136">
        <v>6.5</v>
      </c>
      <c r="F136" s="35">
        <v>210392870.16</v>
      </c>
      <c r="G136" s="34">
        <f>Collateral!K134</f>
        <v>210393</v>
      </c>
      <c r="H136" s="35">
        <v>48328574.479999997</v>
      </c>
      <c r="I136" s="34">
        <f>Collateral!O134</f>
        <v>48329</v>
      </c>
      <c r="J136" s="35">
        <v>8711797107.5499992</v>
      </c>
      <c r="K136" s="34">
        <f>Collateral!I134*1000</f>
        <v>8711797000</v>
      </c>
      <c r="L136" s="43">
        <v>258721444.63999999</v>
      </c>
      <c r="M136" s="42">
        <f t="shared" si="3"/>
        <v>258721444.63999999</v>
      </c>
    </row>
    <row r="137" spans="1:13" x14ac:dyDescent="0.25">
      <c r="A137" t="s">
        <v>143</v>
      </c>
      <c r="B137">
        <v>9.0501257000000002E-2</v>
      </c>
      <c r="C137">
        <f>Summary!L137/Summary!K137</f>
        <v>9.0501251313472933E-2</v>
      </c>
      <c r="D137">
        <v>6.5</v>
      </c>
      <c r="F137" s="35">
        <v>110935664.06999999</v>
      </c>
      <c r="G137" s="34">
        <f>Collateral!K135</f>
        <v>110935</v>
      </c>
      <c r="H137" s="35">
        <v>25762402.039999999</v>
      </c>
      <c r="I137" s="34">
        <f>Collateral!O135</f>
        <v>25762</v>
      </c>
      <c r="J137" s="35">
        <v>4645218274.4700003</v>
      </c>
      <c r="K137" s="34">
        <f>Collateral!I135*1000</f>
        <v>4645218000</v>
      </c>
      <c r="L137" s="43">
        <v>136698066.11000001</v>
      </c>
      <c r="M137" s="42">
        <f t="shared" si="3"/>
        <v>136698066.10999998</v>
      </c>
    </row>
    <row r="138" spans="1:13" x14ac:dyDescent="0.25">
      <c r="A138" t="s">
        <v>144</v>
      </c>
      <c r="B138">
        <v>9.2633506000000004E-2</v>
      </c>
      <c r="C138">
        <f>Summary!L138/Summary!K138</f>
        <v>9.2633510276702066E-2</v>
      </c>
      <c r="D138">
        <v>6.5</v>
      </c>
      <c r="F138" s="35">
        <v>120769745.03</v>
      </c>
      <c r="G138" s="34">
        <f>Collateral!K136</f>
        <v>120769</v>
      </c>
      <c r="H138" s="35">
        <v>26409557.399999999</v>
      </c>
      <c r="I138" s="34">
        <f>Collateral!O136</f>
        <v>26410</v>
      </c>
      <c r="J138" s="35">
        <v>4754858816.4300003</v>
      </c>
      <c r="K138" s="34">
        <f>Collateral!I136*1000</f>
        <v>4754859000</v>
      </c>
      <c r="L138" s="43">
        <v>147179302.43000001</v>
      </c>
      <c r="M138" s="42">
        <f t="shared" si="3"/>
        <v>147179302.43000001</v>
      </c>
    </row>
    <row r="139" spans="1:13" x14ac:dyDescent="0.25">
      <c r="A139" t="s">
        <v>145</v>
      </c>
      <c r="B139">
        <v>9.4923737999999994E-2</v>
      </c>
      <c r="C139">
        <f>Summary!L139/Summary!K139</f>
        <v>9.4923743057581944E-2</v>
      </c>
      <c r="D139">
        <v>6.5</v>
      </c>
      <c r="F139" s="35">
        <v>131968085.72</v>
      </c>
      <c r="G139" s="34">
        <f>Collateral!K137</f>
        <v>131968</v>
      </c>
      <c r="H139" s="35">
        <v>27119268.210000001</v>
      </c>
      <c r="I139" s="34">
        <f>Collateral!O137</f>
        <v>27119</v>
      </c>
      <c r="J139" s="35">
        <v>4874683714.6400003</v>
      </c>
      <c r="K139" s="34">
        <f>Collateral!I137*1000</f>
        <v>4874684000</v>
      </c>
      <c r="L139" s="43">
        <v>159087353.93000001</v>
      </c>
      <c r="M139" s="42">
        <f t="shared" si="3"/>
        <v>159087353.93000001</v>
      </c>
    </row>
    <row r="140" spans="1:13" x14ac:dyDescent="0.25">
      <c r="A140" t="s">
        <v>146</v>
      </c>
      <c r="B140">
        <v>9.7483799999999995E-2</v>
      </c>
      <c r="C140">
        <f>Summary!L140/Summary!K140</f>
        <v>9.7483794404102958E-2</v>
      </c>
      <c r="D140">
        <v>6.5</v>
      </c>
      <c r="F140" s="35">
        <v>138066351.16</v>
      </c>
      <c r="G140" s="34">
        <f>Collateral!K138</f>
        <v>138066</v>
      </c>
      <c r="H140" s="35">
        <v>27896779.449999999</v>
      </c>
      <c r="I140" s="34">
        <f>Collateral!O138</f>
        <v>27897</v>
      </c>
      <c r="J140" s="35">
        <v>5012125246.8900003</v>
      </c>
      <c r="K140" s="34">
        <f>Collateral!I138*1000</f>
        <v>5012125000</v>
      </c>
      <c r="L140" s="43">
        <v>165963130.61000001</v>
      </c>
      <c r="M140" s="42">
        <f t="shared" si="3"/>
        <v>165963130.60999998</v>
      </c>
    </row>
    <row r="141" spans="1:13" x14ac:dyDescent="0.25">
      <c r="A141" t="s">
        <v>147</v>
      </c>
      <c r="B141">
        <v>0.100023678</v>
      </c>
      <c r="C141">
        <f>Summary!L141/Summary!K141</f>
        <v>0.10002368595090874</v>
      </c>
      <c r="D141">
        <v>6.5</v>
      </c>
      <c r="F141" s="35">
        <v>146451940.78999999</v>
      </c>
      <c r="G141" s="34">
        <f>Collateral!K139</f>
        <v>146452</v>
      </c>
      <c r="H141" s="35">
        <v>28679014.210000001</v>
      </c>
      <c r="I141" s="34">
        <f>Collateral!O139</f>
        <v>28679</v>
      </c>
      <c r="J141" s="35">
        <v>5148151577.0600004</v>
      </c>
      <c r="K141" s="34">
        <f>Collateral!I139*1000</f>
        <v>5148152000</v>
      </c>
      <c r="L141" s="43">
        <v>175130955.00999999</v>
      </c>
      <c r="M141" s="42">
        <f t="shared" si="3"/>
        <v>175130955</v>
      </c>
    </row>
    <row r="142" spans="1:13" x14ac:dyDescent="0.25">
      <c r="A142" t="s">
        <v>148</v>
      </c>
      <c r="B142">
        <v>0.102903019</v>
      </c>
      <c r="C142">
        <f>Summary!L142/Summary!K142</f>
        <v>0.10290302515391488</v>
      </c>
      <c r="D142">
        <v>6.5</v>
      </c>
      <c r="F142" s="35">
        <v>162955216.33000001</v>
      </c>
      <c r="G142" s="34">
        <f>Collateral!K140</f>
        <v>162955</v>
      </c>
      <c r="H142" s="35">
        <v>29587180.66</v>
      </c>
      <c r="I142" s="34">
        <f>Collateral!O140</f>
        <v>29587</v>
      </c>
      <c r="J142" s="35">
        <v>5299310625.8400002</v>
      </c>
      <c r="K142" s="34">
        <f>Collateral!I140*1000</f>
        <v>5299311000</v>
      </c>
      <c r="L142" s="43">
        <v>192542396.99000001</v>
      </c>
      <c r="M142" s="42">
        <f t="shared" si="3"/>
        <v>192542396.99000001</v>
      </c>
    </row>
    <row r="143" spans="1:13" x14ac:dyDescent="0.25">
      <c r="A143" t="s">
        <v>149</v>
      </c>
      <c r="B143">
        <v>0.105970798</v>
      </c>
      <c r="C143">
        <f>Summary!L143/Summary!K143</f>
        <v>0.10597079865104281</v>
      </c>
      <c r="D143">
        <v>6.5</v>
      </c>
      <c r="F143" s="35">
        <v>168799551.31</v>
      </c>
      <c r="G143" s="34">
        <f>Collateral!K141</f>
        <v>168800</v>
      </c>
      <c r="H143" s="35">
        <v>30521246.57</v>
      </c>
      <c r="I143" s="34">
        <f>Collateral!O141</f>
        <v>30521</v>
      </c>
      <c r="J143" s="35">
        <v>5465909957.9099998</v>
      </c>
      <c r="K143" s="34">
        <f>Collateral!I141*1000</f>
        <v>5465910000</v>
      </c>
      <c r="L143" s="43">
        <v>199320797.88</v>
      </c>
      <c r="M143" s="42">
        <f t="shared" si="3"/>
        <v>199320797.88</v>
      </c>
    </row>
    <row r="144" spans="1:13" x14ac:dyDescent="0.25">
      <c r="A144" t="s">
        <v>150</v>
      </c>
      <c r="B144">
        <v>0.10912134800000001</v>
      </c>
      <c r="C144">
        <f>Summary!L144/Summary!K144</f>
        <v>0.10912134903860704</v>
      </c>
      <c r="D144">
        <v>6.5</v>
      </c>
      <c r="F144" s="35">
        <v>162433061.13</v>
      </c>
      <c r="G144" s="34">
        <f>Collateral!K142</f>
        <v>162433</v>
      </c>
      <c r="H144" s="35">
        <v>31378260.059999999</v>
      </c>
      <c r="I144" s="34">
        <f>Collateral!O142</f>
        <v>31378</v>
      </c>
      <c r="J144" s="35">
        <v>5630493920.5799999</v>
      </c>
      <c r="K144" s="34">
        <f>Collateral!I142*1000</f>
        <v>5630494000</v>
      </c>
      <c r="L144" s="43">
        <v>193811321.19</v>
      </c>
      <c r="M144" s="42">
        <f t="shared" si="3"/>
        <v>193811321.19</v>
      </c>
    </row>
    <row r="145" spans="1:13" x14ac:dyDescent="0.25">
      <c r="A145" t="s">
        <v>151</v>
      </c>
      <c r="B145">
        <v>0.112319815</v>
      </c>
      <c r="C145">
        <f>Summary!L145/Summary!K145</f>
        <v>0.11231981698230488</v>
      </c>
      <c r="D145">
        <v>6.5</v>
      </c>
      <c r="F145" s="35">
        <v>172897496.49000001</v>
      </c>
      <c r="G145" s="34">
        <f>Collateral!K143</f>
        <v>172898</v>
      </c>
      <c r="H145" s="35">
        <v>32301518.899999999</v>
      </c>
      <c r="I145" s="34">
        <f>Collateral!O143</f>
        <v>32302</v>
      </c>
      <c r="J145" s="35">
        <v>5790477912.1000004</v>
      </c>
      <c r="K145" s="34">
        <f>Collateral!I143*1000</f>
        <v>5790478000</v>
      </c>
      <c r="L145" s="43">
        <v>205199015.38999999</v>
      </c>
      <c r="M145" s="42">
        <f t="shared" si="3"/>
        <v>205199015.39000002</v>
      </c>
    </row>
    <row r="146" spans="1:13" x14ac:dyDescent="0.25">
      <c r="A146" t="s">
        <v>152</v>
      </c>
      <c r="B146">
        <v>0.11559478500000001</v>
      </c>
      <c r="C146">
        <f>Summary!L146/Summary!K146</f>
        <v>0.11559478447889075</v>
      </c>
      <c r="D146">
        <v>6.5</v>
      </c>
      <c r="F146" s="35">
        <v>165651837.05000001</v>
      </c>
      <c r="G146" s="34">
        <f>Collateral!K144</f>
        <v>165652</v>
      </c>
      <c r="H146" s="35">
        <v>33238708.219999999</v>
      </c>
      <c r="I146" s="34">
        <f>Collateral!O144</f>
        <v>33239</v>
      </c>
      <c r="J146" s="35">
        <v>5970743989.7200003</v>
      </c>
      <c r="K146" s="34">
        <f>Collateral!I144*1000</f>
        <v>5970744000</v>
      </c>
      <c r="L146" s="43">
        <v>198890545.28</v>
      </c>
      <c r="M146" s="42">
        <f t="shared" si="3"/>
        <v>198890545.27000001</v>
      </c>
    </row>
    <row r="147" spans="1:13" x14ac:dyDescent="0.25">
      <c r="A147" t="s">
        <v>153</v>
      </c>
      <c r="B147">
        <v>0.11871743</v>
      </c>
      <c r="C147">
        <f>Summary!L147/Summary!K147</f>
        <v>0.11871742606879936</v>
      </c>
      <c r="D147">
        <v>6.5</v>
      </c>
      <c r="F147" s="35">
        <v>202473727.81999999</v>
      </c>
      <c r="G147" s="34">
        <f>Collateral!K145</f>
        <v>202474</v>
      </c>
      <c r="H147" s="35">
        <v>34346952.909999996</v>
      </c>
      <c r="I147" s="34">
        <f>Collateral!O145</f>
        <v>34347</v>
      </c>
      <c r="J147" s="35">
        <v>6138521152.8000002</v>
      </c>
      <c r="K147" s="34">
        <f>Collateral!I145*1000</f>
        <v>6138521000</v>
      </c>
      <c r="L147" s="43">
        <v>236820680.72999999</v>
      </c>
      <c r="M147" s="42">
        <f t="shared" si="3"/>
        <v>236820680.72999999</v>
      </c>
    </row>
    <row r="148" spans="1:13" x14ac:dyDescent="0.25">
      <c r="A148" t="s">
        <v>154</v>
      </c>
      <c r="B148">
        <v>0.12253040699999999</v>
      </c>
      <c r="C148">
        <f>Summary!L148/Summary!K148</f>
        <v>0.12253041634596137</v>
      </c>
      <c r="D148">
        <v>6.5</v>
      </c>
      <c r="F148" s="35">
        <v>228279089.27000001</v>
      </c>
      <c r="G148" s="34">
        <f>Collateral!K146</f>
        <v>228279</v>
      </c>
      <c r="H148" s="35">
        <v>35591322.039999999</v>
      </c>
      <c r="I148" s="34">
        <f>Collateral!O146</f>
        <v>35591</v>
      </c>
      <c r="J148" s="35">
        <v>6342445513.3299999</v>
      </c>
      <c r="K148" s="34">
        <f>Collateral!I146*1000</f>
        <v>6342446000</v>
      </c>
      <c r="L148" s="43">
        <v>263870411.31</v>
      </c>
      <c r="M148" s="42">
        <f t="shared" si="3"/>
        <v>263870411.31</v>
      </c>
    </row>
    <row r="149" spans="1:13" x14ac:dyDescent="0.25">
      <c r="A149" t="s">
        <v>155</v>
      </c>
      <c r="B149">
        <v>9.6511376999999995E-2</v>
      </c>
      <c r="C149">
        <f>Summary!L149/Summary!K149</f>
        <v>9.6511361876372104E-2</v>
      </c>
      <c r="D149">
        <v>6.5</v>
      </c>
      <c r="F149" s="35">
        <v>125014888.72</v>
      </c>
      <c r="G149" s="34">
        <f>Collateral!K147</f>
        <v>125015</v>
      </c>
      <c r="H149" s="35">
        <v>16733720.439999999</v>
      </c>
      <c r="I149" s="34">
        <f>Collateral!O147</f>
        <v>16734</v>
      </c>
      <c r="J149" s="35">
        <v>2964274421.96</v>
      </c>
      <c r="K149" s="34">
        <f>Collateral!I147*1000</f>
        <v>2964274000</v>
      </c>
      <c r="L149" s="43">
        <v>141748609.16</v>
      </c>
      <c r="M149" s="42">
        <f t="shared" si="3"/>
        <v>141748609.16</v>
      </c>
    </row>
    <row r="150" spans="1:13" x14ac:dyDescent="0.25">
      <c r="A150" t="s">
        <v>156</v>
      </c>
      <c r="B150">
        <v>0.10055610399999999</v>
      </c>
      <c r="C150">
        <f>Summary!L150/Summary!K150</f>
        <v>0.10055609508137284</v>
      </c>
      <c r="D150">
        <v>6.5</v>
      </c>
      <c r="F150" s="35">
        <v>140702087.81</v>
      </c>
      <c r="G150" s="34">
        <f>Collateral!K148</f>
        <v>140702</v>
      </c>
      <c r="H150" s="35">
        <v>17608810.379999999</v>
      </c>
      <c r="I150" s="34">
        <f>Collateral!O148</f>
        <v>17609</v>
      </c>
      <c r="J150" s="35">
        <v>3110142269.4000001</v>
      </c>
      <c r="K150" s="34">
        <f>Collateral!I148*1000</f>
        <v>3110142000</v>
      </c>
      <c r="L150" s="43">
        <v>158310898.19999999</v>
      </c>
      <c r="M150" s="42">
        <f t="shared" si="3"/>
        <v>158310898.19</v>
      </c>
    </row>
    <row r="151" spans="1:13" x14ac:dyDescent="0.25">
      <c r="A151" t="s">
        <v>157</v>
      </c>
      <c r="B151">
        <v>0.10503831199999999</v>
      </c>
      <c r="C151">
        <f>Summary!L151/Summary!K151</f>
        <v>0.10503832113800753</v>
      </c>
      <c r="D151">
        <v>6.5</v>
      </c>
      <c r="F151" s="35">
        <v>153570014.59</v>
      </c>
      <c r="G151" s="34">
        <f>Collateral!K149</f>
        <v>153570</v>
      </c>
      <c r="H151" s="35">
        <v>18485992.989999998</v>
      </c>
      <c r="I151" s="34">
        <f>Collateral!O149</f>
        <v>18486</v>
      </c>
      <c r="J151" s="35">
        <v>3259215727.1999998</v>
      </c>
      <c r="K151" s="34">
        <f>Collateral!I149*1000</f>
        <v>3259216000</v>
      </c>
      <c r="L151" s="43">
        <v>172056007.58000001</v>
      </c>
      <c r="M151" s="42">
        <f t="shared" si="3"/>
        <v>172056007.58000001</v>
      </c>
    </row>
    <row r="152" spans="1:13" x14ac:dyDescent="0.25">
      <c r="A152" t="s">
        <v>158</v>
      </c>
      <c r="B152">
        <v>0.10985755</v>
      </c>
      <c r="C152">
        <f>Summary!L152/Summary!K152</f>
        <v>0.10985754877676959</v>
      </c>
      <c r="D152">
        <v>6.5</v>
      </c>
      <c r="F152" s="35">
        <v>200509988.77000001</v>
      </c>
      <c r="G152" s="34">
        <f>Collateral!K150</f>
        <v>200510</v>
      </c>
      <c r="H152" s="35">
        <v>19658619.57</v>
      </c>
      <c r="I152" s="34">
        <f>Collateral!O150</f>
        <v>19659</v>
      </c>
      <c r="J152" s="35">
        <v>3428760073.4699998</v>
      </c>
      <c r="K152" s="34">
        <f>Collateral!I150*1000</f>
        <v>3428760000</v>
      </c>
      <c r="L152" s="43">
        <v>220168608.34</v>
      </c>
      <c r="M152" s="42">
        <f t="shared" si="3"/>
        <v>220168608.34</v>
      </c>
    </row>
    <row r="153" spans="1:13" x14ac:dyDescent="0.25">
      <c r="A153" t="s">
        <v>159</v>
      </c>
      <c r="B153">
        <v>0.11627462299999999</v>
      </c>
      <c r="C153">
        <f>Summary!L153/Summary!K153</f>
        <v>0.11627462030347603</v>
      </c>
      <c r="D153">
        <v>6.5</v>
      </c>
      <c r="F153" s="35">
        <v>202007878.71000001</v>
      </c>
      <c r="G153" s="34">
        <f>Collateral!K151</f>
        <v>202008</v>
      </c>
      <c r="H153" s="35">
        <v>20894800.100000001</v>
      </c>
      <c r="I153" s="34">
        <f>Collateral!O151</f>
        <v>20895</v>
      </c>
      <c r="J153" s="35">
        <v>3655480106.5900002</v>
      </c>
      <c r="K153" s="34">
        <f>Collateral!I151*1000</f>
        <v>3655480000</v>
      </c>
      <c r="L153" s="43">
        <v>222902678.81</v>
      </c>
      <c r="M153" s="42">
        <f t="shared" si="3"/>
        <v>222902678.81</v>
      </c>
    </row>
    <row r="154" spans="1:13" x14ac:dyDescent="0.25">
      <c r="A154" t="s">
        <v>160</v>
      </c>
      <c r="B154">
        <v>0.122691909</v>
      </c>
      <c r="C154">
        <f>Summary!L154/Summary!K154</f>
        <v>0.12269191942872318</v>
      </c>
      <c r="D154">
        <v>6.5</v>
      </c>
      <c r="F154" s="35">
        <v>199489527.25999999</v>
      </c>
      <c r="G154" s="34">
        <f>Collateral!K152</f>
        <v>199489</v>
      </c>
      <c r="H154" s="35">
        <v>22044055.640000001</v>
      </c>
      <c r="I154" s="34">
        <f>Collateral!O152</f>
        <v>22044</v>
      </c>
      <c r="J154" s="35">
        <v>3870168689.9299998</v>
      </c>
      <c r="K154" s="34">
        <f>Collateral!I152*1000</f>
        <v>3870169000</v>
      </c>
      <c r="L154" s="43">
        <v>221533582.90000001</v>
      </c>
      <c r="M154" s="42">
        <f t="shared" si="3"/>
        <v>221533582.89999998</v>
      </c>
    </row>
    <row r="155" spans="1:13" x14ac:dyDescent="0.25">
      <c r="A155" t="s">
        <v>161</v>
      </c>
      <c r="B155">
        <v>0.12889294800000001</v>
      </c>
      <c r="C155">
        <f>Summary!L155/Summary!K155</f>
        <v>0.12889296025163458</v>
      </c>
      <c r="D155">
        <v>6.5</v>
      </c>
      <c r="F155" s="35">
        <v>251330717.81</v>
      </c>
      <c r="G155" s="34">
        <f>Collateral!K153</f>
        <v>251331</v>
      </c>
      <c r="H155" s="35">
        <v>23461438.600000001</v>
      </c>
      <c r="I155" s="34">
        <f>Collateral!O153</f>
        <v>23461</v>
      </c>
      <c r="J155" s="35">
        <v>4079997649.6999998</v>
      </c>
      <c r="K155" s="34">
        <f>Collateral!I153*1000</f>
        <v>4079998000</v>
      </c>
      <c r="L155" s="43">
        <v>274792156.41000003</v>
      </c>
      <c r="M155" s="42">
        <f t="shared" si="3"/>
        <v>274792156.41000003</v>
      </c>
    </row>
    <row r="156" spans="1:13" x14ac:dyDescent="0.25">
      <c r="A156" t="s">
        <v>162</v>
      </c>
      <c r="B156">
        <v>0.13659217100000001</v>
      </c>
      <c r="C156">
        <f>Summary!L156/Summary!K156</f>
        <v>0.13659216940136348</v>
      </c>
      <c r="D156">
        <v>6.5</v>
      </c>
      <c r="F156" s="35">
        <v>231563231.34999999</v>
      </c>
      <c r="G156" s="34">
        <f>Collateral!K154</f>
        <v>231564</v>
      </c>
      <c r="H156" s="35">
        <v>24789638.5</v>
      </c>
      <c r="I156" s="34">
        <f>Collateral!O154</f>
        <v>24790</v>
      </c>
      <c r="J156" s="35">
        <v>4344970064.4899998</v>
      </c>
      <c r="K156" s="34">
        <f>Collateral!I154*1000</f>
        <v>4344970000</v>
      </c>
      <c r="L156" s="43">
        <v>256352869.84999999</v>
      </c>
      <c r="M156" s="42">
        <f t="shared" si="3"/>
        <v>256352869.84999999</v>
      </c>
    </row>
    <row r="157" spans="1:13" x14ac:dyDescent="0.25">
      <c r="A157" t="s">
        <v>163</v>
      </c>
      <c r="B157">
        <v>0.143753619</v>
      </c>
      <c r="C157">
        <f>Summary!L157/Summary!K157</f>
        <v>0.14375360638154494</v>
      </c>
      <c r="D157">
        <v>6.5</v>
      </c>
      <c r="F157" s="35">
        <v>220324022.50999999</v>
      </c>
      <c r="G157" s="34">
        <f>Collateral!K155</f>
        <v>220324</v>
      </c>
      <c r="H157" s="35">
        <v>26082901.370000001</v>
      </c>
      <c r="I157" s="34">
        <f>Collateral!O155</f>
        <v>26083</v>
      </c>
      <c r="J157" s="35">
        <v>4594965472.1999998</v>
      </c>
      <c r="K157" s="34">
        <f>Collateral!I155*1000</f>
        <v>4594965000</v>
      </c>
      <c r="L157" s="43">
        <v>246406923.88</v>
      </c>
      <c r="M157" s="42">
        <f t="shared" si="3"/>
        <v>246406923.88</v>
      </c>
    </row>
    <row r="158" spans="1:13" x14ac:dyDescent="0.25">
      <c r="A158" t="s">
        <v>164</v>
      </c>
      <c r="B158">
        <v>0.150836899</v>
      </c>
      <c r="C158">
        <f>Summary!L158/Summary!K158</f>
        <v>0.15083689277842457</v>
      </c>
      <c r="D158">
        <v>6.5</v>
      </c>
      <c r="F158" s="35">
        <v>221340831.97</v>
      </c>
      <c r="G158" s="34">
        <f>Collateral!K156</f>
        <v>221341</v>
      </c>
      <c r="H158" s="35">
        <v>27472485.219999999</v>
      </c>
      <c r="I158" s="34">
        <f>Collateral!O156</f>
        <v>27472</v>
      </c>
      <c r="J158" s="35">
        <v>4850487192.0299997</v>
      </c>
      <c r="K158" s="34">
        <f>Collateral!I156*1000</f>
        <v>4850487000</v>
      </c>
      <c r="L158" s="43">
        <v>248813317.19</v>
      </c>
      <c r="M158" s="42">
        <f t="shared" si="3"/>
        <v>248813317.19</v>
      </c>
    </row>
    <row r="159" spans="1:13" x14ac:dyDescent="0.25">
      <c r="A159" t="s">
        <v>165</v>
      </c>
      <c r="B159">
        <v>0.157291509</v>
      </c>
      <c r="C159">
        <f>Summary!L159/Summary!K159</f>
        <v>0.15729149985453672</v>
      </c>
      <c r="D159">
        <v>6.5</v>
      </c>
      <c r="F159" s="35">
        <v>254887639.5</v>
      </c>
      <c r="G159" s="34">
        <f>Collateral!K157</f>
        <v>254888</v>
      </c>
      <c r="H159" s="35">
        <v>28897469.390000001</v>
      </c>
      <c r="I159" s="34">
        <f>Collateral!O157</f>
        <v>28897</v>
      </c>
      <c r="J159" s="35">
        <v>5080014356.3699999</v>
      </c>
      <c r="K159" s="34">
        <f>Collateral!I157*1000</f>
        <v>5080014000</v>
      </c>
      <c r="L159" s="43">
        <v>283785108.88999999</v>
      </c>
      <c r="M159" s="42">
        <f t="shared" si="3"/>
        <v>283785108.88999999</v>
      </c>
    </row>
    <row r="160" spans="1:13" x14ac:dyDescent="0.25">
      <c r="A160" t="s">
        <v>166</v>
      </c>
      <c r="B160">
        <v>0.165149243</v>
      </c>
      <c r="C160">
        <f>Summary!L160/Summary!K160</f>
        <v>0.16514925247407775</v>
      </c>
      <c r="D160">
        <v>6.5</v>
      </c>
      <c r="F160" s="35">
        <v>260101943.80000001</v>
      </c>
      <c r="G160" s="34">
        <f>Collateral!K158</f>
        <v>260102</v>
      </c>
      <c r="H160" s="35">
        <v>30400392.210000001</v>
      </c>
      <c r="I160" s="34">
        <f>Collateral!O158</f>
        <v>30400</v>
      </c>
      <c r="J160" s="35">
        <v>5352262704.2700005</v>
      </c>
      <c r="K160" s="34">
        <f>Collateral!I158*1000</f>
        <v>5352263000</v>
      </c>
      <c r="L160" s="43">
        <v>290502336.00999999</v>
      </c>
      <c r="M160" s="42">
        <f t="shared" si="3"/>
        <v>290502336.00999999</v>
      </c>
    </row>
    <row r="161" spans="1:13" x14ac:dyDescent="0.25">
      <c r="A161" t="s">
        <v>167</v>
      </c>
      <c r="B161">
        <v>0.21261068499999999</v>
      </c>
      <c r="C161">
        <f>Summary!L161/Summary!K161</f>
        <v>0.21261071209577212</v>
      </c>
      <c r="D161">
        <v>6.5</v>
      </c>
      <c r="F161" s="35">
        <v>83612773.060000002</v>
      </c>
      <c r="G161" s="34">
        <f>Collateral!K159</f>
        <v>83612</v>
      </c>
      <c r="H161" s="35">
        <v>12104844.48</v>
      </c>
      <c r="I161" s="34">
        <f>Collateral!O159</f>
        <v>12105</v>
      </c>
      <c r="J161" s="35">
        <v>2151127746.27</v>
      </c>
      <c r="K161" s="34">
        <f>Collateral!I159*1000</f>
        <v>2151128000</v>
      </c>
      <c r="L161" s="43">
        <v>95717617.540000007</v>
      </c>
      <c r="M161" s="42">
        <f t="shared" si="3"/>
        <v>95717617.540000007</v>
      </c>
    </row>
    <row r="162" spans="1:13" x14ac:dyDescent="0.25">
      <c r="A162" t="s">
        <v>168</v>
      </c>
      <c r="B162">
        <v>0.22077396699999999</v>
      </c>
      <c r="C162">
        <f>Summary!L162/Summary!K162</f>
        <v>0.22077392193893611</v>
      </c>
      <c r="D162">
        <v>6.5</v>
      </c>
      <c r="F162" s="35">
        <v>93957718.959999993</v>
      </c>
      <c r="G162" s="34">
        <f>Collateral!K160</f>
        <v>93958</v>
      </c>
      <c r="H162" s="35">
        <v>12666517.970000001</v>
      </c>
      <c r="I162" s="34">
        <f>Collateral!O160</f>
        <v>12667</v>
      </c>
      <c r="J162" s="35">
        <v>2244476367.9499998</v>
      </c>
      <c r="K162" s="34">
        <f>Collateral!I160*1000</f>
        <v>2244476000</v>
      </c>
      <c r="L162" s="43">
        <v>106624236.93000001</v>
      </c>
      <c r="M162" s="42">
        <f t="shared" si="3"/>
        <v>106624236.92999999</v>
      </c>
    </row>
    <row r="163" spans="1:13" x14ac:dyDescent="0.25">
      <c r="A163" t="s">
        <v>169</v>
      </c>
      <c r="B163">
        <v>0.230127476</v>
      </c>
      <c r="C163">
        <f>Summary!L163/Summary!K163</f>
        <v>0.23012746213797933</v>
      </c>
      <c r="D163">
        <v>6.5</v>
      </c>
      <c r="F163" s="35">
        <v>84872875.319999993</v>
      </c>
      <c r="G163" s="34">
        <f>Collateral!K161</f>
        <v>84873</v>
      </c>
      <c r="H163" s="35">
        <v>13286698.4</v>
      </c>
      <c r="I163" s="34">
        <f>Collateral!O161</f>
        <v>13287</v>
      </c>
      <c r="J163" s="35">
        <v>2368056059.8800001</v>
      </c>
      <c r="K163" s="34">
        <f>Collateral!I161*1000</f>
        <v>2368056000</v>
      </c>
      <c r="L163" s="43">
        <v>98159573.719999999</v>
      </c>
      <c r="M163" s="42">
        <f t="shared" si="3"/>
        <v>98159573.719999999</v>
      </c>
    </row>
    <row r="164" spans="1:13" x14ac:dyDescent="0.25">
      <c r="A164" t="s">
        <v>170</v>
      </c>
      <c r="B164">
        <v>0.238265166</v>
      </c>
      <c r="C164">
        <f>Summary!L164/Summary!K164</f>
        <v>0.23826516254003774</v>
      </c>
      <c r="D164">
        <v>6.5</v>
      </c>
      <c r="F164" s="35">
        <v>104857309.89</v>
      </c>
      <c r="G164" s="34">
        <f>Collateral!K162</f>
        <v>104857</v>
      </c>
      <c r="H164" s="35">
        <v>13908691.49</v>
      </c>
      <c r="I164" s="34">
        <f>Collateral!O162</f>
        <v>13909</v>
      </c>
      <c r="J164" s="35">
        <v>2462901118.27</v>
      </c>
      <c r="K164" s="34">
        <f>Collateral!I162*1000</f>
        <v>2462901000</v>
      </c>
      <c r="L164" s="43">
        <v>118766001.38</v>
      </c>
      <c r="M164" s="42">
        <f t="shared" si="3"/>
        <v>118766001.38</v>
      </c>
    </row>
    <row r="165" spans="1:13" x14ac:dyDescent="0.25">
      <c r="A165" t="s">
        <v>171</v>
      </c>
      <c r="B165">
        <v>0.24830569599999999</v>
      </c>
      <c r="C165">
        <f>Summary!L165/Summary!K165</f>
        <v>0.24830566928741682</v>
      </c>
      <c r="D165">
        <v>6.5</v>
      </c>
      <c r="F165" s="35">
        <v>101428893.2</v>
      </c>
      <c r="G165" s="34">
        <f>Collateral!K163</f>
        <v>101429</v>
      </c>
      <c r="H165" s="35">
        <v>14483680.050000001</v>
      </c>
      <c r="I165" s="34">
        <f>Collateral!O163</f>
        <v>14484</v>
      </c>
      <c r="J165" s="35">
        <v>2572481270.1799998</v>
      </c>
      <c r="K165" s="34">
        <f>Collateral!I163*1000</f>
        <v>2572481000</v>
      </c>
      <c r="L165" s="43">
        <v>115912573.25</v>
      </c>
      <c r="M165" s="42">
        <f t="shared" si="3"/>
        <v>115912573.25</v>
      </c>
    </row>
    <row r="166" spans="1:13" x14ac:dyDescent="0.25">
      <c r="A166" t="s">
        <v>172</v>
      </c>
      <c r="B166">
        <v>0.25804936899999997</v>
      </c>
      <c r="C166">
        <f>Summary!L166/Summary!K166</f>
        <v>0.25804940055660031</v>
      </c>
      <c r="D166">
        <v>6.5</v>
      </c>
      <c r="F166" s="35">
        <v>112126013.73</v>
      </c>
      <c r="G166" s="34">
        <f>Collateral!K164</f>
        <v>112126</v>
      </c>
      <c r="H166" s="35">
        <v>15176166.210000001</v>
      </c>
      <c r="I166" s="34">
        <f>Collateral!O164</f>
        <v>15176</v>
      </c>
      <c r="J166" s="35">
        <v>2689627747.27</v>
      </c>
      <c r="K166" s="34">
        <f>Collateral!I164*1000</f>
        <v>2689628000</v>
      </c>
      <c r="L166" s="43">
        <v>127302179.93000001</v>
      </c>
      <c r="M166" s="42">
        <f t="shared" si="3"/>
        <v>127302179.94</v>
      </c>
    </row>
    <row r="167" spans="1:13" x14ac:dyDescent="0.25">
      <c r="A167" t="s">
        <v>173</v>
      </c>
      <c r="B167">
        <v>0.26822299700000002</v>
      </c>
      <c r="C167">
        <f>Summary!L167/Summary!K167</f>
        <v>0.26822301071499366</v>
      </c>
      <c r="D167">
        <v>6.5</v>
      </c>
      <c r="F167" s="35">
        <v>113699999.03</v>
      </c>
      <c r="G167" s="34">
        <f>Collateral!K165</f>
        <v>113700</v>
      </c>
      <c r="H167" s="35">
        <v>15817711.18</v>
      </c>
      <c r="I167" s="34">
        <f>Collateral!O165</f>
        <v>15818</v>
      </c>
      <c r="J167" s="35">
        <v>2806492834.21</v>
      </c>
      <c r="K167" s="34">
        <f>Collateral!I165*1000</f>
        <v>2806493000</v>
      </c>
      <c r="L167" s="43">
        <v>129517710.20999999</v>
      </c>
      <c r="M167" s="42">
        <f t="shared" si="3"/>
        <v>129517710.21000001</v>
      </c>
    </row>
    <row r="168" spans="1:13" x14ac:dyDescent="0.25">
      <c r="A168" t="s">
        <v>174</v>
      </c>
      <c r="B168">
        <v>0.27894205999999999</v>
      </c>
      <c r="C168">
        <f>Summary!L168/Summary!K168</f>
        <v>0.2789420843237691</v>
      </c>
      <c r="D168">
        <v>6.5</v>
      </c>
      <c r="F168" s="35">
        <v>105361925.15000001</v>
      </c>
      <c r="G168" s="34">
        <f>Collateral!K166</f>
        <v>105362</v>
      </c>
      <c r="H168" s="35">
        <v>16515642.609999999</v>
      </c>
      <c r="I168" s="34">
        <f>Collateral!O166</f>
        <v>16516</v>
      </c>
      <c r="J168" s="35">
        <v>2943679787.9400001</v>
      </c>
      <c r="K168" s="34">
        <f>Collateral!I166*1000</f>
        <v>2943680000</v>
      </c>
      <c r="L168" s="43">
        <v>121877567.76000001</v>
      </c>
      <c r="M168" s="42">
        <f t="shared" si="3"/>
        <v>121877567.76000001</v>
      </c>
    </row>
    <row r="169" spans="1:13" x14ac:dyDescent="0.25">
      <c r="A169" t="s">
        <v>175</v>
      </c>
      <c r="B169">
        <v>0.28856343000000001</v>
      </c>
      <c r="C169">
        <f>Summary!L169/Summary!K169</f>
        <v>0.28856346570342578</v>
      </c>
      <c r="D169">
        <v>6.5</v>
      </c>
      <c r="F169" s="35">
        <v>99291779.569999993</v>
      </c>
      <c r="G169" s="34">
        <f>Collateral!K167</f>
        <v>99291</v>
      </c>
      <c r="H169" s="35">
        <v>17093707.280000001</v>
      </c>
      <c r="I169" s="34">
        <f>Collateral!O167</f>
        <v>17094</v>
      </c>
      <c r="J169" s="35">
        <v>3056469564.3200002</v>
      </c>
      <c r="K169" s="34">
        <f>Collateral!I167*1000</f>
        <v>3056470000</v>
      </c>
      <c r="L169" s="43">
        <v>116385486.84999999</v>
      </c>
      <c r="M169" s="42">
        <f t="shared" si="3"/>
        <v>116385486.84999999</v>
      </c>
    </row>
    <row r="170" spans="1:13" x14ac:dyDescent="0.25">
      <c r="A170" t="s">
        <v>176</v>
      </c>
      <c r="B170">
        <v>0.29803458700000002</v>
      </c>
      <c r="C170">
        <f>Summary!L170/Summary!K170</f>
        <v>0.29803460363535811</v>
      </c>
      <c r="D170">
        <v>6.5</v>
      </c>
      <c r="F170" s="35">
        <v>89589889.019999996</v>
      </c>
      <c r="G170" s="34">
        <f>Collateral!K168</f>
        <v>89590</v>
      </c>
      <c r="H170" s="35">
        <v>17695749.460000001</v>
      </c>
      <c r="I170" s="34">
        <f>Collateral!O168</f>
        <v>17696</v>
      </c>
      <c r="J170" s="35">
        <v>3177317704.23</v>
      </c>
      <c r="K170" s="34">
        <f>Collateral!I168*1000</f>
        <v>3177318000</v>
      </c>
      <c r="L170" s="43">
        <v>107285638.48</v>
      </c>
      <c r="M170" s="42">
        <f t="shared" si="3"/>
        <v>107285638.47999999</v>
      </c>
    </row>
    <row r="171" spans="1:13" x14ac:dyDescent="0.25">
      <c r="A171" t="s">
        <v>177</v>
      </c>
      <c r="B171">
        <v>0.30611405800000002</v>
      </c>
      <c r="C171">
        <f>Summary!L171/Summary!K171</f>
        <v>0.30611405335117498</v>
      </c>
      <c r="D171">
        <v>6.5</v>
      </c>
      <c r="F171" s="35">
        <v>85182919.489999995</v>
      </c>
      <c r="G171" s="34">
        <f>Collateral!K169</f>
        <v>85183</v>
      </c>
      <c r="H171" s="35">
        <v>18228144.649999999</v>
      </c>
      <c r="I171" s="34">
        <f>Collateral!O169</f>
        <v>18228</v>
      </c>
      <c r="J171" s="35">
        <v>3280013015.7399998</v>
      </c>
      <c r="K171" s="34">
        <f>Collateral!I169*1000</f>
        <v>3280013000</v>
      </c>
      <c r="L171" s="43">
        <v>103411064.14</v>
      </c>
      <c r="M171" s="42">
        <f t="shared" si="3"/>
        <v>103411064.13999999</v>
      </c>
    </row>
    <row r="172" spans="1:13" x14ac:dyDescent="0.25">
      <c r="A172" t="s">
        <v>178</v>
      </c>
      <c r="B172">
        <v>0.31363461500000001</v>
      </c>
      <c r="C172">
        <f>Summary!L172/Summary!K172</f>
        <v>0.31363463963656152</v>
      </c>
      <c r="D172">
        <v>6.5</v>
      </c>
      <c r="F172" s="35">
        <v>83779081.329999998</v>
      </c>
      <c r="G172" s="34">
        <f>Collateral!K170</f>
        <v>83779</v>
      </c>
      <c r="H172" s="35">
        <v>18701884.940000001</v>
      </c>
      <c r="I172" s="34">
        <f>Collateral!O170</f>
        <v>18702</v>
      </c>
      <c r="J172" s="35">
        <v>3368876599.2399998</v>
      </c>
      <c r="K172" s="34">
        <f>Collateral!I170*1000</f>
        <v>3368877000</v>
      </c>
      <c r="L172" s="43">
        <v>102480966.27</v>
      </c>
      <c r="M172" s="42">
        <f t="shared" si="3"/>
        <v>102480966.27</v>
      </c>
    </row>
    <row r="173" spans="1:13" x14ac:dyDescent="0.25">
      <c r="A173" t="s">
        <v>179</v>
      </c>
      <c r="B173">
        <v>0.32144969800000001</v>
      </c>
      <c r="C173">
        <f>Summary!L173/Summary!K173</f>
        <v>0.32144974675033094</v>
      </c>
      <c r="D173">
        <v>6.5</v>
      </c>
      <c r="F173" s="35">
        <v>77909675.659999996</v>
      </c>
      <c r="G173" s="34">
        <f>Collateral!K171</f>
        <v>77910</v>
      </c>
      <c r="H173" s="35">
        <v>19131619.469999999</v>
      </c>
      <c r="I173" s="34">
        <f>Collateral!O171</f>
        <v>19132</v>
      </c>
      <c r="J173" s="35">
        <v>3454081611.8800001</v>
      </c>
      <c r="K173" s="34">
        <f>Collateral!I171*1000</f>
        <v>3454082000</v>
      </c>
      <c r="L173" s="43">
        <v>97041295.129999995</v>
      </c>
      <c r="M173" s="42">
        <f t="shared" si="3"/>
        <v>97041295.129999995</v>
      </c>
    </row>
    <row r="174" spans="1:13" x14ac:dyDescent="0.25">
      <c r="A174" t="s">
        <v>180</v>
      </c>
      <c r="B174">
        <v>0.32871330999999998</v>
      </c>
      <c r="C174">
        <f>Summary!L174/Summary!K174</f>
        <v>0.32871332226874161</v>
      </c>
      <c r="D174">
        <v>6.5</v>
      </c>
      <c r="F174" s="35">
        <v>86971341.450000003</v>
      </c>
      <c r="G174" s="34">
        <f>Collateral!K172</f>
        <v>86971</v>
      </c>
      <c r="H174" s="35">
        <v>19617532.030000001</v>
      </c>
      <c r="I174" s="34">
        <f>Collateral!O172</f>
        <v>19618</v>
      </c>
      <c r="J174" s="35">
        <v>3534726879.3000002</v>
      </c>
      <c r="K174" s="34">
        <f>Collateral!I172*1000</f>
        <v>3534727000</v>
      </c>
      <c r="L174" s="43">
        <v>106588873.48</v>
      </c>
      <c r="M174" s="42">
        <f t="shared" si="3"/>
        <v>106588873.48</v>
      </c>
    </row>
    <row r="175" spans="1:13" x14ac:dyDescent="0.25">
      <c r="A175" t="s">
        <v>181</v>
      </c>
      <c r="B175">
        <v>0.33716593700000003</v>
      </c>
      <c r="C175">
        <f>Summary!L175/Summary!K175</f>
        <v>0.33716590628077325</v>
      </c>
      <c r="D175">
        <v>6.5</v>
      </c>
      <c r="F175" s="35">
        <v>79639652.349999994</v>
      </c>
      <c r="G175" s="34">
        <f>Collateral!K173</f>
        <v>79640</v>
      </c>
      <c r="H175" s="35">
        <v>20079127.579999998</v>
      </c>
      <c r="I175" s="34">
        <f>Collateral!O173</f>
        <v>20079</v>
      </c>
      <c r="J175" s="35">
        <v>3627276208.7600002</v>
      </c>
      <c r="K175" s="34">
        <f>Collateral!I173*1000</f>
        <v>3627276000</v>
      </c>
      <c r="L175" s="43">
        <v>99718779.930000007</v>
      </c>
      <c r="M175" s="42">
        <f t="shared" si="3"/>
        <v>99718779.929999992</v>
      </c>
    </row>
    <row r="176" spans="1:13" x14ac:dyDescent="0.25">
      <c r="A176" t="s">
        <v>182</v>
      </c>
      <c r="B176">
        <v>0.34446674399999999</v>
      </c>
      <c r="C176">
        <f>Summary!L176/Summary!K176</f>
        <v>0.34446675750540617</v>
      </c>
      <c r="D176">
        <v>6.5</v>
      </c>
      <c r="F176" s="35">
        <v>86042509.540000007</v>
      </c>
      <c r="G176" s="34">
        <f>Collateral!K174</f>
        <v>86042</v>
      </c>
      <c r="H176" s="35">
        <v>20564132.530000001</v>
      </c>
      <c r="I176" s="34">
        <f>Collateral!O174</f>
        <v>20564</v>
      </c>
      <c r="J176" s="35">
        <v>3710412726.0700002</v>
      </c>
      <c r="K176" s="34">
        <f>Collateral!I174*1000</f>
        <v>3710413000</v>
      </c>
      <c r="L176" s="43">
        <v>106606642.06999999</v>
      </c>
      <c r="M176" s="42">
        <f t="shared" si="3"/>
        <v>106606642.07000001</v>
      </c>
    </row>
    <row r="177" spans="1:13" x14ac:dyDescent="0.25">
      <c r="A177" t="s">
        <v>183</v>
      </c>
      <c r="B177">
        <v>0.35180957099999999</v>
      </c>
      <c r="C177">
        <f>Summary!L177/Summary!K177</f>
        <v>0.35180952760425521</v>
      </c>
      <c r="D177">
        <v>6.5</v>
      </c>
      <c r="F177" s="35">
        <v>85939758.060000002</v>
      </c>
      <c r="G177" s="34">
        <f>Collateral!K175</f>
        <v>85940</v>
      </c>
      <c r="H177" s="35">
        <v>21030939.870000001</v>
      </c>
      <c r="I177" s="34">
        <f>Collateral!O175</f>
        <v>21031</v>
      </c>
      <c r="J177" s="35">
        <v>3796695294.1799998</v>
      </c>
      <c r="K177" s="34">
        <f>Collateral!I175*1000</f>
        <v>3796695000</v>
      </c>
      <c r="L177" s="43">
        <v>106970697.93000001</v>
      </c>
      <c r="M177" s="42">
        <f t="shared" si="3"/>
        <v>106970697.93000001</v>
      </c>
    </row>
    <row r="178" spans="1:13" x14ac:dyDescent="0.25">
      <c r="A178" t="s">
        <v>184</v>
      </c>
      <c r="B178">
        <v>0.35949479000000001</v>
      </c>
      <c r="C178">
        <f>Summary!L178/Summary!K178</f>
        <v>0.35949477260912083</v>
      </c>
      <c r="D178">
        <v>6.5</v>
      </c>
      <c r="F178" s="35">
        <v>106094453.34999999</v>
      </c>
      <c r="G178" s="34">
        <f>Collateral!K176</f>
        <v>106094</v>
      </c>
      <c r="H178" s="35">
        <v>21636667.530000001</v>
      </c>
      <c r="I178" s="34">
        <f>Collateral!O176</f>
        <v>21637</v>
      </c>
      <c r="J178" s="35">
        <v>3888367244.1599998</v>
      </c>
      <c r="K178" s="34">
        <f>Collateral!I176*1000</f>
        <v>3888367000</v>
      </c>
      <c r="L178" s="43">
        <v>127731120.88</v>
      </c>
      <c r="M178" s="42">
        <f t="shared" si="3"/>
        <v>127731120.88</v>
      </c>
    </row>
    <row r="179" spans="1:13" x14ac:dyDescent="0.25">
      <c r="A179" t="s">
        <v>185</v>
      </c>
      <c r="B179">
        <v>0.36926635000000002</v>
      </c>
      <c r="C179">
        <f>Summary!L179/Summary!K179</f>
        <v>0.36926638219351865</v>
      </c>
      <c r="D179">
        <v>6.5</v>
      </c>
      <c r="F179" s="35">
        <v>117355804.54000001</v>
      </c>
      <c r="G179" s="34">
        <f>Collateral!K177</f>
        <v>117356</v>
      </c>
      <c r="H179" s="35">
        <v>22315266.899999999</v>
      </c>
      <c r="I179" s="34">
        <f>Collateral!O177</f>
        <v>22315</v>
      </c>
      <c r="J179" s="35">
        <v>4002385777.6100001</v>
      </c>
      <c r="K179" s="34">
        <f>Collateral!I177*1000</f>
        <v>4002386000</v>
      </c>
      <c r="L179" s="43">
        <v>139671071.44</v>
      </c>
      <c r="M179" s="42">
        <f t="shared" si="3"/>
        <v>139671071.44</v>
      </c>
    </row>
    <row r="180" spans="1:13" x14ac:dyDescent="0.25">
      <c r="A180" t="s">
        <v>186</v>
      </c>
      <c r="B180">
        <v>0.37985598199999998</v>
      </c>
      <c r="C180">
        <f>Summary!L180/Summary!K180</f>
        <v>0.37985600317657942</v>
      </c>
      <c r="D180">
        <v>6.5</v>
      </c>
      <c r="F180" s="35">
        <v>114472245.11</v>
      </c>
      <c r="G180" s="34">
        <f>Collateral!K178</f>
        <v>114473</v>
      </c>
      <c r="H180" s="35">
        <v>22943288.02</v>
      </c>
      <c r="I180" s="34">
        <f>Collateral!O178</f>
        <v>22943</v>
      </c>
      <c r="J180" s="35">
        <v>4121211696.54</v>
      </c>
      <c r="K180" s="34">
        <f>Collateral!I178*1000</f>
        <v>4121212000</v>
      </c>
      <c r="L180" s="43">
        <v>137415533.12</v>
      </c>
      <c r="M180" s="42">
        <f t="shared" si="3"/>
        <v>137415533.13</v>
      </c>
    </row>
    <row r="181" spans="1:13" x14ac:dyDescent="0.25">
      <c r="A181" t="s">
        <v>187</v>
      </c>
      <c r="B181">
        <v>0.39051379899999999</v>
      </c>
      <c r="C181">
        <f>Summary!L181/Summary!K181</f>
        <v>0.39051385046830978</v>
      </c>
      <c r="D181">
        <v>6.5</v>
      </c>
      <c r="F181" s="35">
        <v>134992684.88</v>
      </c>
      <c r="G181" s="34">
        <f>Collateral!K179</f>
        <v>134992</v>
      </c>
      <c r="H181" s="35">
        <v>23870785.32</v>
      </c>
      <c r="I181" s="34">
        <f>Collateral!O179</f>
        <v>23871</v>
      </c>
      <c r="J181" s="35">
        <v>4271921527.5300002</v>
      </c>
      <c r="K181" s="34">
        <f>Collateral!I179*1000</f>
        <v>4271922000</v>
      </c>
      <c r="L181" s="43">
        <v>158863470.19999999</v>
      </c>
      <c r="M181" s="42">
        <f t="shared" si="3"/>
        <v>158863470.19999999</v>
      </c>
    </row>
    <row r="182" spans="1:13" x14ac:dyDescent="0.25">
      <c r="A182" t="s">
        <v>188</v>
      </c>
      <c r="B182">
        <v>0.40198687300000002</v>
      </c>
      <c r="C182">
        <f>Summary!L182/Summary!K182</f>
        <v>0.40198689074949046</v>
      </c>
      <c r="D182">
        <v>6.5</v>
      </c>
      <c r="F182" s="35">
        <v>127485924.31</v>
      </c>
      <c r="G182" s="34">
        <f>Collateral!K180</f>
        <v>127486</v>
      </c>
      <c r="H182" s="35">
        <v>24542979.32</v>
      </c>
      <c r="I182" s="34">
        <f>Collateral!O180</f>
        <v>24543</v>
      </c>
      <c r="J182" s="35">
        <v>4403525641.75</v>
      </c>
      <c r="K182" s="34">
        <f>Collateral!I180*1000</f>
        <v>4403526000</v>
      </c>
      <c r="L182" s="43">
        <v>152028903.63</v>
      </c>
      <c r="M182" s="42">
        <f t="shared" si="3"/>
        <v>152028903.63</v>
      </c>
    </row>
    <row r="183" spans="1:13" x14ac:dyDescent="0.25">
      <c r="A183" t="s">
        <v>189</v>
      </c>
      <c r="B183">
        <v>0.41362751399999997</v>
      </c>
      <c r="C183">
        <f>Summary!L183/Summary!K183</f>
        <v>0.41362755126449768</v>
      </c>
      <c r="D183">
        <v>6.5</v>
      </c>
      <c r="F183" s="35">
        <v>131052974.27</v>
      </c>
      <c r="G183" s="34">
        <f>Collateral!K181</f>
        <v>131053</v>
      </c>
      <c r="H183" s="35">
        <v>25296307.600000001</v>
      </c>
      <c r="I183" s="34">
        <f>Collateral!O181</f>
        <v>25296</v>
      </c>
      <c r="J183" s="35">
        <v>4539034582.0900002</v>
      </c>
      <c r="K183" s="34">
        <f>Collateral!I181*1000</f>
        <v>4539035000</v>
      </c>
      <c r="L183" s="43">
        <v>156349281.86000001</v>
      </c>
      <c r="M183" s="42">
        <f t="shared" si="3"/>
        <v>156349281.87</v>
      </c>
    </row>
    <row r="184" spans="1:13" x14ac:dyDescent="0.25">
      <c r="A184" t="s">
        <v>190</v>
      </c>
      <c r="B184">
        <v>0.42521967300000002</v>
      </c>
      <c r="C184">
        <f>Summary!L184/Summary!K184</f>
        <v>0.42521972555752391</v>
      </c>
      <c r="D184">
        <v>6.5</v>
      </c>
      <c r="F184" s="35">
        <v>158652587.5</v>
      </c>
      <c r="G184" s="34">
        <f>Collateral!K182</f>
        <v>158653</v>
      </c>
      <c r="H184" s="35">
        <v>26150497.539999999</v>
      </c>
      <c r="I184" s="34">
        <f>Collateral!O182</f>
        <v>26150</v>
      </c>
      <c r="J184" s="35">
        <v>4669131574.3299999</v>
      </c>
      <c r="K184" s="34">
        <f>Collateral!I182*1000</f>
        <v>4669132000</v>
      </c>
      <c r="L184" s="43">
        <v>184803085.05000001</v>
      </c>
      <c r="M184" s="42">
        <f t="shared" si="3"/>
        <v>184803085.03999999</v>
      </c>
    </row>
    <row r="185" spans="1:13" x14ac:dyDescent="0.25">
      <c r="A185" t="s">
        <v>191</v>
      </c>
      <c r="B185">
        <v>0.35233245400000002</v>
      </c>
      <c r="C185">
        <f>Summary!L185/Summary!K185</f>
        <v>0.35233244277737569</v>
      </c>
      <c r="D185">
        <v>6.5</v>
      </c>
      <c r="F185" s="35">
        <v>320500239.51999998</v>
      </c>
      <c r="G185" s="34">
        <f>Collateral!K183</f>
        <v>320500</v>
      </c>
      <c r="H185" s="35">
        <v>67279956.200000003</v>
      </c>
      <c r="I185" s="34">
        <f>Collateral!O183</f>
        <v>67280</v>
      </c>
      <c r="J185" s="35">
        <v>12100405496.860001</v>
      </c>
      <c r="K185" s="34">
        <f>Collateral!I183*1000</f>
        <v>12100405000</v>
      </c>
      <c r="L185" s="43">
        <v>387780195.72000003</v>
      </c>
      <c r="M185" s="42">
        <f t="shared" si="3"/>
        <v>387780195.71999997</v>
      </c>
    </row>
    <row r="186" spans="1:13" x14ac:dyDescent="0.25">
      <c r="A186" t="s">
        <v>192</v>
      </c>
      <c r="B186">
        <v>0.36177134599999999</v>
      </c>
      <c r="C186">
        <f>Summary!L186/Summary!K186</f>
        <v>0.36177133821856644</v>
      </c>
      <c r="D186">
        <v>6.5</v>
      </c>
      <c r="F186" s="35">
        <v>352599877.44</v>
      </c>
      <c r="G186" s="34">
        <f>Collateral!K184</f>
        <v>352600</v>
      </c>
      <c r="H186" s="35">
        <v>69129885.920000002</v>
      </c>
      <c r="I186" s="34">
        <f>Collateral!O184</f>
        <v>69130</v>
      </c>
      <c r="J186" s="35">
        <v>12409831336.23</v>
      </c>
      <c r="K186" s="34">
        <f>Collateral!I184*1000</f>
        <v>12409831000</v>
      </c>
      <c r="L186" s="43">
        <v>421729763.36000001</v>
      </c>
      <c r="M186" s="42">
        <f t="shared" si="3"/>
        <v>421729763.36000001</v>
      </c>
    </row>
    <row r="187" spans="1:13" x14ac:dyDescent="0.25">
      <c r="A187" t="s">
        <v>193</v>
      </c>
      <c r="B187">
        <v>0.37198700600000001</v>
      </c>
      <c r="C187">
        <f>Summary!L187/Summary!K187</f>
        <v>0.37198700914130373</v>
      </c>
      <c r="D187">
        <v>6.5</v>
      </c>
      <c r="F187" s="35">
        <v>348388371.35000002</v>
      </c>
      <c r="G187" s="34">
        <f>Collateral!K185</f>
        <v>348388</v>
      </c>
      <c r="H187" s="35">
        <v>71142778.980000004</v>
      </c>
      <c r="I187" s="34">
        <f>Collateral!O185</f>
        <v>71143</v>
      </c>
      <c r="J187" s="35">
        <v>12785656969.93</v>
      </c>
      <c r="K187" s="34">
        <f>Collateral!I185*1000</f>
        <v>12785657000</v>
      </c>
      <c r="L187" s="43">
        <v>419531150.33999997</v>
      </c>
      <c r="M187" s="42">
        <f t="shared" si="3"/>
        <v>419531150.33000004</v>
      </c>
    </row>
    <row r="188" spans="1:13" x14ac:dyDescent="0.25">
      <c r="A188" t="s">
        <v>194</v>
      </c>
      <c r="B188">
        <v>0.38208804899999999</v>
      </c>
      <c r="C188">
        <f>Summary!L188/Summary!K188</f>
        <v>0.38208805215705305</v>
      </c>
      <c r="D188">
        <v>6.5</v>
      </c>
      <c r="F188" s="35">
        <v>402619174.49000001</v>
      </c>
      <c r="G188" s="34">
        <f>Collateral!K186</f>
        <v>402620</v>
      </c>
      <c r="H188" s="35">
        <v>73389226.370000005</v>
      </c>
      <c r="I188" s="34">
        <f>Collateral!O186</f>
        <v>73389</v>
      </c>
      <c r="J188" s="35">
        <v>13146154069.58</v>
      </c>
      <c r="K188" s="34">
        <f>Collateral!I186*1000</f>
        <v>13146154000</v>
      </c>
      <c r="L188" s="43">
        <v>476008400.86000001</v>
      </c>
      <c r="M188" s="42">
        <f t="shared" si="3"/>
        <v>476008400.86000001</v>
      </c>
    </row>
    <row r="189" spans="1:13" x14ac:dyDescent="0.25">
      <c r="A189" t="s">
        <v>195</v>
      </c>
      <c r="B189">
        <v>0.39365556099999999</v>
      </c>
      <c r="C189">
        <f>Summary!L189/Summary!K189</f>
        <v>0.39365555720631179</v>
      </c>
      <c r="D189">
        <v>6.5</v>
      </c>
      <c r="F189" s="35">
        <v>386944141.67000002</v>
      </c>
      <c r="G189" s="34">
        <f>Collateral!K187</f>
        <v>386944</v>
      </c>
      <c r="H189" s="35">
        <v>75522613.459999993</v>
      </c>
      <c r="I189" s="34">
        <f>Collateral!O187</f>
        <v>75523</v>
      </c>
      <c r="J189" s="35">
        <v>13555685169.799999</v>
      </c>
      <c r="K189" s="34">
        <f>Collateral!I187*1000</f>
        <v>13555685000</v>
      </c>
      <c r="L189" s="43">
        <v>462466755.12</v>
      </c>
      <c r="M189" s="42">
        <f t="shared" si="3"/>
        <v>462466755.13</v>
      </c>
    </row>
    <row r="190" spans="1:13" x14ac:dyDescent="0.25">
      <c r="A190" t="s">
        <v>196</v>
      </c>
      <c r="B190">
        <v>0.40482581400000001</v>
      </c>
      <c r="C190">
        <f>Summary!L190/Summary!K190</f>
        <v>0.40482581978437954</v>
      </c>
      <c r="D190">
        <v>6.5</v>
      </c>
      <c r="F190" s="35">
        <v>464357301.35000002</v>
      </c>
      <c r="G190" s="34">
        <f>Collateral!K188</f>
        <v>464357</v>
      </c>
      <c r="H190" s="35">
        <v>78174584.120000005</v>
      </c>
      <c r="I190" s="34">
        <f>Collateral!O188</f>
        <v>78175</v>
      </c>
      <c r="J190" s="35">
        <v>13967867660.9</v>
      </c>
      <c r="K190" s="34">
        <f>Collateral!I188*1000</f>
        <v>13967868000</v>
      </c>
      <c r="L190" s="43">
        <v>542531885.46000004</v>
      </c>
      <c r="M190" s="42">
        <f t="shared" si="3"/>
        <v>542531885.47000003</v>
      </c>
    </row>
    <row r="191" spans="1:13" x14ac:dyDescent="0.25">
      <c r="A191" t="s">
        <v>197</v>
      </c>
      <c r="B191">
        <v>0.52564146899999997</v>
      </c>
      <c r="C191">
        <f>Summary!L191/Summary!K191</f>
        <v>0.5256414401866627</v>
      </c>
      <c r="D191">
        <v>6.5</v>
      </c>
      <c r="F191" s="35">
        <v>209050506.93000001</v>
      </c>
      <c r="G191" s="34">
        <f>Collateral!K189</f>
        <v>209051</v>
      </c>
      <c r="H191" s="35">
        <v>32920268.18</v>
      </c>
      <c r="I191" s="34">
        <f>Collateral!O189</f>
        <v>32920</v>
      </c>
      <c r="J191" s="35">
        <v>5868537465.4899998</v>
      </c>
      <c r="K191" s="34">
        <f>Collateral!I189*1000</f>
        <v>5868537000</v>
      </c>
      <c r="L191" s="43">
        <v>241970775.11000001</v>
      </c>
      <c r="M191" s="42">
        <f t="shared" si="3"/>
        <v>241970775.11000001</v>
      </c>
    </row>
    <row r="192" spans="1:13" x14ac:dyDescent="0.25">
      <c r="A192" t="s">
        <v>198</v>
      </c>
      <c r="B192">
        <v>0.54371023100000004</v>
      </c>
      <c r="C192">
        <f>Summary!L192/Summary!K192</f>
        <v>0.54371021632726524</v>
      </c>
      <c r="D192">
        <v>6.5</v>
      </c>
      <c r="F192" s="35">
        <v>231986327.44999999</v>
      </c>
      <c r="G192" s="34">
        <f>Collateral!K190</f>
        <v>231986</v>
      </c>
      <c r="H192" s="35">
        <v>34295653.82</v>
      </c>
      <c r="I192" s="34">
        <f>Collateral!O190</f>
        <v>34296</v>
      </c>
      <c r="J192" s="35">
        <v>6099518992.3599997</v>
      </c>
      <c r="K192" s="34">
        <f>Collateral!I190*1000</f>
        <v>6099519000</v>
      </c>
      <c r="L192" s="43">
        <v>266281981.27000001</v>
      </c>
      <c r="M192" s="42">
        <f t="shared" si="3"/>
        <v>266281981.26999998</v>
      </c>
    </row>
    <row r="193" spans="1:13" x14ac:dyDescent="0.25">
      <c r="A193" t="s">
        <v>199</v>
      </c>
      <c r="B193">
        <v>0.56390217600000003</v>
      </c>
      <c r="C193">
        <f>Summary!L193/Summary!K193</f>
        <v>0.56390222889261976</v>
      </c>
      <c r="D193">
        <v>6.5</v>
      </c>
      <c r="F193" s="35">
        <v>1107443437.22</v>
      </c>
      <c r="G193" s="34">
        <f>Collateral!K191</f>
        <v>1107443</v>
      </c>
      <c r="H193" s="35">
        <v>40303553.009999998</v>
      </c>
      <c r="I193" s="34">
        <f>Collateral!O191</f>
        <v>40304</v>
      </c>
      <c r="J193" s="35">
        <v>6333212503.3599997</v>
      </c>
      <c r="K193" s="34">
        <f>Collateral!I191*1000</f>
        <v>6333213000</v>
      </c>
      <c r="L193" s="43">
        <v>1147746990.23</v>
      </c>
      <c r="M193" s="42">
        <f t="shared" si="3"/>
        <v>1147746990.23</v>
      </c>
    </row>
    <row r="194" spans="1:13" x14ac:dyDescent="0.25">
      <c r="A194" t="s">
        <v>200</v>
      </c>
      <c r="B194">
        <v>0.66239243299999995</v>
      </c>
      <c r="C194">
        <f>Summary!L194/Summary!K194</f>
        <v>0.66239248455723987</v>
      </c>
      <c r="D194">
        <v>6.5</v>
      </c>
      <c r="F194" s="35">
        <v>246840366.15000001</v>
      </c>
      <c r="G194" s="34">
        <f>Collateral!K192</f>
        <v>246840</v>
      </c>
      <c r="H194" s="35">
        <v>41986543.799999997</v>
      </c>
      <c r="I194" s="34">
        <f>Collateral!O192</f>
        <v>41987</v>
      </c>
      <c r="J194" s="35">
        <v>7504521566.6400003</v>
      </c>
      <c r="K194" s="34">
        <f>Collateral!I192*1000</f>
        <v>7504522000</v>
      </c>
      <c r="L194" s="43">
        <v>288826909.94999999</v>
      </c>
      <c r="M194" s="42">
        <f t="shared" si="3"/>
        <v>288826909.94999999</v>
      </c>
    </row>
    <row r="195" spans="1:13" x14ac:dyDescent="0.25">
      <c r="A195" t="s">
        <v>201</v>
      </c>
      <c r="B195">
        <v>0.68440260200000003</v>
      </c>
      <c r="C195">
        <f>Summary!L195/Summary!K195</f>
        <v>0.68440260816067333</v>
      </c>
      <c r="D195">
        <v>6.5</v>
      </c>
      <c r="F195" s="35">
        <v>211938235.43000001</v>
      </c>
      <c r="G195" s="34">
        <f>Collateral!K193</f>
        <v>211938</v>
      </c>
      <c r="H195" s="35">
        <v>43099101.289999999</v>
      </c>
      <c r="I195" s="34">
        <f>Collateral!O193</f>
        <v>43099</v>
      </c>
      <c r="J195" s="35">
        <v>7744818925.6700001</v>
      </c>
      <c r="K195" s="34">
        <f>Collateral!I193*1000</f>
        <v>7744819000</v>
      </c>
      <c r="L195" s="43">
        <v>255037336.72</v>
      </c>
      <c r="M195" s="42">
        <f t="shared" si="3"/>
        <v>255037336.72</v>
      </c>
    </row>
    <row r="196" spans="1:13" x14ac:dyDescent="0.25">
      <c r="A196" t="s">
        <v>202</v>
      </c>
      <c r="B196">
        <v>0.70278805700000002</v>
      </c>
      <c r="C196">
        <f>Summary!L196/Summary!K196</f>
        <v>0.70278807772523566</v>
      </c>
      <c r="D196">
        <v>6.5</v>
      </c>
      <c r="F196" s="35">
        <v>262895263.68000001</v>
      </c>
      <c r="G196" s="34">
        <f>Collateral!K194</f>
        <v>262895</v>
      </c>
      <c r="H196" s="35">
        <v>44607654.380000003</v>
      </c>
      <c r="I196" s="34">
        <f>Collateral!O194</f>
        <v>44608</v>
      </c>
      <c r="J196" s="35">
        <v>7972364006.5900002</v>
      </c>
      <c r="K196" s="34">
        <f>Collateral!I194*1000</f>
        <v>7972364000</v>
      </c>
      <c r="L196" s="43">
        <v>307502918.06999999</v>
      </c>
      <c r="M196" s="42">
        <f t="shared" si="3"/>
        <v>307502918.06</v>
      </c>
    </row>
    <row r="197" spans="1:13" x14ac:dyDescent="0.25">
      <c r="A197" t="s">
        <v>203</v>
      </c>
      <c r="B197">
        <v>0.725879202</v>
      </c>
      <c r="C197">
        <f>Summary!L197/Summary!K197</f>
        <v>0.72587921611368289</v>
      </c>
      <c r="D197">
        <v>6.5</v>
      </c>
      <c r="F197" s="35">
        <v>177012647.53999999</v>
      </c>
      <c r="G197" s="34">
        <f>Collateral!K195</f>
        <v>177013</v>
      </c>
      <c r="H197" s="35">
        <v>45577090.960000001</v>
      </c>
      <c r="I197" s="34">
        <f>Collateral!O195</f>
        <v>45577</v>
      </c>
      <c r="J197" s="35">
        <v>8237219529.1400003</v>
      </c>
      <c r="K197" s="34">
        <f>Collateral!I195*1000</f>
        <v>8237220000</v>
      </c>
      <c r="L197" s="43">
        <v>222589738.49000001</v>
      </c>
      <c r="M197" s="42">
        <f t="shared" ref="M197:M260" si="4">H197+F197</f>
        <v>222589738.5</v>
      </c>
    </row>
    <row r="198" spans="1:13" x14ac:dyDescent="0.25">
      <c r="A198" t="s">
        <v>204</v>
      </c>
      <c r="B198">
        <v>0.74154277000000002</v>
      </c>
      <c r="C198">
        <f>Summary!L198/Summary!K198</f>
        <v>0.74154277704802207</v>
      </c>
      <c r="D198">
        <v>6.5</v>
      </c>
      <c r="F198" s="35">
        <v>237258714.75</v>
      </c>
      <c r="G198" s="34">
        <f>Collateral!K196</f>
        <v>237259</v>
      </c>
      <c r="H198" s="35">
        <v>46877917.979999997</v>
      </c>
      <c r="I198" s="34">
        <f>Collateral!O196</f>
        <v>46878</v>
      </c>
      <c r="J198" s="35">
        <v>8417126142.7299995</v>
      </c>
      <c r="K198" s="34">
        <f>Collateral!I196*1000</f>
        <v>8417126000</v>
      </c>
      <c r="L198" s="43">
        <v>284136632.73000002</v>
      </c>
      <c r="M198" s="42">
        <f t="shared" si="4"/>
        <v>284136632.73000002</v>
      </c>
    </row>
    <row r="199" spans="1:13" x14ac:dyDescent="0.25">
      <c r="A199" t="s">
        <v>205</v>
      </c>
      <c r="B199">
        <v>0.76246953799999995</v>
      </c>
      <c r="C199">
        <f>Summary!L199/Summary!K199</f>
        <v>0.76246954929789856</v>
      </c>
      <c r="D199">
        <v>6.5</v>
      </c>
      <c r="F199" s="35">
        <v>208124735.53999999</v>
      </c>
      <c r="G199" s="34">
        <f>Collateral!K197</f>
        <v>208125</v>
      </c>
      <c r="H199" s="35">
        <v>48014800.75</v>
      </c>
      <c r="I199" s="34">
        <f>Collateral!O197</f>
        <v>48015</v>
      </c>
      <c r="J199" s="35">
        <v>8656146171.4699993</v>
      </c>
      <c r="K199" s="34">
        <f>Collateral!I197*1000</f>
        <v>8656146000</v>
      </c>
      <c r="L199" s="43">
        <v>256139536.28999999</v>
      </c>
      <c r="M199" s="42">
        <f t="shared" si="4"/>
        <v>256139536.28999999</v>
      </c>
    </row>
    <row r="200" spans="1:13" x14ac:dyDescent="0.25">
      <c r="A200" t="s">
        <v>206</v>
      </c>
      <c r="B200">
        <v>0.78117553799999995</v>
      </c>
      <c r="C200">
        <f>Summary!L200/Summary!K200</f>
        <v>0.78117559598468955</v>
      </c>
      <c r="D200">
        <v>6.5</v>
      </c>
      <c r="F200" s="35">
        <v>204504787.83000001</v>
      </c>
      <c r="G200" s="34">
        <f>Collateral!K198</f>
        <v>204505</v>
      </c>
      <c r="H200" s="35">
        <v>49180784.18</v>
      </c>
      <c r="I200" s="34">
        <f>Collateral!O198</f>
        <v>49181</v>
      </c>
      <c r="J200" s="35">
        <v>8875024598.6200008</v>
      </c>
      <c r="K200" s="34">
        <f>Collateral!I198*1000</f>
        <v>8875025000</v>
      </c>
      <c r="L200" s="43">
        <v>253685572.00999999</v>
      </c>
      <c r="M200" s="42">
        <f t="shared" si="4"/>
        <v>253685572.01000002</v>
      </c>
    </row>
    <row r="201" spans="1:13" x14ac:dyDescent="0.25">
      <c r="A201" t="s">
        <v>207</v>
      </c>
      <c r="B201">
        <v>0.79922914899999997</v>
      </c>
      <c r="C201">
        <f>Summary!L201/Summary!K201</f>
        <v>0.79922917930992021</v>
      </c>
      <c r="D201">
        <v>6.5</v>
      </c>
      <c r="F201" s="35">
        <v>219701776.55000001</v>
      </c>
      <c r="G201" s="34">
        <f>Collateral!K199</f>
        <v>219701</v>
      </c>
      <c r="H201" s="35">
        <v>50411277.229999997</v>
      </c>
      <c r="I201" s="34">
        <f>Collateral!O199</f>
        <v>50411</v>
      </c>
      <c r="J201" s="35">
        <v>9086995558.4099998</v>
      </c>
      <c r="K201" s="34">
        <f>Collateral!I199*1000</f>
        <v>9086996000</v>
      </c>
      <c r="L201" s="43">
        <v>270113053.77999997</v>
      </c>
      <c r="M201" s="42">
        <f t="shared" si="4"/>
        <v>270113053.78000003</v>
      </c>
    </row>
    <row r="202" spans="1:13" x14ac:dyDescent="0.25">
      <c r="A202" t="s">
        <v>208</v>
      </c>
      <c r="B202">
        <v>0.82305939500000003</v>
      </c>
      <c r="C202">
        <f>Summary!L202/Summary!K202</f>
        <v>0.82305937586070699</v>
      </c>
      <c r="D202">
        <v>6.5</v>
      </c>
      <c r="F202" s="35">
        <v>220595542.34</v>
      </c>
      <c r="G202" s="34">
        <f>Collateral!K200</f>
        <v>220595</v>
      </c>
      <c r="H202" s="35">
        <v>53332210.799999997</v>
      </c>
      <c r="I202" s="34">
        <f>Collateral!O200</f>
        <v>53332</v>
      </c>
      <c r="J202" s="35">
        <v>9625351066.2099991</v>
      </c>
      <c r="K202" s="34">
        <f>Collateral!I200*1000</f>
        <v>9625351000</v>
      </c>
      <c r="L202" s="43">
        <v>273927753.13999999</v>
      </c>
      <c r="M202" s="42">
        <f t="shared" si="4"/>
        <v>273927753.13999999</v>
      </c>
    </row>
    <row r="203" spans="1:13" x14ac:dyDescent="0.25">
      <c r="A203" t="s">
        <v>209</v>
      </c>
      <c r="B203">
        <v>0.83611093400000003</v>
      </c>
      <c r="C203">
        <f>Summary!L203/Summary!K203</f>
        <v>0.83611093277698989</v>
      </c>
      <c r="D203">
        <v>6.5</v>
      </c>
      <c r="F203" s="35">
        <v>208160942.50999999</v>
      </c>
      <c r="G203" s="34">
        <f>Collateral!K201</f>
        <v>208161</v>
      </c>
      <c r="H203" s="35">
        <v>52271820.789999999</v>
      </c>
      <c r="I203" s="34">
        <f>Collateral!O201</f>
        <v>52272</v>
      </c>
      <c r="J203" s="35">
        <v>9442021356.4400005</v>
      </c>
      <c r="K203" s="34">
        <f>Collateral!I201*1000</f>
        <v>9442021000</v>
      </c>
      <c r="L203" s="43">
        <v>260432763.30000001</v>
      </c>
      <c r="M203" s="42">
        <f t="shared" si="4"/>
        <v>260432763.29999998</v>
      </c>
    </row>
    <row r="204" spans="1:13" x14ac:dyDescent="0.25">
      <c r="A204" t="s">
        <v>210</v>
      </c>
      <c r="B204">
        <v>0.85434462499999997</v>
      </c>
      <c r="C204">
        <f>Summary!L204/Summary!K204</f>
        <v>0.85434463865553367</v>
      </c>
      <c r="D204">
        <v>6.5</v>
      </c>
      <c r="F204" s="35">
        <v>215308732.61000001</v>
      </c>
      <c r="G204" s="34">
        <f>Collateral!K202</f>
        <v>215309</v>
      </c>
      <c r="H204" s="35">
        <v>53357418.640000001</v>
      </c>
      <c r="I204" s="34">
        <f>Collateral!O202</f>
        <v>53357</v>
      </c>
      <c r="J204" s="35">
        <v>9635291632.5300007</v>
      </c>
      <c r="K204" s="34">
        <f>Collateral!I202*1000</f>
        <v>9635292000</v>
      </c>
      <c r="L204" s="43">
        <v>268666151.25999999</v>
      </c>
      <c r="M204" s="42">
        <f t="shared" si="4"/>
        <v>268666151.25</v>
      </c>
    </row>
    <row r="205" spans="1:13" x14ac:dyDescent="0.25">
      <c r="A205" t="s">
        <v>211</v>
      </c>
      <c r="B205">
        <v>0.87343774799999996</v>
      </c>
      <c r="C205">
        <f>Summary!L205/Summary!K205</f>
        <v>0.8734377314389915</v>
      </c>
      <c r="D205">
        <v>6.5</v>
      </c>
      <c r="F205" s="35">
        <v>229123015.59999999</v>
      </c>
      <c r="G205" s="34">
        <f>Collateral!K203</f>
        <v>229123</v>
      </c>
      <c r="H205" s="35">
        <v>54646317.740000002</v>
      </c>
      <c r="I205" s="34">
        <f>Collateral!O203</f>
        <v>54646</v>
      </c>
      <c r="J205" s="35">
        <v>9859427952.3799992</v>
      </c>
      <c r="K205" s="34">
        <f>Collateral!I203*1000</f>
        <v>9859428000</v>
      </c>
      <c r="L205" s="43">
        <v>283769333.35000002</v>
      </c>
      <c r="M205" s="42">
        <f t="shared" si="4"/>
        <v>283769333.33999997</v>
      </c>
    </row>
    <row r="206" spans="1:13" x14ac:dyDescent="0.25">
      <c r="A206" t="s">
        <v>212</v>
      </c>
      <c r="B206">
        <v>0.893586824</v>
      </c>
      <c r="C206">
        <f>Summary!L206/Summary!K206</f>
        <v>0.89358675761398665</v>
      </c>
      <c r="D206">
        <v>6.5</v>
      </c>
      <c r="F206" s="35">
        <v>239653054.59</v>
      </c>
      <c r="G206" s="34">
        <f>Collateral!K204</f>
        <v>239654</v>
      </c>
      <c r="H206" s="35">
        <v>56071235.979999997</v>
      </c>
      <c r="I206" s="34">
        <f>Collateral!O204</f>
        <v>56071</v>
      </c>
      <c r="J206" s="35">
        <v>10111960490.85</v>
      </c>
      <c r="K206" s="34">
        <f>Collateral!I204*1000</f>
        <v>10111960000</v>
      </c>
      <c r="L206" s="43">
        <v>295724290.56999999</v>
      </c>
      <c r="M206" s="42">
        <f t="shared" si="4"/>
        <v>295724290.56999999</v>
      </c>
    </row>
    <row r="207" spans="1:13" x14ac:dyDescent="0.25">
      <c r="A207" t="s">
        <v>213</v>
      </c>
      <c r="B207">
        <v>0.91464573599999999</v>
      </c>
      <c r="C207">
        <f>Summary!L207/Summary!K207</f>
        <v>0.91464579429385373</v>
      </c>
      <c r="D207">
        <v>6.5</v>
      </c>
      <c r="F207" s="35">
        <v>215299709.69</v>
      </c>
      <c r="G207" s="34">
        <f>Collateral!K205</f>
        <v>215299</v>
      </c>
      <c r="H207" s="35">
        <v>57290232.939999998</v>
      </c>
      <c r="I207" s="34">
        <f>Collateral!O205</f>
        <v>57290</v>
      </c>
      <c r="J207" s="35">
        <v>10361359507.42</v>
      </c>
      <c r="K207" s="34">
        <f>Collateral!I205*1000</f>
        <v>10361360000</v>
      </c>
      <c r="L207" s="43">
        <v>272589942.63</v>
      </c>
      <c r="M207" s="42">
        <f t="shared" si="4"/>
        <v>272589942.63</v>
      </c>
    </row>
    <row r="208" spans="1:13" x14ac:dyDescent="0.25">
      <c r="A208" t="s">
        <v>214</v>
      </c>
      <c r="B208">
        <v>0.93148863800000004</v>
      </c>
      <c r="C208">
        <f>Summary!L208/Summary!K208</f>
        <v>0.93148865847156559</v>
      </c>
      <c r="D208">
        <v>6.5</v>
      </c>
      <c r="F208" s="35">
        <v>157868618.28</v>
      </c>
      <c r="G208" s="34">
        <f>Collateral!K206</f>
        <v>157868</v>
      </c>
      <c r="H208" s="35">
        <v>56141938.219999999</v>
      </c>
      <c r="I208" s="34">
        <f>Collateral!O206</f>
        <v>56142</v>
      </c>
      <c r="J208" s="35">
        <v>10208323078.440001</v>
      </c>
      <c r="K208" s="34">
        <f>Collateral!I206*1000</f>
        <v>10208323000</v>
      </c>
      <c r="L208" s="43">
        <v>214010556.5</v>
      </c>
      <c r="M208" s="42">
        <f t="shared" si="4"/>
        <v>214010556.5</v>
      </c>
    </row>
    <row r="209" spans="1:13" x14ac:dyDescent="0.25">
      <c r="A209" t="s">
        <v>215</v>
      </c>
      <c r="B209">
        <v>0.81160938299999996</v>
      </c>
      <c r="C209">
        <f>Summary!L209/Summary!K209</f>
        <v>0.81160938514594039</v>
      </c>
      <c r="D209">
        <v>6.5</v>
      </c>
      <c r="F209" s="35">
        <v>277007139.20999998</v>
      </c>
      <c r="G209" s="34">
        <f>Collateral!K207</f>
        <v>277007</v>
      </c>
      <c r="H209" s="35">
        <v>157264178.86000001</v>
      </c>
      <c r="I209" s="34">
        <f>Collateral!O207</f>
        <v>157264</v>
      </c>
      <c r="J209" s="35">
        <v>28756417289.93</v>
      </c>
      <c r="K209" s="34">
        <f>Collateral!I207*1000</f>
        <v>28756417000</v>
      </c>
      <c r="L209" s="43">
        <v>434271318.06999999</v>
      </c>
      <c r="M209" s="42">
        <f t="shared" si="4"/>
        <v>434271318.06999999</v>
      </c>
    </row>
    <row r="210" spans="1:13" x14ac:dyDescent="0.25">
      <c r="A210" t="s">
        <v>216</v>
      </c>
      <c r="B210">
        <v>0.81957138399999996</v>
      </c>
      <c r="C210">
        <f>Summary!L210/Summary!K210</f>
        <v>0.81957139125954726</v>
      </c>
      <c r="D210">
        <v>6.5</v>
      </c>
      <c r="F210" s="35">
        <v>373423725.97000003</v>
      </c>
      <c r="G210" s="34">
        <f>Collateral!K208</f>
        <v>373424</v>
      </c>
      <c r="H210" s="35">
        <v>159517236.47</v>
      </c>
      <c r="I210" s="34">
        <f>Collateral!O208</f>
        <v>159517</v>
      </c>
      <c r="J210" s="35">
        <v>29075948561.32</v>
      </c>
      <c r="K210" s="34">
        <f>Collateral!I208*1000</f>
        <v>29075949000</v>
      </c>
      <c r="L210" s="43">
        <v>532940962.44</v>
      </c>
      <c r="M210" s="42">
        <f t="shared" si="4"/>
        <v>532940962.44000006</v>
      </c>
    </row>
    <row r="211" spans="1:13" x14ac:dyDescent="0.25">
      <c r="A211" t="s">
        <v>217</v>
      </c>
      <c r="B211">
        <v>0.83038011700000003</v>
      </c>
      <c r="C211">
        <f>Summary!L211/Summary!K211</f>
        <v>0.83038012985605403</v>
      </c>
      <c r="D211">
        <v>6.5</v>
      </c>
      <c r="F211" s="35">
        <v>284659572.50999999</v>
      </c>
      <c r="G211" s="34">
        <f>Collateral!K209</f>
        <v>284659</v>
      </c>
      <c r="H211" s="35">
        <v>161398037.03999999</v>
      </c>
      <c r="I211" s="34">
        <f>Collateral!O209</f>
        <v>161398</v>
      </c>
      <c r="J211" s="35">
        <v>29511938896.529999</v>
      </c>
      <c r="K211" s="34">
        <f>Collateral!I209*1000</f>
        <v>29511939000</v>
      </c>
      <c r="L211" s="43">
        <v>446057609.56</v>
      </c>
      <c r="M211" s="42">
        <f t="shared" si="4"/>
        <v>446057609.54999995</v>
      </c>
    </row>
    <row r="212" spans="1:13" x14ac:dyDescent="0.25">
      <c r="A212" t="s">
        <v>218</v>
      </c>
      <c r="B212">
        <v>0.83807354499999998</v>
      </c>
      <c r="C212">
        <f>Summary!L212/Summary!K212</f>
        <v>0.83807352978074645</v>
      </c>
      <c r="D212">
        <v>6.5</v>
      </c>
      <c r="F212" s="35">
        <v>285694392.31</v>
      </c>
      <c r="G212" s="34">
        <f>Collateral!K210</f>
        <v>285694</v>
      </c>
      <c r="H212" s="35">
        <v>162752160.02000001</v>
      </c>
      <c r="I212" s="34">
        <f>Collateral!O210</f>
        <v>162752</v>
      </c>
      <c r="J212" s="35">
        <v>29760897133.009998</v>
      </c>
      <c r="K212" s="34">
        <f>Collateral!I210*1000</f>
        <v>29760897000</v>
      </c>
      <c r="L212" s="43">
        <v>448446552.32999998</v>
      </c>
      <c r="M212" s="42">
        <f t="shared" si="4"/>
        <v>448446552.33000004</v>
      </c>
    </row>
    <row r="213" spans="1:13" x14ac:dyDescent="0.25">
      <c r="A213" t="s">
        <v>219</v>
      </c>
      <c r="B213">
        <v>0.84599049800000004</v>
      </c>
      <c r="C213">
        <f>Summary!L213/Summary!K213</f>
        <v>0.84599049445464791</v>
      </c>
      <c r="D213">
        <v>6.5</v>
      </c>
      <c r="F213" s="35">
        <v>334704422.36000001</v>
      </c>
      <c r="G213" s="34">
        <f>Collateral!K211</f>
        <v>334705</v>
      </c>
      <c r="H213" s="35">
        <v>164509528.75</v>
      </c>
      <c r="I213" s="34">
        <f>Collateral!O211</f>
        <v>164510</v>
      </c>
      <c r="J213" s="35">
        <v>30036324447.43</v>
      </c>
      <c r="K213" s="34">
        <f>Collateral!I211*1000</f>
        <v>30036324000</v>
      </c>
      <c r="L213" s="43">
        <v>499213951.11000001</v>
      </c>
      <c r="M213" s="42">
        <f t="shared" si="4"/>
        <v>499213951.11000001</v>
      </c>
    </row>
    <row r="214" spans="1:13" x14ac:dyDescent="0.25">
      <c r="A214" t="s">
        <v>220</v>
      </c>
      <c r="B214">
        <v>0.85539050999999999</v>
      </c>
      <c r="C214">
        <f>Summary!L214/Summary!K214</f>
        <v>0.85539050951210871</v>
      </c>
      <c r="D214">
        <v>6.5</v>
      </c>
      <c r="F214" s="35">
        <v>399445412.29000002</v>
      </c>
      <c r="G214" s="34">
        <f>Collateral!K212</f>
        <v>399446</v>
      </c>
      <c r="H214" s="35">
        <v>166639464.13999999</v>
      </c>
      <c r="I214" s="34">
        <f>Collateral!O212</f>
        <v>166639</v>
      </c>
      <c r="J214" s="35">
        <v>30364801962.5</v>
      </c>
      <c r="K214" s="34">
        <f>Collateral!I212*1000</f>
        <v>30364802000</v>
      </c>
      <c r="L214" s="43">
        <v>566084876.44000006</v>
      </c>
      <c r="M214" s="42">
        <f t="shared" si="4"/>
        <v>566084876.43000007</v>
      </c>
    </row>
    <row r="215" spans="1:13" x14ac:dyDescent="0.25">
      <c r="A215" t="s">
        <v>221</v>
      </c>
      <c r="B215">
        <v>0.86664536800000003</v>
      </c>
      <c r="C215">
        <f>Summary!L215/Summary!K215</f>
        <v>0.86664537814756448</v>
      </c>
      <c r="D215">
        <v>6.5</v>
      </c>
      <c r="F215" s="35">
        <v>494262024.70999998</v>
      </c>
      <c r="G215" s="34">
        <f>Collateral!K213</f>
        <v>494262</v>
      </c>
      <c r="H215" s="35">
        <v>169176713.34</v>
      </c>
      <c r="I215" s="34">
        <f>Collateral!O213</f>
        <v>169177</v>
      </c>
      <c r="J215" s="35">
        <v>30738400625.900002</v>
      </c>
      <c r="K215" s="34">
        <f>Collateral!I213*1000</f>
        <v>30738401000</v>
      </c>
      <c r="L215" s="43">
        <v>663438738.04999995</v>
      </c>
      <c r="M215" s="42">
        <f t="shared" si="4"/>
        <v>663438738.04999995</v>
      </c>
    </row>
    <row r="216" spans="1:13" x14ac:dyDescent="0.25">
      <c r="A216" t="s">
        <v>222</v>
      </c>
      <c r="B216">
        <v>0.89559755500000005</v>
      </c>
      <c r="C216">
        <f>Summary!L216/Summary!K216</f>
        <v>0.89559754107494738</v>
      </c>
      <c r="D216">
        <v>6.5</v>
      </c>
      <c r="F216" s="35">
        <v>784698070.28999996</v>
      </c>
      <c r="G216" s="34">
        <f>Collateral!K214</f>
        <v>784698</v>
      </c>
      <c r="H216" s="35">
        <v>253390207.44999999</v>
      </c>
      <c r="I216" s="34">
        <f>Collateral!O214</f>
        <v>253390</v>
      </c>
      <c r="J216" s="35">
        <v>45995125375.129997</v>
      </c>
      <c r="K216" s="34">
        <f>Collateral!I214*1000</f>
        <v>45995125000</v>
      </c>
      <c r="L216" s="43">
        <v>1038088277.74</v>
      </c>
      <c r="M216" s="42">
        <f t="shared" si="4"/>
        <v>1038088277.74</v>
      </c>
    </row>
    <row r="217" spans="1:13" x14ac:dyDescent="0.25">
      <c r="A217" t="s">
        <v>223</v>
      </c>
      <c r="B217">
        <v>0.91082088900000002</v>
      </c>
      <c r="C217">
        <f>Summary!L217/Summary!K217</f>
        <v>0.91082089523902143</v>
      </c>
      <c r="D217">
        <v>6.5</v>
      </c>
      <c r="F217" s="35">
        <v>801089296.75</v>
      </c>
      <c r="G217" s="34">
        <f>Collateral!K215</f>
        <v>801089</v>
      </c>
      <c r="H217" s="35">
        <v>257703443.88</v>
      </c>
      <c r="I217" s="34">
        <f>Collateral!O215</f>
        <v>257703</v>
      </c>
      <c r="J217" s="35">
        <v>46775024024.540001</v>
      </c>
      <c r="K217" s="34">
        <f>Collateral!I215*1000</f>
        <v>46775024000</v>
      </c>
      <c r="L217" s="43">
        <v>1058792740.63</v>
      </c>
      <c r="M217" s="42">
        <f t="shared" si="4"/>
        <v>1058792740.63</v>
      </c>
    </row>
    <row r="218" spans="1:13" x14ac:dyDescent="0.25">
      <c r="A218" t="s">
        <v>224</v>
      </c>
      <c r="B218">
        <v>0.92594683300000002</v>
      </c>
      <c r="C218">
        <f>Summary!L218/Summary!K218</f>
        <v>0.92594683026312441</v>
      </c>
      <c r="D218">
        <v>6.5</v>
      </c>
      <c r="F218" s="35">
        <v>869135722.42999995</v>
      </c>
      <c r="G218" s="34">
        <f>Collateral!K216</f>
        <v>869136</v>
      </c>
      <c r="H218" s="35">
        <v>260719857.18000001</v>
      </c>
      <c r="I218" s="34">
        <f>Collateral!O216</f>
        <v>260720</v>
      </c>
      <c r="J218" s="35">
        <v>47263855069.360001</v>
      </c>
      <c r="K218" s="34">
        <f>Collateral!I216*1000</f>
        <v>47263855000</v>
      </c>
      <c r="L218" s="43">
        <v>1129855579.6099999</v>
      </c>
      <c r="M218" s="42">
        <f t="shared" si="4"/>
        <v>1129855579.6099999</v>
      </c>
    </row>
    <row r="219" spans="1:13" x14ac:dyDescent="0.25">
      <c r="A219" t="s">
        <v>225</v>
      </c>
      <c r="B219">
        <v>0.94077622299999997</v>
      </c>
      <c r="C219">
        <f>Summary!L219/Summary!K219</f>
        <v>0.94077622611118539</v>
      </c>
      <c r="D219">
        <v>6.5</v>
      </c>
      <c r="F219" s="35">
        <v>612637166.94000006</v>
      </c>
      <c r="G219" s="34">
        <f>Collateral!K217</f>
        <v>612637</v>
      </c>
      <c r="H219" s="35">
        <v>253777507.78</v>
      </c>
      <c r="I219" s="34">
        <f>Collateral!O217</f>
        <v>253778</v>
      </c>
      <c r="J219" s="35">
        <v>46238698875.669998</v>
      </c>
      <c r="K219" s="34">
        <f>Collateral!I217*1000</f>
        <v>46238699000</v>
      </c>
      <c r="L219" s="43">
        <v>866414674.72000003</v>
      </c>
      <c r="M219" s="42">
        <f t="shared" si="4"/>
        <v>866414674.72000003</v>
      </c>
    </row>
    <row r="220" spans="1:13" x14ac:dyDescent="0.25">
      <c r="A220" t="s">
        <v>226</v>
      </c>
      <c r="B220">
        <v>0.94998640599999995</v>
      </c>
      <c r="C220">
        <f>Summary!L220/Summary!K220</f>
        <v>0.94998641919932225</v>
      </c>
      <c r="D220">
        <v>6.5</v>
      </c>
      <c r="F220" s="35">
        <v>546256527.87</v>
      </c>
      <c r="G220" s="34">
        <f>Collateral!K218</f>
        <v>546257</v>
      </c>
      <c r="H220" s="35">
        <v>239694896.19999999</v>
      </c>
      <c r="I220" s="34">
        <f>Collateral!O218</f>
        <v>239695</v>
      </c>
      <c r="J220" s="35">
        <v>43705192539.169998</v>
      </c>
      <c r="K220" s="34">
        <f>Collateral!I218*1000</f>
        <v>43705193000</v>
      </c>
      <c r="L220" s="43">
        <v>785951424.07000005</v>
      </c>
      <c r="M220" s="42">
        <f t="shared" si="4"/>
        <v>785951424.06999993</v>
      </c>
    </row>
    <row r="221" spans="1:13" x14ac:dyDescent="0.25">
      <c r="A221" t="s">
        <v>227</v>
      </c>
      <c r="B221">
        <v>0.95784159599999996</v>
      </c>
      <c r="C221">
        <f>Summary!L221/Summary!K221</f>
        <v>0.95784160435429344</v>
      </c>
      <c r="D221">
        <v>6.5</v>
      </c>
      <c r="F221" s="35">
        <v>376692806.81999999</v>
      </c>
      <c r="G221" s="34">
        <f>Collateral!K219</f>
        <v>376693</v>
      </c>
      <c r="H221" s="35">
        <v>217982980.28999999</v>
      </c>
      <c r="I221" s="34">
        <f>Collateral!O219</f>
        <v>217983</v>
      </c>
      <c r="J221" s="35">
        <v>39866402709.120003</v>
      </c>
      <c r="K221" s="34">
        <f>Collateral!I219*1000</f>
        <v>39866403000</v>
      </c>
      <c r="L221" s="43">
        <v>594675787.11000001</v>
      </c>
      <c r="M221" s="42">
        <f t="shared" si="4"/>
        <v>594675787.11000001</v>
      </c>
    </row>
    <row r="222" spans="1:13" x14ac:dyDescent="0.25">
      <c r="A222" t="s">
        <v>228</v>
      </c>
      <c r="B222">
        <v>0.96294364399999999</v>
      </c>
      <c r="C222">
        <f>Summary!L222/Summary!K222</f>
        <v>0.96294364343477579</v>
      </c>
      <c r="D222">
        <v>6.5</v>
      </c>
      <c r="F222" s="35">
        <v>392694038.91000003</v>
      </c>
      <c r="G222" s="34">
        <f>Collateral!K220</f>
        <v>392694</v>
      </c>
      <c r="H222" s="35">
        <v>196274592.90000001</v>
      </c>
      <c r="I222" s="34">
        <f>Collateral!O220</f>
        <v>196275</v>
      </c>
      <c r="J222" s="35">
        <v>35842669944.529999</v>
      </c>
      <c r="K222" s="34">
        <f>Collateral!I220*1000</f>
        <v>35842670000</v>
      </c>
      <c r="L222" s="43">
        <v>588968631.80999994</v>
      </c>
      <c r="M222" s="42">
        <f t="shared" si="4"/>
        <v>588968631.81000006</v>
      </c>
    </row>
    <row r="223" spans="1:13" x14ac:dyDescent="0.25">
      <c r="A223" t="s">
        <v>229</v>
      </c>
      <c r="B223">
        <v>0.96677031599999996</v>
      </c>
      <c r="C223">
        <f>Summary!L223/Summary!K223</f>
        <v>0.96677032920213823</v>
      </c>
      <c r="D223">
        <v>6.5</v>
      </c>
      <c r="F223" s="35">
        <v>277695824.30000001</v>
      </c>
      <c r="G223" s="34">
        <f>Collateral!K221</f>
        <v>277696</v>
      </c>
      <c r="H223" s="35">
        <v>157170606.59999999</v>
      </c>
      <c r="I223" s="34">
        <f>Collateral!O221</f>
        <v>157171</v>
      </c>
      <c r="J223" s="35">
        <v>28738470789.830002</v>
      </c>
      <c r="K223" s="34">
        <f>Collateral!I221*1000</f>
        <v>28738471000</v>
      </c>
      <c r="L223" s="43">
        <v>434866430.89999998</v>
      </c>
      <c r="M223" s="42">
        <f t="shared" si="4"/>
        <v>434866430.89999998</v>
      </c>
    </row>
    <row r="224" spans="1:13" x14ac:dyDescent="0.25">
      <c r="A224" t="s">
        <v>230</v>
      </c>
      <c r="B224">
        <v>0.96607726900000002</v>
      </c>
      <c r="C224">
        <f>Summary!L224/Summary!K224</f>
        <v>0.96607726723437615</v>
      </c>
      <c r="D224">
        <v>6.5</v>
      </c>
      <c r="F224" s="35">
        <v>217356513.36000001</v>
      </c>
      <c r="G224" s="34">
        <f>Collateral!K222</f>
        <v>217357</v>
      </c>
      <c r="H224" s="35">
        <v>111232400.06999999</v>
      </c>
      <c r="I224" s="34">
        <f>Collateral!O222</f>
        <v>111232</v>
      </c>
      <c r="J224" s="35">
        <v>20317855795.669998</v>
      </c>
      <c r="K224" s="34">
        <f>Collateral!I222*1000</f>
        <v>20317856000</v>
      </c>
      <c r="L224" s="43">
        <v>328588913.43000001</v>
      </c>
      <c r="M224" s="42">
        <f t="shared" si="4"/>
        <v>328588913.43000001</v>
      </c>
    </row>
    <row r="225" spans="1:13" x14ac:dyDescent="0.25">
      <c r="A225" t="s">
        <v>231</v>
      </c>
      <c r="B225">
        <v>0.96602320699999999</v>
      </c>
      <c r="C225">
        <f>Summary!L225/Summary!K225</f>
        <v>0.96602324113023619</v>
      </c>
      <c r="D225">
        <v>6.5</v>
      </c>
      <c r="F225" s="35">
        <v>184821913.09999999</v>
      </c>
      <c r="G225" s="34">
        <f>Collateral!K223</f>
        <v>184822</v>
      </c>
      <c r="H225" s="35">
        <v>78147975.920000002</v>
      </c>
      <c r="I225" s="34">
        <f>Collateral!O223</f>
        <v>78148</v>
      </c>
      <c r="J225" s="35">
        <v>14242496710.34</v>
      </c>
      <c r="K225" s="34">
        <f>Collateral!I223*1000</f>
        <v>14242497000</v>
      </c>
      <c r="L225" s="43">
        <v>262969889.02000001</v>
      </c>
      <c r="M225" s="42">
        <f t="shared" si="4"/>
        <v>262969889.01999998</v>
      </c>
    </row>
    <row r="226" spans="1:13" x14ac:dyDescent="0.25">
      <c r="A226" t="s">
        <v>232</v>
      </c>
      <c r="B226">
        <v>0.96502437900000004</v>
      </c>
      <c r="C226">
        <f>Summary!L226/Summary!K226</f>
        <v>0.96502437673401109</v>
      </c>
      <c r="D226">
        <v>6.5</v>
      </c>
      <c r="F226" s="35">
        <v>163536191.41</v>
      </c>
      <c r="G226" s="34">
        <f>Collateral!K224</f>
        <v>163536</v>
      </c>
      <c r="H226" s="35">
        <v>47919909.619999997</v>
      </c>
      <c r="I226" s="34">
        <f>Collateral!O224</f>
        <v>47920</v>
      </c>
      <c r="J226" s="35">
        <v>8683216342.5699997</v>
      </c>
      <c r="K226" s="34">
        <f>Collateral!I224*1000</f>
        <v>8683216000</v>
      </c>
      <c r="L226" s="43">
        <v>211456101.03</v>
      </c>
      <c r="M226" s="42">
        <f t="shared" si="4"/>
        <v>211456101.03</v>
      </c>
    </row>
    <row r="227" spans="1:13" x14ac:dyDescent="0.25">
      <c r="A227" t="s">
        <v>233</v>
      </c>
      <c r="B227">
        <v>0.85482099700000003</v>
      </c>
      <c r="C227">
        <f>Summary!L227/Summary!K227</f>
        <v>0.85482098631276104</v>
      </c>
      <c r="D227">
        <v>6.5</v>
      </c>
      <c r="F227" s="35">
        <v>1014362611.24</v>
      </c>
      <c r="G227" s="34">
        <f>Collateral!K225</f>
        <v>1014363</v>
      </c>
      <c r="H227" s="35">
        <v>285932047.23000002</v>
      </c>
      <c r="I227" s="34">
        <f>Collateral!O225</f>
        <v>285932</v>
      </c>
      <c r="J227" s="35">
        <v>51773193290.25</v>
      </c>
      <c r="K227" s="34">
        <f>Collateral!I225*1000</f>
        <v>51773193000</v>
      </c>
      <c r="L227" s="43">
        <v>1300294658.47</v>
      </c>
      <c r="M227" s="42">
        <f t="shared" si="4"/>
        <v>1300294658.47</v>
      </c>
    </row>
    <row r="228" spans="1:13" x14ac:dyDescent="0.25">
      <c r="A228" t="s">
        <v>234</v>
      </c>
      <c r="B228">
        <v>0.87111255300000001</v>
      </c>
      <c r="C228">
        <f>Summary!L228/Summary!K228</f>
        <v>0.87111255714154223</v>
      </c>
      <c r="D228">
        <v>6.5</v>
      </c>
      <c r="F228" s="35">
        <v>997264685.75</v>
      </c>
      <c r="G228" s="34">
        <f>Collateral!K226</f>
        <v>997265</v>
      </c>
      <c r="H228" s="35">
        <v>290058712.31999999</v>
      </c>
      <c r="I228" s="34">
        <f>Collateral!O226</f>
        <v>290059</v>
      </c>
      <c r="J228" s="35">
        <v>52552135899.800003</v>
      </c>
      <c r="K228" s="34">
        <f>Collateral!I226*1000</f>
        <v>52552136000</v>
      </c>
      <c r="L228" s="43">
        <v>1287323398.0699999</v>
      </c>
      <c r="M228" s="42">
        <f t="shared" si="4"/>
        <v>1287323398.0699999</v>
      </c>
    </row>
    <row r="229" spans="1:13" x14ac:dyDescent="0.25">
      <c r="A229" t="s">
        <v>235</v>
      </c>
      <c r="B229">
        <v>0.88721372200000004</v>
      </c>
      <c r="C229">
        <f>Summary!L229/Summary!K229</f>
        <v>0.88721370938453725</v>
      </c>
      <c r="D229">
        <v>6.5</v>
      </c>
      <c r="F229" s="35">
        <v>990087989.74000001</v>
      </c>
      <c r="G229" s="34">
        <f>Collateral!K227</f>
        <v>990088</v>
      </c>
      <c r="H229" s="35">
        <v>294164327.02999997</v>
      </c>
      <c r="I229" s="34">
        <f>Collateral!O227</f>
        <v>294164</v>
      </c>
      <c r="J229" s="35">
        <v>53317272371.650002</v>
      </c>
      <c r="K229" s="34">
        <f>Collateral!I227*1000</f>
        <v>53317272000</v>
      </c>
      <c r="L229" s="43">
        <v>1284252316.77</v>
      </c>
      <c r="M229" s="42">
        <f t="shared" si="4"/>
        <v>1284252316.77</v>
      </c>
    </row>
    <row r="230" spans="1:13" x14ac:dyDescent="0.25">
      <c r="A230" t="s">
        <v>236</v>
      </c>
      <c r="B230">
        <v>0.90316106799999996</v>
      </c>
      <c r="C230">
        <f>Summary!L230/Summary!K230</f>
        <v>0.90316108077445389</v>
      </c>
      <c r="D230">
        <v>6.5</v>
      </c>
      <c r="F230" s="35">
        <v>855220297.51999998</v>
      </c>
      <c r="G230" s="34">
        <f>Collateral!K228</f>
        <v>855220</v>
      </c>
      <c r="H230" s="35">
        <v>297438132.54000002</v>
      </c>
      <c r="I230" s="34">
        <f>Collateral!O228</f>
        <v>297438</v>
      </c>
      <c r="J230" s="35">
        <v>54056537624.760002</v>
      </c>
      <c r="K230" s="34">
        <f>Collateral!I228*1000</f>
        <v>54056538000</v>
      </c>
      <c r="L230" s="43">
        <v>1152658430.0599999</v>
      </c>
      <c r="M230" s="42">
        <f t="shared" si="4"/>
        <v>1152658430.0599999</v>
      </c>
    </row>
    <row r="231" spans="1:13" x14ac:dyDescent="0.25">
      <c r="A231" t="s">
        <v>237</v>
      </c>
      <c r="B231">
        <v>0.91463886999999999</v>
      </c>
      <c r="C231">
        <f>Summary!L231/Summary!K231</f>
        <v>0.9146388674942183</v>
      </c>
      <c r="D231">
        <v>6.5</v>
      </c>
      <c r="F231" s="35">
        <v>970785955.84000003</v>
      </c>
      <c r="G231" s="34">
        <f>Collateral!K229</f>
        <v>970786</v>
      </c>
      <c r="H231" s="35">
        <v>291956783.88999999</v>
      </c>
      <c r="I231" s="34">
        <f>Collateral!O229</f>
        <v>291957</v>
      </c>
      <c r="J231" s="35">
        <v>52929029488.099998</v>
      </c>
      <c r="K231" s="34">
        <f>Collateral!I229*1000</f>
        <v>52929029000</v>
      </c>
      <c r="L231" s="43">
        <v>1262742739.73</v>
      </c>
      <c r="M231" s="42">
        <f t="shared" si="4"/>
        <v>1262742739.73</v>
      </c>
    </row>
    <row r="232" spans="1:13" x14ac:dyDescent="0.25">
      <c r="A232" t="s">
        <v>238</v>
      </c>
      <c r="B232">
        <v>0.92880835100000003</v>
      </c>
      <c r="C232">
        <f>Summary!L232/Summary!K232</f>
        <v>0.92880836143980172</v>
      </c>
      <c r="D232">
        <v>6.5</v>
      </c>
      <c r="F232" s="35">
        <v>874592165.59000003</v>
      </c>
      <c r="G232" s="34">
        <f>Collateral!K230</f>
        <v>874592</v>
      </c>
      <c r="H232" s="35">
        <v>285202264.02999997</v>
      </c>
      <c r="I232" s="34">
        <f>Collateral!O230</f>
        <v>285202</v>
      </c>
      <c r="J232" s="35">
        <v>51778236856.110001</v>
      </c>
      <c r="K232" s="34">
        <f>Collateral!I230*1000</f>
        <v>51778237000</v>
      </c>
      <c r="L232" s="43">
        <v>1159794429.6199999</v>
      </c>
      <c r="M232" s="42">
        <f t="shared" si="4"/>
        <v>1159794429.6199999</v>
      </c>
    </row>
    <row r="233" spans="1:13" x14ac:dyDescent="0.25">
      <c r="A233" t="s">
        <v>239</v>
      </c>
      <c r="B233">
        <v>0.94141336200000003</v>
      </c>
      <c r="C233">
        <f>Summary!L233/Summary!K233</f>
        <v>0.94141336231344575</v>
      </c>
      <c r="D233">
        <v>6.5</v>
      </c>
      <c r="F233" s="35">
        <v>680687712.58000004</v>
      </c>
      <c r="G233" s="34">
        <f>Collateral!K231</f>
        <v>680687</v>
      </c>
      <c r="H233" s="35">
        <v>272923098.31</v>
      </c>
      <c r="I233" s="34">
        <f>Collateral!O231</f>
        <v>272923</v>
      </c>
      <c r="J233" s="35">
        <v>49705219871</v>
      </c>
      <c r="K233" s="34">
        <f>Collateral!I231*1000</f>
        <v>49705220000</v>
      </c>
      <c r="L233" s="43">
        <v>953610810.88999999</v>
      </c>
      <c r="M233" s="42">
        <f t="shared" si="4"/>
        <v>953610810.8900001</v>
      </c>
    </row>
    <row r="234" spans="1:13" x14ac:dyDescent="0.25">
      <c r="A234" t="s">
        <v>240</v>
      </c>
      <c r="B234">
        <v>0.95066339300000002</v>
      </c>
      <c r="C234">
        <f>Summary!L234/Summary!K234</f>
        <v>0.95066339891959506</v>
      </c>
      <c r="D234">
        <v>6.5</v>
      </c>
      <c r="F234" s="35">
        <v>697172905.04999995</v>
      </c>
      <c r="G234" s="34">
        <f>Collateral!K232</f>
        <v>697173</v>
      </c>
      <c r="H234" s="35">
        <v>255770627.74000001</v>
      </c>
      <c r="I234" s="34">
        <f>Collateral!O232</f>
        <v>255771</v>
      </c>
      <c r="J234" s="35">
        <v>46522108762.550003</v>
      </c>
      <c r="K234" s="34">
        <f>Collateral!I232*1000</f>
        <v>46522109000</v>
      </c>
      <c r="L234" s="43">
        <v>952943532.78999996</v>
      </c>
      <c r="M234" s="42">
        <f t="shared" si="4"/>
        <v>952943532.78999996</v>
      </c>
    </row>
    <row r="235" spans="1:13" x14ac:dyDescent="0.25">
      <c r="A235" t="s">
        <v>241</v>
      </c>
      <c r="B235">
        <v>0.95970104599999995</v>
      </c>
      <c r="C235">
        <f>Summary!L235/Summary!K235</f>
        <v>0.9597010500162223</v>
      </c>
      <c r="D235">
        <v>6.5</v>
      </c>
      <c r="F235" s="35">
        <v>507883049.05000001</v>
      </c>
      <c r="G235" s="34">
        <f>Collateral!K233</f>
        <v>507883</v>
      </c>
      <c r="H235" s="35">
        <v>224326530.68000001</v>
      </c>
      <c r="I235" s="34">
        <f>Collateral!O233</f>
        <v>224327</v>
      </c>
      <c r="J235" s="35">
        <v>40917455597.379997</v>
      </c>
      <c r="K235" s="34">
        <f>Collateral!I233*1000</f>
        <v>40917456000</v>
      </c>
      <c r="L235" s="43">
        <v>732209579.73000002</v>
      </c>
      <c r="M235" s="42">
        <f t="shared" si="4"/>
        <v>732209579.73000002</v>
      </c>
    </row>
    <row r="236" spans="1:13" x14ac:dyDescent="0.25">
      <c r="A236" t="s">
        <v>242</v>
      </c>
      <c r="B236">
        <v>0.96554135200000002</v>
      </c>
      <c r="C236">
        <f>Summary!L236/Summary!K236</f>
        <v>0.96554135775376937</v>
      </c>
      <c r="D236">
        <v>6.5</v>
      </c>
      <c r="F236" s="35">
        <v>422408352.66000003</v>
      </c>
      <c r="G236" s="34">
        <f>Collateral!K234</f>
        <v>422408</v>
      </c>
      <c r="H236" s="35">
        <v>187662302.56</v>
      </c>
      <c r="I236" s="34">
        <f>Collateral!O234</f>
        <v>187662</v>
      </c>
      <c r="J236" s="35">
        <v>34224521922.450001</v>
      </c>
      <c r="K236" s="34">
        <f>Collateral!I234*1000</f>
        <v>34224522000</v>
      </c>
      <c r="L236" s="43">
        <v>610070655.22000003</v>
      </c>
      <c r="M236" s="42">
        <f t="shared" si="4"/>
        <v>610070655.22000003</v>
      </c>
    </row>
    <row r="237" spans="1:13" x14ac:dyDescent="0.25">
      <c r="A237" t="s">
        <v>243</v>
      </c>
      <c r="B237">
        <v>0.96937800699999999</v>
      </c>
      <c r="C237">
        <f>Summary!L237/Summary!K237</f>
        <v>0.96937799580956618</v>
      </c>
      <c r="D237">
        <v>6.5</v>
      </c>
      <c r="F237" s="35">
        <v>299459922.88999999</v>
      </c>
      <c r="G237" s="34">
        <f>Collateral!K235</f>
        <v>299460</v>
      </c>
      <c r="H237" s="35">
        <v>138940646.99000001</v>
      </c>
      <c r="I237" s="34">
        <f>Collateral!O235</f>
        <v>138941</v>
      </c>
      <c r="J237" s="35">
        <v>25351121051.299999</v>
      </c>
      <c r="K237" s="34">
        <f>Collateral!I235*1000</f>
        <v>25351121000</v>
      </c>
      <c r="L237" s="43">
        <v>438400569.88</v>
      </c>
      <c r="M237" s="42">
        <f t="shared" si="4"/>
        <v>438400569.88</v>
      </c>
    </row>
    <row r="238" spans="1:13" x14ac:dyDescent="0.25">
      <c r="A238" t="s">
        <v>244</v>
      </c>
      <c r="B238">
        <v>0.97206422000000003</v>
      </c>
      <c r="C238">
        <f>Summary!L238/Summary!K238</f>
        <v>0.97206425048191092</v>
      </c>
      <c r="D238">
        <v>6.5</v>
      </c>
      <c r="F238" s="35">
        <v>241653673.47999999</v>
      </c>
      <c r="G238" s="34">
        <f>Collateral!K236</f>
        <v>241653</v>
      </c>
      <c r="H238" s="35">
        <v>95900954.670000002</v>
      </c>
      <c r="I238" s="34">
        <f>Collateral!O236</f>
        <v>95901</v>
      </c>
      <c r="J238" s="35">
        <v>17466100927.110001</v>
      </c>
      <c r="K238" s="34">
        <f>Collateral!I236*1000</f>
        <v>17466101000</v>
      </c>
      <c r="L238" s="43">
        <v>337554628.14999998</v>
      </c>
      <c r="M238" s="42">
        <f t="shared" si="4"/>
        <v>337554628.14999998</v>
      </c>
    </row>
    <row r="239" spans="1:13" x14ac:dyDescent="0.25">
      <c r="A239" t="s">
        <v>245</v>
      </c>
      <c r="B239">
        <v>0.47818217299999999</v>
      </c>
      <c r="C239">
        <f>Summary!L239/Summary!K239</f>
        <v>0.47818222027036472</v>
      </c>
      <c r="D239">
        <v>6.5</v>
      </c>
      <c r="F239" s="35">
        <v>136375358.11000001</v>
      </c>
      <c r="G239" s="34">
        <f>Collateral!K237</f>
        <v>136376</v>
      </c>
      <c r="H239" s="35">
        <v>25568713.859999999</v>
      </c>
      <c r="I239" s="34">
        <f>Collateral!O237</f>
        <v>25569</v>
      </c>
      <c r="J239" s="35">
        <v>4584002579.3400002</v>
      </c>
      <c r="K239" s="34">
        <f>Collateral!I237*1000</f>
        <v>4584003000</v>
      </c>
      <c r="L239" s="43">
        <v>161944071.97</v>
      </c>
      <c r="M239" s="42">
        <f t="shared" si="4"/>
        <v>161944071.97000003</v>
      </c>
    </row>
    <row r="240" spans="1:13" x14ac:dyDescent="0.25">
      <c r="A240" t="s">
        <v>246</v>
      </c>
      <c r="B240">
        <v>0.49325937800000003</v>
      </c>
      <c r="C240">
        <f>Summary!L240/Summary!K240</f>
        <v>0.49325940258757611</v>
      </c>
      <c r="D240">
        <v>6.5</v>
      </c>
      <c r="F240" s="35">
        <v>112252466.09999999</v>
      </c>
      <c r="G240" s="34">
        <f>Collateral!K238</f>
        <v>112253</v>
      </c>
      <c r="H240" s="35">
        <v>26258419.420000002</v>
      </c>
      <c r="I240" s="34">
        <f>Collateral!O238</f>
        <v>26258</v>
      </c>
      <c r="J240" s="35">
        <v>4735455726.25</v>
      </c>
      <c r="K240" s="34">
        <f>Collateral!I238*1000</f>
        <v>4735456000</v>
      </c>
      <c r="L240" s="43">
        <v>138510885.52000001</v>
      </c>
      <c r="M240" s="42">
        <f t="shared" si="4"/>
        <v>138510885.51999998</v>
      </c>
    </row>
    <row r="241" spans="1:13" x14ac:dyDescent="0.25">
      <c r="A241" t="s">
        <v>247</v>
      </c>
      <c r="B241">
        <v>0.50467529499999997</v>
      </c>
      <c r="C241">
        <f>Summary!L241/Summary!K241</f>
        <v>0.50467525160967686</v>
      </c>
      <c r="D241">
        <v>6.5</v>
      </c>
      <c r="F241" s="35">
        <v>143387288.63999999</v>
      </c>
      <c r="G241" s="34">
        <f>Collateral!K239</f>
        <v>143387</v>
      </c>
      <c r="H241" s="35">
        <v>27014875.949999999</v>
      </c>
      <c r="I241" s="34">
        <f>Collateral!O239</f>
        <v>27015</v>
      </c>
      <c r="J241" s="35">
        <v>4843974427.3999996</v>
      </c>
      <c r="K241" s="34">
        <f>Collateral!I239*1000</f>
        <v>4843974000</v>
      </c>
      <c r="L241" s="43">
        <v>170402164.59</v>
      </c>
      <c r="M241" s="42">
        <f t="shared" si="4"/>
        <v>170402164.58999997</v>
      </c>
    </row>
    <row r="242" spans="1:13" x14ac:dyDescent="0.25">
      <c r="A242" t="s">
        <v>248</v>
      </c>
      <c r="B242">
        <v>0.51727260900000005</v>
      </c>
      <c r="C242">
        <f>Summary!L242/Summary!K242</f>
        <v>0.5172726492937002</v>
      </c>
      <c r="D242">
        <v>6.5</v>
      </c>
      <c r="F242" s="35">
        <v>153679324.15000001</v>
      </c>
      <c r="G242" s="34">
        <f>Collateral!K240</f>
        <v>153679</v>
      </c>
      <c r="H242" s="35">
        <v>27617632.629999999</v>
      </c>
      <c r="I242" s="34">
        <f>Collateral!O240</f>
        <v>27618</v>
      </c>
      <c r="J242" s="35">
        <v>4944960539.9799995</v>
      </c>
      <c r="K242" s="34">
        <f>Collateral!I240*1000</f>
        <v>4944961000</v>
      </c>
      <c r="L242" s="43">
        <v>181296956.78</v>
      </c>
      <c r="M242" s="42">
        <f t="shared" si="4"/>
        <v>181296956.78</v>
      </c>
    </row>
    <row r="243" spans="1:13" x14ac:dyDescent="0.25">
      <c r="A243" t="s">
        <v>249</v>
      </c>
      <c r="B243">
        <v>0.53344438500000002</v>
      </c>
      <c r="C243">
        <f>Summary!L243/Summary!K243</f>
        <v>0.53344436454432587</v>
      </c>
      <c r="D243">
        <v>6.5</v>
      </c>
      <c r="F243" s="35">
        <v>151590177.58000001</v>
      </c>
      <c r="G243" s="34">
        <f>Collateral!K241</f>
        <v>151590</v>
      </c>
      <c r="H243" s="35">
        <v>28474352.77</v>
      </c>
      <c r="I243" s="34">
        <f>Collateral!O241</f>
        <v>28474</v>
      </c>
      <c r="J243" s="35">
        <v>5105213409.0500002</v>
      </c>
      <c r="K243" s="34">
        <f>Collateral!I241*1000</f>
        <v>5105213000</v>
      </c>
      <c r="L243" s="43">
        <v>180064530.34999999</v>
      </c>
      <c r="M243" s="42">
        <f t="shared" si="4"/>
        <v>180064530.35000002</v>
      </c>
    </row>
    <row r="244" spans="1:13" x14ac:dyDescent="0.25">
      <c r="A244" t="s">
        <v>250</v>
      </c>
      <c r="B244">
        <v>0.54852811099999998</v>
      </c>
      <c r="C244">
        <f>Summary!L244/Summary!K244</f>
        <v>0.54852808902050931</v>
      </c>
      <c r="D244">
        <v>6.5</v>
      </c>
      <c r="F244" s="35">
        <v>201902261.11000001</v>
      </c>
      <c r="G244" s="34">
        <f>Collateral!K242</f>
        <v>201902</v>
      </c>
      <c r="H244" s="35">
        <v>29544842.73</v>
      </c>
      <c r="I244" s="34">
        <f>Collateral!O242</f>
        <v>29545</v>
      </c>
      <c r="J244" s="35">
        <v>5252530248.4200001</v>
      </c>
      <c r="K244" s="34">
        <f>Collateral!I242*1000</f>
        <v>5252530000</v>
      </c>
      <c r="L244" s="43">
        <v>231447103.84</v>
      </c>
      <c r="M244" s="42">
        <f t="shared" si="4"/>
        <v>231447103.84</v>
      </c>
    </row>
    <row r="245" spans="1:13" x14ac:dyDescent="0.25">
      <c r="A245" t="s">
        <v>251</v>
      </c>
      <c r="B245">
        <v>0.56938156299999998</v>
      </c>
      <c r="C245">
        <f>Summary!L245/Summary!K245</f>
        <v>0.56938154648374206</v>
      </c>
      <c r="D245">
        <v>6.5</v>
      </c>
      <c r="F245" s="35">
        <v>231558978.03999999</v>
      </c>
      <c r="G245" s="34">
        <f>Collateral!K243</f>
        <v>231559</v>
      </c>
      <c r="H245" s="35">
        <v>30734037.800000001</v>
      </c>
      <c r="I245" s="34">
        <f>Collateral!O243</f>
        <v>30734</v>
      </c>
      <c r="J245" s="35">
        <v>5442417230.2399998</v>
      </c>
      <c r="K245" s="34">
        <f>Collateral!I243*1000</f>
        <v>5442417000</v>
      </c>
      <c r="L245" s="43">
        <v>262293015.84</v>
      </c>
      <c r="M245" s="42">
        <f t="shared" si="4"/>
        <v>262293015.84</v>
      </c>
    </row>
    <row r="246" spans="1:13" x14ac:dyDescent="0.25">
      <c r="A246" t="s">
        <v>252</v>
      </c>
      <c r="B246">
        <v>0.59497607799999996</v>
      </c>
      <c r="C246">
        <f>Summary!L246/Summary!K246</f>
        <v>0.59497613204578503</v>
      </c>
      <c r="D246">
        <v>6.5</v>
      </c>
      <c r="F246" s="35">
        <v>237033321.53999999</v>
      </c>
      <c r="G246" s="34">
        <f>Collateral!K244</f>
        <v>237034</v>
      </c>
      <c r="H246" s="35">
        <v>32059663.309999999</v>
      </c>
      <c r="I246" s="34">
        <f>Collateral!O244</f>
        <v>32060</v>
      </c>
      <c r="J246" s="35">
        <v>5681673748.3400002</v>
      </c>
      <c r="K246" s="34">
        <f>Collateral!I244*1000</f>
        <v>5681674000</v>
      </c>
      <c r="L246" s="43">
        <v>269092984.85000002</v>
      </c>
      <c r="M246" s="42">
        <f t="shared" si="4"/>
        <v>269092984.84999996</v>
      </c>
    </row>
    <row r="247" spans="1:13" x14ac:dyDescent="0.25">
      <c r="A247" t="s">
        <v>253</v>
      </c>
      <c r="B247">
        <v>0.61810469300000004</v>
      </c>
      <c r="C247">
        <f>Summary!L247/Summary!K247</f>
        <v>0.61810467781845113</v>
      </c>
      <c r="D247">
        <v>6.5</v>
      </c>
      <c r="F247" s="35">
        <v>277928650.56</v>
      </c>
      <c r="G247" s="34">
        <f>Collateral!K245</f>
        <v>277928</v>
      </c>
      <c r="H247" s="35">
        <v>33512651.789999999</v>
      </c>
      <c r="I247" s="34">
        <f>Collateral!O245</f>
        <v>33513</v>
      </c>
      <c r="J247" s="35">
        <v>5909022447.46</v>
      </c>
      <c r="K247" s="34">
        <f>Collateral!I245*1000</f>
        <v>5909022000</v>
      </c>
      <c r="L247" s="43">
        <v>311441302.35000002</v>
      </c>
      <c r="M247" s="42">
        <f t="shared" si="4"/>
        <v>311441302.35000002</v>
      </c>
    </row>
    <row r="248" spans="1:13" x14ac:dyDescent="0.25">
      <c r="A248" t="s">
        <v>254</v>
      </c>
      <c r="B248">
        <v>0.64688714999999997</v>
      </c>
      <c r="C248">
        <f>Summary!L248/Summary!K248</f>
        <v>0.6468871382732484</v>
      </c>
      <c r="D248">
        <v>6.5</v>
      </c>
      <c r="F248" s="35">
        <v>320756140</v>
      </c>
      <c r="G248" s="34">
        <f>Collateral!K246</f>
        <v>320756</v>
      </c>
      <c r="H248" s="35">
        <v>35245860.630000003</v>
      </c>
      <c r="I248" s="34">
        <f>Collateral!O246</f>
        <v>35246</v>
      </c>
      <c r="J248" s="35">
        <v>6186171971.1499996</v>
      </c>
      <c r="K248" s="34">
        <f>Collateral!I246*1000</f>
        <v>6186172000</v>
      </c>
      <c r="L248" s="43">
        <v>356002000.63</v>
      </c>
      <c r="M248" s="42">
        <f t="shared" si="4"/>
        <v>356002000.63</v>
      </c>
    </row>
    <row r="249" spans="1:13" x14ac:dyDescent="0.25">
      <c r="A249" t="s">
        <v>255</v>
      </c>
      <c r="B249">
        <v>0.68136080300000001</v>
      </c>
      <c r="C249">
        <f>Summary!L249/Summary!K249</f>
        <v>0.68136079251406301</v>
      </c>
      <c r="D249">
        <v>6.5</v>
      </c>
      <c r="F249" s="35">
        <v>294749967.24000001</v>
      </c>
      <c r="G249" s="34">
        <f>Collateral!K247</f>
        <v>294750</v>
      </c>
      <c r="H249" s="35">
        <v>36768885.409999996</v>
      </c>
      <c r="I249" s="34">
        <f>Collateral!O247</f>
        <v>36769</v>
      </c>
      <c r="J249" s="35">
        <v>6493351948.3800001</v>
      </c>
      <c r="K249" s="34">
        <f>Collateral!I247*1000</f>
        <v>6493352000</v>
      </c>
      <c r="L249" s="43">
        <v>331518852.64999998</v>
      </c>
      <c r="M249" s="42">
        <f t="shared" si="4"/>
        <v>331518852.64999998</v>
      </c>
    </row>
    <row r="250" spans="1:13" x14ac:dyDescent="0.25">
      <c r="A250" t="s">
        <v>256</v>
      </c>
      <c r="B250">
        <v>0.71193896700000003</v>
      </c>
      <c r="C250">
        <f>Summary!L250/Summary!K250</f>
        <v>0.71193900520798614</v>
      </c>
      <c r="D250">
        <v>6.5</v>
      </c>
      <c r="F250" s="35">
        <v>306441583.06</v>
      </c>
      <c r="G250" s="34">
        <f>Collateral!K248</f>
        <v>306442</v>
      </c>
      <c r="H250" s="35">
        <v>38398106.689999998</v>
      </c>
      <c r="I250" s="34">
        <f>Collateral!O248</f>
        <v>38398</v>
      </c>
      <c r="J250" s="35">
        <v>6782439648.71</v>
      </c>
      <c r="K250" s="34">
        <f>Collateral!I248*1000</f>
        <v>6782440000</v>
      </c>
      <c r="L250" s="43">
        <v>344839689.75</v>
      </c>
      <c r="M250" s="42">
        <f t="shared" si="4"/>
        <v>344839689.75</v>
      </c>
    </row>
    <row r="251" spans="1:13" x14ac:dyDescent="0.25">
      <c r="A251" t="s">
        <v>257</v>
      </c>
      <c r="B251">
        <v>0.428499028</v>
      </c>
      <c r="C251">
        <f>Summary!L251/Summary!K251</f>
        <v>0.42849897815617605</v>
      </c>
      <c r="D251">
        <v>6.5</v>
      </c>
      <c r="F251" s="35">
        <v>177204867.31</v>
      </c>
      <c r="G251" s="34">
        <f>Collateral!K249</f>
        <v>177205</v>
      </c>
      <c r="H251" s="35">
        <v>21897796.670000002</v>
      </c>
      <c r="I251" s="34">
        <f>Collateral!O249</f>
        <v>21898</v>
      </c>
      <c r="J251" s="35">
        <v>3865467384.4299998</v>
      </c>
      <c r="K251" s="34">
        <f>Collateral!I249*1000</f>
        <v>3865467000</v>
      </c>
      <c r="L251" s="43">
        <v>199102663.97999999</v>
      </c>
      <c r="M251" s="42">
        <f t="shared" si="4"/>
        <v>199102663.98000002</v>
      </c>
    </row>
    <row r="252" spans="1:13" x14ac:dyDescent="0.25">
      <c r="A252" t="s">
        <v>258</v>
      </c>
      <c r="B252">
        <v>0.447742433</v>
      </c>
      <c r="C252">
        <f>Summary!L252/Summary!K252</f>
        <v>0.44774245910991189</v>
      </c>
      <c r="D252">
        <v>6.5</v>
      </c>
      <c r="F252" s="35">
        <v>181320532.31999999</v>
      </c>
      <c r="G252" s="34">
        <f>Collateral!K250</f>
        <v>181321</v>
      </c>
      <c r="H252" s="35">
        <v>22855653.190000001</v>
      </c>
      <c r="I252" s="34">
        <f>Collateral!O250</f>
        <v>22856</v>
      </c>
      <c r="J252" s="35">
        <v>4038186785.4000001</v>
      </c>
      <c r="K252" s="34">
        <f>Collateral!I250*1000</f>
        <v>4038187000</v>
      </c>
      <c r="L252" s="43">
        <v>204176185.50999999</v>
      </c>
      <c r="M252" s="42">
        <f t="shared" si="4"/>
        <v>204176185.50999999</v>
      </c>
    </row>
    <row r="253" spans="1:13" x14ac:dyDescent="0.25">
      <c r="A253" t="s">
        <v>259</v>
      </c>
      <c r="B253">
        <v>0.46810759699999999</v>
      </c>
      <c r="C253">
        <f>Summary!L253/Summary!K253</f>
        <v>0.46810758415122722</v>
      </c>
      <c r="D253">
        <v>6.5</v>
      </c>
      <c r="F253" s="35">
        <v>223358797.19</v>
      </c>
      <c r="G253" s="34">
        <f>Collateral!K251</f>
        <v>223359</v>
      </c>
      <c r="H253" s="35">
        <v>24140267.68</v>
      </c>
      <c r="I253" s="34">
        <f>Collateral!O251</f>
        <v>24140</v>
      </c>
      <c r="J253" s="35">
        <v>4233308115.6900001</v>
      </c>
      <c r="K253" s="34">
        <f>Collateral!I251*1000</f>
        <v>4233308000</v>
      </c>
      <c r="L253" s="43">
        <v>247499064.87</v>
      </c>
      <c r="M253" s="42">
        <f t="shared" si="4"/>
        <v>247499064.87</v>
      </c>
    </row>
    <row r="254" spans="1:13" x14ac:dyDescent="0.25">
      <c r="A254" t="s">
        <v>260</v>
      </c>
      <c r="B254">
        <v>0.49272060099999998</v>
      </c>
      <c r="C254">
        <f>Summary!L254/Summary!K254</f>
        <v>0.49272059192813605</v>
      </c>
      <c r="D254">
        <v>6.5</v>
      </c>
      <c r="F254" s="35">
        <v>190406419.25999999</v>
      </c>
      <c r="G254" s="34">
        <f>Collateral!K252</f>
        <v>190406</v>
      </c>
      <c r="H254" s="35">
        <v>25157564.780000001</v>
      </c>
      <c r="I254" s="34">
        <f>Collateral!O252</f>
        <v>25158</v>
      </c>
      <c r="J254" s="35">
        <v>4454069194.6099997</v>
      </c>
      <c r="K254" s="34">
        <f>Collateral!I252*1000</f>
        <v>4454069000</v>
      </c>
      <c r="L254" s="43">
        <v>215563984.03999999</v>
      </c>
      <c r="M254" s="42">
        <f t="shared" si="4"/>
        <v>215563984.03999999</v>
      </c>
    </row>
    <row r="255" spans="1:13" x14ac:dyDescent="0.25">
      <c r="A255" t="s">
        <v>261</v>
      </c>
      <c r="B255">
        <v>0.51355219799999996</v>
      </c>
      <c r="C255">
        <f>Summary!L255/Summary!K255</f>
        <v>0.51355223673176464</v>
      </c>
      <c r="D255">
        <v>6.5</v>
      </c>
      <c r="F255" s="35">
        <v>208256671.28</v>
      </c>
      <c r="G255" s="34">
        <f>Collateral!K253</f>
        <v>208256</v>
      </c>
      <c r="H255" s="35">
        <v>26268884.399999999</v>
      </c>
      <c r="I255" s="34">
        <f>Collateral!O253</f>
        <v>26269</v>
      </c>
      <c r="J255" s="35">
        <v>4641385644.79</v>
      </c>
      <c r="K255" s="34">
        <f>Collateral!I253*1000</f>
        <v>4641386000</v>
      </c>
      <c r="L255" s="43">
        <v>234525555.68000001</v>
      </c>
      <c r="M255" s="42">
        <f t="shared" si="4"/>
        <v>234525555.68000001</v>
      </c>
    </row>
    <row r="256" spans="1:13" x14ac:dyDescent="0.25">
      <c r="A256" t="s">
        <v>262</v>
      </c>
      <c r="B256">
        <v>0.53670975099999996</v>
      </c>
      <c r="C256">
        <f>Summary!L256/Summary!K256</f>
        <v>0.53670972097766512</v>
      </c>
      <c r="D256">
        <v>6.5</v>
      </c>
      <c r="F256" s="35">
        <v>280840396.69999999</v>
      </c>
      <c r="G256" s="34">
        <f>Collateral!K254</f>
        <v>280840</v>
      </c>
      <c r="H256" s="35">
        <v>27839167.920000002</v>
      </c>
      <c r="I256" s="34">
        <f>Collateral!O254</f>
        <v>27839</v>
      </c>
      <c r="J256" s="35">
        <v>4858700413.3800001</v>
      </c>
      <c r="K256" s="34">
        <f>Collateral!I254*1000</f>
        <v>4858700000</v>
      </c>
      <c r="L256" s="43">
        <v>308679564.62</v>
      </c>
      <c r="M256" s="42">
        <f t="shared" si="4"/>
        <v>308679564.62</v>
      </c>
    </row>
    <row r="257" spans="1:13" x14ac:dyDescent="0.25">
      <c r="A257" t="s">
        <v>263</v>
      </c>
      <c r="B257">
        <v>0.12734791600000001</v>
      </c>
      <c r="C257">
        <f>Summary!L257/Summary!K257</f>
        <v>0.12734791591202702</v>
      </c>
      <c r="D257">
        <v>6.5</v>
      </c>
      <c r="F257" s="35">
        <v>1021008499.9</v>
      </c>
      <c r="G257" s="34">
        <f>Collateral!K255</f>
        <v>1021008</v>
      </c>
      <c r="H257" s="35">
        <v>137567110.19</v>
      </c>
      <c r="I257" s="34">
        <f>Collateral!O255</f>
        <v>137567</v>
      </c>
      <c r="J257" s="35">
        <v>24376060023.599998</v>
      </c>
      <c r="K257" s="34">
        <f>Collateral!I255*1000</f>
        <v>24376060000</v>
      </c>
      <c r="L257" s="43">
        <v>1158575610.0899999</v>
      </c>
      <c r="M257" s="42">
        <f>H257+F257</f>
        <v>1158575610.0899999</v>
      </c>
    </row>
    <row r="258" spans="1:13" x14ac:dyDescent="0.25">
      <c r="A258" t="s">
        <v>264</v>
      </c>
      <c r="B258">
        <v>0.13254276400000001</v>
      </c>
      <c r="C258">
        <f>Summary!L258/Summary!K258</f>
        <v>0.13254276523073244</v>
      </c>
      <c r="D258">
        <v>6.5</v>
      </c>
      <c r="F258" s="35">
        <v>958093841.70000005</v>
      </c>
      <c r="G258" s="34">
        <f>Collateral!K256</f>
        <v>958094</v>
      </c>
      <c r="H258" s="35">
        <v>142767883.03</v>
      </c>
      <c r="I258" s="34">
        <f>Collateral!O256</f>
        <v>142768</v>
      </c>
      <c r="J258" s="35">
        <v>25399119765.560001</v>
      </c>
      <c r="K258" s="34">
        <f>Collateral!I256*1000</f>
        <v>25399120000</v>
      </c>
      <c r="L258" s="43">
        <v>1100861724.73</v>
      </c>
      <c r="M258" s="42">
        <f t="shared" si="4"/>
        <v>1100861724.73</v>
      </c>
    </row>
    <row r="259" spans="1:13" x14ac:dyDescent="0.25">
      <c r="A259" t="s">
        <v>265</v>
      </c>
      <c r="B259">
        <v>0.13745590399999999</v>
      </c>
      <c r="C259">
        <f>Summary!L259/Summary!K259</f>
        <v>0.1374559043920579</v>
      </c>
      <c r="D259">
        <v>6.5</v>
      </c>
      <c r="F259" s="35">
        <v>979511219.63999999</v>
      </c>
      <c r="G259" s="34">
        <f>Collateral!K257</f>
        <v>979511</v>
      </c>
      <c r="H259" s="35">
        <v>148044493.75</v>
      </c>
      <c r="I259" s="34">
        <f>Collateral!O257</f>
        <v>148044</v>
      </c>
      <c r="J259" s="35">
        <v>26351846003.700001</v>
      </c>
      <c r="K259" s="34">
        <f>Collateral!I257*1000</f>
        <v>26351846000</v>
      </c>
      <c r="L259" s="43">
        <v>1127555713.3900001</v>
      </c>
      <c r="M259" s="42">
        <f t="shared" si="4"/>
        <v>1127555713.3899999</v>
      </c>
    </row>
    <row r="260" spans="1:13" x14ac:dyDescent="0.25">
      <c r="A260" t="s">
        <v>266</v>
      </c>
      <c r="B260">
        <v>0.14255247800000001</v>
      </c>
      <c r="C260">
        <f>Summary!L260/Summary!K260</f>
        <v>0.14255247923580633</v>
      </c>
      <c r="D260">
        <v>6.5</v>
      </c>
      <c r="F260" s="35">
        <v>1121715125.5599999</v>
      </c>
      <c r="G260" s="34">
        <f>Collateral!K258</f>
        <v>1121715</v>
      </c>
      <c r="H260" s="35">
        <v>154160032.84999999</v>
      </c>
      <c r="I260" s="34">
        <f>Collateral!O258</f>
        <v>154160</v>
      </c>
      <c r="J260" s="35">
        <v>27338665826.650002</v>
      </c>
      <c r="K260" s="34">
        <f>Collateral!I258*1000</f>
        <v>27338666000</v>
      </c>
      <c r="L260" s="43">
        <v>1275875158.4100001</v>
      </c>
      <c r="M260" s="42">
        <f t="shared" si="4"/>
        <v>1275875158.4099998</v>
      </c>
    </row>
    <row r="261" spans="1:13" x14ac:dyDescent="0.25">
      <c r="A261" t="s">
        <v>267</v>
      </c>
      <c r="B261">
        <v>0.14833448399999999</v>
      </c>
      <c r="C261">
        <f>Summary!L261/Summary!K261</f>
        <v>0.14833448191229265</v>
      </c>
      <c r="D261">
        <v>6.5</v>
      </c>
      <c r="F261" s="35">
        <v>1136354318.4100001</v>
      </c>
      <c r="G261" s="34">
        <f>Collateral!K259</f>
        <v>1136355</v>
      </c>
      <c r="H261" s="35">
        <v>160519176.13</v>
      </c>
      <c r="I261" s="34">
        <f>Collateral!O259</f>
        <v>160519</v>
      </c>
      <c r="J261" s="35">
        <v>28498022387.540001</v>
      </c>
      <c r="K261" s="34">
        <f>Collateral!I259*1000</f>
        <v>28498022000</v>
      </c>
      <c r="L261" s="43">
        <v>1296873494.54</v>
      </c>
      <c r="M261" s="42">
        <f t="shared" ref="M261:M267" si="5">H261+F261</f>
        <v>1296873494.54</v>
      </c>
    </row>
    <row r="262" spans="1:13" x14ac:dyDescent="0.25">
      <c r="A262" t="s">
        <v>268</v>
      </c>
      <c r="B262">
        <v>0.15423653700000001</v>
      </c>
      <c r="C262">
        <f>Summary!L262/Summary!K262</f>
        <v>0.15423653826667408</v>
      </c>
      <c r="D262">
        <v>6.5</v>
      </c>
      <c r="F262" s="35">
        <v>1543732724.4000001</v>
      </c>
      <c r="G262" s="34">
        <f>Collateral!K260</f>
        <v>1543733</v>
      </c>
      <c r="H262" s="35">
        <v>169012707.31999999</v>
      </c>
      <c r="I262" s="34">
        <f>Collateral!O260</f>
        <v>169013</v>
      </c>
      <c r="J262" s="35">
        <v>29658682755.700001</v>
      </c>
      <c r="K262" s="34">
        <f>Collateral!I260*1000</f>
        <v>29658683000</v>
      </c>
      <c r="L262" s="43">
        <v>1712745431.72</v>
      </c>
      <c r="M262" s="42">
        <f t="shared" si="5"/>
        <v>1712745431.72</v>
      </c>
    </row>
    <row r="263" spans="1:13" x14ac:dyDescent="0.25">
      <c r="A263" t="s">
        <v>269</v>
      </c>
      <c r="B263">
        <v>0.16211847500000001</v>
      </c>
      <c r="C263">
        <f>Summary!L263/Summary!K263</f>
        <v>0.16211847486803962</v>
      </c>
      <c r="D263">
        <v>6.5</v>
      </c>
      <c r="F263" s="35">
        <v>1955225652.4000001</v>
      </c>
      <c r="G263" s="34">
        <f>Collateral!K261</f>
        <v>1955226</v>
      </c>
      <c r="H263" s="35">
        <v>179488339.28999999</v>
      </c>
      <c r="I263" s="34">
        <f>Collateral!O261</f>
        <v>179488</v>
      </c>
      <c r="J263" s="35">
        <v>31181153053.5</v>
      </c>
      <c r="K263" s="34">
        <f>Collateral!I261*1000</f>
        <v>31181153000</v>
      </c>
      <c r="L263" s="43">
        <v>2134713991.6900001</v>
      </c>
      <c r="M263" s="42">
        <f t="shared" si="5"/>
        <v>2134713991.6900001</v>
      </c>
    </row>
    <row r="264" spans="1:13" x14ac:dyDescent="0.25">
      <c r="A264" t="s">
        <v>270</v>
      </c>
      <c r="B264">
        <v>0.17227499399999999</v>
      </c>
      <c r="C264">
        <f>Summary!L264/Summary!K264</f>
        <v>0.17227499446514932</v>
      </c>
      <c r="D264">
        <v>6.5</v>
      </c>
      <c r="F264" s="35">
        <v>2394188016.6300001</v>
      </c>
      <c r="G264" s="34">
        <f>Collateral!K262</f>
        <v>2394188</v>
      </c>
      <c r="H264" s="35">
        <v>192295736.31999999</v>
      </c>
      <c r="I264" s="34">
        <f>Collateral!O262</f>
        <v>192296</v>
      </c>
      <c r="J264" s="35">
        <v>33106638015.599998</v>
      </c>
      <c r="K264" s="34">
        <f>Collateral!I262*1000</f>
        <v>33106638000</v>
      </c>
      <c r="L264" s="43">
        <v>2586483752.9499998</v>
      </c>
      <c r="M264" s="42">
        <f t="shared" si="5"/>
        <v>2586483752.9500003</v>
      </c>
    </row>
    <row r="265" spans="1:13" x14ac:dyDescent="0.25">
      <c r="A265" t="s">
        <v>271</v>
      </c>
      <c r="B265">
        <v>0.18460357599999999</v>
      </c>
      <c r="C265">
        <f>Summary!L265/Summary!K265</f>
        <v>0.18460357753864701</v>
      </c>
      <c r="D265">
        <v>6.5</v>
      </c>
      <c r="F265" s="35">
        <v>2417503707.8400002</v>
      </c>
      <c r="G265" s="34">
        <f>Collateral!K263</f>
        <v>2417504</v>
      </c>
      <c r="H265" s="35">
        <v>205235453.19999999</v>
      </c>
      <c r="I265" s="34">
        <f>Collateral!O263</f>
        <v>205235</v>
      </c>
      <c r="J265" s="35">
        <v>35472193756.139999</v>
      </c>
      <c r="K265" s="34">
        <f>Collateral!I263*1000</f>
        <v>35472194000</v>
      </c>
      <c r="L265" s="43">
        <v>2622739161.04</v>
      </c>
      <c r="M265" s="42">
        <f t="shared" si="5"/>
        <v>2622739161.04</v>
      </c>
    </row>
    <row r="266" spans="1:13" x14ac:dyDescent="0.25">
      <c r="A266" t="s">
        <v>272</v>
      </c>
      <c r="B266">
        <v>0.197075585</v>
      </c>
      <c r="C266">
        <f>Summary!L266/Summary!K266</f>
        <v>0.19707558805474304</v>
      </c>
      <c r="D266">
        <v>6.5</v>
      </c>
      <c r="F266" s="35">
        <v>1921782352.9200001</v>
      </c>
      <c r="G266" s="34">
        <f>Collateral!K264</f>
        <v>1921783</v>
      </c>
      <c r="H266" s="35">
        <v>215644795.44999999</v>
      </c>
      <c r="I266" s="34">
        <f>Collateral!O264</f>
        <v>215645</v>
      </c>
      <c r="J266" s="35">
        <v>37889641511.360001</v>
      </c>
      <c r="K266" s="34">
        <f>Collateral!I264*1000</f>
        <v>37889642000</v>
      </c>
      <c r="L266" s="43">
        <v>2137427148.3699999</v>
      </c>
      <c r="M266" s="42">
        <f t="shared" si="5"/>
        <v>2137427148.3700001</v>
      </c>
    </row>
    <row r="267" spans="1:13" x14ac:dyDescent="0.25">
      <c r="A267" t="s">
        <v>273</v>
      </c>
      <c r="B267">
        <v>0.206990808</v>
      </c>
      <c r="C267">
        <f>Summary!L267/Summary!K267</f>
        <v>0.20699080646803045</v>
      </c>
      <c r="D267">
        <v>6.5</v>
      </c>
      <c r="F267" s="35">
        <v>1621055924.4300001</v>
      </c>
      <c r="G267" s="34">
        <f>Collateral!K265</f>
        <v>1621056</v>
      </c>
      <c r="H267" s="35">
        <v>224431216.05000001</v>
      </c>
      <c r="I267" s="34">
        <f>Collateral!O265</f>
        <v>224431</v>
      </c>
      <c r="J267" s="35">
        <v>39812478162.860001</v>
      </c>
      <c r="K267" s="34">
        <f>Collateral!I265*1000</f>
        <v>39812478000</v>
      </c>
      <c r="L267" s="43">
        <v>1845487140.48</v>
      </c>
      <c r="M267" s="42">
        <f t="shared" si="5"/>
        <v>1845487140.48</v>
      </c>
    </row>
    <row r="268" spans="1:13" ht="15.75" thickBot="1" x14ac:dyDescent="0.3">
      <c r="A268" t="s">
        <v>274</v>
      </c>
      <c r="B268">
        <v>0.21543709599999999</v>
      </c>
      <c r="C268">
        <f>Summary!L268/Summary!K268</f>
        <v>0.21543709653164311</v>
      </c>
      <c r="F268" s="33">
        <v>2217845274.96</v>
      </c>
      <c r="G268" s="32">
        <f>Collateral!K266</f>
        <v>2217846</v>
      </c>
      <c r="H268" s="33">
        <v>236609090.18000001</v>
      </c>
      <c r="I268" s="32">
        <f>Collateral!O266</f>
        <v>236609</v>
      </c>
      <c r="J268" s="33">
        <v>41463913787.739998</v>
      </c>
      <c r="K268" s="32">
        <f>Collateral!I266*1000</f>
        <v>41463914000</v>
      </c>
      <c r="L268" s="43">
        <v>2454454365.1399999</v>
      </c>
      <c r="M268" s="42">
        <f>H268+F268</f>
        <v>2454454365.1399999</v>
      </c>
    </row>
    <row r="273" spans="5:5" x14ac:dyDescent="0.25">
      <c r="E273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42BE-228A-4266-B9D1-B0325C3A0F0C}">
  <dimension ref="A1:S266"/>
  <sheetViews>
    <sheetView tabSelected="1" zoomScaleNormal="100" workbookViewId="0">
      <selection activeCell="P30" sqref="P30"/>
    </sheetView>
  </sheetViews>
  <sheetFormatPr defaultRowHeight="15" x14ac:dyDescent="0.25"/>
  <cols>
    <col min="1" max="1" width="7.85546875" bestFit="1" customWidth="1"/>
    <col min="2" max="2" width="23.85546875" bestFit="1" customWidth="1"/>
    <col min="3" max="3" width="7.28515625" bestFit="1" customWidth="1"/>
    <col min="4" max="4" width="6" bestFit="1" customWidth="1"/>
    <col min="5" max="5" width="6" customWidth="1"/>
    <col min="6" max="6" width="5.85546875" bestFit="1" customWidth="1"/>
    <col min="7" max="7" width="6.28515625" bestFit="1" customWidth="1"/>
    <col min="8" max="8" width="16" style="43" bestFit="1" customWidth="1"/>
    <col min="9" max="9" width="12.85546875" style="43" bestFit="1" customWidth="1"/>
    <col min="10" max="10" width="10.5703125" style="43" bestFit="1" customWidth="1"/>
    <col min="11" max="11" width="24.85546875" style="43" bestFit="1" customWidth="1"/>
    <col min="12" max="12" width="11.28515625" style="43" bestFit="1" customWidth="1"/>
    <col min="13" max="13" width="25.85546875" style="43" bestFit="1" customWidth="1"/>
    <col min="14" max="14" width="13.7109375" style="43" bestFit="1" customWidth="1"/>
    <col min="15" max="15" width="16.85546875" style="43" bestFit="1" customWidth="1"/>
    <col min="16" max="16" width="30" bestFit="1" customWidth="1"/>
    <col min="17" max="17" width="13.42578125" bestFit="1" customWidth="1"/>
    <col min="19" max="19" width="11.5703125" bestFit="1" customWidth="1"/>
  </cols>
  <sheetData>
    <row r="1" spans="1:19" x14ac:dyDescent="0.25">
      <c r="A1" t="s">
        <v>0</v>
      </c>
      <c r="B1" t="s">
        <v>571</v>
      </c>
      <c r="C1" t="s">
        <v>543</v>
      </c>
      <c r="D1" t="s">
        <v>552</v>
      </c>
      <c r="E1" t="s">
        <v>576</v>
      </c>
      <c r="F1" t="s">
        <v>551</v>
      </c>
      <c r="G1" t="s">
        <v>550</v>
      </c>
      <c r="H1" s="43" t="s">
        <v>545</v>
      </c>
      <c r="I1" s="43" t="s">
        <v>544</v>
      </c>
      <c r="J1" s="37" t="s">
        <v>570</v>
      </c>
      <c r="K1" s="36" t="s">
        <v>572</v>
      </c>
      <c r="L1" s="37" t="s">
        <v>569</v>
      </c>
      <c r="M1" s="36" t="s">
        <v>575</v>
      </c>
      <c r="N1" s="1" t="s">
        <v>568</v>
      </c>
      <c r="O1" s="37" t="s">
        <v>567</v>
      </c>
      <c r="P1" s="29" t="s">
        <v>574</v>
      </c>
    </row>
    <row r="2" spans="1:19" x14ac:dyDescent="0.25">
      <c r="A2" s="24" t="s">
        <v>541</v>
      </c>
      <c r="B2" s="24" t="s">
        <v>566</v>
      </c>
      <c r="C2" s="24">
        <v>663</v>
      </c>
      <c r="D2" s="24">
        <v>7.2969999999999997</v>
      </c>
      <c r="E2" s="24">
        <f>F2+G2</f>
        <v>356</v>
      </c>
      <c r="F2" s="24">
        <v>349</v>
      </c>
      <c r="G2" s="24">
        <v>7</v>
      </c>
      <c r="H2" s="1">
        <v>18085314</v>
      </c>
      <c r="I2" s="1">
        <v>14985463</v>
      </c>
      <c r="J2" s="22">
        <v>585818</v>
      </c>
      <c r="K2" s="21">
        <f t="shared" ref="K2:K33" si="0">L2+N2</f>
        <v>585818</v>
      </c>
      <c r="L2" s="22">
        <v>12912</v>
      </c>
      <c r="M2" s="21">
        <f t="shared" ref="M2:M65" si="1">(D2/100/12)/((1+D2/100/12)^F2-1)*I2</f>
        <v>12489.441284896189</v>
      </c>
      <c r="N2" s="1">
        <v>572906</v>
      </c>
      <c r="O2" s="22">
        <v>84344</v>
      </c>
      <c r="P2" s="21">
        <f t="shared" ref="P2:P65" si="2">D2/100/12*I2</f>
        <v>91124.102925833329</v>
      </c>
      <c r="Q2" s="42"/>
      <c r="S2" s="40"/>
    </row>
    <row r="3" spans="1:19" x14ac:dyDescent="0.25">
      <c r="A3" s="24" t="s">
        <v>540</v>
      </c>
      <c r="B3" s="24" t="s">
        <v>566</v>
      </c>
      <c r="C3" s="24">
        <v>630</v>
      </c>
      <c r="D3" s="24">
        <v>7.2960000000000003</v>
      </c>
      <c r="E3" s="24">
        <f t="shared" ref="E3:E66" si="3">F3+G3</f>
        <v>356</v>
      </c>
      <c r="F3" s="24">
        <v>350</v>
      </c>
      <c r="G3" s="24">
        <v>6</v>
      </c>
      <c r="H3" s="1">
        <v>17523423</v>
      </c>
      <c r="I3" s="1">
        <v>15008633</v>
      </c>
      <c r="J3" s="22">
        <v>499044</v>
      </c>
      <c r="K3" s="21">
        <f t="shared" si="0"/>
        <v>499044</v>
      </c>
      <c r="L3" s="22">
        <v>12793</v>
      </c>
      <c r="M3" s="21">
        <f t="shared" si="1"/>
        <v>12425.246419848507</v>
      </c>
      <c r="N3" s="1">
        <v>486251</v>
      </c>
      <c r="O3" s="22">
        <v>84000</v>
      </c>
      <c r="P3" s="21">
        <f t="shared" si="2"/>
        <v>91252.488639999996</v>
      </c>
      <c r="Q3" s="42"/>
      <c r="S3" s="40"/>
    </row>
    <row r="4" spans="1:19" x14ac:dyDescent="0.25">
      <c r="A4" s="24" t="s">
        <v>539</v>
      </c>
      <c r="B4" s="24" t="s">
        <v>566</v>
      </c>
      <c r="C4" s="24">
        <v>589</v>
      </c>
      <c r="D4" s="24">
        <v>7.2930000000000001</v>
      </c>
      <c r="E4" s="24">
        <f t="shared" si="3"/>
        <v>356</v>
      </c>
      <c r="F4" s="24">
        <v>351</v>
      </c>
      <c r="G4" s="24">
        <v>5</v>
      </c>
      <c r="H4" s="1">
        <v>16879462</v>
      </c>
      <c r="I4" s="1">
        <v>14862275</v>
      </c>
      <c r="J4" s="22">
        <v>691453</v>
      </c>
      <c r="K4" s="21">
        <f t="shared" si="0"/>
        <v>691453</v>
      </c>
      <c r="L4" s="22">
        <v>12729</v>
      </c>
      <c r="M4" s="21">
        <f t="shared" si="1"/>
        <v>12226.745053263545</v>
      </c>
      <c r="N4" s="1">
        <v>678724</v>
      </c>
      <c r="O4" s="22">
        <v>84249</v>
      </c>
      <c r="P4" s="21">
        <f t="shared" si="2"/>
        <v>90325.476312499988</v>
      </c>
      <c r="Q4" s="42"/>
      <c r="S4" s="40"/>
    </row>
    <row r="5" spans="1:19" x14ac:dyDescent="0.25">
      <c r="A5" s="24" t="s">
        <v>538</v>
      </c>
      <c r="B5" s="24" t="s">
        <v>566</v>
      </c>
      <c r="C5" s="24">
        <v>531</v>
      </c>
      <c r="D5" s="24">
        <v>7.2910000000000004</v>
      </c>
      <c r="E5" s="24">
        <f t="shared" si="3"/>
        <v>356</v>
      </c>
      <c r="F5" s="24">
        <v>352</v>
      </c>
      <c r="G5" s="24">
        <v>4</v>
      </c>
      <c r="H5" s="1">
        <v>16006212</v>
      </c>
      <c r="I5" s="1">
        <v>14682080</v>
      </c>
      <c r="J5" s="22">
        <v>406981</v>
      </c>
      <c r="K5" s="21">
        <f t="shared" si="0"/>
        <v>406981</v>
      </c>
      <c r="L5" s="22">
        <v>12275</v>
      </c>
      <c r="M5" s="21">
        <f t="shared" si="1"/>
        <v>12000.377949651987</v>
      </c>
      <c r="N5" s="1">
        <v>394706</v>
      </c>
      <c r="O5" s="22">
        <v>81732</v>
      </c>
      <c r="P5" s="21">
        <f t="shared" si="2"/>
        <v>89205.871066666659</v>
      </c>
      <c r="Q5" s="42"/>
    </row>
    <row r="6" spans="1:19" x14ac:dyDescent="0.25">
      <c r="A6" s="24" t="s">
        <v>537</v>
      </c>
      <c r="B6" s="24" t="s">
        <v>566</v>
      </c>
      <c r="C6" s="24">
        <v>462</v>
      </c>
      <c r="D6" s="24">
        <v>7.2839999999999998</v>
      </c>
      <c r="E6" s="24">
        <f t="shared" si="3"/>
        <v>356</v>
      </c>
      <c r="F6" s="24">
        <v>352</v>
      </c>
      <c r="G6" s="24">
        <v>4</v>
      </c>
      <c r="H6" s="1">
        <v>14265919</v>
      </c>
      <c r="I6" s="1">
        <v>13348259</v>
      </c>
      <c r="J6" s="22">
        <v>268276</v>
      </c>
      <c r="K6" s="21">
        <f t="shared" si="0"/>
        <v>268276</v>
      </c>
      <c r="L6" s="22">
        <v>11013</v>
      </c>
      <c r="M6" s="21">
        <f t="shared" si="1"/>
        <v>10924.977389190404</v>
      </c>
      <c r="N6" s="1">
        <v>257263</v>
      </c>
      <c r="O6" s="22">
        <v>73756</v>
      </c>
      <c r="P6" s="21">
        <f t="shared" si="2"/>
        <v>81023.932130000001</v>
      </c>
      <c r="Q6" s="42"/>
    </row>
    <row r="7" spans="1:19" x14ac:dyDescent="0.25">
      <c r="A7" s="24" t="s">
        <v>536</v>
      </c>
      <c r="B7" s="24" t="s">
        <v>566</v>
      </c>
      <c r="C7" s="24">
        <v>396</v>
      </c>
      <c r="D7" s="24">
        <v>7.28</v>
      </c>
      <c r="E7" s="24">
        <f t="shared" si="3"/>
        <v>356</v>
      </c>
      <c r="F7" s="24">
        <v>353</v>
      </c>
      <c r="G7" s="24">
        <v>3</v>
      </c>
      <c r="H7" s="1">
        <v>12597246</v>
      </c>
      <c r="I7" s="1">
        <v>11947862</v>
      </c>
      <c r="J7" s="22">
        <v>205618</v>
      </c>
      <c r="K7" s="21">
        <f t="shared" si="0"/>
        <v>205618</v>
      </c>
      <c r="L7" s="22">
        <v>9784</v>
      </c>
      <c r="M7" s="21">
        <f t="shared" si="1"/>
        <v>9719.4614677945319</v>
      </c>
      <c r="N7" s="1">
        <v>195834</v>
      </c>
      <c r="O7" s="22">
        <v>65831</v>
      </c>
      <c r="P7" s="21">
        <f t="shared" si="2"/>
        <v>72483.696133333346</v>
      </c>
      <c r="Q7" s="42"/>
    </row>
    <row r="8" spans="1:19" x14ac:dyDescent="0.25">
      <c r="A8" s="24" t="s">
        <v>535</v>
      </c>
      <c r="B8" s="24" t="s">
        <v>566</v>
      </c>
      <c r="C8" s="24">
        <v>332</v>
      </c>
      <c r="D8" s="24">
        <v>7.282</v>
      </c>
      <c r="E8" s="24">
        <f t="shared" si="3"/>
        <v>357</v>
      </c>
      <c r="F8" s="24">
        <v>354</v>
      </c>
      <c r="G8" s="24">
        <v>3</v>
      </c>
      <c r="H8" s="1">
        <v>10706609</v>
      </c>
      <c r="I8" s="1">
        <v>10261362</v>
      </c>
      <c r="J8" s="22">
        <v>166686</v>
      </c>
      <c r="K8" s="21">
        <f t="shared" si="0"/>
        <v>166686</v>
      </c>
      <c r="L8" s="22">
        <v>8345</v>
      </c>
      <c r="M8" s="21">
        <f t="shared" si="1"/>
        <v>8287.2402921307312</v>
      </c>
      <c r="N8" s="1">
        <v>158341</v>
      </c>
      <c r="O8" s="22">
        <v>56485</v>
      </c>
      <c r="P8" s="21">
        <f t="shared" si="2"/>
        <v>62269.365069999993</v>
      </c>
      <c r="Q8" s="42"/>
    </row>
    <row r="9" spans="1:19" x14ac:dyDescent="0.25">
      <c r="A9" s="24" t="s">
        <v>534</v>
      </c>
      <c r="B9" s="24" t="s">
        <v>566</v>
      </c>
      <c r="C9" s="24">
        <v>241</v>
      </c>
      <c r="D9" s="24">
        <v>7.2889999999999997</v>
      </c>
      <c r="E9" s="24">
        <f t="shared" si="3"/>
        <v>356</v>
      </c>
      <c r="F9" s="24">
        <v>354</v>
      </c>
      <c r="G9" s="24">
        <v>2</v>
      </c>
      <c r="H9" s="1">
        <v>7933717</v>
      </c>
      <c r="I9" s="1">
        <v>7655155</v>
      </c>
      <c r="J9" s="22">
        <v>123069</v>
      </c>
      <c r="K9" s="21">
        <f t="shared" si="0"/>
        <v>123069</v>
      </c>
      <c r="L9" s="22">
        <v>6182</v>
      </c>
      <c r="M9" s="21">
        <f t="shared" si="1"/>
        <v>6173.9951513871692</v>
      </c>
      <c r="N9" s="1">
        <v>116887</v>
      </c>
      <c r="O9" s="22">
        <v>42132</v>
      </c>
      <c r="P9" s="21">
        <f t="shared" si="2"/>
        <v>46498.687329166663</v>
      </c>
      <c r="Q9" s="42"/>
    </row>
    <row r="10" spans="1:19" x14ac:dyDescent="0.25">
      <c r="A10" s="12" t="s">
        <v>533</v>
      </c>
      <c r="B10" s="12" t="s">
        <v>565</v>
      </c>
      <c r="C10" s="12">
        <v>1024</v>
      </c>
      <c r="D10" s="12">
        <v>7.4</v>
      </c>
      <c r="E10" s="12">
        <f t="shared" si="3"/>
        <v>355</v>
      </c>
      <c r="F10" s="12">
        <v>346</v>
      </c>
      <c r="G10" s="12">
        <v>9</v>
      </c>
      <c r="H10" s="1">
        <v>17744028</v>
      </c>
      <c r="I10" s="1">
        <v>14918285</v>
      </c>
      <c r="J10" s="10">
        <v>480125</v>
      </c>
      <c r="K10" s="9">
        <f t="shared" si="0"/>
        <v>480125</v>
      </c>
      <c r="L10" s="10">
        <v>12749</v>
      </c>
      <c r="M10" s="9">
        <f t="shared" si="1"/>
        <v>12447.677250451989</v>
      </c>
      <c r="N10" s="1">
        <v>467376</v>
      </c>
      <c r="O10" s="10">
        <v>83405</v>
      </c>
      <c r="P10" s="9">
        <f t="shared" si="2"/>
        <v>91996.09083333335</v>
      </c>
      <c r="Q10" s="42"/>
    </row>
    <row r="11" spans="1:19" x14ac:dyDescent="0.25">
      <c r="A11" s="12" t="s">
        <v>532</v>
      </c>
      <c r="B11" s="12" t="s">
        <v>565</v>
      </c>
      <c r="C11" s="12">
        <v>1025</v>
      </c>
      <c r="D11" s="12">
        <v>7.4020000000000001</v>
      </c>
      <c r="E11" s="12">
        <f t="shared" si="3"/>
        <v>355</v>
      </c>
      <c r="F11" s="12">
        <v>347</v>
      </c>
      <c r="G11" s="12">
        <v>8</v>
      </c>
      <c r="H11" s="1">
        <v>17915189</v>
      </c>
      <c r="I11" s="1">
        <v>15532481</v>
      </c>
      <c r="J11" s="10">
        <v>365763</v>
      </c>
      <c r="K11" s="9">
        <f t="shared" si="0"/>
        <v>365763</v>
      </c>
      <c r="L11" s="10">
        <v>13051</v>
      </c>
      <c r="M11" s="9">
        <f t="shared" si="1"/>
        <v>12865.14031211781</v>
      </c>
      <c r="N11" s="1">
        <v>352712</v>
      </c>
      <c r="O11" s="10">
        <v>86113</v>
      </c>
      <c r="P11" s="9">
        <f t="shared" si="2"/>
        <v>95809.520301666678</v>
      </c>
      <c r="Q11" s="42"/>
    </row>
    <row r="12" spans="1:19" x14ac:dyDescent="0.25">
      <c r="A12" s="12" t="s">
        <v>531</v>
      </c>
      <c r="B12" s="12" t="s">
        <v>565</v>
      </c>
      <c r="C12" s="12">
        <v>1017</v>
      </c>
      <c r="D12" s="12">
        <v>7.4029999999999996</v>
      </c>
      <c r="E12" s="12">
        <f t="shared" si="3"/>
        <v>355</v>
      </c>
      <c r="F12" s="12">
        <v>348</v>
      </c>
      <c r="G12" s="12">
        <v>7</v>
      </c>
      <c r="H12" s="1">
        <v>17992546</v>
      </c>
      <c r="I12" s="1">
        <v>15964732</v>
      </c>
      <c r="J12" s="10">
        <v>207750</v>
      </c>
      <c r="K12" s="9">
        <f t="shared" si="0"/>
        <v>207750</v>
      </c>
      <c r="L12" s="10">
        <v>13166</v>
      </c>
      <c r="M12" s="9">
        <f t="shared" si="1"/>
        <v>13128.772666418472</v>
      </c>
      <c r="N12" s="1">
        <v>194584</v>
      </c>
      <c r="O12" s="10">
        <v>87598</v>
      </c>
      <c r="P12" s="9">
        <f t="shared" si="2"/>
        <v>98489.092496666664</v>
      </c>
      <c r="Q12" s="42"/>
    </row>
    <row r="13" spans="1:19" x14ac:dyDescent="0.25">
      <c r="A13" s="12" t="s">
        <v>530</v>
      </c>
      <c r="B13" s="12" t="s">
        <v>565</v>
      </c>
      <c r="C13" s="12">
        <v>960</v>
      </c>
      <c r="D13" s="12">
        <v>7.4109999999999996</v>
      </c>
      <c r="E13" s="12">
        <f t="shared" si="3"/>
        <v>356</v>
      </c>
      <c r="F13" s="12">
        <v>349</v>
      </c>
      <c r="G13" s="12">
        <v>7</v>
      </c>
      <c r="H13" s="1">
        <v>22458321</v>
      </c>
      <c r="I13" s="1">
        <v>20161842</v>
      </c>
      <c r="J13" s="10">
        <v>310014</v>
      </c>
      <c r="K13" s="9">
        <f t="shared" si="0"/>
        <v>310014</v>
      </c>
      <c r="L13" s="10">
        <v>16497</v>
      </c>
      <c r="M13" s="9">
        <f t="shared" si="1"/>
        <v>16439.890637445544</v>
      </c>
      <c r="N13" s="1">
        <v>293517</v>
      </c>
      <c r="O13" s="10">
        <v>110887</v>
      </c>
      <c r="P13" s="9">
        <f t="shared" si="2"/>
        <v>124516.17588499999</v>
      </c>
      <c r="Q13" s="42"/>
    </row>
    <row r="14" spans="1:19" x14ac:dyDescent="0.25">
      <c r="A14" s="12" t="s">
        <v>529</v>
      </c>
      <c r="B14" s="12" t="s">
        <v>565</v>
      </c>
      <c r="C14" s="12">
        <v>832</v>
      </c>
      <c r="D14" s="12">
        <v>7.431</v>
      </c>
      <c r="E14" s="12">
        <f t="shared" si="3"/>
        <v>356</v>
      </c>
      <c r="F14" s="12">
        <v>350</v>
      </c>
      <c r="G14" s="12">
        <v>6</v>
      </c>
      <c r="H14" s="1">
        <v>24365243</v>
      </c>
      <c r="I14" s="1">
        <v>22066943</v>
      </c>
      <c r="J14" s="10">
        <v>407809</v>
      </c>
      <c r="K14" s="9">
        <f t="shared" si="0"/>
        <v>407809</v>
      </c>
      <c r="L14" s="10">
        <v>17944</v>
      </c>
      <c r="M14" s="9">
        <f t="shared" si="1"/>
        <v>17799.540734322698</v>
      </c>
      <c r="N14" s="1">
        <v>389865</v>
      </c>
      <c r="O14" s="10">
        <v>121737</v>
      </c>
      <c r="P14" s="9">
        <f t="shared" si="2"/>
        <v>136649.54452749999</v>
      </c>
      <c r="Q14" s="42"/>
    </row>
    <row r="15" spans="1:19" x14ac:dyDescent="0.25">
      <c r="A15" s="12" t="s">
        <v>528</v>
      </c>
      <c r="B15" s="12" t="s">
        <v>565</v>
      </c>
      <c r="C15" s="12">
        <v>763</v>
      </c>
      <c r="D15" s="12">
        <v>7.4359999999999999</v>
      </c>
      <c r="E15" s="12">
        <f t="shared" si="3"/>
        <v>356</v>
      </c>
      <c r="F15" s="12">
        <v>351</v>
      </c>
      <c r="G15" s="12">
        <v>5</v>
      </c>
      <c r="H15" s="1">
        <v>24032419</v>
      </c>
      <c r="I15" s="1">
        <v>22015375</v>
      </c>
      <c r="J15" s="10">
        <v>425244</v>
      </c>
      <c r="K15" s="9">
        <f t="shared" si="0"/>
        <v>425244</v>
      </c>
      <c r="L15" s="10">
        <v>17812</v>
      </c>
      <c r="M15" s="9">
        <f t="shared" si="1"/>
        <v>17617.444445517125</v>
      </c>
      <c r="N15" s="1">
        <v>407432</v>
      </c>
      <c r="O15" s="10">
        <v>121552</v>
      </c>
      <c r="P15" s="9">
        <f t="shared" si="2"/>
        <v>136421.94041666665</v>
      </c>
      <c r="Q15" s="42"/>
    </row>
    <row r="16" spans="1:19" x14ac:dyDescent="0.25">
      <c r="A16" s="12" t="s">
        <v>527</v>
      </c>
      <c r="B16" s="12" t="s">
        <v>565</v>
      </c>
      <c r="C16" s="12">
        <v>705</v>
      </c>
      <c r="D16" s="12">
        <v>7.44</v>
      </c>
      <c r="E16" s="12">
        <f t="shared" si="3"/>
        <v>357</v>
      </c>
      <c r="F16" s="12">
        <v>352</v>
      </c>
      <c r="G16" s="12">
        <v>5</v>
      </c>
      <c r="H16" s="1">
        <v>25338865</v>
      </c>
      <c r="I16" s="1">
        <v>23503177</v>
      </c>
      <c r="J16" s="10">
        <v>664636</v>
      </c>
      <c r="K16" s="9">
        <f t="shared" si="0"/>
        <v>664635</v>
      </c>
      <c r="L16" s="10">
        <v>19042</v>
      </c>
      <c r="M16" s="9">
        <f t="shared" si="1"/>
        <v>18662.829079898005</v>
      </c>
      <c r="N16" s="1">
        <v>645593</v>
      </c>
      <c r="O16" s="10">
        <v>130908</v>
      </c>
      <c r="P16" s="9">
        <f t="shared" si="2"/>
        <v>145719.6974</v>
      </c>
      <c r="Q16" s="42"/>
    </row>
    <row r="17" spans="1:17" x14ac:dyDescent="0.25">
      <c r="A17" s="12" t="s">
        <v>526</v>
      </c>
      <c r="B17" s="12" t="s">
        <v>565</v>
      </c>
      <c r="C17" s="12">
        <v>648</v>
      </c>
      <c r="D17" s="12">
        <v>7.4409999999999998</v>
      </c>
      <c r="E17" s="12">
        <f t="shared" si="3"/>
        <v>357</v>
      </c>
      <c r="F17" s="12">
        <v>353</v>
      </c>
      <c r="G17" s="12">
        <v>4</v>
      </c>
      <c r="H17" s="1">
        <v>25506579</v>
      </c>
      <c r="I17" s="1">
        <v>24271618</v>
      </c>
      <c r="J17" s="10">
        <v>416871</v>
      </c>
      <c r="K17" s="9">
        <f t="shared" si="0"/>
        <v>416871</v>
      </c>
      <c r="L17" s="10">
        <v>19276</v>
      </c>
      <c r="M17" s="9">
        <f t="shared" si="1"/>
        <v>19135.41936943727</v>
      </c>
      <c r="N17" s="1">
        <v>397595</v>
      </c>
      <c r="O17" s="10">
        <v>133728</v>
      </c>
      <c r="P17" s="9">
        <f t="shared" si="2"/>
        <v>150504.25794833334</v>
      </c>
      <c r="Q17" s="42"/>
    </row>
    <row r="18" spans="1:17" x14ac:dyDescent="0.25">
      <c r="A18" s="12" t="s">
        <v>525</v>
      </c>
      <c r="B18" s="12" t="s">
        <v>565</v>
      </c>
      <c r="C18" s="12">
        <v>550</v>
      </c>
      <c r="D18" s="12">
        <v>7.44</v>
      </c>
      <c r="E18" s="12">
        <f t="shared" si="3"/>
        <v>357</v>
      </c>
      <c r="F18" s="12">
        <v>354</v>
      </c>
      <c r="G18" s="12">
        <v>3</v>
      </c>
      <c r="H18" s="1">
        <v>23172648</v>
      </c>
      <c r="I18" s="1">
        <v>22348664</v>
      </c>
      <c r="J18" s="10">
        <v>323654</v>
      </c>
      <c r="K18" s="9">
        <f t="shared" si="0"/>
        <v>323654</v>
      </c>
      <c r="L18" s="10">
        <v>17543</v>
      </c>
      <c r="M18" s="9">
        <f t="shared" si="1"/>
        <v>17500.523433283539</v>
      </c>
      <c r="N18" s="1">
        <v>306111</v>
      </c>
      <c r="O18" s="10">
        <v>122808</v>
      </c>
      <c r="P18" s="9">
        <f t="shared" si="2"/>
        <v>138561.71680000002</v>
      </c>
      <c r="Q18" s="42"/>
    </row>
    <row r="19" spans="1:17" x14ac:dyDescent="0.25">
      <c r="A19" s="12" t="s">
        <v>524</v>
      </c>
      <c r="B19" s="12" t="s">
        <v>565</v>
      </c>
      <c r="C19" s="12">
        <v>430</v>
      </c>
      <c r="D19" s="12">
        <v>7.44</v>
      </c>
      <c r="E19" s="12">
        <f t="shared" si="3"/>
        <v>357</v>
      </c>
      <c r="F19" s="12">
        <v>355</v>
      </c>
      <c r="G19" s="12">
        <v>2</v>
      </c>
      <c r="H19" s="1">
        <v>18877621</v>
      </c>
      <c r="I19" s="1">
        <v>18361098</v>
      </c>
      <c r="J19" s="10">
        <v>241807</v>
      </c>
      <c r="K19" s="9">
        <f t="shared" si="0"/>
        <v>241807</v>
      </c>
      <c r="L19" s="10">
        <v>14289</v>
      </c>
      <c r="M19" s="9">
        <f t="shared" si="1"/>
        <v>14278.281920859506</v>
      </c>
      <c r="N19" s="1">
        <v>227518</v>
      </c>
      <c r="O19" s="10">
        <v>100765</v>
      </c>
      <c r="P19" s="9">
        <f t="shared" si="2"/>
        <v>113838.80760000001</v>
      </c>
      <c r="Q19" s="42"/>
    </row>
    <row r="20" spans="1:17" x14ac:dyDescent="0.25">
      <c r="A20" s="12" t="s">
        <v>523</v>
      </c>
      <c r="B20" s="12" t="s">
        <v>565</v>
      </c>
      <c r="C20" s="12">
        <v>313</v>
      </c>
      <c r="D20" s="12">
        <v>7.4390000000000001</v>
      </c>
      <c r="E20" s="12">
        <f t="shared" si="3"/>
        <v>358</v>
      </c>
      <c r="F20" s="12">
        <v>356</v>
      </c>
      <c r="G20" s="12">
        <v>2</v>
      </c>
      <c r="H20" s="1">
        <v>13556227</v>
      </c>
      <c r="I20" s="1">
        <v>13265215</v>
      </c>
      <c r="J20" s="10">
        <v>133103</v>
      </c>
      <c r="K20" s="9">
        <f t="shared" si="0"/>
        <v>133103</v>
      </c>
      <c r="L20" s="10">
        <v>10227</v>
      </c>
      <c r="M20" s="9">
        <f t="shared" si="1"/>
        <v>10246.071756428199</v>
      </c>
      <c r="N20" s="1">
        <v>122876</v>
      </c>
      <c r="O20" s="10">
        <v>72574</v>
      </c>
      <c r="P20" s="9">
        <f t="shared" si="2"/>
        <v>82233.278654166657</v>
      </c>
      <c r="Q20" s="42"/>
    </row>
    <row r="21" spans="1:17" x14ac:dyDescent="0.25">
      <c r="A21" s="12" t="s">
        <v>522</v>
      </c>
      <c r="B21" s="12" t="s">
        <v>565</v>
      </c>
      <c r="C21" s="12">
        <v>193</v>
      </c>
      <c r="D21" s="12">
        <v>7.4429999999999996</v>
      </c>
      <c r="E21" s="12">
        <f t="shared" si="3"/>
        <v>358</v>
      </c>
      <c r="F21" s="12">
        <v>356</v>
      </c>
      <c r="G21" s="12">
        <v>2</v>
      </c>
      <c r="H21" s="1">
        <v>6858487</v>
      </c>
      <c r="I21" s="1">
        <v>6696383</v>
      </c>
      <c r="J21" s="10">
        <v>91137</v>
      </c>
      <c r="K21" s="9">
        <f t="shared" si="0"/>
        <v>91137</v>
      </c>
      <c r="L21" s="10">
        <v>5191</v>
      </c>
      <c r="M21" s="9">
        <f t="shared" si="1"/>
        <v>5168.2187036675159</v>
      </c>
      <c r="N21" s="1">
        <v>85946</v>
      </c>
      <c r="O21" s="10">
        <v>36765</v>
      </c>
      <c r="P21" s="9">
        <f t="shared" si="2"/>
        <v>41534.315557499998</v>
      </c>
      <c r="Q21" s="42"/>
    </row>
    <row r="22" spans="1:17" x14ac:dyDescent="0.25">
      <c r="A22" s="4" t="s">
        <v>521</v>
      </c>
      <c r="B22" s="4" t="s">
        <v>564</v>
      </c>
      <c r="C22" s="4">
        <v>1203</v>
      </c>
      <c r="D22" s="4">
        <v>7.4039999999999999</v>
      </c>
      <c r="E22" s="4">
        <f t="shared" si="3"/>
        <v>355</v>
      </c>
      <c r="F22" s="4">
        <v>349</v>
      </c>
      <c r="G22" s="4">
        <v>6</v>
      </c>
      <c r="H22" s="1">
        <v>46459694</v>
      </c>
      <c r="I22" s="1">
        <v>43041409</v>
      </c>
      <c r="J22" s="3">
        <v>594288</v>
      </c>
      <c r="K22" s="2">
        <f t="shared" si="0"/>
        <v>594289</v>
      </c>
      <c r="L22" s="3">
        <v>35205</v>
      </c>
      <c r="M22" s="2">
        <f t="shared" si="1"/>
        <v>35143.067945721414</v>
      </c>
      <c r="N22" s="1">
        <v>559084</v>
      </c>
      <c r="O22" s="3">
        <v>236358</v>
      </c>
      <c r="P22" s="2">
        <f t="shared" si="2"/>
        <v>265565.49352999998</v>
      </c>
      <c r="Q22" s="42"/>
    </row>
    <row r="23" spans="1:17" x14ac:dyDescent="0.25">
      <c r="A23" s="4" t="s">
        <v>520</v>
      </c>
      <c r="B23" s="4" t="s">
        <v>564</v>
      </c>
      <c r="C23" s="4">
        <v>1201</v>
      </c>
      <c r="D23" s="4">
        <v>7.4009999999999998</v>
      </c>
      <c r="E23" s="4">
        <f t="shared" si="3"/>
        <v>357</v>
      </c>
      <c r="F23" s="4">
        <v>351</v>
      </c>
      <c r="G23" s="4">
        <v>6</v>
      </c>
      <c r="H23" s="1">
        <v>49119988</v>
      </c>
      <c r="I23" s="1">
        <v>46068484</v>
      </c>
      <c r="J23" s="3">
        <v>593793</v>
      </c>
      <c r="K23" s="2">
        <f t="shared" si="0"/>
        <v>593793</v>
      </c>
      <c r="L23" s="3">
        <v>37366</v>
      </c>
      <c r="M23" s="2">
        <f t="shared" si="1"/>
        <v>37116.282305043147</v>
      </c>
      <c r="N23" s="1">
        <v>556427</v>
      </c>
      <c r="O23" s="3">
        <v>252752</v>
      </c>
      <c r="P23" s="2">
        <f t="shared" si="2"/>
        <v>284127.37506999995</v>
      </c>
      <c r="Q23" s="42"/>
    </row>
    <row r="24" spans="1:17" x14ac:dyDescent="0.25">
      <c r="A24" s="4" t="s">
        <v>519</v>
      </c>
      <c r="B24" s="4" t="s">
        <v>564</v>
      </c>
      <c r="C24" s="4">
        <v>1177</v>
      </c>
      <c r="D24" s="4">
        <v>7.4</v>
      </c>
      <c r="E24" s="4">
        <f t="shared" si="3"/>
        <v>357</v>
      </c>
      <c r="F24" s="4">
        <v>352</v>
      </c>
      <c r="G24" s="4">
        <v>5</v>
      </c>
      <c r="H24" s="1">
        <v>49442171</v>
      </c>
      <c r="I24" s="1">
        <v>46927440</v>
      </c>
      <c r="J24" s="3">
        <v>664920</v>
      </c>
      <c r="K24" s="2">
        <f t="shared" si="0"/>
        <v>664919</v>
      </c>
      <c r="L24" s="3">
        <v>37779</v>
      </c>
      <c r="M24" s="2">
        <f t="shared" si="1"/>
        <v>37553.797929691602</v>
      </c>
      <c r="N24" s="1">
        <v>627140</v>
      </c>
      <c r="O24" s="3">
        <v>257790</v>
      </c>
      <c r="P24" s="2">
        <f t="shared" si="2"/>
        <v>289385.88000000006</v>
      </c>
      <c r="Q24" s="42"/>
    </row>
    <row r="25" spans="1:17" x14ac:dyDescent="0.25">
      <c r="A25" s="4" t="s">
        <v>518</v>
      </c>
      <c r="B25" s="4" t="s">
        <v>564</v>
      </c>
      <c r="C25" s="4">
        <v>1094</v>
      </c>
      <c r="D25" s="4">
        <v>7.3920000000000003</v>
      </c>
      <c r="E25" s="4">
        <f t="shared" si="3"/>
        <v>357</v>
      </c>
      <c r="F25" s="4">
        <v>353</v>
      </c>
      <c r="G25" s="4">
        <v>4</v>
      </c>
      <c r="H25" s="1">
        <v>50293509</v>
      </c>
      <c r="I25" s="1">
        <v>48174550</v>
      </c>
      <c r="J25" s="3">
        <v>646668</v>
      </c>
      <c r="K25" s="2">
        <f t="shared" si="0"/>
        <v>646669</v>
      </c>
      <c r="L25" s="3">
        <v>38551</v>
      </c>
      <c r="M25" s="2">
        <f t="shared" si="1"/>
        <v>38344.807523878757</v>
      </c>
      <c r="N25" s="1">
        <v>608118</v>
      </c>
      <c r="O25" s="3">
        <v>264446</v>
      </c>
      <c r="P25" s="2">
        <f t="shared" si="2"/>
        <v>296755.228</v>
      </c>
      <c r="Q25" s="42"/>
    </row>
    <row r="26" spans="1:17" x14ac:dyDescent="0.25">
      <c r="A26" s="4" t="s">
        <v>517</v>
      </c>
      <c r="B26" s="4" t="s">
        <v>564</v>
      </c>
      <c r="C26" s="4">
        <v>944</v>
      </c>
      <c r="D26" s="4">
        <v>7.383</v>
      </c>
      <c r="E26" s="4">
        <f t="shared" si="3"/>
        <v>357</v>
      </c>
      <c r="F26" s="4">
        <v>354</v>
      </c>
      <c r="G26" s="4">
        <v>3</v>
      </c>
      <c r="H26" s="1">
        <v>43998684</v>
      </c>
      <c r="I26" s="1">
        <v>42492385</v>
      </c>
      <c r="J26" s="3">
        <v>396204</v>
      </c>
      <c r="K26" s="2">
        <f t="shared" si="0"/>
        <v>396204</v>
      </c>
      <c r="L26" s="3">
        <v>33687</v>
      </c>
      <c r="M26" s="2">
        <f t="shared" si="1"/>
        <v>33647.570362303253</v>
      </c>
      <c r="N26" s="1">
        <v>362517</v>
      </c>
      <c r="O26" s="3">
        <v>232311</v>
      </c>
      <c r="P26" s="2">
        <f t="shared" si="2"/>
        <v>261434.39871250003</v>
      </c>
      <c r="Q26" s="42"/>
    </row>
    <row r="27" spans="1:17" x14ac:dyDescent="0.25">
      <c r="A27" s="4" t="s">
        <v>516</v>
      </c>
      <c r="B27" s="4" t="s">
        <v>564</v>
      </c>
      <c r="C27" s="4">
        <v>771</v>
      </c>
      <c r="D27" s="4">
        <v>7.3630000000000004</v>
      </c>
      <c r="E27" s="4">
        <f t="shared" si="3"/>
        <v>357</v>
      </c>
      <c r="F27" s="4">
        <v>354</v>
      </c>
      <c r="G27" s="4">
        <v>3</v>
      </c>
      <c r="H27" s="1">
        <v>35037819</v>
      </c>
      <c r="I27" s="1">
        <v>33921640</v>
      </c>
      <c r="J27" s="3">
        <v>316497</v>
      </c>
      <c r="K27" s="2">
        <f t="shared" si="0"/>
        <v>316497</v>
      </c>
      <c r="L27" s="3">
        <v>26905</v>
      </c>
      <c r="M27" s="2">
        <f t="shared" si="1"/>
        <v>26966.024268885558</v>
      </c>
      <c r="N27" s="1">
        <v>289592</v>
      </c>
      <c r="O27" s="3">
        <v>185454</v>
      </c>
      <c r="P27" s="2">
        <f t="shared" si="2"/>
        <v>208137.52943333334</v>
      </c>
      <c r="Q27" s="42"/>
    </row>
    <row r="28" spans="1:17" x14ac:dyDescent="0.25">
      <c r="A28" s="4" t="s">
        <v>515</v>
      </c>
      <c r="B28" s="4" t="s">
        <v>564</v>
      </c>
      <c r="C28" s="4">
        <v>591</v>
      </c>
      <c r="D28" s="4">
        <v>7.34</v>
      </c>
      <c r="E28" s="4">
        <f t="shared" si="3"/>
        <v>357</v>
      </c>
      <c r="F28" s="4">
        <v>354</v>
      </c>
      <c r="G28" s="4">
        <v>3</v>
      </c>
      <c r="H28" s="1">
        <v>25345189</v>
      </c>
      <c r="I28" s="1">
        <v>24542910</v>
      </c>
      <c r="J28" s="3">
        <v>255470</v>
      </c>
      <c r="K28" s="2">
        <f t="shared" si="0"/>
        <v>255470</v>
      </c>
      <c r="L28" s="3">
        <v>19520</v>
      </c>
      <c r="M28" s="2">
        <f t="shared" si="1"/>
        <v>19598.238299625769</v>
      </c>
      <c r="N28" s="1">
        <v>235950</v>
      </c>
      <c r="O28" s="3">
        <v>134322</v>
      </c>
      <c r="P28" s="2">
        <f t="shared" si="2"/>
        <v>150120.79949999999</v>
      </c>
      <c r="Q28" s="42"/>
    </row>
    <row r="29" spans="1:17" x14ac:dyDescent="0.25">
      <c r="A29" s="4" t="s">
        <v>514</v>
      </c>
      <c r="B29" s="4" t="s">
        <v>564</v>
      </c>
      <c r="C29" s="4">
        <v>453</v>
      </c>
      <c r="D29" s="4">
        <v>7.335</v>
      </c>
      <c r="E29" s="4">
        <f t="shared" si="3"/>
        <v>358</v>
      </c>
      <c r="F29" s="4">
        <v>355</v>
      </c>
      <c r="G29" s="4">
        <v>3</v>
      </c>
      <c r="H29" s="1">
        <v>19045535</v>
      </c>
      <c r="I29" s="1">
        <v>18470353</v>
      </c>
      <c r="J29" s="3">
        <v>203747</v>
      </c>
      <c r="K29" s="2">
        <f t="shared" si="0"/>
        <v>203747</v>
      </c>
      <c r="L29" s="3">
        <v>14644</v>
      </c>
      <c r="M29" s="2">
        <f t="shared" si="1"/>
        <v>14662.184455918377</v>
      </c>
      <c r="N29" s="1">
        <v>189103</v>
      </c>
      <c r="O29" s="3">
        <v>101149</v>
      </c>
      <c r="P29" s="2">
        <f t="shared" si="2"/>
        <v>112900.0327125</v>
      </c>
      <c r="Q29" s="42"/>
    </row>
    <row r="30" spans="1:17" x14ac:dyDescent="0.25">
      <c r="A30" s="4" t="s">
        <v>513</v>
      </c>
      <c r="B30" s="4" t="s">
        <v>564</v>
      </c>
      <c r="C30" s="4">
        <v>341</v>
      </c>
      <c r="D30" s="4">
        <v>7.3239999999999998</v>
      </c>
      <c r="E30" s="4">
        <f t="shared" si="3"/>
        <v>357</v>
      </c>
      <c r="F30" s="4">
        <v>355</v>
      </c>
      <c r="G30" s="4">
        <v>2</v>
      </c>
      <c r="H30" s="1">
        <v>16403344</v>
      </c>
      <c r="I30" s="1">
        <v>15936675</v>
      </c>
      <c r="J30" s="3">
        <v>184454</v>
      </c>
      <c r="K30" s="2">
        <f t="shared" si="0"/>
        <v>184454</v>
      </c>
      <c r="L30" s="3">
        <v>12635</v>
      </c>
      <c r="M30" s="2">
        <f t="shared" si="1"/>
        <v>12678.178507488135</v>
      </c>
      <c r="N30" s="1">
        <v>171819</v>
      </c>
      <c r="O30" s="3">
        <v>87321</v>
      </c>
      <c r="P30" s="2">
        <f t="shared" si="2"/>
        <v>97266.839749999999</v>
      </c>
      <c r="Q30" s="42"/>
    </row>
    <row r="31" spans="1:17" x14ac:dyDescent="0.25">
      <c r="A31" s="28" t="s">
        <v>512</v>
      </c>
      <c r="B31" s="28" t="s">
        <v>563</v>
      </c>
      <c r="C31" s="28">
        <v>175</v>
      </c>
      <c r="D31" s="28">
        <v>7.3719999999999999</v>
      </c>
      <c r="E31" s="28">
        <f t="shared" si="3"/>
        <v>356</v>
      </c>
      <c r="F31" s="28">
        <v>348</v>
      </c>
      <c r="G31" s="28">
        <v>8</v>
      </c>
      <c r="H31" s="1">
        <v>6399443</v>
      </c>
      <c r="I31" s="1">
        <v>5746932</v>
      </c>
      <c r="J31" s="26">
        <v>75678</v>
      </c>
      <c r="K31" s="25">
        <f t="shared" si="0"/>
        <v>75678</v>
      </c>
      <c r="L31" s="26">
        <v>4756</v>
      </c>
      <c r="M31" s="25">
        <f t="shared" si="1"/>
        <v>4754.1890300587083</v>
      </c>
      <c r="N31" s="1">
        <v>70922</v>
      </c>
      <c r="O31" s="26">
        <v>31538</v>
      </c>
      <c r="P31" s="25">
        <f t="shared" si="2"/>
        <v>35305.318919999998</v>
      </c>
      <c r="Q31" s="42"/>
    </row>
    <row r="32" spans="1:17" x14ac:dyDescent="0.25">
      <c r="A32" s="28" t="s">
        <v>511</v>
      </c>
      <c r="B32" s="28" t="s">
        <v>563</v>
      </c>
      <c r="C32" s="28">
        <v>174</v>
      </c>
      <c r="D32" s="28">
        <v>7.3540000000000001</v>
      </c>
      <c r="E32" s="28">
        <f t="shared" si="3"/>
        <v>357</v>
      </c>
      <c r="F32" s="28">
        <v>350</v>
      </c>
      <c r="G32" s="28">
        <v>7</v>
      </c>
      <c r="H32" s="1">
        <v>6725493</v>
      </c>
      <c r="I32" s="1">
        <v>6121093</v>
      </c>
      <c r="J32" s="26">
        <v>95621</v>
      </c>
      <c r="K32" s="25">
        <f t="shared" si="0"/>
        <v>95620</v>
      </c>
      <c r="L32" s="26">
        <v>5052</v>
      </c>
      <c r="M32" s="25">
        <f t="shared" si="1"/>
        <v>5011.2323761947318</v>
      </c>
      <c r="N32" s="1">
        <v>90568</v>
      </c>
      <c r="O32" s="26">
        <v>33673</v>
      </c>
      <c r="P32" s="25">
        <f t="shared" si="2"/>
        <v>37512.098268333328</v>
      </c>
      <c r="Q32" s="42"/>
    </row>
    <row r="33" spans="1:17" x14ac:dyDescent="0.25">
      <c r="A33" s="28" t="s">
        <v>510</v>
      </c>
      <c r="B33" s="28" t="s">
        <v>563</v>
      </c>
      <c r="C33" s="28">
        <v>175</v>
      </c>
      <c r="D33" s="28">
        <v>7.3520000000000003</v>
      </c>
      <c r="E33" s="28">
        <f t="shared" si="3"/>
        <v>357</v>
      </c>
      <c r="F33" s="28">
        <v>351</v>
      </c>
      <c r="G33" s="28">
        <v>6</v>
      </c>
      <c r="H33" s="1">
        <v>6770681</v>
      </c>
      <c r="I33" s="1">
        <v>6258549</v>
      </c>
      <c r="J33" s="26">
        <v>114059</v>
      </c>
      <c r="K33" s="25">
        <f t="shared" si="0"/>
        <v>114059</v>
      </c>
      <c r="L33" s="26">
        <v>5144</v>
      </c>
      <c r="M33" s="25">
        <f t="shared" si="1"/>
        <v>5090.3834834482768</v>
      </c>
      <c r="N33" s="1">
        <v>108915</v>
      </c>
      <c r="O33" s="26">
        <v>34518</v>
      </c>
      <c r="P33" s="25">
        <f t="shared" si="2"/>
        <v>38344.043539999999</v>
      </c>
      <c r="Q33" s="42"/>
    </row>
    <row r="34" spans="1:17" x14ac:dyDescent="0.25">
      <c r="A34" s="28" t="s">
        <v>509</v>
      </c>
      <c r="B34" s="28" t="s">
        <v>563</v>
      </c>
      <c r="C34" s="28">
        <v>174</v>
      </c>
      <c r="D34" s="28">
        <v>7.3490000000000002</v>
      </c>
      <c r="E34" s="28">
        <f t="shared" si="3"/>
        <v>357</v>
      </c>
      <c r="F34" s="28">
        <v>352</v>
      </c>
      <c r="G34" s="28">
        <v>5</v>
      </c>
      <c r="H34" s="1">
        <v>6799043</v>
      </c>
      <c r="I34" s="1">
        <v>6394407</v>
      </c>
      <c r="J34" s="26">
        <v>93734</v>
      </c>
      <c r="K34" s="25">
        <f t="shared" ref="K34:K65" si="4">L34+N34</f>
        <v>93734</v>
      </c>
      <c r="L34" s="26">
        <v>5200</v>
      </c>
      <c r="M34" s="25">
        <f t="shared" si="1"/>
        <v>5168.0442779902214</v>
      </c>
      <c r="N34" s="1">
        <v>88534</v>
      </c>
      <c r="O34" s="26">
        <v>35143</v>
      </c>
      <c r="P34" s="25">
        <f t="shared" si="2"/>
        <v>39160.414202499996</v>
      </c>
      <c r="Q34" s="42"/>
    </row>
    <row r="35" spans="1:17" x14ac:dyDescent="0.25">
      <c r="A35" s="28" t="s">
        <v>508</v>
      </c>
      <c r="B35" s="28" t="s">
        <v>563</v>
      </c>
      <c r="C35" s="28">
        <v>169</v>
      </c>
      <c r="D35" s="28">
        <v>7.3449999999999998</v>
      </c>
      <c r="E35" s="28">
        <f t="shared" si="3"/>
        <v>357</v>
      </c>
      <c r="F35" s="28">
        <v>353</v>
      </c>
      <c r="G35" s="28">
        <v>4</v>
      </c>
      <c r="H35" s="1">
        <v>6984363</v>
      </c>
      <c r="I35" s="1">
        <v>6663645</v>
      </c>
      <c r="J35" s="26">
        <v>115899</v>
      </c>
      <c r="K35" s="25">
        <f t="shared" si="4"/>
        <v>115899</v>
      </c>
      <c r="L35" s="26">
        <v>5372</v>
      </c>
      <c r="M35" s="25">
        <f t="shared" si="1"/>
        <v>5352.7328801985532</v>
      </c>
      <c r="N35" s="1">
        <v>110527</v>
      </c>
      <c r="O35" s="26">
        <v>36722</v>
      </c>
      <c r="P35" s="25">
        <f t="shared" si="2"/>
        <v>40787.060437499997</v>
      </c>
      <c r="Q35" s="42"/>
    </row>
    <row r="36" spans="1:17" x14ac:dyDescent="0.25">
      <c r="A36" s="28" t="s">
        <v>507</v>
      </c>
      <c r="B36" s="28" t="s">
        <v>563</v>
      </c>
      <c r="C36" s="28">
        <v>159</v>
      </c>
      <c r="D36" s="28">
        <v>7.3159999999999998</v>
      </c>
      <c r="E36" s="28">
        <f t="shared" si="3"/>
        <v>358</v>
      </c>
      <c r="F36" s="28">
        <v>355</v>
      </c>
      <c r="G36" s="28">
        <v>3</v>
      </c>
      <c r="H36" s="1">
        <v>7887017</v>
      </c>
      <c r="I36" s="1">
        <v>7648245</v>
      </c>
      <c r="J36" s="26">
        <v>111945</v>
      </c>
      <c r="K36" s="25">
        <f t="shared" si="4"/>
        <v>111945</v>
      </c>
      <c r="L36" s="26">
        <v>6142</v>
      </c>
      <c r="M36" s="25">
        <f t="shared" si="1"/>
        <v>6093.9829407752304</v>
      </c>
      <c r="N36" s="1">
        <v>105803</v>
      </c>
      <c r="O36" s="26">
        <v>42034</v>
      </c>
      <c r="P36" s="25">
        <f t="shared" si="2"/>
        <v>46628.800350000005</v>
      </c>
      <c r="Q36" s="42"/>
    </row>
    <row r="37" spans="1:17" x14ac:dyDescent="0.25">
      <c r="A37" s="28" t="s">
        <v>506</v>
      </c>
      <c r="B37" s="28" t="s">
        <v>563</v>
      </c>
      <c r="C37" s="28">
        <v>129</v>
      </c>
      <c r="D37" s="28">
        <v>7.2919999999999998</v>
      </c>
      <c r="E37" s="28">
        <f t="shared" si="3"/>
        <v>358</v>
      </c>
      <c r="F37" s="28">
        <v>356</v>
      </c>
      <c r="G37" s="28">
        <v>2</v>
      </c>
      <c r="H37" s="1">
        <v>7968947</v>
      </c>
      <c r="I37" s="1">
        <v>7821041</v>
      </c>
      <c r="J37" s="26">
        <v>82168</v>
      </c>
      <c r="K37" s="25">
        <f t="shared" si="4"/>
        <v>82168</v>
      </c>
      <c r="L37" s="26">
        <v>6216</v>
      </c>
      <c r="M37" s="25">
        <f t="shared" si="1"/>
        <v>6218.2395471421005</v>
      </c>
      <c r="N37" s="1">
        <v>75952</v>
      </c>
      <c r="O37" s="26">
        <v>42809</v>
      </c>
      <c r="P37" s="25">
        <f t="shared" si="2"/>
        <v>47525.859143333335</v>
      </c>
      <c r="Q37" s="42"/>
    </row>
    <row r="38" spans="1:17" x14ac:dyDescent="0.25">
      <c r="A38" s="28" t="s">
        <v>505</v>
      </c>
      <c r="B38" s="28" t="s">
        <v>563</v>
      </c>
      <c r="C38" s="28">
        <v>90</v>
      </c>
      <c r="D38" s="28">
        <v>7.2409999999999997</v>
      </c>
      <c r="E38" s="28">
        <f t="shared" si="3"/>
        <v>359</v>
      </c>
      <c r="F38" s="28">
        <v>357</v>
      </c>
      <c r="G38" s="28">
        <v>2</v>
      </c>
      <c r="H38" s="1">
        <v>6387771</v>
      </c>
      <c r="I38" s="1">
        <v>6315626</v>
      </c>
      <c r="J38" s="26">
        <v>53361</v>
      </c>
      <c r="K38" s="25">
        <f t="shared" si="4"/>
        <v>53361</v>
      </c>
      <c r="L38" s="26">
        <v>5025</v>
      </c>
      <c r="M38" s="25">
        <f t="shared" si="1"/>
        <v>5037.3845246564324</v>
      </c>
      <c r="N38" s="1">
        <v>48336</v>
      </c>
      <c r="O38" s="26">
        <v>34499</v>
      </c>
      <c r="P38" s="25">
        <f t="shared" si="2"/>
        <v>38109.539888333333</v>
      </c>
      <c r="Q38" s="42"/>
    </row>
    <row r="39" spans="1:17" x14ac:dyDescent="0.25">
      <c r="A39" s="28" t="s">
        <v>504</v>
      </c>
      <c r="B39" s="28" t="s">
        <v>563</v>
      </c>
      <c r="C39" s="28">
        <v>39</v>
      </c>
      <c r="D39" s="28">
        <v>7.0739999999999998</v>
      </c>
      <c r="E39" s="28">
        <f t="shared" si="3"/>
        <v>359</v>
      </c>
      <c r="F39" s="28">
        <v>358</v>
      </c>
      <c r="G39" s="28">
        <v>1</v>
      </c>
      <c r="H39" s="1">
        <v>3215016</v>
      </c>
      <c r="I39" s="1">
        <v>3196232</v>
      </c>
      <c r="J39" s="26">
        <v>18085</v>
      </c>
      <c r="K39" s="25">
        <f t="shared" si="4"/>
        <v>18085</v>
      </c>
      <c r="L39" s="26">
        <v>2599</v>
      </c>
      <c r="M39" s="25">
        <f t="shared" si="1"/>
        <v>2616.6772742474532</v>
      </c>
      <c r="N39" s="1">
        <v>15486</v>
      </c>
      <c r="O39" s="26">
        <v>17411</v>
      </c>
      <c r="P39" s="25">
        <f t="shared" si="2"/>
        <v>18841.787639999999</v>
      </c>
      <c r="Q39" s="42"/>
    </row>
    <row r="40" spans="1:17" x14ac:dyDescent="0.25">
      <c r="A40" s="28" t="s">
        <v>503</v>
      </c>
      <c r="B40" s="28" t="s">
        <v>563</v>
      </c>
      <c r="C40" s="28">
        <v>10</v>
      </c>
      <c r="D40" s="28">
        <v>7.17</v>
      </c>
      <c r="E40" s="28">
        <f t="shared" si="3"/>
        <v>360</v>
      </c>
      <c r="F40" s="28">
        <v>359</v>
      </c>
      <c r="G40" s="28">
        <v>1</v>
      </c>
      <c r="H40" s="1">
        <v>221051</v>
      </c>
      <c r="I40" s="1">
        <v>220351</v>
      </c>
      <c r="J40" s="26">
        <v>183</v>
      </c>
      <c r="K40" s="25">
        <f t="shared" si="4"/>
        <v>183</v>
      </c>
      <c r="L40" s="26">
        <v>175</v>
      </c>
      <c r="M40" s="25">
        <f t="shared" si="1"/>
        <v>175.82986332013161</v>
      </c>
      <c r="N40" s="1">
        <v>8</v>
      </c>
      <c r="O40" s="26">
        <v>1195</v>
      </c>
      <c r="P40" s="25">
        <f t="shared" si="2"/>
        <v>1316.597225</v>
      </c>
      <c r="Q40" s="42"/>
    </row>
    <row r="41" spans="1:17" x14ac:dyDescent="0.25">
      <c r="A41" s="24" t="s">
        <v>502</v>
      </c>
      <c r="B41" s="24" t="s">
        <v>562</v>
      </c>
      <c r="C41" s="24">
        <v>36953</v>
      </c>
      <c r="D41" s="24">
        <v>7.0179999999999998</v>
      </c>
      <c r="E41" s="24">
        <f t="shared" si="3"/>
        <v>349</v>
      </c>
      <c r="F41" s="24">
        <v>133</v>
      </c>
      <c r="G41" s="24">
        <v>216</v>
      </c>
      <c r="H41" s="1">
        <v>553984584</v>
      </c>
      <c r="I41" s="1">
        <v>3892813</v>
      </c>
      <c r="J41" s="22">
        <v>65091</v>
      </c>
      <c r="K41" s="21">
        <f t="shared" si="4"/>
        <v>65091</v>
      </c>
      <c r="L41" s="22">
        <v>24217</v>
      </c>
      <c r="M41" s="21">
        <f t="shared" si="1"/>
        <v>19428.400967809303</v>
      </c>
      <c r="N41" s="1">
        <v>40874</v>
      </c>
      <c r="O41" s="22">
        <v>21439</v>
      </c>
      <c r="P41" s="21">
        <f t="shared" si="2"/>
        <v>22766.468028333333</v>
      </c>
      <c r="Q41" s="42"/>
    </row>
    <row r="42" spans="1:17" x14ac:dyDescent="0.25">
      <c r="A42" s="24" t="s">
        <v>501</v>
      </c>
      <c r="B42" s="24" t="s">
        <v>562</v>
      </c>
      <c r="C42" s="24">
        <v>37196</v>
      </c>
      <c r="D42" s="24">
        <v>7.0179999999999998</v>
      </c>
      <c r="E42" s="24">
        <f t="shared" si="3"/>
        <v>349</v>
      </c>
      <c r="F42" s="24">
        <v>134</v>
      </c>
      <c r="G42" s="24">
        <v>215</v>
      </c>
      <c r="H42" s="1">
        <v>555559313</v>
      </c>
      <c r="I42" s="1">
        <v>3957903</v>
      </c>
      <c r="J42" s="22">
        <v>73013</v>
      </c>
      <c r="K42" s="21">
        <f t="shared" si="4"/>
        <v>73012</v>
      </c>
      <c r="L42" s="22">
        <v>24421</v>
      </c>
      <c r="M42" s="21">
        <f t="shared" si="1"/>
        <v>19541.441602075414</v>
      </c>
      <c r="N42" s="1">
        <v>48591</v>
      </c>
      <c r="O42" s="22">
        <v>21834</v>
      </c>
      <c r="P42" s="21">
        <f t="shared" si="2"/>
        <v>23147.136044999999</v>
      </c>
      <c r="Q42" s="42"/>
    </row>
    <row r="43" spans="1:17" x14ac:dyDescent="0.25">
      <c r="A43" s="24" t="s">
        <v>500</v>
      </c>
      <c r="B43" s="24" t="s">
        <v>562</v>
      </c>
      <c r="C43" s="24">
        <v>37504</v>
      </c>
      <c r="D43" s="24">
        <v>7.0179999999999998</v>
      </c>
      <c r="E43" s="24">
        <f t="shared" si="3"/>
        <v>348</v>
      </c>
      <c r="F43" s="24">
        <v>134</v>
      </c>
      <c r="G43" s="24">
        <v>214</v>
      </c>
      <c r="H43" s="1">
        <v>557822996</v>
      </c>
      <c r="I43" s="1">
        <v>4030916</v>
      </c>
      <c r="J43" s="22">
        <v>75578</v>
      </c>
      <c r="K43" s="21">
        <f t="shared" si="4"/>
        <v>75578</v>
      </c>
      <c r="L43" s="22">
        <v>24622</v>
      </c>
      <c r="M43" s="21">
        <f t="shared" si="1"/>
        <v>19901.9302941157</v>
      </c>
      <c r="N43" s="1">
        <v>50956</v>
      </c>
      <c r="O43" s="22">
        <v>22243</v>
      </c>
      <c r="P43" s="21">
        <f t="shared" si="2"/>
        <v>23574.140406666666</v>
      </c>
      <c r="Q43" s="42"/>
    </row>
    <row r="44" spans="1:17" x14ac:dyDescent="0.25">
      <c r="A44" s="24" t="s">
        <v>499</v>
      </c>
      <c r="B44" s="24" t="s">
        <v>562</v>
      </c>
      <c r="C44" s="24">
        <v>37778</v>
      </c>
      <c r="D44" s="24">
        <v>7.0179999999999998</v>
      </c>
      <c r="E44" s="24">
        <f t="shared" si="3"/>
        <v>348</v>
      </c>
      <c r="F44" s="24">
        <v>135</v>
      </c>
      <c r="G44" s="24">
        <v>213</v>
      </c>
      <c r="H44" s="1">
        <v>559624566</v>
      </c>
      <c r="I44" s="1">
        <v>4106434</v>
      </c>
      <c r="J44" s="22">
        <v>82251</v>
      </c>
      <c r="K44" s="21">
        <f t="shared" si="4"/>
        <v>82251</v>
      </c>
      <c r="L44" s="22">
        <v>24856</v>
      </c>
      <c r="M44" s="21">
        <f t="shared" si="1"/>
        <v>20058.443519238976</v>
      </c>
      <c r="N44" s="1">
        <v>57395</v>
      </c>
      <c r="O44" s="22">
        <v>22689</v>
      </c>
      <c r="P44" s="21">
        <f t="shared" si="2"/>
        <v>24015.794843333333</v>
      </c>
      <c r="Q44" s="42"/>
    </row>
    <row r="45" spans="1:17" x14ac:dyDescent="0.25">
      <c r="A45" s="24" t="s">
        <v>498</v>
      </c>
      <c r="B45" s="24" t="s">
        <v>562</v>
      </c>
      <c r="C45" s="24">
        <v>38085</v>
      </c>
      <c r="D45" s="24">
        <v>7.0179999999999998</v>
      </c>
      <c r="E45" s="24">
        <f t="shared" si="3"/>
        <v>348</v>
      </c>
      <c r="F45" s="24">
        <v>136</v>
      </c>
      <c r="G45" s="24">
        <v>212</v>
      </c>
      <c r="H45" s="23">
        <v>561489608</v>
      </c>
      <c r="I45" s="23">
        <v>4188495</v>
      </c>
      <c r="J45" s="22">
        <v>93112</v>
      </c>
      <c r="K45" s="21">
        <f t="shared" si="4"/>
        <v>93112</v>
      </c>
      <c r="L45" s="22">
        <v>25137</v>
      </c>
      <c r="M45" s="21">
        <f t="shared" si="1"/>
        <v>20242.024726412714</v>
      </c>
      <c r="N45" s="1">
        <v>67975</v>
      </c>
      <c r="O45" s="22">
        <v>23192</v>
      </c>
      <c r="P45" s="21">
        <f t="shared" si="2"/>
        <v>24495.714925</v>
      </c>
      <c r="Q45" s="42"/>
    </row>
    <row r="46" spans="1:17" x14ac:dyDescent="0.25">
      <c r="A46" s="24" t="s">
        <v>497</v>
      </c>
      <c r="B46" s="24" t="s">
        <v>562</v>
      </c>
      <c r="C46" s="24">
        <v>38412</v>
      </c>
      <c r="D46" s="24">
        <v>7.0179999999999998</v>
      </c>
      <c r="E46" s="24">
        <f t="shared" si="3"/>
        <v>348</v>
      </c>
      <c r="F46" s="24">
        <v>137</v>
      </c>
      <c r="G46" s="24">
        <v>211</v>
      </c>
      <c r="H46" s="23">
        <v>563870756</v>
      </c>
      <c r="I46" s="23">
        <v>4266706</v>
      </c>
      <c r="J46" s="22">
        <v>98317</v>
      </c>
      <c r="K46" s="21">
        <f t="shared" si="4"/>
        <v>98316</v>
      </c>
      <c r="L46" s="22">
        <v>25360</v>
      </c>
      <c r="M46" s="21">
        <f t="shared" si="1"/>
        <v>20402.08362355371</v>
      </c>
      <c r="N46" s="1">
        <v>72956</v>
      </c>
      <c r="O46" s="22">
        <v>23644</v>
      </c>
      <c r="P46" s="21">
        <f t="shared" si="2"/>
        <v>24953.118923333332</v>
      </c>
      <c r="Q46" s="42"/>
    </row>
    <row r="47" spans="1:17" x14ac:dyDescent="0.25">
      <c r="A47" s="24" t="s">
        <v>496</v>
      </c>
      <c r="B47" s="24" t="s">
        <v>562</v>
      </c>
      <c r="C47" s="24">
        <v>38732</v>
      </c>
      <c r="D47" s="24">
        <v>7.0179999999999998</v>
      </c>
      <c r="E47" s="24">
        <f t="shared" si="3"/>
        <v>348</v>
      </c>
      <c r="F47" s="24">
        <v>138</v>
      </c>
      <c r="G47" s="24">
        <v>210</v>
      </c>
      <c r="H47" s="23">
        <v>565229274</v>
      </c>
      <c r="I47" s="23">
        <v>4356157</v>
      </c>
      <c r="J47" s="22">
        <v>109760</v>
      </c>
      <c r="K47" s="21">
        <f t="shared" si="4"/>
        <v>109759</v>
      </c>
      <c r="L47" s="22">
        <v>25650</v>
      </c>
      <c r="M47" s="21">
        <f t="shared" si="1"/>
        <v>20610.718451499648</v>
      </c>
      <c r="N47" s="1">
        <v>84109</v>
      </c>
      <c r="O47" s="22">
        <v>24190</v>
      </c>
      <c r="P47" s="21">
        <f t="shared" si="2"/>
        <v>25476.258188333333</v>
      </c>
      <c r="Q47" s="42"/>
    </row>
    <row r="48" spans="1:17" x14ac:dyDescent="0.25">
      <c r="A48" s="24" t="s">
        <v>495</v>
      </c>
      <c r="B48" s="24" t="s">
        <v>562</v>
      </c>
      <c r="C48" s="24">
        <v>39107</v>
      </c>
      <c r="D48" s="24">
        <v>7.0190000000000001</v>
      </c>
      <c r="E48" s="24">
        <f t="shared" si="3"/>
        <v>348</v>
      </c>
      <c r="F48" s="24">
        <v>139</v>
      </c>
      <c r="G48" s="24">
        <v>209</v>
      </c>
      <c r="H48" s="23">
        <v>544215089</v>
      </c>
      <c r="I48" s="23">
        <v>4387617</v>
      </c>
      <c r="J48" s="22">
        <v>90216</v>
      </c>
      <c r="K48" s="21">
        <f t="shared" si="4"/>
        <v>90216</v>
      </c>
      <c r="L48" s="22">
        <v>25314</v>
      </c>
      <c r="M48" s="21">
        <f t="shared" si="1"/>
        <v>20540.904563726981</v>
      </c>
      <c r="N48" s="1">
        <v>64902</v>
      </c>
      <c r="O48" s="22">
        <v>24255</v>
      </c>
      <c r="P48" s="21">
        <f t="shared" si="2"/>
        <v>25663.9031025</v>
      </c>
      <c r="Q48" s="42"/>
    </row>
    <row r="49" spans="1:17" x14ac:dyDescent="0.25">
      <c r="A49" s="24" t="s">
        <v>494</v>
      </c>
      <c r="B49" s="24" t="s">
        <v>562</v>
      </c>
      <c r="C49" s="24">
        <v>39405</v>
      </c>
      <c r="D49" s="24">
        <v>7.0190000000000001</v>
      </c>
      <c r="E49" s="24">
        <f t="shared" si="3"/>
        <v>348</v>
      </c>
      <c r="F49" s="24">
        <v>140</v>
      </c>
      <c r="G49" s="24">
        <v>208</v>
      </c>
      <c r="H49" s="23">
        <v>546529431</v>
      </c>
      <c r="I49" s="23">
        <v>4477833</v>
      </c>
      <c r="J49" s="22">
        <v>96355</v>
      </c>
      <c r="K49" s="21">
        <f t="shared" si="4"/>
        <v>96355</v>
      </c>
      <c r="L49" s="22">
        <v>25573</v>
      </c>
      <c r="M49" s="21">
        <f t="shared" si="1"/>
        <v>20744.798572254964</v>
      </c>
      <c r="N49" s="1">
        <v>70782</v>
      </c>
      <c r="O49" s="22">
        <v>24777</v>
      </c>
      <c r="P49" s="21">
        <f t="shared" si="2"/>
        <v>26191.591522499999</v>
      </c>
      <c r="Q49" s="42"/>
    </row>
    <row r="50" spans="1:17" x14ac:dyDescent="0.25">
      <c r="A50" s="24" t="s">
        <v>493</v>
      </c>
      <c r="B50" s="24" t="s">
        <v>562</v>
      </c>
      <c r="C50" s="24">
        <v>39723</v>
      </c>
      <c r="D50" s="24">
        <v>7.0190000000000001</v>
      </c>
      <c r="E50" s="24">
        <f t="shared" si="3"/>
        <v>348</v>
      </c>
      <c r="F50" s="24">
        <v>141</v>
      </c>
      <c r="G50" s="24">
        <v>207</v>
      </c>
      <c r="H50" s="23">
        <v>548694167</v>
      </c>
      <c r="I50" s="23">
        <v>4573916</v>
      </c>
      <c r="J50" s="22">
        <v>101769</v>
      </c>
      <c r="K50" s="21">
        <f t="shared" si="4"/>
        <v>101769</v>
      </c>
      <c r="L50" s="22">
        <v>25856</v>
      </c>
      <c r="M50" s="21">
        <f t="shared" si="1"/>
        <v>20970.121994311645</v>
      </c>
      <c r="N50" s="1">
        <v>75913</v>
      </c>
      <c r="O50" s="22">
        <v>25327</v>
      </c>
      <c r="P50" s="21">
        <f t="shared" si="2"/>
        <v>26753.597003333332</v>
      </c>
      <c r="Q50" s="42"/>
    </row>
    <row r="51" spans="1:17" x14ac:dyDescent="0.25">
      <c r="A51" s="24" t="s">
        <v>492</v>
      </c>
      <c r="B51" s="24" t="s">
        <v>562</v>
      </c>
      <c r="C51" s="24">
        <v>40083</v>
      </c>
      <c r="D51" s="24">
        <v>7.0190000000000001</v>
      </c>
      <c r="E51" s="24">
        <f t="shared" si="3"/>
        <v>348</v>
      </c>
      <c r="F51" s="24">
        <v>142</v>
      </c>
      <c r="G51" s="24">
        <v>206</v>
      </c>
      <c r="H51" s="23">
        <v>551048044</v>
      </c>
      <c r="I51" s="23">
        <v>4675583</v>
      </c>
      <c r="J51" s="22">
        <v>101318</v>
      </c>
      <c r="K51" s="21">
        <f t="shared" si="4"/>
        <v>101318</v>
      </c>
      <c r="L51" s="22">
        <v>26139</v>
      </c>
      <c r="M51" s="21">
        <f t="shared" si="1"/>
        <v>21214.882999533012</v>
      </c>
      <c r="N51" s="1">
        <v>75179</v>
      </c>
      <c r="O51" s="22">
        <v>25875</v>
      </c>
      <c r="P51" s="21">
        <f t="shared" si="2"/>
        <v>27348.264230833334</v>
      </c>
      <c r="Q51" s="42"/>
    </row>
    <row r="52" spans="1:17" x14ac:dyDescent="0.25">
      <c r="A52" s="24" t="s">
        <v>491</v>
      </c>
      <c r="B52" s="24" t="s">
        <v>562</v>
      </c>
      <c r="C52" s="24">
        <v>40402</v>
      </c>
      <c r="D52" s="24">
        <v>7.0190000000000001</v>
      </c>
      <c r="E52" s="24">
        <f t="shared" si="3"/>
        <v>348</v>
      </c>
      <c r="F52" s="24">
        <v>143</v>
      </c>
      <c r="G52" s="24">
        <v>205</v>
      </c>
      <c r="H52" s="23">
        <v>553226263</v>
      </c>
      <c r="I52" s="23">
        <v>4776451</v>
      </c>
      <c r="J52" s="22">
        <v>100627</v>
      </c>
      <c r="K52" s="21">
        <f t="shared" si="4"/>
        <v>100628</v>
      </c>
      <c r="L52" s="22">
        <v>26393</v>
      </c>
      <c r="M52" s="21">
        <f t="shared" si="1"/>
        <v>21449.770172205714</v>
      </c>
      <c r="N52" s="1">
        <v>74235</v>
      </c>
      <c r="O52" s="22">
        <v>26417</v>
      </c>
      <c r="P52" s="21">
        <f t="shared" si="2"/>
        <v>27938.257974166667</v>
      </c>
      <c r="Q52" s="42"/>
    </row>
    <row r="53" spans="1:17" x14ac:dyDescent="0.25">
      <c r="A53" s="24" t="s">
        <v>490</v>
      </c>
      <c r="B53" s="24" t="s">
        <v>562</v>
      </c>
      <c r="C53" s="24">
        <v>40710</v>
      </c>
      <c r="D53" s="24">
        <v>7.0179999999999998</v>
      </c>
      <c r="E53" s="24">
        <f t="shared" si="3"/>
        <v>348</v>
      </c>
      <c r="F53" s="24">
        <v>144</v>
      </c>
      <c r="G53" s="24">
        <v>204</v>
      </c>
      <c r="H53" s="23">
        <v>554570568</v>
      </c>
      <c r="I53" s="23">
        <v>4869487</v>
      </c>
      <c r="J53" s="22">
        <v>108866</v>
      </c>
      <c r="K53" s="21">
        <f t="shared" si="4"/>
        <v>108866</v>
      </c>
      <c r="L53" s="22">
        <v>26637</v>
      </c>
      <c r="M53" s="21">
        <f t="shared" si="1"/>
        <v>21645.236361572257</v>
      </c>
      <c r="N53" s="1">
        <v>82229</v>
      </c>
      <c r="O53" s="22">
        <v>26966</v>
      </c>
      <c r="P53" s="21">
        <f t="shared" si="2"/>
        <v>28478.383138333331</v>
      </c>
      <c r="Q53" s="42"/>
    </row>
    <row r="54" spans="1:17" x14ac:dyDescent="0.25">
      <c r="A54" s="24" t="s">
        <v>489</v>
      </c>
      <c r="B54" s="24" t="s">
        <v>562</v>
      </c>
      <c r="C54" s="24">
        <v>41053</v>
      </c>
      <c r="D54" s="24">
        <v>7.0179999999999998</v>
      </c>
      <c r="E54" s="24">
        <f t="shared" si="3"/>
        <v>348</v>
      </c>
      <c r="F54" s="24">
        <v>145</v>
      </c>
      <c r="G54" s="24">
        <v>203</v>
      </c>
      <c r="H54" s="23">
        <v>556735769</v>
      </c>
      <c r="I54" s="23">
        <v>4978285</v>
      </c>
      <c r="J54" s="22">
        <v>111957</v>
      </c>
      <c r="K54" s="21">
        <f t="shared" si="4"/>
        <v>111957</v>
      </c>
      <c r="L54" s="22">
        <v>26928</v>
      </c>
      <c r="M54" s="21">
        <f t="shared" si="1"/>
        <v>21903.391108466127</v>
      </c>
      <c r="N54" s="1">
        <v>85029</v>
      </c>
      <c r="O54" s="22">
        <v>27572</v>
      </c>
      <c r="P54" s="21">
        <f t="shared" si="2"/>
        <v>29114.670108333332</v>
      </c>
      <c r="Q54" s="42"/>
    </row>
    <row r="55" spans="1:17" x14ac:dyDescent="0.25">
      <c r="A55" s="24" t="s">
        <v>488</v>
      </c>
      <c r="B55" s="24" t="s">
        <v>562</v>
      </c>
      <c r="C55" s="24">
        <v>41374</v>
      </c>
      <c r="D55" s="24">
        <v>7.0179999999999998</v>
      </c>
      <c r="E55" s="24">
        <f t="shared" si="3"/>
        <v>348</v>
      </c>
      <c r="F55" s="24">
        <v>146</v>
      </c>
      <c r="G55" s="24">
        <v>202</v>
      </c>
      <c r="H55" s="23">
        <v>558881951</v>
      </c>
      <c r="I55" s="23">
        <v>5089819</v>
      </c>
      <c r="J55" s="22">
        <v>112711</v>
      </c>
      <c r="K55" s="21">
        <f t="shared" si="4"/>
        <v>112711</v>
      </c>
      <c r="L55" s="22">
        <v>27213</v>
      </c>
      <c r="M55" s="21">
        <f t="shared" si="1"/>
        <v>22166.947362549519</v>
      </c>
      <c r="N55" s="1">
        <v>85498</v>
      </c>
      <c r="O55" s="22">
        <v>28180</v>
      </c>
      <c r="P55" s="21">
        <f t="shared" si="2"/>
        <v>29766.958118333332</v>
      </c>
      <c r="Q55" s="42"/>
    </row>
    <row r="56" spans="1:17" x14ac:dyDescent="0.25">
      <c r="A56" s="24" t="s">
        <v>487</v>
      </c>
      <c r="B56" s="24" t="s">
        <v>562</v>
      </c>
      <c r="C56" s="24">
        <v>41700</v>
      </c>
      <c r="D56" s="24">
        <v>7.0179999999999998</v>
      </c>
      <c r="E56" s="24">
        <f t="shared" si="3"/>
        <v>348</v>
      </c>
      <c r="F56" s="24">
        <v>147</v>
      </c>
      <c r="G56" s="24">
        <v>201</v>
      </c>
      <c r="H56" s="23">
        <v>560797959</v>
      </c>
      <c r="I56" s="23">
        <v>5202530</v>
      </c>
      <c r="J56" s="22">
        <v>119013</v>
      </c>
      <c r="K56" s="21">
        <f t="shared" si="4"/>
        <v>119014</v>
      </c>
      <c r="L56" s="22">
        <v>27526</v>
      </c>
      <c r="M56" s="21">
        <f t="shared" si="1"/>
        <v>22428.967471220607</v>
      </c>
      <c r="N56" s="1">
        <v>91488</v>
      </c>
      <c r="O56" s="22">
        <v>28825</v>
      </c>
      <c r="P56" s="21">
        <f t="shared" si="2"/>
        <v>30426.129616666665</v>
      </c>
      <c r="Q56" s="42"/>
    </row>
    <row r="57" spans="1:17" x14ac:dyDescent="0.25">
      <c r="A57" s="24" t="s">
        <v>486</v>
      </c>
      <c r="B57" s="24" t="s">
        <v>562</v>
      </c>
      <c r="C57" s="24">
        <v>42054</v>
      </c>
      <c r="D57" s="24">
        <v>7.0170000000000003</v>
      </c>
      <c r="E57" s="24">
        <f t="shared" si="3"/>
        <v>348</v>
      </c>
      <c r="F57" s="24">
        <v>148</v>
      </c>
      <c r="G57" s="24">
        <v>200</v>
      </c>
      <c r="H57" s="23">
        <v>563010731</v>
      </c>
      <c r="I57" s="23">
        <v>5321013</v>
      </c>
      <c r="J57" s="22">
        <v>111207</v>
      </c>
      <c r="K57" s="21">
        <f t="shared" si="4"/>
        <v>111206</v>
      </c>
      <c r="L57" s="22">
        <v>27785</v>
      </c>
      <c r="M57" s="21">
        <f t="shared" si="1"/>
        <v>22710.635363487989</v>
      </c>
      <c r="N57" s="1">
        <v>83421</v>
      </c>
      <c r="O57" s="22">
        <v>29424</v>
      </c>
      <c r="P57" s="21">
        <f t="shared" si="2"/>
        <v>31114.623517500007</v>
      </c>
      <c r="Q57" s="42"/>
    </row>
    <row r="58" spans="1:17" x14ac:dyDescent="0.25">
      <c r="A58" s="24" t="s">
        <v>485</v>
      </c>
      <c r="B58" s="24" t="s">
        <v>562</v>
      </c>
      <c r="C58" s="24">
        <v>42389</v>
      </c>
      <c r="D58" s="24">
        <v>7.0170000000000003</v>
      </c>
      <c r="E58" s="24">
        <f t="shared" si="3"/>
        <v>348</v>
      </c>
      <c r="F58" s="24">
        <v>149</v>
      </c>
      <c r="G58" s="24">
        <v>199</v>
      </c>
      <c r="H58" s="23">
        <v>565060921</v>
      </c>
      <c r="I58" s="23">
        <v>5432202</v>
      </c>
      <c r="J58" s="22">
        <v>118453</v>
      </c>
      <c r="K58" s="21">
        <f t="shared" si="4"/>
        <v>118453</v>
      </c>
      <c r="L58" s="22">
        <v>28079</v>
      </c>
      <c r="M58" s="21">
        <f t="shared" si="1"/>
        <v>22953.017914346492</v>
      </c>
      <c r="N58" s="1">
        <v>90374</v>
      </c>
      <c r="O58" s="22">
        <v>30066</v>
      </c>
      <c r="P58" s="21">
        <f t="shared" si="2"/>
        <v>31764.801195000007</v>
      </c>
      <c r="Q58" s="42"/>
    </row>
    <row r="59" spans="1:17" x14ac:dyDescent="0.25">
      <c r="A59" s="24" t="s">
        <v>484</v>
      </c>
      <c r="B59" s="24" t="s">
        <v>562</v>
      </c>
      <c r="C59" s="24">
        <v>42726</v>
      </c>
      <c r="D59" s="24">
        <v>7.0170000000000003</v>
      </c>
      <c r="E59" s="24">
        <f t="shared" si="3"/>
        <v>348</v>
      </c>
      <c r="F59" s="24">
        <v>150</v>
      </c>
      <c r="G59" s="24">
        <v>198</v>
      </c>
      <c r="H59" s="23">
        <v>567143027</v>
      </c>
      <c r="I59" s="23">
        <v>5550528</v>
      </c>
      <c r="J59" s="22">
        <v>118806</v>
      </c>
      <c r="K59" s="21">
        <f t="shared" si="4"/>
        <v>118807</v>
      </c>
      <c r="L59" s="22">
        <v>28385</v>
      </c>
      <c r="M59" s="21">
        <f t="shared" si="1"/>
        <v>23219.105220816207</v>
      </c>
      <c r="N59" s="1">
        <v>90422</v>
      </c>
      <c r="O59" s="22">
        <v>30709</v>
      </c>
      <c r="P59" s="21">
        <f t="shared" si="2"/>
        <v>32456.712480000006</v>
      </c>
      <c r="Q59" s="42"/>
    </row>
    <row r="60" spans="1:17" x14ac:dyDescent="0.25">
      <c r="A60" s="24" t="s">
        <v>483</v>
      </c>
      <c r="B60" s="24" t="s">
        <v>562</v>
      </c>
      <c r="C60" s="24">
        <v>43042</v>
      </c>
      <c r="D60" s="24">
        <v>7.0170000000000003</v>
      </c>
      <c r="E60" s="24">
        <f t="shared" si="3"/>
        <v>349</v>
      </c>
      <c r="F60" s="24">
        <v>151</v>
      </c>
      <c r="G60" s="24">
        <v>198</v>
      </c>
      <c r="H60" s="23">
        <v>569234512</v>
      </c>
      <c r="I60" s="23">
        <v>5669254</v>
      </c>
      <c r="J60" s="22">
        <v>103534</v>
      </c>
      <c r="K60" s="21">
        <f t="shared" si="4"/>
        <v>103533</v>
      </c>
      <c r="L60" s="22">
        <v>28608</v>
      </c>
      <c r="M60" s="21">
        <f t="shared" si="1"/>
        <v>23480.238933503239</v>
      </c>
      <c r="N60" s="1">
        <v>74925</v>
      </c>
      <c r="O60" s="22">
        <v>31269</v>
      </c>
      <c r="P60" s="21">
        <f t="shared" si="2"/>
        <v>33150.962765000004</v>
      </c>
      <c r="Q60" s="42"/>
    </row>
    <row r="61" spans="1:17" x14ac:dyDescent="0.25">
      <c r="A61" s="24" t="s">
        <v>482</v>
      </c>
      <c r="B61" s="24" t="s">
        <v>562</v>
      </c>
      <c r="C61" s="24">
        <v>43317</v>
      </c>
      <c r="D61" s="24">
        <v>7.0170000000000003</v>
      </c>
      <c r="E61" s="24">
        <f t="shared" si="3"/>
        <v>349</v>
      </c>
      <c r="F61" s="24">
        <v>152</v>
      </c>
      <c r="G61" s="24">
        <v>197</v>
      </c>
      <c r="H61" s="23">
        <v>570561140</v>
      </c>
      <c r="I61" s="23">
        <v>5766606</v>
      </c>
      <c r="J61" s="22">
        <v>96121</v>
      </c>
      <c r="K61" s="21">
        <f t="shared" si="4"/>
        <v>96121</v>
      </c>
      <c r="L61" s="22">
        <v>28766</v>
      </c>
      <c r="M61" s="21">
        <f t="shared" si="1"/>
        <v>23647.223432842922</v>
      </c>
      <c r="N61" s="1">
        <v>67355</v>
      </c>
      <c r="O61" s="22">
        <v>31756</v>
      </c>
      <c r="P61" s="21">
        <f t="shared" si="2"/>
        <v>33720.228585000004</v>
      </c>
      <c r="Q61" s="42"/>
    </row>
    <row r="62" spans="1:17" x14ac:dyDescent="0.25">
      <c r="A62" s="24" t="s">
        <v>481</v>
      </c>
      <c r="B62" s="24" t="s">
        <v>562</v>
      </c>
      <c r="C62" s="24">
        <v>43552</v>
      </c>
      <c r="D62" s="24">
        <v>7.0170000000000003</v>
      </c>
      <c r="E62" s="24">
        <f t="shared" si="3"/>
        <v>348</v>
      </c>
      <c r="F62" s="24">
        <v>152</v>
      </c>
      <c r="G62" s="24">
        <v>196</v>
      </c>
      <c r="H62" s="23">
        <v>572193038</v>
      </c>
      <c r="I62" s="23">
        <v>5860128</v>
      </c>
      <c r="J62" s="22">
        <v>119831</v>
      </c>
      <c r="K62" s="21">
        <f t="shared" si="4"/>
        <v>119831</v>
      </c>
      <c r="L62" s="22">
        <v>29047</v>
      </c>
      <c r="M62" s="21">
        <f t="shared" si="1"/>
        <v>24030.730755848228</v>
      </c>
      <c r="N62" s="1">
        <v>90784</v>
      </c>
      <c r="O62" s="22">
        <v>32391</v>
      </c>
      <c r="P62" s="21">
        <f t="shared" si="2"/>
        <v>34267.098480000008</v>
      </c>
      <c r="Q62" s="42"/>
    </row>
    <row r="63" spans="1:17" x14ac:dyDescent="0.25">
      <c r="A63" s="24" t="s">
        <v>480</v>
      </c>
      <c r="B63" s="24" t="s">
        <v>562</v>
      </c>
      <c r="C63" s="24">
        <v>43900</v>
      </c>
      <c r="D63" s="24">
        <v>7.0170000000000003</v>
      </c>
      <c r="E63" s="24">
        <f t="shared" si="3"/>
        <v>348</v>
      </c>
      <c r="F63" s="24">
        <v>153</v>
      </c>
      <c r="G63" s="24">
        <v>195</v>
      </c>
      <c r="H63" s="23">
        <v>574678161</v>
      </c>
      <c r="I63" s="23">
        <v>5979623</v>
      </c>
      <c r="J63" s="22">
        <v>115694</v>
      </c>
      <c r="K63" s="21">
        <f t="shared" si="4"/>
        <v>115694</v>
      </c>
      <c r="L63" s="22">
        <v>29289</v>
      </c>
      <c r="M63" s="21">
        <f t="shared" si="1"/>
        <v>24279.211141694836</v>
      </c>
      <c r="N63" s="1">
        <v>86405</v>
      </c>
      <c r="O63" s="22">
        <v>33016</v>
      </c>
      <c r="P63" s="21">
        <f t="shared" si="2"/>
        <v>34965.845492500004</v>
      </c>
      <c r="Q63" s="42"/>
    </row>
    <row r="64" spans="1:17" x14ac:dyDescent="0.25">
      <c r="A64" s="24" t="s">
        <v>479</v>
      </c>
      <c r="B64" s="24" t="s">
        <v>562</v>
      </c>
      <c r="C64" s="24">
        <v>44186</v>
      </c>
      <c r="D64" s="24">
        <v>7.016</v>
      </c>
      <c r="E64" s="24">
        <f t="shared" si="3"/>
        <v>348</v>
      </c>
      <c r="F64" s="24">
        <v>154</v>
      </c>
      <c r="G64" s="24">
        <v>194</v>
      </c>
      <c r="H64" s="23">
        <v>576570806</v>
      </c>
      <c r="I64" s="23">
        <v>6094939</v>
      </c>
      <c r="J64" s="22">
        <v>120998</v>
      </c>
      <c r="K64" s="21">
        <f t="shared" si="4"/>
        <v>120998</v>
      </c>
      <c r="L64" s="22">
        <v>29571</v>
      </c>
      <c r="M64" s="21">
        <f t="shared" si="1"/>
        <v>24506.427813956005</v>
      </c>
      <c r="N64" s="1">
        <v>91427</v>
      </c>
      <c r="O64" s="22">
        <v>33670</v>
      </c>
      <c r="P64" s="21">
        <f t="shared" si="2"/>
        <v>35635.076686666667</v>
      </c>
      <c r="Q64" s="42"/>
    </row>
    <row r="65" spans="1:17" x14ac:dyDescent="0.25">
      <c r="A65" s="24" t="s">
        <v>478</v>
      </c>
      <c r="B65" s="24" t="s">
        <v>562</v>
      </c>
      <c r="C65" s="24">
        <v>44509</v>
      </c>
      <c r="D65" s="24">
        <v>7.016</v>
      </c>
      <c r="E65" s="24">
        <f t="shared" si="3"/>
        <v>348</v>
      </c>
      <c r="F65" s="24">
        <v>155</v>
      </c>
      <c r="G65" s="24">
        <v>193</v>
      </c>
      <c r="H65" s="23">
        <v>578913381</v>
      </c>
      <c r="I65" s="23">
        <v>6215790</v>
      </c>
      <c r="J65" s="22">
        <v>118802</v>
      </c>
      <c r="K65" s="21">
        <f t="shared" si="4"/>
        <v>118803</v>
      </c>
      <c r="L65" s="22">
        <v>29827</v>
      </c>
      <c r="M65" s="21">
        <f t="shared" si="1"/>
        <v>24748.142421586115</v>
      </c>
      <c r="N65" s="1">
        <v>88976</v>
      </c>
      <c r="O65" s="22">
        <v>34312</v>
      </c>
      <c r="P65" s="21">
        <f t="shared" si="2"/>
        <v>36341.652199999997</v>
      </c>
      <c r="Q65" s="42"/>
    </row>
    <row r="66" spans="1:17" x14ac:dyDescent="0.25">
      <c r="A66" s="24" t="s">
        <v>477</v>
      </c>
      <c r="B66" s="24" t="s">
        <v>562</v>
      </c>
      <c r="C66" s="24">
        <v>44789</v>
      </c>
      <c r="D66" s="24">
        <v>7.016</v>
      </c>
      <c r="E66" s="24">
        <f t="shared" si="3"/>
        <v>348</v>
      </c>
      <c r="F66" s="24">
        <v>156</v>
      </c>
      <c r="G66" s="24">
        <v>192</v>
      </c>
      <c r="H66" s="23">
        <v>580672196</v>
      </c>
      <c r="I66" s="23">
        <v>6327663</v>
      </c>
      <c r="J66" s="22">
        <v>110889</v>
      </c>
      <c r="K66" s="21">
        <f t="shared" ref="K66:K97" si="5">L66+N66</f>
        <v>110889</v>
      </c>
      <c r="L66" s="22">
        <v>30020</v>
      </c>
      <c r="M66" s="21">
        <f t="shared" ref="M66:M129" si="6">(D66/100/12)/((1+D66/100/12)^F66-1)*I66</f>
        <v>24948.367699184477</v>
      </c>
      <c r="N66" s="1">
        <v>80869</v>
      </c>
      <c r="O66" s="22">
        <v>34875</v>
      </c>
      <c r="P66" s="21">
        <f t="shared" ref="P66:P129" si="7">D66/100/12*I66</f>
        <v>36995.736340000003</v>
      </c>
      <c r="Q66" s="42"/>
    </row>
    <row r="67" spans="1:17" x14ac:dyDescent="0.25">
      <c r="A67" s="24" t="s">
        <v>476</v>
      </c>
      <c r="B67" s="24" t="s">
        <v>562</v>
      </c>
      <c r="C67" s="24">
        <v>45075</v>
      </c>
      <c r="D67" s="24">
        <v>7.016</v>
      </c>
      <c r="E67" s="24">
        <f t="shared" ref="E67:E130" si="8">F67+G67</f>
        <v>348</v>
      </c>
      <c r="F67" s="24">
        <v>157</v>
      </c>
      <c r="G67" s="24">
        <v>191</v>
      </c>
      <c r="H67" s="23">
        <v>582511088</v>
      </c>
      <c r="I67" s="23">
        <v>6437965</v>
      </c>
      <c r="J67" s="22">
        <v>111328</v>
      </c>
      <c r="K67" s="21">
        <f t="shared" ref="K67:K130" si="9">L67+N67</f>
        <v>111328</v>
      </c>
      <c r="L67" s="22">
        <v>30239</v>
      </c>
      <c r="M67" s="21">
        <f t="shared" si="6"/>
        <v>25137.182214685228</v>
      </c>
      <c r="N67" s="1">
        <v>81089</v>
      </c>
      <c r="O67" s="22">
        <v>35475</v>
      </c>
      <c r="P67" s="21">
        <f t="shared" si="7"/>
        <v>37640.635366666669</v>
      </c>
      <c r="Q67" s="42"/>
    </row>
    <row r="68" spans="1:17" x14ac:dyDescent="0.25">
      <c r="A68" s="24" t="s">
        <v>475</v>
      </c>
      <c r="B68" s="24" t="s">
        <v>562</v>
      </c>
      <c r="C68" s="24">
        <v>45342</v>
      </c>
      <c r="D68" s="24">
        <v>7.016</v>
      </c>
      <c r="E68" s="24">
        <f t="shared" si="8"/>
        <v>348</v>
      </c>
      <c r="F68" s="24">
        <v>158</v>
      </c>
      <c r="G68" s="24">
        <v>190</v>
      </c>
      <c r="H68" s="23">
        <v>583460485</v>
      </c>
      <c r="I68" s="23">
        <v>6541833</v>
      </c>
      <c r="J68" s="22">
        <v>107413</v>
      </c>
      <c r="K68" s="21">
        <f t="shared" si="9"/>
        <v>107412</v>
      </c>
      <c r="L68" s="22">
        <v>30390</v>
      </c>
      <c r="M68" s="21">
        <f t="shared" si="6"/>
        <v>25296.07042664443</v>
      </c>
      <c r="N68" s="1">
        <v>77022</v>
      </c>
      <c r="O68" s="22">
        <v>36017</v>
      </c>
      <c r="P68" s="21">
        <f t="shared" si="7"/>
        <v>38247.916940000003</v>
      </c>
      <c r="Q68" s="42"/>
    </row>
    <row r="69" spans="1:17" x14ac:dyDescent="0.25">
      <c r="A69" s="24" t="s">
        <v>474</v>
      </c>
      <c r="B69" s="24" t="s">
        <v>562</v>
      </c>
      <c r="C69" s="24">
        <v>45598</v>
      </c>
      <c r="D69" s="24">
        <v>7.016</v>
      </c>
      <c r="E69" s="24">
        <f t="shared" si="8"/>
        <v>348</v>
      </c>
      <c r="F69" s="24">
        <v>159</v>
      </c>
      <c r="G69" s="24">
        <v>189</v>
      </c>
      <c r="H69" s="23">
        <v>585157344</v>
      </c>
      <c r="I69" s="23">
        <v>6648062</v>
      </c>
      <c r="J69" s="22">
        <v>102648</v>
      </c>
      <c r="K69" s="21">
        <f t="shared" si="9"/>
        <v>102647</v>
      </c>
      <c r="L69" s="22">
        <v>30559</v>
      </c>
      <c r="M69" s="21">
        <f t="shared" si="6"/>
        <v>25459.537718185966</v>
      </c>
      <c r="N69" s="1">
        <v>72088</v>
      </c>
      <c r="O69" s="22">
        <v>36566</v>
      </c>
      <c r="P69" s="21">
        <f t="shared" si="7"/>
        <v>38869.002493333333</v>
      </c>
      <c r="Q69" s="42"/>
    </row>
    <row r="70" spans="1:17" x14ac:dyDescent="0.25">
      <c r="A70" s="24" t="s">
        <v>473</v>
      </c>
      <c r="B70" s="24" t="s">
        <v>562</v>
      </c>
      <c r="C70" s="24">
        <v>45847</v>
      </c>
      <c r="D70" s="24">
        <v>7.0149999999999997</v>
      </c>
      <c r="E70" s="24">
        <f t="shared" si="8"/>
        <v>348</v>
      </c>
      <c r="F70" s="24">
        <v>160</v>
      </c>
      <c r="G70" s="24">
        <v>188</v>
      </c>
      <c r="H70" s="23">
        <v>585761830</v>
      </c>
      <c r="I70" s="23">
        <v>6741387</v>
      </c>
      <c r="J70" s="22">
        <v>95561</v>
      </c>
      <c r="K70" s="21">
        <f t="shared" si="9"/>
        <v>95561</v>
      </c>
      <c r="L70" s="22">
        <v>30635</v>
      </c>
      <c r="M70" s="21">
        <f t="shared" si="6"/>
        <v>25571.462767785495</v>
      </c>
      <c r="N70" s="1">
        <v>64926</v>
      </c>
      <c r="O70" s="22">
        <v>37033</v>
      </c>
      <c r="P70" s="21">
        <f t="shared" si="7"/>
        <v>39409.024837499994</v>
      </c>
      <c r="Q70" s="42"/>
    </row>
    <row r="71" spans="1:17" x14ac:dyDescent="0.25">
      <c r="A71" s="24" t="s">
        <v>472</v>
      </c>
      <c r="B71" s="24" t="s">
        <v>562</v>
      </c>
      <c r="C71" s="24">
        <v>46043</v>
      </c>
      <c r="D71" s="24">
        <v>7.0149999999999997</v>
      </c>
      <c r="E71" s="24">
        <f t="shared" si="8"/>
        <v>348</v>
      </c>
      <c r="F71" s="24">
        <v>161</v>
      </c>
      <c r="G71" s="24">
        <v>187</v>
      </c>
      <c r="H71" s="23">
        <v>586932957</v>
      </c>
      <c r="I71" s="23">
        <v>6831388</v>
      </c>
      <c r="J71" s="22">
        <v>108494</v>
      </c>
      <c r="K71" s="21">
        <f t="shared" si="9"/>
        <v>108494</v>
      </c>
      <c r="L71" s="22">
        <v>30792</v>
      </c>
      <c r="M71" s="21">
        <f t="shared" si="6"/>
        <v>25665.464612719297</v>
      </c>
      <c r="N71" s="1">
        <v>77702</v>
      </c>
      <c r="O71" s="22">
        <v>37591</v>
      </c>
      <c r="P71" s="21">
        <f t="shared" si="7"/>
        <v>39935.155683333323</v>
      </c>
      <c r="Q71" s="42"/>
    </row>
    <row r="72" spans="1:17" x14ac:dyDescent="0.25">
      <c r="A72" s="24" t="s">
        <v>471</v>
      </c>
      <c r="B72" s="24" t="s">
        <v>562</v>
      </c>
      <c r="C72" s="24">
        <v>46273</v>
      </c>
      <c r="D72" s="24">
        <v>7.0149999999999997</v>
      </c>
      <c r="E72" s="24">
        <f t="shared" si="8"/>
        <v>348</v>
      </c>
      <c r="F72" s="24">
        <v>162</v>
      </c>
      <c r="G72" s="24">
        <v>186</v>
      </c>
      <c r="H72" s="23">
        <v>587034721</v>
      </c>
      <c r="I72" s="23">
        <v>6933578</v>
      </c>
      <c r="J72" s="22">
        <v>104692</v>
      </c>
      <c r="K72" s="21">
        <f t="shared" si="9"/>
        <v>104691</v>
      </c>
      <c r="L72" s="22">
        <v>30917</v>
      </c>
      <c r="M72" s="21">
        <f t="shared" si="6"/>
        <v>25801.62308443688</v>
      </c>
      <c r="N72" s="1">
        <v>73774</v>
      </c>
      <c r="O72" s="22">
        <v>38124</v>
      </c>
      <c r="P72" s="21">
        <f t="shared" si="7"/>
        <v>40532.541391666658</v>
      </c>
      <c r="Q72" s="42"/>
    </row>
    <row r="73" spans="1:17" x14ac:dyDescent="0.25">
      <c r="A73" s="24" t="s">
        <v>470</v>
      </c>
      <c r="B73" s="24" t="s">
        <v>562</v>
      </c>
      <c r="C73" s="24">
        <v>46492</v>
      </c>
      <c r="D73" s="24">
        <v>7.0149999999999997</v>
      </c>
      <c r="E73" s="24">
        <f t="shared" si="8"/>
        <v>347</v>
      </c>
      <c r="F73" s="24">
        <v>162</v>
      </c>
      <c r="G73" s="24">
        <v>185</v>
      </c>
      <c r="H73" s="23">
        <v>588654670</v>
      </c>
      <c r="I73" s="23">
        <v>7037190</v>
      </c>
      <c r="J73" s="22">
        <v>107084</v>
      </c>
      <c r="K73" s="21">
        <f t="shared" si="9"/>
        <v>107083</v>
      </c>
      <c r="L73" s="22">
        <v>31086</v>
      </c>
      <c r="M73" s="21">
        <f t="shared" si="6"/>
        <v>26187.189926120158</v>
      </c>
      <c r="N73" s="1">
        <v>75997</v>
      </c>
      <c r="O73" s="22">
        <v>38698</v>
      </c>
      <c r="P73" s="21">
        <f t="shared" si="7"/>
        <v>41138.239874999992</v>
      </c>
      <c r="Q73" s="42"/>
    </row>
    <row r="74" spans="1:17" x14ac:dyDescent="0.25">
      <c r="A74" s="24" t="s">
        <v>469</v>
      </c>
      <c r="B74" s="24" t="s">
        <v>562</v>
      </c>
      <c r="C74" s="24">
        <v>46752</v>
      </c>
      <c r="D74" s="24">
        <v>7.0149999999999997</v>
      </c>
      <c r="E74" s="24">
        <f t="shared" si="8"/>
        <v>348</v>
      </c>
      <c r="F74" s="24">
        <v>163</v>
      </c>
      <c r="G74" s="24">
        <v>185</v>
      </c>
      <c r="H74" s="23">
        <v>590254082</v>
      </c>
      <c r="I74" s="23">
        <v>7144072</v>
      </c>
      <c r="J74" s="22">
        <v>110498</v>
      </c>
      <c r="K74" s="21">
        <f t="shared" si="9"/>
        <v>110498</v>
      </c>
      <c r="L74" s="22">
        <v>31266</v>
      </c>
      <c r="M74" s="21">
        <f t="shared" si="6"/>
        <v>26332.995143500473</v>
      </c>
      <c r="N74" s="1">
        <v>79232</v>
      </c>
      <c r="O74" s="22">
        <v>39295</v>
      </c>
      <c r="P74" s="21">
        <f t="shared" si="7"/>
        <v>41763.054233333329</v>
      </c>
      <c r="Q74" s="42"/>
    </row>
    <row r="75" spans="1:17" x14ac:dyDescent="0.25">
      <c r="A75" s="24" t="s">
        <v>468</v>
      </c>
      <c r="B75" s="24" t="s">
        <v>562</v>
      </c>
      <c r="C75" s="24">
        <v>46985</v>
      </c>
      <c r="D75" s="24">
        <v>7.0149999999999997</v>
      </c>
      <c r="E75" s="24">
        <f t="shared" si="8"/>
        <v>348</v>
      </c>
      <c r="F75" s="24">
        <v>164</v>
      </c>
      <c r="G75" s="24">
        <v>184</v>
      </c>
      <c r="H75" s="23">
        <v>592131293</v>
      </c>
      <c r="I75" s="23">
        <v>7254510</v>
      </c>
      <c r="J75" s="22">
        <v>108489</v>
      </c>
      <c r="K75" s="21">
        <f t="shared" si="9"/>
        <v>108488</v>
      </c>
      <c r="L75" s="22">
        <v>31430</v>
      </c>
      <c r="M75" s="21">
        <f t="shared" si="6"/>
        <v>26487.593645988582</v>
      </c>
      <c r="N75" s="1">
        <v>77058</v>
      </c>
      <c r="O75" s="22">
        <v>39883</v>
      </c>
      <c r="P75" s="21">
        <f t="shared" si="7"/>
        <v>42408.656374999991</v>
      </c>
      <c r="Q75" s="42"/>
    </row>
    <row r="76" spans="1:17" x14ac:dyDescent="0.25">
      <c r="A76" s="24" t="s">
        <v>467</v>
      </c>
      <c r="B76" s="24" t="s">
        <v>562</v>
      </c>
      <c r="C76" s="24">
        <v>47186</v>
      </c>
      <c r="D76" s="24">
        <v>7.0149999999999997</v>
      </c>
      <c r="E76" s="24">
        <f t="shared" si="8"/>
        <v>348</v>
      </c>
      <c r="F76" s="24">
        <v>165</v>
      </c>
      <c r="G76" s="24">
        <v>183</v>
      </c>
      <c r="H76" s="23">
        <v>593221139</v>
      </c>
      <c r="I76" s="23">
        <v>7360512</v>
      </c>
      <c r="J76" s="22">
        <v>122716</v>
      </c>
      <c r="K76" s="21">
        <f t="shared" si="9"/>
        <v>122716</v>
      </c>
      <c r="L76" s="22">
        <v>31636</v>
      </c>
      <c r="M76" s="21">
        <f t="shared" si="6"/>
        <v>26621.799231998633</v>
      </c>
      <c r="N76" s="1">
        <v>91080</v>
      </c>
      <c r="O76" s="22">
        <v>40534</v>
      </c>
      <c r="P76" s="21">
        <f t="shared" si="7"/>
        <v>43028.326399999991</v>
      </c>
      <c r="Q76" s="42"/>
    </row>
    <row r="77" spans="1:17" x14ac:dyDescent="0.25">
      <c r="A77" s="24" t="s">
        <v>466</v>
      </c>
      <c r="B77" s="24" t="s">
        <v>562</v>
      </c>
      <c r="C77" s="24">
        <v>47469</v>
      </c>
      <c r="D77" s="24">
        <v>7.0149999999999997</v>
      </c>
      <c r="E77" s="24">
        <f t="shared" si="8"/>
        <v>348</v>
      </c>
      <c r="F77" s="24">
        <v>166</v>
      </c>
      <c r="G77" s="24">
        <v>182</v>
      </c>
      <c r="H77" s="23">
        <v>594148169</v>
      </c>
      <c r="I77" s="23">
        <v>7470538</v>
      </c>
      <c r="J77" s="22">
        <v>109902</v>
      </c>
      <c r="K77" s="21">
        <f t="shared" si="9"/>
        <v>109902</v>
      </c>
      <c r="L77" s="22">
        <v>31755</v>
      </c>
      <c r="M77" s="21">
        <f t="shared" si="6"/>
        <v>26766.463426812537</v>
      </c>
      <c r="N77" s="1">
        <v>78147</v>
      </c>
      <c r="O77" s="22">
        <v>41061</v>
      </c>
      <c r="P77" s="21">
        <f t="shared" si="7"/>
        <v>43671.520058333328</v>
      </c>
      <c r="Q77" s="42"/>
    </row>
    <row r="78" spans="1:17" x14ac:dyDescent="0.25">
      <c r="A78" s="24" t="s">
        <v>465</v>
      </c>
      <c r="B78" s="24" t="s">
        <v>562</v>
      </c>
      <c r="C78" s="24">
        <v>47692</v>
      </c>
      <c r="D78" s="24">
        <v>7.0149999999999997</v>
      </c>
      <c r="E78" s="24">
        <f t="shared" si="8"/>
        <v>348</v>
      </c>
      <c r="F78" s="24">
        <v>167</v>
      </c>
      <c r="G78" s="24">
        <v>181</v>
      </c>
      <c r="H78" s="23">
        <v>589796228</v>
      </c>
      <c r="I78" s="23">
        <v>7549058</v>
      </c>
      <c r="J78" s="22">
        <v>118951</v>
      </c>
      <c r="K78" s="21">
        <f t="shared" si="9"/>
        <v>118951</v>
      </c>
      <c r="L78" s="22">
        <v>31770</v>
      </c>
      <c r="M78" s="21">
        <f t="shared" si="6"/>
        <v>26795.150297044391</v>
      </c>
      <c r="N78" s="1">
        <v>87181</v>
      </c>
      <c r="O78" s="22">
        <v>41535</v>
      </c>
      <c r="P78" s="21">
        <f t="shared" si="7"/>
        <v>44130.534891666655</v>
      </c>
      <c r="Q78" s="42"/>
    </row>
    <row r="79" spans="1:17" x14ac:dyDescent="0.25">
      <c r="A79" s="24" t="s">
        <v>464</v>
      </c>
      <c r="B79" s="24" t="s">
        <v>562</v>
      </c>
      <c r="C79" s="24">
        <v>47930</v>
      </c>
      <c r="D79" s="24">
        <v>7.0149999999999997</v>
      </c>
      <c r="E79" s="24">
        <f t="shared" si="8"/>
        <v>348</v>
      </c>
      <c r="F79" s="24">
        <v>168</v>
      </c>
      <c r="G79" s="24">
        <v>180</v>
      </c>
      <c r="H79" s="23">
        <v>590853584</v>
      </c>
      <c r="I79" s="23">
        <v>7663803</v>
      </c>
      <c r="J79" s="22">
        <v>121761</v>
      </c>
      <c r="K79" s="21">
        <f t="shared" si="9"/>
        <v>121762</v>
      </c>
      <c r="L79" s="22">
        <v>31941</v>
      </c>
      <c r="M79" s="21">
        <f t="shared" si="6"/>
        <v>26949.237913867546</v>
      </c>
      <c r="N79" s="1">
        <v>89821</v>
      </c>
      <c r="O79" s="22">
        <v>42172</v>
      </c>
      <c r="P79" s="21">
        <f t="shared" si="7"/>
        <v>44801.31503749999</v>
      </c>
      <c r="Q79" s="42"/>
    </row>
    <row r="80" spans="1:17" x14ac:dyDescent="0.25">
      <c r="A80" s="24" t="s">
        <v>463</v>
      </c>
      <c r="B80" s="24" t="s">
        <v>562</v>
      </c>
      <c r="C80" s="24">
        <v>48194</v>
      </c>
      <c r="D80" s="24">
        <v>7.0149999999999997</v>
      </c>
      <c r="E80" s="24">
        <f t="shared" si="8"/>
        <v>348</v>
      </c>
      <c r="F80" s="24">
        <v>169</v>
      </c>
      <c r="G80" s="24">
        <v>179</v>
      </c>
      <c r="H80" s="23">
        <v>591974700</v>
      </c>
      <c r="I80" s="23">
        <v>7776725</v>
      </c>
      <c r="J80" s="22">
        <v>113882</v>
      </c>
      <c r="K80" s="21">
        <f t="shared" si="9"/>
        <v>113882</v>
      </c>
      <c r="L80" s="22">
        <v>32072</v>
      </c>
      <c r="M80" s="21">
        <f t="shared" si="6"/>
        <v>27092.671620864308</v>
      </c>
      <c r="N80" s="1">
        <v>81810</v>
      </c>
      <c r="O80" s="22">
        <v>42741</v>
      </c>
      <c r="P80" s="21">
        <f t="shared" si="7"/>
        <v>45461.438229166655</v>
      </c>
      <c r="Q80" s="42"/>
    </row>
    <row r="81" spans="1:17" x14ac:dyDescent="0.25">
      <c r="A81" s="24" t="s">
        <v>462</v>
      </c>
      <c r="B81" s="24" t="s">
        <v>562</v>
      </c>
      <c r="C81" s="24">
        <v>48417</v>
      </c>
      <c r="D81" s="24">
        <v>7.016</v>
      </c>
      <c r="E81" s="24">
        <f t="shared" si="8"/>
        <v>348</v>
      </c>
      <c r="F81" s="24">
        <v>171</v>
      </c>
      <c r="G81" s="24">
        <v>177</v>
      </c>
      <c r="H81" s="23">
        <v>565659848</v>
      </c>
      <c r="I81" s="23">
        <v>7598376</v>
      </c>
      <c r="J81" s="22">
        <v>114893</v>
      </c>
      <c r="K81" s="21">
        <f t="shared" si="9"/>
        <v>114893</v>
      </c>
      <c r="L81" s="22">
        <v>30753</v>
      </c>
      <c r="M81" s="21">
        <f t="shared" si="6"/>
        <v>25982.925931658534</v>
      </c>
      <c r="N81" s="1">
        <v>84140</v>
      </c>
      <c r="O81" s="22">
        <v>41780</v>
      </c>
      <c r="P81" s="21">
        <f t="shared" si="7"/>
        <v>44425.171679999999</v>
      </c>
      <c r="Q81" s="42"/>
    </row>
    <row r="82" spans="1:17" x14ac:dyDescent="0.25">
      <c r="A82" s="24" t="s">
        <v>461</v>
      </c>
      <c r="B82" s="24" t="s">
        <v>562</v>
      </c>
      <c r="C82" s="24">
        <v>29719</v>
      </c>
      <c r="D82" s="24">
        <v>7.016</v>
      </c>
      <c r="E82" s="24">
        <f t="shared" si="8"/>
        <v>348</v>
      </c>
      <c r="F82" s="24">
        <v>172</v>
      </c>
      <c r="G82" s="24">
        <v>176</v>
      </c>
      <c r="H82" s="23">
        <v>566846949</v>
      </c>
      <c r="I82" s="23">
        <v>7711260</v>
      </c>
      <c r="J82" s="22">
        <v>119557</v>
      </c>
      <c r="K82" s="21">
        <f t="shared" si="9"/>
        <v>119558</v>
      </c>
      <c r="L82" s="22">
        <v>30949</v>
      </c>
      <c r="M82" s="21">
        <f t="shared" si="6"/>
        <v>26126.840300819138</v>
      </c>
      <c r="N82" s="1">
        <v>88609</v>
      </c>
      <c r="O82" s="22">
        <v>42417</v>
      </c>
      <c r="P82" s="21">
        <f t="shared" si="7"/>
        <v>45085.166799999999</v>
      </c>
      <c r="Q82" s="42"/>
    </row>
    <row r="83" spans="1:17" x14ac:dyDescent="0.25">
      <c r="A83" s="24" t="s">
        <v>460</v>
      </c>
      <c r="B83" s="24" t="s">
        <v>562</v>
      </c>
      <c r="C83" s="24">
        <v>29894</v>
      </c>
      <c r="D83" s="24">
        <v>7.016</v>
      </c>
      <c r="E83" s="24">
        <f t="shared" si="8"/>
        <v>348</v>
      </c>
      <c r="F83" s="24">
        <v>173</v>
      </c>
      <c r="G83" s="24">
        <v>175</v>
      </c>
      <c r="H83" s="23">
        <v>568161954</v>
      </c>
      <c r="I83" s="23">
        <v>7830817</v>
      </c>
      <c r="J83" s="22">
        <v>112910</v>
      </c>
      <c r="K83" s="21">
        <f t="shared" si="9"/>
        <v>112911</v>
      </c>
      <c r="L83" s="22">
        <v>31117</v>
      </c>
      <c r="M83" s="21">
        <f t="shared" si="6"/>
        <v>26289.141161993921</v>
      </c>
      <c r="N83" s="1">
        <v>81794</v>
      </c>
      <c r="O83" s="22">
        <v>43028</v>
      </c>
      <c r="P83" s="21">
        <f t="shared" si="7"/>
        <v>45784.176726666665</v>
      </c>
      <c r="Q83" s="42"/>
    </row>
    <row r="84" spans="1:17" x14ac:dyDescent="0.25">
      <c r="A84" s="24" t="s">
        <v>459</v>
      </c>
      <c r="B84" s="24" t="s">
        <v>562</v>
      </c>
      <c r="C84" s="24">
        <v>30028</v>
      </c>
      <c r="D84" s="24">
        <v>7.016</v>
      </c>
      <c r="E84" s="24">
        <f t="shared" si="8"/>
        <v>348</v>
      </c>
      <c r="F84" s="24">
        <v>174</v>
      </c>
      <c r="G84" s="24">
        <v>174</v>
      </c>
      <c r="H84" s="23">
        <v>569741673</v>
      </c>
      <c r="I84" s="23">
        <v>7943727</v>
      </c>
      <c r="J84" s="22">
        <v>110747</v>
      </c>
      <c r="K84" s="21">
        <f t="shared" si="9"/>
        <v>110746</v>
      </c>
      <c r="L84" s="22">
        <v>31258</v>
      </c>
      <c r="M84" s="21">
        <f t="shared" si="6"/>
        <v>26424.985297168412</v>
      </c>
      <c r="N84" s="1">
        <v>79488</v>
      </c>
      <c r="O84" s="22">
        <v>43628</v>
      </c>
      <c r="P84" s="21">
        <f t="shared" si="7"/>
        <v>46444.323859999997</v>
      </c>
      <c r="Q84" s="42"/>
    </row>
    <row r="85" spans="1:17" x14ac:dyDescent="0.25">
      <c r="A85" s="24" t="s">
        <v>458</v>
      </c>
      <c r="B85" s="24" t="s">
        <v>562</v>
      </c>
      <c r="C85" s="24">
        <v>30169</v>
      </c>
      <c r="D85" s="24">
        <v>7.016</v>
      </c>
      <c r="E85" s="24">
        <f t="shared" si="8"/>
        <v>347</v>
      </c>
      <c r="F85" s="24">
        <v>174</v>
      </c>
      <c r="G85" s="24">
        <v>173</v>
      </c>
      <c r="H85" s="23">
        <v>571115056</v>
      </c>
      <c r="I85" s="23">
        <v>8054474</v>
      </c>
      <c r="J85" s="22">
        <v>120287</v>
      </c>
      <c r="K85" s="21">
        <f t="shared" si="9"/>
        <v>120287</v>
      </c>
      <c r="L85" s="22">
        <v>31420</v>
      </c>
      <c r="M85" s="21">
        <f t="shared" si="6"/>
        <v>26793.38766632152</v>
      </c>
      <c r="N85" s="1">
        <v>88867</v>
      </c>
      <c r="O85" s="22">
        <v>44280</v>
      </c>
      <c r="P85" s="21">
        <f t="shared" si="7"/>
        <v>47091.824653333337</v>
      </c>
      <c r="Q85" s="42"/>
    </row>
    <row r="86" spans="1:17" x14ac:dyDescent="0.25">
      <c r="A86" s="24" t="s">
        <v>457</v>
      </c>
      <c r="B86" s="24" t="s">
        <v>562</v>
      </c>
      <c r="C86" s="24">
        <v>30319</v>
      </c>
      <c r="D86" s="24">
        <v>7.0170000000000003</v>
      </c>
      <c r="E86" s="24">
        <f t="shared" si="8"/>
        <v>347</v>
      </c>
      <c r="F86" s="24">
        <v>175</v>
      </c>
      <c r="G86" s="24">
        <v>172</v>
      </c>
      <c r="H86" s="23">
        <v>572529253</v>
      </c>
      <c r="I86" s="23">
        <v>8174761</v>
      </c>
      <c r="J86" s="22">
        <v>121472</v>
      </c>
      <c r="K86" s="21">
        <f t="shared" si="9"/>
        <v>121472</v>
      </c>
      <c r="L86" s="22">
        <v>31599</v>
      </c>
      <c r="M86" s="21">
        <f t="shared" si="6"/>
        <v>26944.072489412312</v>
      </c>
      <c r="N86" s="1">
        <v>89873</v>
      </c>
      <c r="O86" s="22">
        <v>44938</v>
      </c>
      <c r="P86" s="21">
        <f t="shared" si="7"/>
        <v>47801.914947500009</v>
      </c>
      <c r="Q86" s="42"/>
    </row>
    <row r="87" spans="1:17" x14ac:dyDescent="0.25">
      <c r="A87" s="24" t="s">
        <v>456</v>
      </c>
      <c r="B87" s="24" t="s">
        <v>562</v>
      </c>
      <c r="C87" s="24">
        <v>30464</v>
      </c>
      <c r="D87" s="24">
        <v>7.0170000000000003</v>
      </c>
      <c r="E87" s="24">
        <f t="shared" si="8"/>
        <v>347</v>
      </c>
      <c r="F87" s="24">
        <v>176</v>
      </c>
      <c r="G87" s="24">
        <v>171</v>
      </c>
      <c r="H87" s="23">
        <v>573964729</v>
      </c>
      <c r="I87" s="23">
        <v>8296233</v>
      </c>
      <c r="J87" s="22">
        <v>132475</v>
      </c>
      <c r="K87" s="21">
        <f t="shared" si="9"/>
        <v>132475</v>
      </c>
      <c r="L87" s="22">
        <v>31807</v>
      </c>
      <c r="M87" s="21">
        <f t="shared" si="6"/>
        <v>27096.68634519284</v>
      </c>
      <c r="N87" s="1">
        <v>100668</v>
      </c>
      <c r="O87" s="22">
        <v>45655</v>
      </c>
      <c r="P87" s="21">
        <f t="shared" si="7"/>
        <v>48512.222467500011</v>
      </c>
      <c r="Q87" s="42"/>
    </row>
    <row r="88" spans="1:17" x14ac:dyDescent="0.25">
      <c r="A88" s="24" t="s">
        <v>455</v>
      </c>
      <c r="B88" s="24" t="s">
        <v>562</v>
      </c>
      <c r="C88" s="24">
        <v>30629</v>
      </c>
      <c r="D88" s="24">
        <v>7.0170000000000003</v>
      </c>
      <c r="E88" s="24">
        <f t="shared" si="8"/>
        <v>347</v>
      </c>
      <c r="F88" s="24">
        <v>177</v>
      </c>
      <c r="G88" s="24">
        <v>170</v>
      </c>
      <c r="H88" s="23">
        <v>575536140</v>
      </c>
      <c r="I88" s="23">
        <v>8428708</v>
      </c>
      <c r="J88" s="22">
        <v>151060</v>
      </c>
      <c r="K88" s="21">
        <f t="shared" si="9"/>
        <v>151060</v>
      </c>
      <c r="L88" s="22">
        <v>32076</v>
      </c>
      <c r="M88" s="21">
        <f t="shared" si="6"/>
        <v>27280.741736272019</v>
      </c>
      <c r="N88" s="1">
        <v>118984</v>
      </c>
      <c r="O88" s="22">
        <v>46474</v>
      </c>
      <c r="P88" s="21">
        <f t="shared" si="7"/>
        <v>49286.870030000013</v>
      </c>
      <c r="Q88" s="42"/>
    </row>
    <row r="89" spans="1:17" x14ac:dyDescent="0.25">
      <c r="A89" s="24" t="s">
        <v>454</v>
      </c>
      <c r="B89" s="24" t="s">
        <v>562</v>
      </c>
      <c r="C89" s="24">
        <v>30831</v>
      </c>
      <c r="D89" s="24">
        <v>7.0170000000000003</v>
      </c>
      <c r="E89" s="24">
        <f t="shared" si="8"/>
        <v>347</v>
      </c>
      <c r="F89" s="24">
        <v>178</v>
      </c>
      <c r="G89" s="24">
        <v>169</v>
      </c>
      <c r="H89" s="23">
        <v>577501798</v>
      </c>
      <c r="I89" s="23">
        <v>8579768</v>
      </c>
      <c r="J89" s="22">
        <v>135314</v>
      </c>
      <c r="K89" s="21">
        <f t="shared" si="9"/>
        <v>135314</v>
      </c>
      <c r="L89" s="22">
        <v>32275</v>
      </c>
      <c r="M89" s="21">
        <f t="shared" si="6"/>
        <v>27519.676686470582</v>
      </c>
      <c r="N89" s="1">
        <v>103039</v>
      </c>
      <c r="O89" s="22">
        <v>47207</v>
      </c>
      <c r="P89" s="21">
        <f t="shared" si="7"/>
        <v>50170.193380000012</v>
      </c>
      <c r="Q89" s="42"/>
    </row>
    <row r="90" spans="1:17" x14ac:dyDescent="0.25">
      <c r="A90" s="24" t="s">
        <v>453</v>
      </c>
      <c r="B90" s="24" t="s">
        <v>562</v>
      </c>
      <c r="C90" s="24">
        <v>30994</v>
      </c>
      <c r="D90" s="24">
        <v>7.0170000000000003</v>
      </c>
      <c r="E90" s="24">
        <f t="shared" si="8"/>
        <v>347</v>
      </c>
      <c r="F90" s="24">
        <v>179</v>
      </c>
      <c r="G90" s="24">
        <v>168</v>
      </c>
      <c r="H90" s="23">
        <v>579032028</v>
      </c>
      <c r="I90" s="23">
        <v>8715082</v>
      </c>
      <c r="J90" s="22">
        <v>161334</v>
      </c>
      <c r="K90" s="21">
        <f t="shared" si="9"/>
        <v>161334</v>
      </c>
      <c r="L90" s="22">
        <v>32556</v>
      </c>
      <c r="M90" s="21">
        <f t="shared" si="6"/>
        <v>27702.84794169469</v>
      </c>
      <c r="N90" s="1">
        <v>128778</v>
      </c>
      <c r="O90" s="22">
        <v>48080</v>
      </c>
      <c r="P90" s="21">
        <f t="shared" si="7"/>
        <v>50961.441995000008</v>
      </c>
      <c r="Q90" s="42"/>
    </row>
    <row r="91" spans="1:17" x14ac:dyDescent="0.25">
      <c r="A91" s="24" t="s">
        <v>452</v>
      </c>
      <c r="B91" s="24" t="s">
        <v>562</v>
      </c>
      <c r="C91" s="24">
        <v>31183</v>
      </c>
      <c r="D91" s="24">
        <v>7.0179999999999998</v>
      </c>
      <c r="E91" s="24">
        <f t="shared" si="8"/>
        <v>347</v>
      </c>
      <c r="F91" s="24">
        <v>180</v>
      </c>
      <c r="G91" s="24">
        <v>167</v>
      </c>
      <c r="H91" s="23">
        <v>580704078</v>
      </c>
      <c r="I91" s="23">
        <v>8876416</v>
      </c>
      <c r="J91" s="22">
        <v>163819</v>
      </c>
      <c r="K91" s="21">
        <f t="shared" si="9"/>
        <v>163818</v>
      </c>
      <c r="L91" s="22">
        <v>32830</v>
      </c>
      <c r="M91" s="21">
        <f t="shared" si="6"/>
        <v>27960.849915912549</v>
      </c>
      <c r="N91" s="1">
        <v>130988</v>
      </c>
      <c r="O91" s="22">
        <v>48968</v>
      </c>
      <c r="P91" s="21">
        <f t="shared" si="7"/>
        <v>51912.239573333332</v>
      </c>
      <c r="Q91" s="42"/>
    </row>
    <row r="92" spans="1:17" x14ac:dyDescent="0.25">
      <c r="A92" s="24" t="s">
        <v>451</v>
      </c>
      <c r="B92" s="24" t="s">
        <v>562</v>
      </c>
      <c r="C92" s="24">
        <v>31342</v>
      </c>
      <c r="D92" s="24">
        <v>7.0179999999999998</v>
      </c>
      <c r="E92" s="24">
        <f t="shared" si="8"/>
        <v>347</v>
      </c>
      <c r="F92" s="24">
        <v>181</v>
      </c>
      <c r="G92" s="24">
        <v>166</v>
      </c>
      <c r="H92" s="23">
        <v>582088323</v>
      </c>
      <c r="I92" s="23">
        <v>9040235</v>
      </c>
      <c r="J92" s="22">
        <v>176358</v>
      </c>
      <c r="K92" s="21">
        <f t="shared" si="9"/>
        <v>176358</v>
      </c>
      <c r="L92" s="22">
        <v>33127</v>
      </c>
      <c r="M92" s="21">
        <f t="shared" si="6"/>
        <v>28222.922631676098</v>
      </c>
      <c r="N92" s="1">
        <v>143231</v>
      </c>
      <c r="O92" s="22">
        <v>49923</v>
      </c>
      <c r="P92" s="21">
        <f t="shared" si="7"/>
        <v>52870.307691666661</v>
      </c>
      <c r="Q92" s="42"/>
    </row>
    <row r="93" spans="1:17" x14ac:dyDescent="0.25">
      <c r="A93" s="24" t="s">
        <v>450</v>
      </c>
      <c r="B93" s="24" t="s">
        <v>562</v>
      </c>
      <c r="C93" s="24">
        <v>31546</v>
      </c>
      <c r="D93" s="24">
        <v>7.0179999999999998</v>
      </c>
      <c r="E93" s="24">
        <f t="shared" si="8"/>
        <v>347</v>
      </c>
      <c r="F93" s="24">
        <v>182</v>
      </c>
      <c r="G93" s="24">
        <v>165</v>
      </c>
      <c r="H93" s="23">
        <v>583990113</v>
      </c>
      <c r="I93" s="23">
        <v>9216593</v>
      </c>
      <c r="J93" s="22">
        <v>191711</v>
      </c>
      <c r="K93" s="21">
        <f t="shared" si="9"/>
        <v>191712</v>
      </c>
      <c r="L93" s="22">
        <v>33450</v>
      </c>
      <c r="M93" s="21">
        <f t="shared" si="6"/>
        <v>28517.687840888771</v>
      </c>
      <c r="N93" s="1">
        <v>158262</v>
      </c>
      <c r="O93" s="22">
        <v>50961</v>
      </c>
      <c r="P93" s="21">
        <f t="shared" si="7"/>
        <v>53901.708061666664</v>
      </c>
      <c r="Q93" s="42"/>
    </row>
    <row r="94" spans="1:17" x14ac:dyDescent="0.25">
      <c r="A94" s="24" t="s">
        <v>449</v>
      </c>
      <c r="B94" s="24" t="s">
        <v>562</v>
      </c>
      <c r="C94" s="24">
        <v>31736</v>
      </c>
      <c r="D94" s="24">
        <v>7.0179999999999998</v>
      </c>
      <c r="E94" s="24">
        <f t="shared" si="8"/>
        <v>347</v>
      </c>
      <c r="F94" s="24">
        <v>183</v>
      </c>
      <c r="G94" s="24">
        <v>164</v>
      </c>
      <c r="H94" s="23">
        <v>585826155</v>
      </c>
      <c r="I94" s="23">
        <v>9408305</v>
      </c>
      <c r="J94" s="22">
        <v>189367</v>
      </c>
      <c r="K94" s="21">
        <f t="shared" si="9"/>
        <v>189367</v>
      </c>
      <c r="L94" s="22">
        <v>33772</v>
      </c>
      <c r="M94" s="21">
        <f t="shared" si="6"/>
        <v>28852.860247836226</v>
      </c>
      <c r="N94" s="1">
        <v>155595</v>
      </c>
      <c r="O94" s="22">
        <v>51987</v>
      </c>
      <c r="P94" s="21">
        <f t="shared" si="7"/>
        <v>55022.903741666662</v>
      </c>
      <c r="Q94" s="42"/>
    </row>
    <row r="95" spans="1:17" x14ac:dyDescent="0.25">
      <c r="A95" s="24" t="s">
        <v>448</v>
      </c>
      <c r="B95" s="24" t="s">
        <v>562</v>
      </c>
      <c r="C95" s="24">
        <v>31918</v>
      </c>
      <c r="D95" s="24">
        <v>7.0179999999999998</v>
      </c>
      <c r="E95" s="24">
        <f t="shared" si="8"/>
        <v>347</v>
      </c>
      <c r="F95" s="24">
        <v>184</v>
      </c>
      <c r="G95" s="24">
        <v>163</v>
      </c>
      <c r="H95" s="23">
        <v>587430944</v>
      </c>
      <c r="I95" s="23">
        <v>9597672</v>
      </c>
      <c r="J95" s="22">
        <v>196735</v>
      </c>
      <c r="K95" s="21">
        <f t="shared" si="9"/>
        <v>196735</v>
      </c>
      <c r="L95" s="22">
        <v>34110</v>
      </c>
      <c r="M95" s="21">
        <f t="shared" si="6"/>
        <v>29173.516160914642</v>
      </c>
      <c r="N95" s="1">
        <v>162625</v>
      </c>
      <c r="O95" s="22">
        <v>53053</v>
      </c>
      <c r="P95" s="21">
        <f t="shared" si="7"/>
        <v>56130.38508</v>
      </c>
      <c r="Q95" s="42"/>
    </row>
    <row r="96" spans="1:17" x14ac:dyDescent="0.25">
      <c r="A96" s="24" t="s">
        <v>447</v>
      </c>
      <c r="B96" s="24" t="s">
        <v>562</v>
      </c>
      <c r="C96" s="24">
        <v>32116</v>
      </c>
      <c r="D96" s="24">
        <v>7.0179999999999998</v>
      </c>
      <c r="E96" s="24">
        <f t="shared" si="8"/>
        <v>347</v>
      </c>
      <c r="F96" s="24">
        <v>185</v>
      </c>
      <c r="G96" s="24">
        <v>162</v>
      </c>
      <c r="H96" s="23">
        <v>589062474</v>
      </c>
      <c r="I96" s="23">
        <v>9794486</v>
      </c>
      <c r="J96" s="22">
        <v>171007</v>
      </c>
      <c r="K96" s="21">
        <f t="shared" si="9"/>
        <v>171007</v>
      </c>
      <c r="L96" s="22">
        <v>34376</v>
      </c>
      <c r="M96" s="21">
        <f t="shared" si="6"/>
        <v>29509.48123006622</v>
      </c>
      <c r="N96" s="1">
        <v>136631</v>
      </c>
      <c r="O96" s="22">
        <v>53980</v>
      </c>
      <c r="P96" s="21">
        <f t="shared" si="7"/>
        <v>57281.418956666661</v>
      </c>
      <c r="Q96" s="42"/>
    </row>
    <row r="97" spans="1:17" x14ac:dyDescent="0.25">
      <c r="A97" s="24" t="s">
        <v>446</v>
      </c>
      <c r="B97" s="24" t="s">
        <v>562</v>
      </c>
      <c r="C97" s="24">
        <v>32292</v>
      </c>
      <c r="D97" s="24">
        <v>7.0179999999999998</v>
      </c>
      <c r="E97" s="24">
        <f t="shared" si="8"/>
        <v>347</v>
      </c>
      <c r="F97" s="24">
        <v>186</v>
      </c>
      <c r="G97" s="24">
        <v>161</v>
      </c>
      <c r="H97" s="23">
        <v>590423803</v>
      </c>
      <c r="I97" s="23">
        <v>9965493</v>
      </c>
      <c r="J97" s="22">
        <v>169286</v>
      </c>
      <c r="K97" s="21">
        <f t="shared" si="9"/>
        <v>169286</v>
      </c>
      <c r="L97" s="22">
        <v>34636</v>
      </c>
      <c r="M97" s="21">
        <f t="shared" si="6"/>
        <v>29760.98449647726</v>
      </c>
      <c r="N97" s="1">
        <v>134650</v>
      </c>
      <c r="O97" s="22">
        <v>54897</v>
      </c>
      <c r="P97" s="21">
        <f t="shared" si="7"/>
        <v>58281.524894999995</v>
      </c>
      <c r="Q97" s="42"/>
    </row>
    <row r="98" spans="1:17" x14ac:dyDescent="0.25">
      <c r="A98" s="24" t="s">
        <v>445</v>
      </c>
      <c r="B98" s="24" t="s">
        <v>562</v>
      </c>
      <c r="C98" s="24">
        <v>32463</v>
      </c>
      <c r="D98" s="24">
        <v>7.0179999999999998</v>
      </c>
      <c r="E98" s="24">
        <f t="shared" si="8"/>
        <v>347</v>
      </c>
      <c r="F98" s="24">
        <v>187</v>
      </c>
      <c r="G98" s="24">
        <v>160</v>
      </c>
      <c r="H98" s="23">
        <v>591937903</v>
      </c>
      <c r="I98" s="23">
        <v>10134779</v>
      </c>
      <c r="J98" s="22">
        <v>179271</v>
      </c>
      <c r="K98" s="21">
        <f t="shared" si="9"/>
        <v>179271</v>
      </c>
      <c r="L98" s="22">
        <v>34921</v>
      </c>
      <c r="M98" s="21">
        <f t="shared" si="6"/>
        <v>30001.48558807647</v>
      </c>
      <c r="N98" s="1">
        <v>144350</v>
      </c>
      <c r="O98" s="22">
        <v>55868</v>
      </c>
      <c r="P98" s="21">
        <f t="shared" si="7"/>
        <v>59271.565851666666</v>
      </c>
      <c r="Q98" s="42"/>
    </row>
    <row r="99" spans="1:17" x14ac:dyDescent="0.25">
      <c r="A99" s="24" t="s">
        <v>444</v>
      </c>
      <c r="B99" s="24" t="s">
        <v>562</v>
      </c>
      <c r="C99" s="24">
        <v>32658</v>
      </c>
      <c r="D99" s="24">
        <v>7.0179999999999998</v>
      </c>
      <c r="E99" s="24">
        <f t="shared" si="8"/>
        <v>347</v>
      </c>
      <c r="F99" s="24">
        <v>188</v>
      </c>
      <c r="G99" s="24">
        <v>159</v>
      </c>
      <c r="H99" s="23">
        <v>593833426</v>
      </c>
      <c r="I99" s="23">
        <v>10314050</v>
      </c>
      <c r="J99" s="22">
        <v>190744</v>
      </c>
      <c r="K99" s="21">
        <f t="shared" si="9"/>
        <v>190744</v>
      </c>
      <c r="L99" s="22">
        <v>35222</v>
      </c>
      <c r="M99" s="21">
        <f t="shared" si="6"/>
        <v>30265.575808187084</v>
      </c>
      <c r="N99" s="1">
        <v>155522</v>
      </c>
      <c r="O99" s="22">
        <v>56901</v>
      </c>
      <c r="P99" s="21">
        <f t="shared" si="7"/>
        <v>60320.002416666663</v>
      </c>
      <c r="Q99" s="42"/>
    </row>
    <row r="100" spans="1:17" x14ac:dyDescent="0.25">
      <c r="A100" s="24" t="s">
        <v>443</v>
      </c>
      <c r="B100" s="24" t="s">
        <v>562</v>
      </c>
      <c r="C100" s="24">
        <v>32847</v>
      </c>
      <c r="D100" s="24">
        <v>7.0179999999999998</v>
      </c>
      <c r="E100" s="24">
        <f t="shared" si="8"/>
        <v>347</v>
      </c>
      <c r="F100" s="24">
        <v>189</v>
      </c>
      <c r="G100" s="24">
        <v>158</v>
      </c>
      <c r="H100" s="23">
        <v>595627752</v>
      </c>
      <c r="I100" s="23">
        <v>10504794</v>
      </c>
      <c r="J100" s="22">
        <v>198489</v>
      </c>
      <c r="K100" s="21">
        <f t="shared" si="9"/>
        <v>198489</v>
      </c>
      <c r="L100" s="22">
        <v>35527</v>
      </c>
      <c r="M100" s="21">
        <f t="shared" si="6"/>
        <v>30556.922130148439</v>
      </c>
      <c r="N100" s="1">
        <v>162962</v>
      </c>
      <c r="O100" s="22">
        <v>57976</v>
      </c>
      <c r="P100" s="21">
        <f t="shared" si="7"/>
        <v>61435.536909999995</v>
      </c>
      <c r="Q100" s="42"/>
    </row>
    <row r="101" spans="1:17" x14ac:dyDescent="0.25">
      <c r="A101" s="24" t="s">
        <v>442</v>
      </c>
      <c r="B101" s="24" t="s">
        <v>562</v>
      </c>
      <c r="C101" s="24">
        <v>33030</v>
      </c>
      <c r="D101" s="24">
        <v>7.0179999999999998</v>
      </c>
      <c r="E101" s="24">
        <f t="shared" si="8"/>
        <v>347</v>
      </c>
      <c r="F101" s="24">
        <v>190</v>
      </c>
      <c r="G101" s="24">
        <v>157</v>
      </c>
      <c r="H101" s="23">
        <v>597337994</v>
      </c>
      <c r="I101" s="23">
        <v>10703283</v>
      </c>
      <c r="J101" s="22">
        <v>194298</v>
      </c>
      <c r="K101" s="21">
        <f t="shared" si="9"/>
        <v>194298</v>
      </c>
      <c r="L101" s="22">
        <v>35826</v>
      </c>
      <c r="M101" s="21">
        <f t="shared" si="6"/>
        <v>30864.01584406057</v>
      </c>
      <c r="N101" s="1">
        <v>158472</v>
      </c>
      <c r="O101" s="22">
        <v>59028</v>
      </c>
      <c r="P101" s="21">
        <f t="shared" si="7"/>
        <v>62596.366744999999</v>
      </c>
      <c r="Q101" s="42"/>
    </row>
    <row r="102" spans="1:17" x14ac:dyDescent="0.25">
      <c r="A102" s="24" t="s">
        <v>441</v>
      </c>
      <c r="B102" s="24" t="s">
        <v>562</v>
      </c>
      <c r="C102" s="24">
        <v>33203</v>
      </c>
      <c r="D102" s="24">
        <v>7.0190000000000001</v>
      </c>
      <c r="E102" s="24">
        <f t="shared" si="8"/>
        <v>347</v>
      </c>
      <c r="F102" s="24">
        <v>191</v>
      </c>
      <c r="G102" s="24">
        <v>156</v>
      </c>
      <c r="H102" s="23">
        <v>598801471</v>
      </c>
      <c r="I102" s="23">
        <v>10897582</v>
      </c>
      <c r="J102" s="22">
        <v>218188</v>
      </c>
      <c r="K102" s="21">
        <f t="shared" si="9"/>
        <v>218187</v>
      </c>
      <c r="L102" s="22">
        <v>36184</v>
      </c>
      <c r="M102" s="21">
        <f t="shared" si="6"/>
        <v>31149.377160575306</v>
      </c>
      <c r="N102" s="1">
        <v>182003</v>
      </c>
      <c r="O102" s="22">
        <v>60210</v>
      </c>
      <c r="P102" s="21">
        <f t="shared" si="7"/>
        <v>63741.773381666666</v>
      </c>
      <c r="Q102" s="42"/>
    </row>
    <row r="103" spans="1:17" x14ac:dyDescent="0.25">
      <c r="A103" s="24" t="s">
        <v>440</v>
      </c>
      <c r="B103" s="24" t="s">
        <v>562</v>
      </c>
      <c r="C103" s="24">
        <v>33402</v>
      </c>
      <c r="D103" s="24">
        <v>7.0190000000000001</v>
      </c>
      <c r="E103" s="24">
        <f t="shared" si="8"/>
        <v>348</v>
      </c>
      <c r="F103" s="24">
        <v>193</v>
      </c>
      <c r="G103" s="24">
        <v>155</v>
      </c>
      <c r="H103" s="23">
        <v>600422089</v>
      </c>
      <c r="I103" s="23">
        <v>11113012</v>
      </c>
      <c r="J103" s="22">
        <v>207059</v>
      </c>
      <c r="K103" s="21">
        <f t="shared" si="9"/>
        <v>207058</v>
      </c>
      <c r="L103" s="22">
        <v>36491</v>
      </c>
      <c r="M103" s="21">
        <f t="shared" si="6"/>
        <v>31219.870176890261</v>
      </c>
      <c r="N103" s="1">
        <v>170567</v>
      </c>
      <c r="O103" s="22">
        <v>61317</v>
      </c>
      <c r="P103" s="21">
        <f t="shared" si="7"/>
        <v>65001.859356666668</v>
      </c>
      <c r="Q103" s="42"/>
    </row>
    <row r="104" spans="1:17" x14ac:dyDescent="0.25">
      <c r="A104" s="24" t="s">
        <v>439</v>
      </c>
      <c r="B104" s="24" t="s">
        <v>562</v>
      </c>
      <c r="C104" s="24">
        <v>33600</v>
      </c>
      <c r="D104" s="24">
        <v>7.0190000000000001</v>
      </c>
      <c r="E104" s="24">
        <f t="shared" si="8"/>
        <v>348</v>
      </c>
      <c r="F104" s="24">
        <v>194</v>
      </c>
      <c r="G104" s="24">
        <v>154</v>
      </c>
      <c r="H104" s="23">
        <v>602236041</v>
      </c>
      <c r="I104" s="23">
        <v>11320071</v>
      </c>
      <c r="J104" s="22">
        <v>223732</v>
      </c>
      <c r="K104" s="21">
        <f t="shared" si="9"/>
        <v>223732</v>
      </c>
      <c r="L104" s="22">
        <v>36844</v>
      </c>
      <c r="M104" s="21">
        <f t="shared" si="6"/>
        <v>31528.57327633641</v>
      </c>
      <c r="N104" s="1">
        <v>186888</v>
      </c>
      <c r="O104" s="22">
        <v>62529</v>
      </c>
      <c r="P104" s="21">
        <f t="shared" si="7"/>
        <v>66212.9819575</v>
      </c>
      <c r="Q104" s="42"/>
    </row>
    <row r="105" spans="1:17" x14ac:dyDescent="0.25">
      <c r="A105" s="24" t="s">
        <v>438</v>
      </c>
      <c r="B105" s="24" t="s">
        <v>562</v>
      </c>
      <c r="C105" s="24">
        <v>33804</v>
      </c>
      <c r="D105" s="24">
        <v>7.0190000000000001</v>
      </c>
      <c r="E105" s="24">
        <f t="shared" si="8"/>
        <v>348</v>
      </c>
      <c r="F105" s="24">
        <v>195</v>
      </c>
      <c r="G105" s="24">
        <v>153</v>
      </c>
      <c r="H105" s="23">
        <v>604097848</v>
      </c>
      <c r="I105" s="23">
        <v>11543803</v>
      </c>
      <c r="J105" s="22">
        <v>243561</v>
      </c>
      <c r="K105" s="21">
        <f t="shared" si="9"/>
        <v>243560</v>
      </c>
      <c r="L105" s="22">
        <v>37236</v>
      </c>
      <c r="M105" s="21">
        <f t="shared" si="6"/>
        <v>31876.476953219539</v>
      </c>
      <c r="N105" s="1">
        <v>206324</v>
      </c>
      <c r="O105" s="22">
        <v>63848</v>
      </c>
      <c r="P105" s="21">
        <f t="shared" si="7"/>
        <v>67521.627714166665</v>
      </c>
      <c r="Q105" s="42"/>
    </row>
    <row r="106" spans="1:17" x14ac:dyDescent="0.25">
      <c r="A106" s="24" t="s">
        <v>437</v>
      </c>
      <c r="B106" s="24" t="s">
        <v>562</v>
      </c>
      <c r="C106" s="24">
        <v>33994</v>
      </c>
      <c r="D106" s="24">
        <v>7.0190000000000001</v>
      </c>
      <c r="E106" s="24">
        <f t="shared" si="8"/>
        <v>348</v>
      </c>
      <c r="F106" s="24">
        <v>196</v>
      </c>
      <c r="G106" s="24">
        <v>152</v>
      </c>
      <c r="H106" s="23">
        <v>605721556</v>
      </c>
      <c r="I106" s="23">
        <v>11787363</v>
      </c>
      <c r="J106" s="22">
        <v>247474</v>
      </c>
      <c r="K106" s="21">
        <f t="shared" si="9"/>
        <v>247474</v>
      </c>
      <c r="L106" s="22">
        <v>37620</v>
      </c>
      <c r="M106" s="21">
        <f t="shared" si="6"/>
        <v>32271.159935398759</v>
      </c>
      <c r="N106" s="1">
        <v>209854</v>
      </c>
      <c r="O106" s="22">
        <v>65188</v>
      </c>
      <c r="P106" s="21">
        <f t="shared" si="7"/>
        <v>68946.250747500002</v>
      </c>
      <c r="Q106" s="42"/>
    </row>
    <row r="107" spans="1:17" x14ac:dyDescent="0.25">
      <c r="A107" s="24" t="s">
        <v>436</v>
      </c>
      <c r="B107" s="24" t="s">
        <v>562</v>
      </c>
      <c r="C107" s="24">
        <v>34207</v>
      </c>
      <c r="D107" s="24">
        <v>7.0190000000000001</v>
      </c>
      <c r="E107" s="24">
        <f t="shared" si="8"/>
        <v>348</v>
      </c>
      <c r="F107" s="24">
        <v>197</v>
      </c>
      <c r="G107" s="24">
        <v>151</v>
      </c>
      <c r="H107" s="23">
        <v>607406069</v>
      </c>
      <c r="I107" s="23">
        <v>12034838</v>
      </c>
      <c r="J107" s="22">
        <v>270668</v>
      </c>
      <c r="K107" s="21">
        <f t="shared" si="9"/>
        <v>270668</v>
      </c>
      <c r="L107" s="22">
        <v>38065</v>
      </c>
      <c r="M107" s="21">
        <f t="shared" si="6"/>
        <v>32668.171344126473</v>
      </c>
      <c r="N107" s="1">
        <v>232603</v>
      </c>
      <c r="O107" s="22">
        <v>66655</v>
      </c>
      <c r="P107" s="21">
        <f t="shared" si="7"/>
        <v>70393.773268333331</v>
      </c>
      <c r="Q107" s="42"/>
    </row>
    <row r="108" spans="1:17" x14ac:dyDescent="0.25">
      <c r="A108" s="24" t="s">
        <v>435</v>
      </c>
      <c r="B108" s="24" t="s">
        <v>562</v>
      </c>
      <c r="C108" s="24">
        <v>34418</v>
      </c>
      <c r="D108" s="24">
        <v>7.0190000000000001</v>
      </c>
      <c r="E108" s="24">
        <f t="shared" si="8"/>
        <v>348</v>
      </c>
      <c r="F108" s="24">
        <v>198</v>
      </c>
      <c r="G108" s="24">
        <v>150</v>
      </c>
      <c r="H108" s="23">
        <v>608994028</v>
      </c>
      <c r="I108" s="23">
        <v>12305506</v>
      </c>
      <c r="J108" s="22">
        <v>240027</v>
      </c>
      <c r="K108" s="21">
        <f t="shared" si="9"/>
        <v>240028</v>
      </c>
      <c r="L108" s="22">
        <v>38386</v>
      </c>
      <c r="M108" s="21">
        <f t="shared" si="6"/>
        <v>33119.269422105244</v>
      </c>
      <c r="N108" s="1">
        <v>201642</v>
      </c>
      <c r="O108" s="22">
        <v>67955</v>
      </c>
      <c r="P108" s="21">
        <f t="shared" si="7"/>
        <v>71976.95551166666</v>
      </c>
      <c r="Q108" s="42"/>
    </row>
    <row r="109" spans="1:17" x14ac:dyDescent="0.25">
      <c r="A109" s="24" t="s">
        <v>434</v>
      </c>
      <c r="B109" s="24" t="s">
        <v>562</v>
      </c>
      <c r="C109" s="24">
        <v>34608</v>
      </c>
      <c r="D109" s="24">
        <v>7.0190000000000001</v>
      </c>
      <c r="E109" s="24">
        <f t="shared" si="8"/>
        <v>348</v>
      </c>
      <c r="F109" s="24">
        <v>199</v>
      </c>
      <c r="G109" s="24">
        <v>149</v>
      </c>
      <c r="H109" s="23">
        <v>610766880</v>
      </c>
      <c r="I109" s="23">
        <v>12545533</v>
      </c>
      <c r="J109" s="22">
        <v>249977</v>
      </c>
      <c r="K109" s="21">
        <f t="shared" si="9"/>
        <v>249977</v>
      </c>
      <c r="L109" s="22">
        <v>38767</v>
      </c>
      <c r="M109" s="21">
        <f t="shared" si="6"/>
        <v>33479.349345041919</v>
      </c>
      <c r="N109" s="1">
        <v>211210</v>
      </c>
      <c r="O109" s="22">
        <v>69309</v>
      </c>
      <c r="P109" s="21">
        <f t="shared" si="7"/>
        <v>73380.913439166659</v>
      </c>
      <c r="Q109" s="42"/>
    </row>
    <row r="110" spans="1:17" x14ac:dyDescent="0.25">
      <c r="A110" s="24" t="s">
        <v>433</v>
      </c>
      <c r="B110" s="24" t="s">
        <v>562</v>
      </c>
      <c r="C110" s="24">
        <v>34818</v>
      </c>
      <c r="D110" s="24">
        <v>7.0190000000000001</v>
      </c>
      <c r="E110" s="24">
        <f t="shared" si="8"/>
        <v>348</v>
      </c>
      <c r="F110" s="24">
        <v>200</v>
      </c>
      <c r="G110" s="24">
        <v>148</v>
      </c>
      <c r="H110" s="23">
        <v>612530380</v>
      </c>
      <c r="I110" s="23">
        <v>12795510</v>
      </c>
      <c r="J110" s="22">
        <v>264390</v>
      </c>
      <c r="K110" s="21">
        <f t="shared" si="9"/>
        <v>264390</v>
      </c>
      <c r="L110" s="22">
        <v>39186</v>
      </c>
      <c r="M110" s="21">
        <f t="shared" si="6"/>
        <v>33858.048864006727</v>
      </c>
      <c r="N110" s="1">
        <v>225204</v>
      </c>
      <c r="O110" s="22">
        <v>70741</v>
      </c>
      <c r="P110" s="21">
        <f t="shared" si="7"/>
        <v>74843.070575000005</v>
      </c>
      <c r="Q110" s="42"/>
    </row>
    <row r="111" spans="1:17" x14ac:dyDescent="0.25">
      <c r="A111" s="24" t="s">
        <v>432</v>
      </c>
      <c r="B111" s="24" t="s">
        <v>562</v>
      </c>
      <c r="C111" s="24">
        <v>35006</v>
      </c>
      <c r="D111" s="24">
        <v>7.0190000000000001</v>
      </c>
      <c r="E111" s="24">
        <f t="shared" si="8"/>
        <v>348</v>
      </c>
      <c r="F111" s="24">
        <v>201</v>
      </c>
      <c r="G111" s="24">
        <v>147</v>
      </c>
      <c r="H111" s="23">
        <v>614194381</v>
      </c>
      <c r="I111" s="23">
        <v>13059900</v>
      </c>
      <c r="J111" s="22">
        <v>240641</v>
      </c>
      <c r="K111" s="21">
        <f t="shared" si="9"/>
        <v>240642</v>
      </c>
      <c r="L111" s="22">
        <v>39523</v>
      </c>
      <c r="M111" s="21">
        <f t="shared" si="6"/>
        <v>34266.545104251585</v>
      </c>
      <c r="N111" s="1">
        <v>201119</v>
      </c>
      <c r="O111" s="22">
        <v>72044</v>
      </c>
      <c r="P111" s="21">
        <f t="shared" si="7"/>
        <v>76389.531749999995</v>
      </c>
      <c r="Q111" s="42"/>
    </row>
    <row r="112" spans="1:17" x14ac:dyDescent="0.25">
      <c r="A112" s="24" t="s">
        <v>431</v>
      </c>
      <c r="B112" s="24" t="s">
        <v>562</v>
      </c>
      <c r="C112" s="24">
        <v>35209</v>
      </c>
      <c r="D112" s="24">
        <v>7.0190000000000001</v>
      </c>
      <c r="E112" s="24">
        <f t="shared" si="8"/>
        <v>348</v>
      </c>
      <c r="F112" s="24">
        <v>202</v>
      </c>
      <c r="G112" s="24">
        <v>146</v>
      </c>
      <c r="H112" s="23">
        <v>615821679</v>
      </c>
      <c r="I112" s="23">
        <v>13300541</v>
      </c>
      <c r="J112" s="22">
        <v>255533</v>
      </c>
      <c r="K112" s="21">
        <f t="shared" si="9"/>
        <v>255533</v>
      </c>
      <c r="L112" s="22">
        <v>39885</v>
      </c>
      <c r="M112" s="21">
        <f t="shared" si="6"/>
        <v>34604.733879718253</v>
      </c>
      <c r="N112" s="1">
        <v>215648</v>
      </c>
      <c r="O112" s="22">
        <v>73428</v>
      </c>
      <c r="P112" s="21">
        <f t="shared" si="7"/>
        <v>77797.081065833336</v>
      </c>
      <c r="Q112" s="42"/>
    </row>
    <row r="113" spans="1:17" x14ac:dyDescent="0.25">
      <c r="A113" s="24" t="s">
        <v>430</v>
      </c>
      <c r="B113" s="24" t="s">
        <v>562</v>
      </c>
      <c r="C113" s="24">
        <v>35390</v>
      </c>
      <c r="D113" s="24">
        <v>7.0190000000000001</v>
      </c>
      <c r="E113" s="24">
        <f t="shared" si="8"/>
        <v>347</v>
      </c>
      <c r="F113" s="24">
        <v>203</v>
      </c>
      <c r="G113" s="24">
        <v>144</v>
      </c>
      <c r="H113" s="23">
        <v>617343253</v>
      </c>
      <c r="I113" s="23">
        <v>13556074</v>
      </c>
      <c r="J113" s="22">
        <v>262540</v>
      </c>
      <c r="K113" s="21">
        <f t="shared" si="9"/>
        <v>262541</v>
      </c>
      <c r="L113" s="22">
        <v>40256</v>
      </c>
      <c r="M113" s="21">
        <f t="shared" si="6"/>
        <v>34974.005309339111</v>
      </c>
      <c r="N113" s="1">
        <v>222285</v>
      </c>
      <c r="O113" s="22">
        <v>74851</v>
      </c>
      <c r="P113" s="21">
        <f t="shared" si="7"/>
        <v>79291.736171666664</v>
      </c>
      <c r="Q113" s="42"/>
    </row>
    <row r="114" spans="1:17" x14ac:dyDescent="0.25">
      <c r="A114" s="24" t="s">
        <v>429</v>
      </c>
      <c r="B114" s="24" t="s">
        <v>562</v>
      </c>
      <c r="C114" s="24">
        <v>35566</v>
      </c>
      <c r="D114" s="24">
        <v>7.0190000000000001</v>
      </c>
      <c r="E114" s="24">
        <f t="shared" si="8"/>
        <v>347</v>
      </c>
      <c r="F114" s="24">
        <v>204</v>
      </c>
      <c r="G114" s="24">
        <v>143</v>
      </c>
      <c r="H114" s="23">
        <v>618767240</v>
      </c>
      <c r="I114" s="23">
        <v>13818614</v>
      </c>
      <c r="J114" s="22">
        <v>291030</v>
      </c>
      <c r="K114" s="21">
        <f t="shared" si="9"/>
        <v>291031</v>
      </c>
      <c r="L114" s="22">
        <v>40705</v>
      </c>
      <c r="M114" s="21">
        <f t="shared" si="6"/>
        <v>35353.348091065753</v>
      </c>
      <c r="N114" s="1">
        <v>250326</v>
      </c>
      <c r="O114" s="22">
        <v>76427</v>
      </c>
      <c r="P114" s="21">
        <f t="shared" si="7"/>
        <v>80827.37638833333</v>
      </c>
      <c r="Q114" s="42"/>
    </row>
    <row r="115" spans="1:17" x14ac:dyDescent="0.25">
      <c r="A115" s="24" t="s">
        <v>428</v>
      </c>
      <c r="B115" s="24" t="s">
        <v>562</v>
      </c>
      <c r="C115" s="24">
        <v>35766</v>
      </c>
      <c r="D115" s="24">
        <v>7.0190000000000001</v>
      </c>
      <c r="E115" s="24">
        <f t="shared" si="8"/>
        <v>347</v>
      </c>
      <c r="F115" s="24">
        <v>205</v>
      </c>
      <c r="G115" s="24">
        <v>142</v>
      </c>
      <c r="H115" s="23">
        <v>620111544</v>
      </c>
      <c r="I115" s="23">
        <v>14109645</v>
      </c>
      <c r="J115" s="22">
        <v>254670</v>
      </c>
      <c r="K115" s="21">
        <f t="shared" si="9"/>
        <v>254671</v>
      </c>
      <c r="L115" s="22">
        <v>41043</v>
      </c>
      <c r="M115" s="21">
        <f t="shared" si="6"/>
        <v>35796.952950449813</v>
      </c>
      <c r="N115" s="1">
        <v>213628</v>
      </c>
      <c r="O115" s="22">
        <v>77806</v>
      </c>
      <c r="P115" s="21">
        <f t="shared" si="7"/>
        <v>82529.665212499996</v>
      </c>
      <c r="Q115" s="42"/>
    </row>
    <row r="116" spans="1:17" x14ac:dyDescent="0.25">
      <c r="A116" s="24" t="s">
        <v>427</v>
      </c>
      <c r="B116" s="24" t="s">
        <v>562</v>
      </c>
      <c r="C116" s="24">
        <v>35935</v>
      </c>
      <c r="D116" s="24">
        <v>7.0190000000000001</v>
      </c>
      <c r="E116" s="24">
        <f t="shared" si="8"/>
        <v>347</v>
      </c>
      <c r="F116" s="24">
        <v>206</v>
      </c>
      <c r="G116" s="24">
        <v>141</v>
      </c>
      <c r="H116" s="23">
        <v>621540776</v>
      </c>
      <c r="I116" s="23">
        <v>14364315</v>
      </c>
      <c r="J116" s="22">
        <v>297475</v>
      </c>
      <c r="K116" s="21">
        <f t="shared" si="9"/>
        <v>297475</v>
      </c>
      <c r="L116" s="22">
        <v>41472</v>
      </c>
      <c r="M116" s="21">
        <f t="shared" si="6"/>
        <v>36139.986922944925</v>
      </c>
      <c r="N116" s="1">
        <v>256003</v>
      </c>
      <c r="O116" s="22">
        <v>79418</v>
      </c>
      <c r="P116" s="21">
        <f t="shared" si="7"/>
        <v>84019.272487499999</v>
      </c>
      <c r="Q116" s="42"/>
    </row>
    <row r="117" spans="1:17" x14ac:dyDescent="0.25">
      <c r="A117" s="24" t="s">
        <v>426</v>
      </c>
      <c r="B117" s="24" t="s">
        <v>562</v>
      </c>
      <c r="C117" s="24">
        <v>36111</v>
      </c>
      <c r="D117" s="24">
        <v>7.0190000000000001</v>
      </c>
      <c r="E117" s="24">
        <f t="shared" si="8"/>
        <v>348</v>
      </c>
      <c r="F117" s="24">
        <v>208</v>
      </c>
      <c r="G117" s="24">
        <v>140</v>
      </c>
      <c r="H117" s="23">
        <v>622790168</v>
      </c>
      <c r="I117" s="23">
        <v>14661790</v>
      </c>
      <c r="J117" s="22">
        <v>286483</v>
      </c>
      <c r="K117" s="21">
        <f t="shared" si="9"/>
        <v>286483</v>
      </c>
      <c r="L117" s="22">
        <v>41879</v>
      </c>
      <c r="M117" s="21">
        <f t="shared" si="6"/>
        <v>36279.677931145969</v>
      </c>
      <c r="N117" s="1">
        <v>244604</v>
      </c>
      <c r="O117" s="22">
        <v>80970</v>
      </c>
      <c r="P117" s="21">
        <f t="shared" si="7"/>
        <v>85759.25334166667</v>
      </c>
      <c r="Q117" s="42"/>
    </row>
    <row r="118" spans="1:17" x14ac:dyDescent="0.25">
      <c r="A118" s="24" t="s">
        <v>425</v>
      </c>
      <c r="B118" s="24" t="s">
        <v>562</v>
      </c>
      <c r="C118" s="24">
        <v>36292</v>
      </c>
      <c r="D118" s="24">
        <v>7.0179999999999998</v>
      </c>
      <c r="E118" s="24">
        <f t="shared" si="8"/>
        <v>348</v>
      </c>
      <c r="F118" s="24">
        <v>209</v>
      </c>
      <c r="G118" s="24">
        <v>139</v>
      </c>
      <c r="H118" s="23">
        <v>624135139</v>
      </c>
      <c r="I118" s="23">
        <v>14932632</v>
      </c>
      <c r="J118" s="22">
        <v>285525</v>
      </c>
      <c r="K118" s="21">
        <f t="shared" si="9"/>
        <v>285525</v>
      </c>
      <c r="L118" s="22">
        <v>42232</v>
      </c>
      <c r="M118" s="21">
        <f t="shared" si="6"/>
        <v>36648.628952970874</v>
      </c>
      <c r="N118" s="1">
        <v>243293</v>
      </c>
      <c r="O118" s="22">
        <v>82431</v>
      </c>
      <c r="P118" s="21">
        <f t="shared" si="7"/>
        <v>87331.009479999993</v>
      </c>
      <c r="Q118" s="42"/>
    </row>
    <row r="119" spans="1:17" x14ac:dyDescent="0.25">
      <c r="A119" s="24" t="s">
        <v>424</v>
      </c>
      <c r="B119" s="24" t="s">
        <v>562</v>
      </c>
      <c r="C119" s="24">
        <v>36479</v>
      </c>
      <c r="D119" s="24">
        <v>7.0179999999999998</v>
      </c>
      <c r="E119" s="24">
        <f t="shared" si="8"/>
        <v>348</v>
      </c>
      <c r="F119" s="24">
        <v>210</v>
      </c>
      <c r="G119" s="24">
        <v>138</v>
      </c>
      <c r="H119" s="23">
        <v>625685111</v>
      </c>
      <c r="I119" s="23">
        <v>15217692</v>
      </c>
      <c r="J119" s="22">
        <v>319954</v>
      </c>
      <c r="K119" s="21">
        <f t="shared" si="9"/>
        <v>319954</v>
      </c>
      <c r="L119" s="22">
        <v>42685</v>
      </c>
      <c r="M119" s="21">
        <f t="shared" si="6"/>
        <v>37040.707499223055</v>
      </c>
      <c r="N119" s="1">
        <v>277269</v>
      </c>
      <c r="O119" s="22">
        <v>84162</v>
      </c>
      <c r="P119" s="21">
        <f t="shared" si="7"/>
        <v>88998.135379999992</v>
      </c>
      <c r="Q119" s="42"/>
    </row>
    <row r="120" spans="1:17" x14ac:dyDescent="0.25">
      <c r="A120" s="24" t="s">
        <v>423</v>
      </c>
      <c r="B120" s="24" t="s">
        <v>562</v>
      </c>
      <c r="C120" s="24">
        <v>36682</v>
      </c>
      <c r="D120" s="24">
        <v>7.0179999999999998</v>
      </c>
      <c r="E120" s="24">
        <f t="shared" si="8"/>
        <v>348</v>
      </c>
      <c r="F120" s="24">
        <v>211</v>
      </c>
      <c r="G120" s="24">
        <v>137</v>
      </c>
      <c r="H120" s="23">
        <v>627247685</v>
      </c>
      <c r="I120" s="23">
        <v>15536313</v>
      </c>
      <c r="J120" s="22">
        <v>302455</v>
      </c>
      <c r="K120" s="21">
        <f t="shared" si="9"/>
        <v>302456</v>
      </c>
      <c r="L120" s="22">
        <v>43090</v>
      </c>
      <c r="M120" s="21">
        <f t="shared" si="6"/>
        <v>37505.612640255997</v>
      </c>
      <c r="N120" s="1">
        <v>259366</v>
      </c>
      <c r="O120" s="22">
        <v>85793</v>
      </c>
      <c r="P120" s="21">
        <f t="shared" si="7"/>
        <v>90861.537194999997</v>
      </c>
      <c r="Q120" s="42"/>
    </row>
    <row r="121" spans="1:17" x14ac:dyDescent="0.25">
      <c r="A121" s="24" t="s">
        <v>422</v>
      </c>
      <c r="B121" s="24" t="s">
        <v>562</v>
      </c>
      <c r="C121" s="24">
        <v>36851</v>
      </c>
      <c r="D121" s="24">
        <v>7.0190000000000001</v>
      </c>
      <c r="E121" s="24">
        <f t="shared" si="8"/>
        <v>348</v>
      </c>
      <c r="F121" s="24">
        <v>212</v>
      </c>
      <c r="G121" s="24">
        <v>136</v>
      </c>
      <c r="H121" s="23">
        <v>628889315</v>
      </c>
      <c r="I121" s="23">
        <v>15838373</v>
      </c>
      <c r="J121" s="22">
        <v>291462</v>
      </c>
      <c r="K121" s="21">
        <f t="shared" si="9"/>
        <v>291462</v>
      </c>
      <c r="L121" s="22">
        <v>43461</v>
      </c>
      <c r="M121" s="21">
        <f t="shared" si="6"/>
        <v>37917.498097898759</v>
      </c>
      <c r="N121" s="1">
        <v>248001</v>
      </c>
      <c r="O121" s="22">
        <v>87370</v>
      </c>
      <c r="P121" s="21">
        <f t="shared" si="7"/>
        <v>92641.283405833325</v>
      </c>
      <c r="Q121" s="42"/>
    </row>
    <row r="122" spans="1:17" x14ac:dyDescent="0.25">
      <c r="A122" s="24" t="s">
        <v>421</v>
      </c>
      <c r="B122" s="24" t="s">
        <v>562</v>
      </c>
      <c r="C122" s="24">
        <v>37027</v>
      </c>
      <c r="D122" s="24">
        <v>7.0190000000000001</v>
      </c>
      <c r="E122" s="24">
        <f t="shared" si="8"/>
        <v>348</v>
      </c>
      <c r="F122" s="24">
        <v>213</v>
      </c>
      <c r="G122" s="24">
        <v>135</v>
      </c>
      <c r="H122" s="23">
        <v>630296308</v>
      </c>
      <c r="I122" s="23">
        <v>16129175</v>
      </c>
      <c r="J122" s="22">
        <v>323499</v>
      </c>
      <c r="K122" s="21">
        <f t="shared" si="9"/>
        <v>323499</v>
      </c>
      <c r="L122" s="22">
        <v>43901</v>
      </c>
      <c r="M122" s="21">
        <f t="shared" si="6"/>
        <v>38297.988290709967</v>
      </c>
      <c r="N122" s="1">
        <v>279598</v>
      </c>
      <c r="O122" s="22">
        <v>89118</v>
      </c>
      <c r="P122" s="21">
        <f t="shared" si="7"/>
        <v>94342.232770833332</v>
      </c>
      <c r="Q122" s="42"/>
    </row>
    <row r="123" spans="1:17" x14ac:dyDescent="0.25">
      <c r="A123" s="24" t="s">
        <v>420</v>
      </c>
      <c r="B123" s="24" t="s">
        <v>562</v>
      </c>
      <c r="C123" s="24">
        <v>37246</v>
      </c>
      <c r="D123" s="24">
        <v>7.0190000000000001</v>
      </c>
      <c r="E123" s="24">
        <f t="shared" si="8"/>
        <v>348</v>
      </c>
      <c r="F123" s="24">
        <v>214</v>
      </c>
      <c r="G123" s="24">
        <v>134</v>
      </c>
      <c r="H123" s="23">
        <v>631666306</v>
      </c>
      <c r="I123" s="23">
        <v>16451952</v>
      </c>
      <c r="J123" s="22">
        <v>298286</v>
      </c>
      <c r="K123" s="21">
        <f t="shared" si="9"/>
        <v>298287</v>
      </c>
      <c r="L123" s="22">
        <v>44267</v>
      </c>
      <c r="M123" s="21">
        <f t="shared" si="6"/>
        <v>38745.776931426233</v>
      </c>
      <c r="N123" s="1">
        <v>254020</v>
      </c>
      <c r="O123" s="22">
        <v>90730</v>
      </c>
      <c r="P123" s="21">
        <f t="shared" si="7"/>
        <v>96230.209239999996</v>
      </c>
      <c r="Q123" s="42"/>
    </row>
    <row r="124" spans="1:17" x14ac:dyDescent="0.25">
      <c r="A124" s="24" t="s">
        <v>419</v>
      </c>
      <c r="B124" s="24" t="s">
        <v>562</v>
      </c>
      <c r="C124" s="24">
        <v>37413</v>
      </c>
      <c r="D124" s="24">
        <v>7.0190000000000001</v>
      </c>
      <c r="E124" s="24">
        <f t="shared" si="8"/>
        <v>348</v>
      </c>
      <c r="F124" s="24">
        <v>215</v>
      </c>
      <c r="G124" s="24">
        <v>133</v>
      </c>
      <c r="H124" s="23">
        <v>632951797</v>
      </c>
      <c r="I124" s="23">
        <v>16750239</v>
      </c>
      <c r="J124" s="22">
        <v>354929</v>
      </c>
      <c r="K124" s="21">
        <f t="shared" si="9"/>
        <v>354928</v>
      </c>
      <c r="L124" s="22">
        <v>44767</v>
      </c>
      <c r="M124" s="21">
        <f t="shared" si="6"/>
        <v>39127.258789762047</v>
      </c>
      <c r="N124" s="1">
        <v>310161</v>
      </c>
      <c r="O124" s="22">
        <v>92653</v>
      </c>
      <c r="P124" s="21">
        <f t="shared" si="7"/>
        <v>97974.9396175</v>
      </c>
      <c r="Q124" s="42"/>
    </row>
    <row r="125" spans="1:17" x14ac:dyDescent="0.25">
      <c r="A125" s="24" t="s">
        <v>418</v>
      </c>
      <c r="B125" s="24" t="s">
        <v>562</v>
      </c>
      <c r="C125" s="24">
        <v>37634</v>
      </c>
      <c r="D125" s="24">
        <v>7.0190000000000001</v>
      </c>
      <c r="E125" s="24">
        <f t="shared" si="8"/>
        <v>348</v>
      </c>
      <c r="F125" s="24">
        <v>216</v>
      </c>
      <c r="G125" s="24">
        <v>132</v>
      </c>
      <c r="H125" s="23">
        <v>634864017</v>
      </c>
      <c r="I125" s="23">
        <v>17103667</v>
      </c>
      <c r="J125" s="22">
        <v>358831</v>
      </c>
      <c r="K125" s="21">
        <f t="shared" si="9"/>
        <v>358831</v>
      </c>
      <c r="L125" s="22">
        <v>45245</v>
      </c>
      <c r="M125" s="21">
        <f t="shared" si="6"/>
        <v>39628.476567171558</v>
      </c>
      <c r="N125" s="1">
        <v>313586</v>
      </c>
      <c r="O125" s="22">
        <v>94588</v>
      </c>
      <c r="P125" s="21">
        <f t="shared" si="7"/>
        <v>100042.19889416666</v>
      </c>
      <c r="Q125" s="42"/>
    </row>
    <row r="126" spans="1:17" x14ac:dyDescent="0.25">
      <c r="A126" s="24" t="s">
        <v>417</v>
      </c>
      <c r="B126" s="24" t="s">
        <v>562</v>
      </c>
      <c r="C126" s="24">
        <v>37820</v>
      </c>
      <c r="D126" s="24">
        <v>7.0190000000000001</v>
      </c>
      <c r="E126" s="24">
        <f t="shared" si="8"/>
        <v>348</v>
      </c>
      <c r="F126" s="24">
        <v>217</v>
      </c>
      <c r="G126" s="24">
        <v>131</v>
      </c>
      <c r="H126" s="23">
        <v>636373123</v>
      </c>
      <c r="I126" s="23">
        <v>17462498</v>
      </c>
      <c r="J126" s="22">
        <v>375804</v>
      </c>
      <c r="K126" s="21">
        <f t="shared" si="9"/>
        <v>375804</v>
      </c>
      <c r="L126" s="22">
        <v>45770</v>
      </c>
      <c r="M126" s="21">
        <f t="shared" si="6"/>
        <v>40132.148765031117</v>
      </c>
      <c r="N126" s="1">
        <v>330034</v>
      </c>
      <c r="O126" s="22">
        <v>96624</v>
      </c>
      <c r="P126" s="21">
        <f t="shared" si="7"/>
        <v>102141.06121833333</v>
      </c>
      <c r="Q126" s="42"/>
    </row>
    <row r="127" spans="1:17" x14ac:dyDescent="0.25">
      <c r="A127" s="24" t="s">
        <v>416</v>
      </c>
      <c r="B127" s="24" t="s">
        <v>562</v>
      </c>
      <c r="C127" s="24">
        <v>38033</v>
      </c>
      <c r="D127" s="24">
        <v>7.0190000000000001</v>
      </c>
      <c r="E127" s="24">
        <f t="shared" si="8"/>
        <v>348</v>
      </c>
      <c r="F127" s="24">
        <v>218</v>
      </c>
      <c r="G127" s="24">
        <v>130</v>
      </c>
      <c r="H127" s="23">
        <v>638219970</v>
      </c>
      <c r="I127" s="23">
        <v>17838302</v>
      </c>
      <c r="J127" s="22">
        <v>381701</v>
      </c>
      <c r="K127" s="21">
        <f t="shared" si="9"/>
        <v>381701</v>
      </c>
      <c r="L127" s="22">
        <v>46303</v>
      </c>
      <c r="M127" s="21">
        <f t="shared" si="6"/>
        <v>40664.509696870322</v>
      </c>
      <c r="N127" s="1">
        <v>335398</v>
      </c>
      <c r="O127" s="22">
        <v>98691</v>
      </c>
      <c r="P127" s="21">
        <f t="shared" si="7"/>
        <v>104339.20144833333</v>
      </c>
      <c r="Q127" s="42"/>
    </row>
    <row r="128" spans="1:17" x14ac:dyDescent="0.25">
      <c r="A128" s="24" t="s">
        <v>415</v>
      </c>
      <c r="B128" s="24" t="s">
        <v>562</v>
      </c>
      <c r="C128" s="24">
        <v>38263</v>
      </c>
      <c r="D128" s="24">
        <v>7.0190000000000001</v>
      </c>
      <c r="E128" s="24">
        <f t="shared" si="8"/>
        <v>349</v>
      </c>
      <c r="F128" s="24">
        <v>220</v>
      </c>
      <c r="G128" s="24">
        <v>129</v>
      </c>
      <c r="H128" s="23">
        <v>640371760</v>
      </c>
      <c r="I128" s="23">
        <v>18220003</v>
      </c>
      <c r="J128" s="22">
        <v>390542</v>
      </c>
      <c r="K128" s="21">
        <f t="shared" si="9"/>
        <v>390543</v>
      </c>
      <c r="L128" s="22">
        <v>46843</v>
      </c>
      <c r="M128" s="21">
        <f t="shared" si="6"/>
        <v>40868.280044475978</v>
      </c>
      <c r="N128" s="1">
        <v>343700</v>
      </c>
      <c r="O128" s="22">
        <v>100807</v>
      </c>
      <c r="P128" s="21">
        <f t="shared" si="7"/>
        <v>106571.83421416667</v>
      </c>
      <c r="Q128" s="42"/>
    </row>
    <row r="129" spans="1:17" x14ac:dyDescent="0.25">
      <c r="A129" s="20" t="s">
        <v>414</v>
      </c>
      <c r="B129" s="20" t="s">
        <v>561</v>
      </c>
      <c r="C129" s="20">
        <v>7745</v>
      </c>
      <c r="D129" s="20">
        <v>7.0110000000000001</v>
      </c>
      <c r="E129" s="20">
        <f t="shared" si="8"/>
        <v>349</v>
      </c>
      <c r="F129" s="20">
        <v>221</v>
      </c>
      <c r="G129" s="20">
        <v>128</v>
      </c>
      <c r="H129" s="19">
        <v>320106750</v>
      </c>
      <c r="I129" s="19">
        <v>7673459</v>
      </c>
      <c r="J129" s="18">
        <v>169135</v>
      </c>
      <c r="K129" s="17">
        <f t="shared" si="9"/>
        <v>169135</v>
      </c>
      <c r="L129" s="18">
        <v>19430</v>
      </c>
      <c r="M129" s="17">
        <f t="shared" si="6"/>
        <v>17088.814502618592</v>
      </c>
      <c r="N129" s="1">
        <v>149705</v>
      </c>
      <c r="O129" s="18">
        <v>42481</v>
      </c>
      <c r="P129" s="17">
        <f t="shared" si="7"/>
        <v>44832.184207500002</v>
      </c>
      <c r="Q129" s="42"/>
    </row>
    <row r="130" spans="1:17" x14ac:dyDescent="0.25">
      <c r="A130" s="20" t="s">
        <v>413</v>
      </c>
      <c r="B130" s="20" t="s">
        <v>561</v>
      </c>
      <c r="C130" s="20">
        <v>7846</v>
      </c>
      <c r="D130" s="20">
        <v>7.0110000000000001</v>
      </c>
      <c r="E130" s="20">
        <f t="shared" si="8"/>
        <v>349</v>
      </c>
      <c r="F130" s="20">
        <v>222</v>
      </c>
      <c r="G130" s="20">
        <v>127</v>
      </c>
      <c r="H130" s="19">
        <v>322202074</v>
      </c>
      <c r="I130" s="19">
        <v>7874099</v>
      </c>
      <c r="J130" s="18">
        <v>177439</v>
      </c>
      <c r="K130" s="17">
        <f t="shared" si="9"/>
        <v>177439</v>
      </c>
      <c r="L130" s="18">
        <v>19761</v>
      </c>
      <c r="M130" s="17">
        <f t="shared" ref="M130:M193" si="10">(D130/100/12)/((1+D130/100/12)^F130-1)*I130</f>
        <v>17395.269166956554</v>
      </c>
      <c r="N130" s="1">
        <v>157678</v>
      </c>
      <c r="O130" s="18">
        <v>43613</v>
      </c>
      <c r="P130" s="17">
        <f t="shared" ref="P130:P193" si="11">D130/100/12*I130</f>
        <v>46004.423407500006</v>
      </c>
      <c r="Q130" s="42"/>
    </row>
    <row r="131" spans="1:17" x14ac:dyDescent="0.25">
      <c r="A131" s="20" t="s">
        <v>412</v>
      </c>
      <c r="B131" s="20" t="s">
        <v>561</v>
      </c>
      <c r="C131" s="20">
        <v>7950</v>
      </c>
      <c r="D131" s="20">
        <v>7.01</v>
      </c>
      <c r="E131" s="20">
        <f t="shared" ref="E131:E194" si="12">F131+G131</f>
        <v>349</v>
      </c>
      <c r="F131" s="20">
        <v>223</v>
      </c>
      <c r="G131" s="20">
        <v>126</v>
      </c>
      <c r="H131" s="19">
        <v>324263791</v>
      </c>
      <c r="I131" s="19">
        <v>8085153</v>
      </c>
      <c r="J131" s="18">
        <v>193134</v>
      </c>
      <c r="K131" s="17">
        <f t="shared" ref="K131:K194" si="13">L131+N131</f>
        <v>193134</v>
      </c>
      <c r="L131" s="18">
        <v>20119</v>
      </c>
      <c r="M131" s="17">
        <f t="shared" si="10"/>
        <v>17720.83242542583</v>
      </c>
      <c r="N131" s="1">
        <v>173015</v>
      </c>
      <c r="O131" s="18">
        <v>44841</v>
      </c>
      <c r="P131" s="17">
        <f t="shared" si="11"/>
        <v>47230.768774999997</v>
      </c>
      <c r="Q131" s="42"/>
    </row>
    <row r="132" spans="1:17" x14ac:dyDescent="0.25">
      <c r="A132" s="20" t="s">
        <v>411</v>
      </c>
      <c r="B132" s="20" t="s">
        <v>561</v>
      </c>
      <c r="C132" s="20">
        <v>8057</v>
      </c>
      <c r="D132" s="20">
        <v>7.01</v>
      </c>
      <c r="E132" s="20">
        <f t="shared" si="12"/>
        <v>349</v>
      </c>
      <c r="F132" s="20">
        <v>224</v>
      </c>
      <c r="G132" s="20">
        <v>125</v>
      </c>
      <c r="H132" s="19">
        <v>326097487</v>
      </c>
      <c r="I132" s="19">
        <v>8310054</v>
      </c>
      <c r="J132" s="18">
        <v>162459</v>
      </c>
      <c r="K132" s="17">
        <f t="shared" si="13"/>
        <v>162458</v>
      </c>
      <c r="L132" s="18">
        <v>20396</v>
      </c>
      <c r="M132" s="17">
        <f t="shared" si="10"/>
        <v>18068.611580586297</v>
      </c>
      <c r="N132" s="1">
        <v>142062</v>
      </c>
      <c r="O132" s="18">
        <v>45893</v>
      </c>
      <c r="P132" s="17">
        <f t="shared" si="11"/>
        <v>48544.565449999995</v>
      </c>
      <c r="Q132" s="42"/>
    </row>
    <row r="133" spans="1:17" x14ac:dyDescent="0.25">
      <c r="A133" s="20" t="s">
        <v>410</v>
      </c>
      <c r="B133" s="20" t="s">
        <v>561</v>
      </c>
      <c r="C133" s="20">
        <v>8156</v>
      </c>
      <c r="D133" s="20">
        <v>7.0110000000000001</v>
      </c>
      <c r="E133" s="20">
        <f t="shared" si="12"/>
        <v>349</v>
      </c>
      <c r="F133" s="20">
        <v>225</v>
      </c>
      <c r="G133" s="20">
        <v>124</v>
      </c>
      <c r="H133" s="19">
        <v>327935741</v>
      </c>
      <c r="I133" s="19">
        <v>8505018</v>
      </c>
      <c r="J133" s="18">
        <v>162278</v>
      </c>
      <c r="K133" s="17">
        <f t="shared" si="13"/>
        <v>162278</v>
      </c>
      <c r="L133" s="18">
        <v>20678</v>
      </c>
      <c r="M133" s="17">
        <f t="shared" si="10"/>
        <v>18343.40104620911</v>
      </c>
      <c r="N133" s="1">
        <v>141600</v>
      </c>
      <c r="O133" s="18">
        <v>46948</v>
      </c>
      <c r="P133" s="17">
        <f t="shared" si="11"/>
        <v>49690.567665000002</v>
      </c>
      <c r="Q133" s="42"/>
    </row>
    <row r="134" spans="1:17" x14ac:dyDescent="0.25">
      <c r="A134" s="20" t="s">
        <v>409</v>
      </c>
      <c r="B134" s="20" t="s">
        <v>561</v>
      </c>
      <c r="C134" s="20">
        <v>8262</v>
      </c>
      <c r="D134" s="20">
        <v>7.0110000000000001</v>
      </c>
      <c r="E134" s="20">
        <f t="shared" si="12"/>
        <v>349</v>
      </c>
      <c r="F134" s="20">
        <v>226</v>
      </c>
      <c r="G134" s="20">
        <v>123</v>
      </c>
      <c r="H134" s="19">
        <v>330539020</v>
      </c>
      <c r="I134" s="19">
        <v>8711797</v>
      </c>
      <c r="J134" s="18">
        <v>210393</v>
      </c>
      <c r="K134" s="17">
        <f t="shared" si="13"/>
        <v>210393</v>
      </c>
      <c r="L134" s="18">
        <v>21092</v>
      </c>
      <c r="M134" s="17">
        <f t="shared" si="10"/>
        <v>18640.267991771521</v>
      </c>
      <c r="N134" s="1">
        <v>189301</v>
      </c>
      <c r="O134" s="18">
        <v>48329</v>
      </c>
      <c r="P134" s="17">
        <f t="shared" si="11"/>
        <v>50898.673972500001</v>
      </c>
      <c r="Q134" s="42"/>
    </row>
    <row r="135" spans="1:17" x14ac:dyDescent="0.25">
      <c r="A135" s="28" t="s">
        <v>408</v>
      </c>
      <c r="B135" s="28" t="s">
        <v>560</v>
      </c>
      <c r="C135" s="28">
        <v>3613</v>
      </c>
      <c r="D135" s="28">
        <v>7.056</v>
      </c>
      <c r="E135" s="28">
        <f t="shared" si="12"/>
        <v>351</v>
      </c>
      <c r="F135" s="28">
        <v>263</v>
      </c>
      <c r="G135" s="28">
        <v>88</v>
      </c>
      <c r="H135" s="27">
        <v>51327666</v>
      </c>
      <c r="I135" s="27">
        <v>4645218</v>
      </c>
      <c r="J135" s="26">
        <v>110936</v>
      </c>
      <c r="K135" s="25">
        <f t="shared" si="13"/>
        <v>110935</v>
      </c>
      <c r="L135" s="26">
        <v>7556</v>
      </c>
      <c r="M135" s="25">
        <f t="shared" si="10"/>
        <v>7435.3556984234356</v>
      </c>
      <c r="N135" s="1">
        <v>103379</v>
      </c>
      <c r="O135" s="26">
        <v>25762</v>
      </c>
      <c r="P135" s="25">
        <f t="shared" si="11"/>
        <v>27313.881839999998</v>
      </c>
      <c r="Q135" s="42"/>
    </row>
    <row r="136" spans="1:17" x14ac:dyDescent="0.25">
      <c r="A136" s="28" t="s">
        <v>407</v>
      </c>
      <c r="B136" s="28" t="s">
        <v>560</v>
      </c>
      <c r="C136" s="28">
        <v>3625</v>
      </c>
      <c r="D136" s="28">
        <v>7.0549999999999997</v>
      </c>
      <c r="E136" s="28">
        <f t="shared" si="12"/>
        <v>351</v>
      </c>
      <c r="F136" s="28">
        <v>264</v>
      </c>
      <c r="G136" s="28">
        <v>87</v>
      </c>
      <c r="H136" s="27">
        <v>51329794</v>
      </c>
      <c r="I136" s="27">
        <v>4754859</v>
      </c>
      <c r="J136" s="26">
        <v>120770</v>
      </c>
      <c r="K136" s="25">
        <f t="shared" si="13"/>
        <v>120769</v>
      </c>
      <c r="L136" s="26">
        <v>7685</v>
      </c>
      <c r="M136" s="25">
        <f t="shared" si="10"/>
        <v>7555.3690117976139</v>
      </c>
      <c r="N136" s="1">
        <v>113084</v>
      </c>
      <c r="O136" s="26">
        <v>26410</v>
      </c>
      <c r="P136" s="25">
        <f t="shared" si="11"/>
        <v>27954.6085375</v>
      </c>
      <c r="Q136" s="42"/>
    </row>
    <row r="137" spans="1:17" x14ac:dyDescent="0.25">
      <c r="A137" s="28" t="s">
        <v>406</v>
      </c>
      <c r="B137" s="28" t="s">
        <v>560</v>
      </c>
      <c r="C137" s="28">
        <v>3632</v>
      </c>
      <c r="D137" s="28">
        <v>7.056</v>
      </c>
      <c r="E137" s="28">
        <f t="shared" si="12"/>
        <v>351</v>
      </c>
      <c r="F137" s="28">
        <v>265</v>
      </c>
      <c r="G137" s="28">
        <v>86</v>
      </c>
      <c r="H137" s="27">
        <v>51353685</v>
      </c>
      <c r="I137" s="27">
        <v>4874684</v>
      </c>
      <c r="J137" s="26">
        <v>131968</v>
      </c>
      <c r="K137" s="25">
        <f t="shared" si="13"/>
        <v>131968</v>
      </c>
      <c r="L137" s="26">
        <v>7829</v>
      </c>
      <c r="M137" s="25">
        <f t="shared" si="10"/>
        <v>7687.2997427338669</v>
      </c>
      <c r="N137" s="1">
        <v>124139</v>
      </c>
      <c r="O137" s="26">
        <v>27119</v>
      </c>
      <c r="P137" s="25">
        <f t="shared" si="11"/>
        <v>28663.141919999998</v>
      </c>
      <c r="Q137" s="42"/>
    </row>
    <row r="138" spans="1:17" x14ac:dyDescent="0.25">
      <c r="A138" s="28" t="s">
        <v>405</v>
      </c>
      <c r="B138" s="28" t="s">
        <v>560</v>
      </c>
      <c r="C138" s="28">
        <v>3644</v>
      </c>
      <c r="D138" s="28">
        <v>7.056</v>
      </c>
      <c r="E138" s="28">
        <f t="shared" si="12"/>
        <v>351</v>
      </c>
      <c r="F138" s="28">
        <v>266</v>
      </c>
      <c r="G138" s="28">
        <v>85</v>
      </c>
      <c r="H138" s="27">
        <v>51414956</v>
      </c>
      <c r="I138" s="27">
        <v>5012125</v>
      </c>
      <c r="J138" s="26">
        <v>138066</v>
      </c>
      <c r="K138" s="25">
        <f t="shared" si="13"/>
        <v>138066</v>
      </c>
      <c r="L138" s="26">
        <v>7988</v>
      </c>
      <c r="M138" s="25">
        <f t="shared" si="10"/>
        <v>7845.5379779427731</v>
      </c>
      <c r="N138" s="1">
        <v>130078</v>
      </c>
      <c r="O138" s="26">
        <v>27897</v>
      </c>
      <c r="P138" s="25">
        <f t="shared" si="11"/>
        <v>29471.294999999998</v>
      </c>
      <c r="Q138" s="42"/>
    </row>
    <row r="139" spans="1:17" x14ac:dyDescent="0.25">
      <c r="A139" s="28" t="s">
        <v>404</v>
      </c>
      <c r="B139" s="28" t="s">
        <v>560</v>
      </c>
      <c r="C139" s="28">
        <v>3654</v>
      </c>
      <c r="D139" s="28">
        <v>7.0570000000000004</v>
      </c>
      <c r="E139" s="28">
        <f t="shared" si="12"/>
        <v>352</v>
      </c>
      <c r="F139" s="28">
        <v>268</v>
      </c>
      <c r="G139" s="28">
        <v>84</v>
      </c>
      <c r="H139" s="27">
        <v>51469329</v>
      </c>
      <c r="I139" s="27">
        <v>5148152</v>
      </c>
      <c r="J139" s="26">
        <v>146452</v>
      </c>
      <c r="K139" s="25">
        <f t="shared" si="13"/>
        <v>146452</v>
      </c>
      <c r="L139" s="26">
        <v>8146</v>
      </c>
      <c r="M139" s="25">
        <f t="shared" si="10"/>
        <v>7938.7852636790612</v>
      </c>
      <c r="N139" s="1">
        <v>138306</v>
      </c>
      <c r="O139" s="26">
        <v>28679</v>
      </c>
      <c r="P139" s="25">
        <f t="shared" si="11"/>
        <v>30275.423886666671</v>
      </c>
      <c r="Q139" s="42"/>
    </row>
    <row r="140" spans="1:17" x14ac:dyDescent="0.25">
      <c r="A140" s="28" t="s">
        <v>403</v>
      </c>
      <c r="B140" s="28" t="s">
        <v>560</v>
      </c>
      <c r="C140" s="28">
        <v>3663</v>
      </c>
      <c r="D140" s="28">
        <v>7.0570000000000004</v>
      </c>
      <c r="E140" s="28">
        <f t="shared" si="12"/>
        <v>352</v>
      </c>
      <c r="F140" s="28">
        <v>269</v>
      </c>
      <c r="G140" s="28">
        <v>83</v>
      </c>
      <c r="H140" s="27">
        <v>51498107</v>
      </c>
      <c r="I140" s="27">
        <v>5299311</v>
      </c>
      <c r="J140" s="26">
        <v>162955</v>
      </c>
      <c r="K140" s="25">
        <f t="shared" si="13"/>
        <v>162955</v>
      </c>
      <c r="L140" s="26">
        <v>8334</v>
      </c>
      <c r="M140" s="25">
        <f t="shared" si="10"/>
        <v>8111.6701709624285</v>
      </c>
      <c r="N140" s="1">
        <v>154621</v>
      </c>
      <c r="O140" s="26">
        <v>29587</v>
      </c>
      <c r="P140" s="25">
        <f t="shared" si="11"/>
        <v>31164.364772500005</v>
      </c>
      <c r="Q140" s="42"/>
    </row>
    <row r="141" spans="1:17" x14ac:dyDescent="0.25">
      <c r="A141" s="28" t="s">
        <v>402</v>
      </c>
      <c r="B141" s="28" t="s">
        <v>560</v>
      </c>
      <c r="C141" s="28">
        <v>3675</v>
      </c>
      <c r="D141" s="28">
        <v>7.0590000000000002</v>
      </c>
      <c r="E141" s="28">
        <f t="shared" si="12"/>
        <v>352</v>
      </c>
      <c r="F141" s="28">
        <v>270</v>
      </c>
      <c r="G141" s="28">
        <v>82</v>
      </c>
      <c r="H141" s="27">
        <v>51579398</v>
      </c>
      <c r="I141" s="27">
        <v>5465910</v>
      </c>
      <c r="J141" s="26">
        <v>168800</v>
      </c>
      <c r="K141" s="25">
        <f t="shared" si="13"/>
        <v>168800</v>
      </c>
      <c r="L141" s="26">
        <v>8528</v>
      </c>
      <c r="M141" s="25">
        <f t="shared" si="10"/>
        <v>8302.8085206693413</v>
      </c>
      <c r="N141" s="1">
        <v>160272</v>
      </c>
      <c r="O141" s="26">
        <v>30521</v>
      </c>
      <c r="P141" s="25">
        <f t="shared" si="11"/>
        <v>32153.215574999998</v>
      </c>
      <c r="Q141" s="42"/>
    </row>
    <row r="142" spans="1:17" x14ac:dyDescent="0.25">
      <c r="A142" s="28" t="s">
        <v>401</v>
      </c>
      <c r="B142" s="28" t="s">
        <v>560</v>
      </c>
      <c r="C142" s="28">
        <v>3689</v>
      </c>
      <c r="D142" s="28">
        <v>7.0590000000000002</v>
      </c>
      <c r="E142" s="28">
        <f t="shared" si="12"/>
        <v>352</v>
      </c>
      <c r="F142" s="28">
        <v>271</v>
      </c>
      <c r="G142" s="28">
        <v>81</v>
      </c>
      <c r="H142" s="27">
        <v>51598464</v>
      </c>
      <c r="I142" s="27">
        <v>5630494</v>
      </c>
      <c r="J142" s="26">
        <v>162433</v>
      </c>
      <c r="K142" s="25">
        <f t="shared" si="13"/>
        <v>162433</v>
      </c>
      <c r="L142" s="26">
        <v>8695</v>
      </c>
      <c r="M142" s="25">
        <f t="shared" si="10"/>
        <v>8489.9756671107534</v>
      </c>
      <c r="N142" s="1">
        <v>153738</v>
      </c>
      <c r="O142" s="26">
        <v>31378</v>
      </c>
      <c r="P142" s="25">
        <f t="shared" si="11"/>
        <v>33121.380955000001</v>
      </c>
      <c r="Q142" s="42"/>
    </row>
    <row r="143" spans="1:17" x14ac:dyDescent="0.25">
      <c r="A143" s="28" t="s">
        <v>400</v>
      </c>
      <c r="B143" s="28" t="s">
        <v>560</v>
      </c>
      <c r="C143" s="28">
        <v>3696</v>
      </c>
      <c r="D143" s="28">
        <v>7.0590000000000002</v>
      </c>
      <c r="E143" s="28">
        <f t="shared" si="12"/>
        <v>352</v>
      </c>
      <c r="F143" s="28">
        <v>272</v>
      </c>
      <c r="G143" s="28">
        <v>80</v>
      </c>
      <c r="H143" s="27">
        <v>51553485</v>
      </c>
      <c r="I143" s="27">
        <v>5790478</v>
      </c>
      <c r="J143" s="26">
        <v>172897</v>
      </c>
      <c r="K143" s="25">
        <f t="shared" si="13"/>
        <v>172898</v>
      </c>
      <c r="L143" s="26">
        <v>8880</v>
      </c>
      <c r="M143" s="25">
        <f t="shared" si="10"/>
        <v>8667.1551796098556</v>
      </c>
      <c r="N143" s="1">
        <v>164018</v>
      </c>
      <c r="O143" s="26">
        <v>32302</v>
      </c>
      <c r="P143" s="25">
        <f t="shared" si="11"/>
        <v>34062.486834999996</v>
      </c>
      <c r="Q143" s="42"/>
    </row>
    <row r="144" spans="1:17" x14ac:dyDescent="0.25">
      <c r="A144" s="28" t="s">
        <v>399</v>
      </c>
      <c r="B144" s="28" t="s">
        <v>560</v>
      </c>
      <c r="C144" s="28">
        <v>3710</v>
      </c>
      <c r="D144" s="28">
        <v>7.0590000000000002</v>
      </c>
      <c r="E144" s="28">
        <f t="shared" si="12"/>
        <v>352</v>
      </c>
      <c r="F144" s="28">
        <v>273</v>
      </c>
      <c r="G144" s="28">
        <v>79</v>
      </c>
      <c r="H144" s="27">
        <v>51652365</v>
      </c>
      <c r="I144" s="27">
        <v>5970744</v>
      </c>
      <c r="J144" s="26">
        <v>165652</v>
      </c>
      <c r="K144" s="25">
        <f t="shared" si="13"/>
        <v>165652</v>
      </c>
      <c r="L144" s="26">
        <v>9064</v>
      </c>
      <c r="M144" s="25">
        <f t="shared" si="10"/>
        <v>8871.5108327348735</v>
      </c>
      <c r="N144" s="1">
        <v>156588</v>
      </c>
      <c r="O144" s="26">
        <v>33239</v>
      </c>
      <c r="P144" s="25">
        <f t="shared" si="11"/>
        <v>35122.901579999998</v>
      </c>
      <c r="Q144" s="42"/>
    </row>
    <row r="145" spans="1:17" x14ac:dyDescent="0.25">
      <c r="A145" s="28" t="s">
        <v>398</v>
      </c>
      <c r="B145" s="28" t="s">
        <v>560</v>
      </c>
      <c r="C145" s="28">
        <v>3719</v>
      </c>
      <c r="D145" s="28">
        <v>7.0609999999999999</v>
      </c>
      <c r="E145" s="28">
        <f t="shared" si="12"/>
        <v>352</v>
      </c>
      <c r="F145" s="28">
        <v>274</v>
      </c>
      <c r="G145" s="28">
        <v>78</v>
      </c>
      <c r="H145" s="27">
        <v>51706992</v>
      </c>
      <c r="I145" s="27">
        <v>6138521</v>
      </c>
      <c r="J145" s="26">
        <v>202474</v>
      </c>
      <c r="K145" s="25">
        <f t="shared" si="13"/>
        <v>202474</v>
      </c>
      <c r="L145" s="26">
        <v>9289</v>
      </c>
      <c r="M145" s="25">
        <f t="shared" si="10"/>
        <v>9051.5098312691698</v>
      </c>
      <c r="N145" s="1">
        <v>193185</v>
      </c>
      <c r="O145" s="26">
        <v>34347</v>
      </c>
      <c r="P145" s="25">
        <f t="shared" si="11"/>
        <v>36120.080650833333</v>
      </c>
      <c r="Q145" s="42"/>
    </row>
    <row r="146" spans="1:17" x14ac:dyDescent="0.25">
      <c r="A146" s="28" t="s">
        <v>397</v>
      </c>
      <c r="B146" s="28" t="s">
        <v>560</v>
      </c>
      <c r="C146" s="28">
        <v>3738</v>
      </c>
      <c r="D146" s="28">
        <v>7.0620000000000003</v>
      </c>
      <c r="E146" s="28">
        <f t="shared" si="12"/>
        <v>352</v>
      </c>
      <c r="F146" s="28">
        <v>275</v>
      </c>
      <c r="G146" s="28">
        <v>77</v>
      </c>
      <c r="H146" s="27">
        <v>51762217</v>
      </c>
      <c r="I146" s="27">
        <v>6342446</v>
      </c>
      <c r="J146" s="26">
        <v>228279</v>
      </c>
      <c r="K146" s="25">
        <f t="shared" si="13"/>
        <v>228279</v>
      </c>
      <c r="L146" s="26">
        <v>9549</v>
      </c>
      <c r="M146" s="25">
        <f t="shared" si="10"/>
        <v>9282.5620799523476</v>
      </c>
      <c r="N146" s="1">
        <v>218730</v>
      </c>
      <c r="O146" s="26">
        <v>35591</v>
      </c>
      <c r="P146" s="25">
        <f t="shared" si="11"/>
        <v>37325.294710000002</v>
      </c>
      <c r="Q146" s="42"/>
    </row>
    <row r="147" spans="1:17" x14ac:dyDescent="0.25">
      <c r="A147" s="16" t="s">
        <v>396</v>
      </c>
      <c r="B147" s="16" t="s">
        <v>558</v>
      </c>
      <c r="C147" s="16">
        <v>1098</v>
      </c>
      <c r="D147" s="16">
        <v>7.0739999999999998</v>
      </c>
      <c r="E147" s="16">
        <f t="shared" si="12"/>
        <v>353</v>
      </c>
      <c r="F147" s="16">
        <v>277</v>
      </c>
      <c r="G147" s="16">
        <v>76</v>
      </c>
      <c r="H147" s="15">
        <v>30714249</v>
      </c>
      <c r="I147" s="15">
        <v>2964274</v>
      </c>
      <c r="J147" s="14">
        <v>125015</v>
      </c>
      <c r="K147" s="13">
        <f t="shared" si="13"/>
        <v>125015</v>
      </c>
      <c r="L147" s="14">
        <v>4413</v>
      </c>
      <c r="M147" s="13">
        <f t="shared" si="10"/>
        <v>4267.9888661687337</v>
      </c>
      <c r="N147" s="1">
        <v>120602</v>
      </c>
      <c r="O147" s="14">
        <v>16734</v>
      </c>
      <c r="P147" s="13">
        <f t="shared" si="11"/>
        <v>17474.395230000002</v>
      </c>
      <c r="Q147" s="42"/>
    </row>
    <row r="148" spans="1:17" x14ac:dyDescent="0.25">
      <c r="A148" s="16" t="s">
        <v>395</v>
      </c>
      <c r="B148" s="16" t="s">
        <v>558</v>
      </c>
      <c r="C148" s="16">
        <v>1116</v>
      </c>
      <c r="D148" s="16">
        <v>7.0750000000000002</v>
      </c>
      <c r="E148" s="16">
        <f t="shared" si="12"/>
        <v>353</v>
      </c>
      <c r="F148" s="16">
        <v>278</v>
      </c>
      <c r="G148" s="16">
        <v>75</v>
      </c>
      <c r="H148" s="15">
        <v>30929423</v>
      </c>
      <c r="I148" s="15">
        <v>3110142</v>
      </c>
      <c r="J148" s="14">
        <v>140702</v>
      </c>
      <c r="K148" s="13">
        <f t="shared" si="13"/>
        <v>140702</v>
      </c>
      <c r="L148" s="14">
        <v>4605</v>
      </c>
      <c r="M148" s="13">
        <f t="shared" si="10"/>
        <v>4444.7611510042343</v>
      </c>
      <c r="N148" s="1">
        <v>136097</v>
      </c>
      <c r="O148" s="14">
        <v>17609</v>
      </c>
      <c r="P148" s="13">
        <f t="shared" si="11"/>
        <v>18336.878875000002</v>
      </c>
      <c r="Q148" s="42"/>
    </row>
    <row r="149" spans="1:17" x14ac:dyDescent="0.25">
      <c r="A149" s="16" t="s">
        <v>394</v>
      </c>
      <c r="B149" s="16" t="s">
        <v>558</v>
      </c>
      <c r="C149" s="16">
        <v>1132</v>
      </c>
      <c r="D149" s="16">
        <v>7.0750000000000002</v>
      </c>
      <c r="E149" s="16">
        <f t="shared" si="12"/>
        <v>353</v>
      </c>
      <c r="F149" s="16">
        <v>279</v>
      </c>
      <c r="G149" s="16">
        <v>74</v>
      </c>
      <c r="H149" s="15">
        <v>31028828</v>
      </c>
      <c r="I149" s="15">
        <v>3259216</v>
      </c>
      <c r="J149" s="14">
        <v>153570</v>
      </c>
      <c r="K149" s="13">
        <f t="shared" si="13"/>
        <v>153570</v>
      </c>
      <c r="L149" s="14">
        <v>4799</v>
      </c>
      <c r="M149" s="13">
        <f t="shared" si="10"/>
        <v>4623.935443064669</v>
      </c>
      <c r="N149" s="1">
        <v>148771</v>
      </c>
      <c r="O149" s="14">
        <v>18486</v>
      </c>
      <c r="P149" s="13">
        <f t="shared" si="11"/>
        <v>19215.794333333335</v>
      </c>
      <c r="Q149" s="42"/>
    </row>
    <row r="150" spans="1:17" x14ac:dyDescent="0.25">
      <c r="A150" s="16" t="s">
        <v>393</v>
      </c>
      <c r="B150" s="16" t="s">
        <v>558</v>
      </c>
      <c r="C150" s="16">
        <v>1154</v>
      </c>
      <c r="D150" s="16">
        <v>7.0750000000000002</v>
      </c>
      <c r="E150" s="16">
        <f t="shared" si="12"/>
        <v>353</v>
      </c>
      <c r="F150" s="16">
        <v>280</v>
      </c>
      <c r="G150" s="16">
        <v>73</v>
      </c>
      <c r="H150" s="15">
        <v>31210964</v>
      </c>
      <c r="I150" s="15">
        <v>3428760</v>
      </c>
      <c r="J150" s="14">
        <v>200510</v>
      </c>
      <c r="K150" s="13">
        <f t="shared" si="13"/>
        <v>200510</v>
      </c>
      <c r="L150" s="14">
        <v>5063</v>
      </c>
      <c r="M150" s="13">
        <f t="shared" si="10"/>
        <v>4829.1488767515439</v>
      </c>
      <c r="N150" s="1">
        <v>195447</v>
      </c>
      <c r="O150" s="14">
        <v>19659</v>
      </c>
      <c r="P150" s="13">
        <f t="shared" si="11"/>
        <v>20215.397500000003</v>
      </c>
      <c r="Q150" s="42"/>
    </row>
    <row r="151" spans="1:17" x14ac:dyDescent="0.25">
      <c r="A151" s="16" t="s">
        <v>392</v>
      </c>
      <c r="B151" s="16" t="s">
        <v>558</v>
      </c>
      <c r="C151" s="16">
        <v>1174</v>
      </c>
      <c r="D151" s="16">
        <v>7.0750000000000002</v>
      </c>
      <c r="E151" s="16">
        <f t="shared" si="12"/>
        <v>354</v>
      </c>
      <c r="F151" s="16">
        <v>282</v>
      </c>
      <c r="G151" s="16">
        <v>72</v>
      </c>
      <c r="H151" s="15">
        <v>31438331</v>
      </c>
      <c r="I151" s="15">
        <v>3655480</v>
      </c>
      <c r="J151" s="14">
        <v>202008</v>
      </c>
      <c r="K151" s="13">
        <f t="shared" si="13"/>
        <v>202008</v>
      </c>
      <c r="L151" s="14">
        <v>5341</v>
      </c>
      <c r="M151" s="13">
        <f t="shared" si="10"/>
        <v>5074.1229148238463</v>
      </c>
      <c r="N151" s="1">
        <v>196667</v>
      </c>
      <c r="O151" s="14">
        <v>20895</v>
      </c>
      <c r="P151" s="13">
        <f t="shared" si="11"/>
        <v>21552.100833333334</v>
      </c>
      <c r="Q151" s="42"/>
    </row>
    <row r="152" spans="1:17" x14ac:dyDescent="0.25">
      <c r="A152" s="16" t="s">
        <v>391</v>
      </c>
      <c r="B152" s="16" t="s">
        <v>558</v>
      </c>
      <c r="C152" s="16">
        <v>1194</v>
      </c>
      <c r="D152" s="16">
        <v>7.0739999999999998</v>
      </c>
      <c r="E152" s="16">
        <f t="shared" si="12"/>
        <v>354</v>
      </c>
      <c r="F152" s="16">
        <v>283</v>
      </c>
      <c r="G152" s="16">
        <v>71</v>
      </c>
      <c r="H152" s="15">
        <v>31543797</v>
      </c>
      <c r="I152" s="15">
        <v>3870169</v>
      </c>
      <c r="J152" s="14">
        <v>199490</v>
      </c>
      <c r="K152" s="13">
        <f t="shared" si="13"/>
        <v>199489</v>
      </c>
      <c r="L152" s="14">
        <v>5588</v>
      </c>
      <c r="M152" s="13">
        <f t="shared" si="10"/>
        <v>5334.0715201723751</v>
      </c>
      <c r="N152" s="1">
        <v>193901</v>
      </c>
      <c r="O152" s="14">
        <v>22044</v>
      </c>
      <c r="P152" s="13">
        <f t="shared" si="11"/>
        <v>22814.646255</v>
      </c>
      <c r="Q152" s="42"/>
    </row>
    <row r="153" spans="1:17" x14ac:dyDescent="0.25">
      <c r="A153" s="16" t="s">
        <v>390</v>
      </c>
      <c r="B153" s="16" t="s">
        <v>558</v>
      </c>
      <c r="C153" s="16">
        <v>1210</v>
      </c>
      <c r="D153" s="16">
        <v>7.0730000000000004</v>
      </c>
      <c r="E153" s="16">
        <f t="shared" si="12"/>
        <v>354</v>
      </c>
      <c r="F153" s="16">
        <v>284</v>
      </c>
      <c r="G153" s="16">
        <v>70</v>
      </c>
      <c r="H153" s="15">
        <v>31654157</v>
      </c>
      <c r="I153" s="15">
        <v>4079998</v>
      </c>
      <c r="J153" s="14">
        <v>251331</v>
      </c>
      <c r="K153" s="13">
        <f t="shared" si="13"/>
        <v>251331</v>
      </c>
      <c r="L153" s="14">
        <v>5902</v>
      </c>
      <c r="M153" s="13">
        <f t="shared" si="10"/>
        <v>5583.4940421222736</v>
      </c>
      <c r="N153" s="1">
        <v>245429</v>
      </c>
      <c r="O153" s="14">
        <v>23461</v>
      </c>
      <c r="P153" s="13">
        <f t="shared" si="11"/>
        <v>24048.188211666667</v>
      </c>
      <c r="Q153" s="42"/>
    </row>
    <row r="154" spans="1:17" x14ac:dyDescent="0.25">
      <c r="A154" s="16" t="s">
        <v>389</v>
      </c>
      <c r="B154" s="16" t="s">
        <v>558</v>
      </c>
      <c r="C154" s="16">
        <v>1232</v>
      </c>
      <c r="D154" s="16">
        <v>7.0739999999999998</v>
      </c>
      <c r="E154" s="16">
        <f t="shared" si="12"/>
        <v>354</v>
      </c>
      <c r="F154" s="16">
        <v>285</v>
      </c>
      <c r="G154" s="16">
        <v>69</v>
      </c>
      <c r="H154" s="15">
        <v>31809803</v>
      </c>
      <c r="I154" s="15">
        <v>4344970</v>
      </c>
      <c r="J154" s="14">
        <v>231563</v>
      </c>
      <c r="K154" s="13">
        <f t="shared" si="13"/>
        <v>231564</v>
      </c>
      <c r="L154" s="14">
        <v>6190</v>
      </c>
      <c r="M154" s="13">
        <f t="shared" si="10"/>
        <v>5902.3556411451054</v>
      </c>
      <c r="N154" s="1">
        <v>225374</v>
      </c>
      <c r="O154" s="14">
        <v>24790</v>
      </c>
      <c r="P154" s="13">
        <f t="shared" si="11"/>
        <v>25613.598150000002</v>
      </c>
      <c r="Q154" s="42"/>
    </row>
    <row r="155" spans="1:17" x14ac:dyDescent="0.25">
      <c r="A155" s="16" t="s">
        <v>388</v>
      </c>
      <c r="B155" s="16" t="s">
        <v>558</v>
      </c>
      <c r="C155" s="16">
        <v>1264</v>
      </c>
      <c r="D155" s="16">
        <v>7.0730000000000004</v>
      </c>
      <c r="E155" s="16">
        <f t="shared" si="12"/>
        <v>354</v>
      </c>
      <c r="F155" s="16">
        <v>286</v>
      </c>
      <c r="G155" s="16">
        <v>68</v>
      </c>
      <c r="H155" s="15">
        <v>31964172</v>
      </c>
      <c r="I155" s="15">
        <v>4594965</v>
      </c>
      <c r="J155" s="14">
        <v>220324</v>
      </c>
      <c r="K155" s="13">
        <f t="shared" si="13"/>
        <v>220324</v>
      </c>
      <c r="L155" s="14">
        <v>6462</v>
      </c>
      <c r="M155" s="13">
        <f t="shared" si="10"/>
        <v>6197.9360439668753</v>
      </c>
      <c r="N155" s="1">
        <v>213862</v>
      </c>
      <c r="O155" s="14">
        <v>26083</v>
      </c>
      <c r="P155" s="13">
        <f t="shared" si="11"/>
        <v>27083.489537499998</v>
      </c>
      <c r="Q155" s="42"/>
    </row>
    <row r="156" spans="1:17" x14ac:dyDescent="0.25">
      <c r="A156" s="16" t="s">
        <v>387</v>
      </c>
      <c r="B156" s="16" t="s">
        <v>558</v>
      </c>
      <c r="C156" s="16">
        <v>1290</v>
      </c>
      <c r="D156" s="16">
        <v>7.0720000000000001</v>
      </c>
      <c r="E156" s="16">
        <f t="shared" si="12"/>
        <v>354</v>
      </c>
      <c r="F156" s="16">
        <v>287</v>
      </c>
      <c r="G156" s="16">
        <v>67</v>
      </c>
      <c r="H156" s="15">
        <v>32157166</v>
      </c>
      <c r="I156" s="15">
        <v>4850487</v>
      </c>
      <c r="J156" s="14">
        <v>221341</v>
      </c>
      <c r="K156" s="13">
        <f t="shared" si="13"/>
        <v>221341</v>
      </c>
      <c r="L156" s="14">
        <v>6753</v>
      </c>
      <c r="M156" s="13">
        <f t="shared" si="10"/>
        <v>6496.5274712955215</v>
      </c>
      <c r="N156" s="1">
        <v>214588</v>
      </c>
      <c r="O156" s="14">
        <v>27472</v>
      </c>
      <c r="P156" s="13">
        <f t="shared" si="11"/>
        <v>28585.536720000004</v>
      </c>
      <c r="Q156" s="42"/>
    </row>
    <row r="157" spans="1:17" x14ac:dyDescent="0.25">
      <c r="A157" s="16" t="s">
        <v>386</v>
      </c>
      <c r="B157" s="16" t="s">
        <v>558</v>
      </c>
      <c r="C157" s="16">
        <v>1318</v>
      </c>
      <c r="D157" s="16">
        <v>7.0720000000000001</v>
      </c>
      <c r="E157" s="16">
        <f t="shared" si="12"/>
        <v>354</v>
      </c>
      <c r="F157" s="16">
        <v>288</v>
      </c>
      <c r="G157" s="16">
        <v>66</v>
      </c>
      <c r="H157" s="15">
        <v>32296812</v>
      </c>
      <c r="I157" s="15">
        <v>5080014</v>
      </c>
      <c r="J157" s="14">
        <v>254888</v>
      </c>
      <c r="K157" s="13">
        <f t="shared" si="13"/>
        <v>254888</v>
      </c>
      <c r="L157" s="14">
        <v>7047</v>
      </c>
      <c r="M157" s="13">
        <f t="shared" si="10"/>
        <v>6755.0883166214589</v>
      </c>
      <c r="N157" s="1">
        <v>247841</v>
      </c>
      <c r="O157" s="14">
        <v>28897</v>
      </c>
      <c r="P157" s="13">
        <f t="shared" si="11"/>
        <v>29938.215840000001</v>
      </c>
      <c r="Q157" s="42"/>
    </row>
    <row r="158" spans="1:17" x14ac:dyDescent="0.25">
      <c r="A158" s="16" t="s">
        <v>385</v>
      </c>
      <c r="B158" s="16" t="s">
        <v>558</v>
      </c>
      <c r="C158" s="16">
        <v>1338</v>
      </c>
      <c r="D158" s="16">
        <v>7.0709999999999997</v>
      </c>
      <c r="E158" s="16">
        <f t="shared" si="12"/>
        <v>354</v>
      </c>
      <c r="F158" s="16">
        <v>289</v>
      </c>
      <c r="G158" s="16">
        <v>65</v>
      </c>
      <c r="H158" s="15">
        <v>32408642</v>
      </c>
      <c r="I158" s="15">
        <v>5352263</v>
      </c>
      <c r="J158" s="14">
        <v>260102</v>
      </c>
      <c r="K158" s="13">
        <f t="shared" si="13"/>
        <v>260102</v>
      </c>
      <c r="L158" s="14">
        <v>7358</v>
      </c>
      <c r="M158" s="13">
        <f t="shared" si="10"/>
        <v>7067.1411335061384</v>
      </c>
      <c r="N158" s="1">
        <v>252744</v>
      </c>
      <c r="O158" s="14">
        <v>30400</v>
      </c>
      <c r="P158" s="13">
        <f t="shared" si="11"/>
        <v>31538.209727499998</v>
      </c>
      <c r="Q158" s="42"/>
    </row>
    <row r="159" spans="1:17" x14ac:dyDescent="0.25">
      <c r="A159" s="12" t="s">
        <v>384</v>
      </c>
      <c r="B159" s="12" t="s">
        <v>559</v>
      </c>
      <c r="C159" s="12">
        <v>830</v>
      </c>
      <c r="D159" s="12">
        <v>6.9690000000000003</v>
      </c>
      <c r="E159" s="12">
        <f t="shared" si="12"/>
        <v>354</v>
      </c>
      <c r="F159" s="12">
        <v>301</v>
      </c>
      <c r="G159" s="12">
        <v>53</v>
      </c>
      <c r="H159" s="11">
        <v>10117684</v>
      </c>
      <c r="I159" s="11">
        <v>2151128</v>
      </c>
      <c r="J159" s="10">
        <v>83613</v>
      </c>
      <c r="K159" s="9">
        <f t="shared" si="13"/>
        <v>83612</v>
      </c>
      <c r="L159" s="10">
        <v>2731</v>
      </c>
      <c r="M159" s="9">
        <f t="shared" si="10"/>
        <v>2649.8592757589176</v>
      </c>
      <c r="N159" s="1">
        <v>80881</v>
      </c>
      <c r="O159" s="10">
        <v>12105</v>
      </c>
      <c r="P159" s="9">
        <f t="shared" si="11"/>
        <v>12492.675860000001</v>
      </c>
      <c r="Q159" s="42"/>
    </row>
    <row r="160" spans="1:17" x14ac:dyDescent="0.25">
      <c r="A160" s="12" t="s">
        <v>383</v>
      </c>
      <c r="B160" s="12" t="s">
        <v>559</v>
      </c>
      <c r="C160" s="12">
        <v>845</v>
      </c>
      <c r="D160" s="12">
        <v>6.9690000000000003</v>
      </c>
      <c r="E160" s="12">
        <f t="shared" si="12"/>
        <v>354</v>
      </c>
      <c r="F160" s="12">
        <v>302</v>
      </c>
      <c r="G160" s="12">
        <v>52</v>
      </c>
      <c r="H160" s="11">
        <v>10166400</v>
      </c>
      <c r="I160" s="11">
        <v>2244476</v>
      </c>
      <c r="J160" s="10">
        <v>93958</v>
      </c>
      <c r="K160" s="9">
        <f t="shared" si="13"/>
        <v>93958</v>
      </c>
      <c r="L160" s="10">
        <v>2836</v>
      </c>
      <c r="M160" s="9">
        <f t="shared" si="10"/>
        <v>2745.5229858654488</v>
      </c>
      <c r="N160" s="1">
        <v>91122</v>
      </c>
      <c r="O160" s="10">
        <v>12667</v>
      </c>
      <c r="P160" s="9">
        <f t="shared" si="11"/>
        <v>13034.79437</v>
      </c>
      <c r="Q160" s="42"/>
    </row>
    <row r="161" spans="1:17" x14ac:dyDescent="0.25">
      <c r="A161" s="12" t="s">
        <v>382</v>
      </c>
      <c r="B161" s="12" t="s">
        <v>559</v>
      </c>
      <c r="C161" s="12">
        <v>870</v>
      </c>
      <c r="D161" s="12">
        <v>6.9690000000000003</v>
      </c>
      <c r="E161" s="12">
        <f t="shared" si="12"/>
        <v>354</v>
      </c>
      <c r="F161" s="12">
        <v>303</v>
      </c>
      <c r="G161" s="12">
        <v>51</v>
      </c>
      <c r="H161" s="11">
        <v>10290193</v>
      </c>
      <c r="I161" s="11">
        <v>2368056</v>
      </c>
      <c r="J161" s="10">
        <v>84873</v>
      </c>
      <c r="K161" s="9">
        <f t="shared" si="13"/>
        <v>84873</v>
      </c>
      <c r="L161" s="10">
        <v>2955</v>
      </c>
      <c r="M161" s="9">
        <f t="shared" si="10"/>
        <v>2876.466766133125</v>
      </c>
      <c r="N161" s="1">
        <v>81918</v>
      </c>
      <c r="O161" s="10">
        <v>13287</v>
      </c>
      <c r="P161" s="9">
        <f t="shared" si="11"/>
        <v>13752.48522</v>
      </c>
      <c r="Q161" s="42"/>
    </row>
    <row r="162" spans="1:17" x14ac:dyDescent="0.25">
      <c r="A162" s="12" t="s">
        <v>381</v>
      </c>
      <c r="B162" s="12" t="s">
        <v>559</v>
      </c>
      <c r="C162" s="12">
        <v>880</v>
      </c>
      <c r="D162" s="12">
        <v>6.968</v>
      </c>
      <c r="E162" s="12">
        <f t="shared" si="12"/>
        <v>354</v>
      </c>
      <c r="F162" s="12">
        <v>304</v>
      </c>
      <c r="G162" s="12">
        <v>50</v>
      </c>
      <c r="H162" s="11">
        <v>10336807</v>
      </c>
      <c r="I162" s="11">
        <v>2462901</v>
      </c>
      <c r="J162" s="10">
        <v>104857</v>
      </c>
      <c r="K162" s="9">
        <f t="shared" si="13"/>
        <v>104857</v>
      </c>
      <c r="L162" s="10">
        <v>3071</v>
      </c>
      <c r="M162" s="9">
        <f t="shared" si="10"/>
        <v>2971.2903410271283</v>
      </c>
      <c r="N162" s="1">
        <v>101786</v>
      </c>
      <c r="O162" s="10">
        <v>13909</v>
      </c>
      <c r="P162" s="9">
        <f t="shared" si="11"/>
        <v>14301.245140000003</v>
      </c>
      <c r="Q162" s="42"/>
    </row>
    <row r="163" spans="1:17" x14ac:dyDescent="0.25">
      <c r="A163" s="12" t="s">
        <v>380</v>
      </c>
      <c r="B163" s="12" t="s">
        <v>559</v>
      </c>
      <c r="C163" s="12">
        <v>891</v>
      </c>
      <c r="D163" s="12">
        <v>6.9660000000000002</v>
      </c>
      <c r="E163" s="12">
        <f t="shared" si="12"/>
        <v>354</v>
      </c>
      <c r="F163" s="12">
        <v>305</v>
      </c>
      <c r="G163" s="12">
        <v>49</v>
      </c>
      <c r="H163" s="11">
        <v>10360138</v>
      </c>
      <c r="I163" s="11">
        <v>2572481</v>
      </c>
      <c r="J163" s="10">
        <v>101429</v>
      </c>
      <c r="K163" s="9">
        <f t="shared" si="13"/>
        <v>101429</v>
      </c>
      <c r="L163" s="10">
        <v>3173</v>
      </c>
      <c r="M163" s="9">
        <f t="shared" si="10"/>
        <v>3082.8707477441476</v>
      </c>
      <c r="N163" s="1">
        <v>98256</v>
      </c>
      <c r="O163" s="10">
        <v>14484</v>
      </c>
      <c r="P163" s="9">
        <f t="shared" si="11"/>
        <v>14933.252205000001</v>
      </c>
      <c r="Q163" s="42"/>
    </row>
    <row r="164" spans="1:17" x14ac:dyDescent="0.25">
      <c r="A164" s="12" t="s">
        <v>379</v>
      </c>
      <c r="B164" s="12" t="s">
        <v>559</v>
      </c>
      <c r="C164" s="12">
        <v>902</v>
      </c>
      <c r="D164" s="12">
        <v>6.9649999999999999</v>
      </c>
      <c r="E164" s="12">
        <f t="shared" si="12"/>
        <v>355</v>
      </c>
      <c r="F164" s="12">
        <v>307</v>
      </c>
      <c r="G164" s="12">
        <v>48</v>
      </c>
      <c r="H164" s="11">
        <v>10422919</v>
      </c>
      <c r="I164" s="11">
        <v>2689628</v>
      </c>
      <c r="J164" s="10">
        <v>112126</v>
      </c>
      <c r="K164" s="9">
        <f t="shared" si="13"/>
        <v>112126</v>
      </c>
      <c r="L164" s="10">
        <v>3300</v>
      </c>
      <c r="M164" s="9">
        <f t="shared" si="10"/>
        <v>3179.1255894039687</v>
      </c>
      <c r="N164" s="1">
        <v>108826</v>
      </c>
      <c r="O164" s="10">
        <v>15176</v>
      </c>
      <c r="P164" s="9">
        <f t="shared" si="11"/>
        <v>15611.049183333333</v>
      </c>
      <c r="Q164" s="42"/>
    </row>
    <row r="165" spans="1:17" x14ac:dyDescent="0.25">
      <c r="A165" s="12" t="s">
        <v>378</v>
      </c>
      <c r="B165" s="12" t="s">
        <v>559</v>
      </c>
      <c r="C165" s="12">
        <v>917</v>
      </c>
      <c r="D165" s="12">
        <v>6.9640000000000004</v>
      </c>
      <c r="E165" s="12">
        <f t="shared" si="12"/>
        <v>355</v>
      </c>
      <c r="F165" s="12">
        <v>308</v>
      </c>
      <c r="G165" s="12">
        <v>47</v>
      </c>
      <c r="H165" s="11">
        <v>10463282</v>
      </c>
      <c r="I165" s="11">
        <v>2806493</v>
      </c>
      <c r="J165" s="10">
        <v>113700</v>
      </c>
      <c r="K165" s="9">
        <f t="shared" si="13"/>
        <v>113700</v>
      </c>
      <c r="L165" s="10">
        <v>3412</v>
      </c>
      <c r="M165" s="9">
        <f t="shared" si="10"/>
        <v>3294.7829667797359</v>
      </c>
      <c r="N165" s="1">
        <v>110288</v>
      </c>
      <c r="O165" s="10">
        <v>15818</v>
      </c>
      <c r="P165" s="9">
        <f t="shared" si="11"/>
        <v>16287.014376666668</v>
      </c>
      <c r="Q165" s="42"/>
    </row>
    <row r="166" spans="1:17" x14ac:dyDescent="0.25">
      <c r="A166" s="12" t="s">
        <v>377</v>
      </c>
      <c r="B166" s="12" t="s">
        <v>559</v>
      </c>
      <c r="C166" s="12">
        <v>939</v>
      </c>
      <c r="D166" s="12">
        <v>6.9630000000000001</v>
      </c>
      <c r="E166" s="12">
        <f t="shared" si="12"/>
        <v>355</v>
      </c>
      <c r="F166" s="12">
        <v>309</v>
      </c>
      <c r="G166" s="12">
        <v>46</v>
      </c>
      <c r="H166" s="11">
        <v>10553015</v>
      </c>
      <c r="I166" s="11">
        <v>2943680</v>
      </c>
      <c r="J166" s="10">
        <v>105362</v>
      </c>
      <c r="K166" s="9">
        <f t="shared" si="13"/>
        <v>105362</v>
      </c>
      <c r="L166" s="10">
        <v>3535</v>
      </c>
      <c r="M166" s="9">
        <f t="shared" si="10"/>
        <v>3432.4554994266741</v>
      </c>
      <c r="N166" s="1">
        <v>101827</v>
      </c>
      <c r="O166" s="10">
        <v>16516</v>
      </c>
      <c r="P166" s="9">
        <f t="shared" si="11"/>
        <v>17080.7032</v>
      </c>
      <c r="Q166" s="42"/>
    </row>
    <row r="167" spans="1:17" x14ac:dyDescent="0.25">
      <c r="A167" s="12" t="s">
        <v>376</v>
      </c>
      <c r="B167" s="12" t="s">
        <v>559</v>
      </c>
      <c r="C167" s="12">
        <v>951</v>
      </c>
      <c r="D167" s="12">
        <v>6.9630000000000001</v>
      </c>
      <c r="E167" s="12">
        <f t="shared" si="12"/>
        <v>355</v>
      </c>
      <c r="F167" s="12">
        <v>310</v>
      </c>
      <c r="G167" s="12">
        <v>45</v>
      </c>
      <c r="H167" s="11">
        <v>10592020</v>
      </c>
      <c r="I167" s="11">
        <v>3056470</v>
      </c>
      <c r="J167" s="10">
        <v>99292</v>
      </c>
      <c r="K167" s="9">
        <f t="shared" si="13"/>
        <v>99291</v>
      </c>
      <c r="L167" s="10">
        <v>3631</v>
      </c>
      <c r="M167" s="9">
        <f t="shared" si="10"/>
        <v>3539.3095856599903</v>
      </c>
      <c r="N167" s="1">
        <v>95660</v>
      </c>
      <c r="O167" s="10">
        <v>17094</v>
      </c>
      <c r="P167" s="9">
        <f t="shared" si="11"/>
        <v>17735.167174999999</v>
      </c>
      <c r="Q167" s="42"/>
    </row>
    <row r="168" spans="1:17" x14ac:dyDescent="0.25">
      <c r="A168" s="12" t="s">
        <v>375</v>
      </c>
      <c r="B168" s="12" t="s">
        <v>559</v>
      </c>
      <c r="C168" s="12">
        <v>965</v>
      </c>
      <c r="D168" s="12">
        <v>6.9630000000000001</v>
      </c>
      <c r="E168" s="12">
        <f t="shared" si="12"/>
        <v>355</v>
      </c>
      <c r="F168" s="12">
        <v>311</v>
      </c>
      <c r="G168" s="12">
        <v>44</v>
      </c>
      <c r="H168" s="11">
        <v>10660903</v>
      </c>
      <c r="I168" s="11">
        <v>3177318</v>
      </c>
      <c r="J168" s="10">
        <v>89590</v>
      </c>
      <c r="K168" s="9">
        <f t="shared" si="13"/>
        <v>89590</v>
      </c>
      <c r="L168" s="10">
        <v>3731</v>
      </c>
      <c r="M168" s="9">
        <f t="shared" si="10"/>
        <v>3653.8160133182942</v>
      </c>
      <c r="N168" s="1">
        <v>85859</v>
      </c>
      <c r="O168" s="10">
        <v>17696</v>
      </c>
      <c r="P168" s="9">
        <f t="shared" si="11"/>
        <v>18436.387694999998</v>
      </c>
      <c r="Q168" s="42"/>
    </row>
    <row r="169" spans="1:17" x14ac:dyDescent="0.25">
      <c r="A169" s="12" t="s">
        <v>374</v>
      </c>
      <c r="B169" s="12" t="s">
        <v>559</v>
      </c>
      <c r="C169" s="12">
        <v>979</v>
      </c>
      <c r="D169" s="12">
        <v>6.9619999999999997</v>
      </c>
      <c r="E169" s="12">
        <f t="shared" si="12"/>
        <v>355</v>
      </c>
      <c r="F169" s="12">
        <v>312</v>
      </c>
      <c r="G169" s="12">
        <v>43</v>
      </c>
      <c r="H169" s="11">
        <v>10715003</v>
      </c>
      <c r="I169" s="11">
        <v>3280013</v>
      </c>
      <c r="J169" s="10">
        <v>85183</v>
      </c>
      <c r="K169" s="9">
        <f t="shared" si="13"/>
        <v>85183</v>
      </c>
      <c r="L169" s="10">
        <v>3815</v>
      </c>
      <c r="M169" s="9">
        <f t="shared" si="10"/>
        <v>3746.4899660531219</v>
      </c>
      <c r="N169" s="1">
        <v>81368</v>
      </c>
      <c r="O169" s="10">
        <v>18228</v>
      </c>
      <c r="P169" s="9">
        <f t="shared" si="11"/>
        <v>19029.542088333335</v>
      </c>
      <c r="Q169" s="42"/>
    </row>
    <row r="170" spans="1:17" x14ac:dyDescent="0.25">
      <c r="A170" s="12" t="s">
        <v>373</v>
      </c>
      <c r="B170" s="12" t="s">
        <v>559</v>
      </c>
      <c r="C170" s="12">
        <v>988</v>
      </c>
      <c r="D170" s="12">
        <v>6.9619999999999997</v>
      </c>
      <c r="E170" s="12">
        <f t="shared" si="12"/>
        <v>355</v>
      </c>
      <c r="F170" s="12">
        <v>313</v>
      </c>
      <c r="G170" s="12">
        <v>42</v>
      </c>
      <c r="H170" s="11">
        <v>10741406</v>
      </c>
      <c r="I170" s="11">
        <v>3368877</v>
      </c>
      <c r="J170" s="10">
        <v>83779</v>
      </c>
      <c r="K170" s="9">
        <f t="shared" si="13"/>
        <v>83779</v>
      </c>
      <c r="L170" s="10">
        <v>3884</v>
      </c>
      <c r="M170" s="9">
        <f t="shared" si="10"/>
        <v>3821.4562767626717</v>
      </c>
      <c r="N170" s="1">
        <v>79895</v>
      </c>
      <c r="O170" s="10">
        <v>18702</v>
      </c>
      <c r="P170" s="9">
        <f t="shared" si="11"/>
        <v>19545.101395000002</v>
      </c>
      <c r="Q170" s="42"/>
    </row>
    <row r="171" spans="1:17" x14ac:dyDescent="0.25">
      <c r="A171" s="12" t="s">
        <v>372</v>
      </c>
      <c r="B171" s="12" t="s">
        <v>559</v>
      </c>
      <c r="C171" s="12">
        <v>990</v>
      </c>
      <c r="D171" s="12">
        <v>6.9619999999999997</v>
      </c>
      <c r="E171" s="12">
        <f t="shared" si="12"/>
        <v>355</v>
      </c>
      <c r="F171" s="12">
        <v>314</v>
      </c>
      <c r="G171" s="12">
        <v>41</v>
      </c>
      <c r="H171" s="11">
        <v>10745325</v>
      </c>
      <c r="I171" s="11">
        <v>3454082</v>
      </c>
      <c r="J171" s="10">
        <v>77910</v>
      </c>
      <c r="K171" s="9">
        <f t="shared" si="13"/>
        <v>77910</v>
      </c>
      <c r="L171" s="10">
        <v>3945</v>
      </c>
      <c r="M171" s="9">
        <f t="shared" si="10"/>
        <v>3891.1189939475944</v>
      </c>
      <c r="N171" s="1">
        <v>73965</v>
      </c>
      <c r="O171" s="10">
        <v>19132</v>
      </c>
      <c r="P171" s="9">
        <f t="shared" si="11"/>
        <v>20039.432403333332</v>
      </c>
      <c r="Q171" s="42"/>
    </row>
    <row r="172" spans="1:17" x14ac:dyDescent="0.25">
      <c r="A172" s="12" t="s">
        <v>371</v>
      </c>
      <c r="B172" s="12" t="s">
        <v>559</v>
      </c>
      <c r="C172" s="12">
        <v>995</v>
      </c>
      <c r="D172" s="12">
        <v>6.9619999999999997</v>
      </c>
      <c r="E172" s="12">
        <f t="shared" si="12"/>
        <v>355</v>
      </c>
      <c r="F172" s="12">
        <v>315</v>
      </c>
      <c r="G172" s="12">
        <v>40</v>
      </c>
      <c r="H172" s="11">
        <v>10753221</v>
      </c>
      <c r="I172" s="11">
        <v>3534727</v>
      </c>
      <c r="J172" s="10">
        <v>86971</v>
      </c>
      <c r="K172" s="9">
        <f t="shared" si="13"/>
        <v>86971</v>
      </c>
      <c r="L172" s="10">
        <v>4013</v>
      </c>
      <c r="M172" s="9">
        <f t="shared" si="10"/>
        <v>3954.5697908978946</v>
      </c>
      <c r="N172" s="1">
        <v>82958</v>
      </c>
      <c r="O172" s="10">
        <v>19618</v>
      </c>
      <c r="P172" s="9">
        <f t="shared" si="11"/>
        <v>20507.307811666666</v>
      </c>
      <c r="Q172" s="42"/>
    </row>
    <row r="173" spans="1:17" x14ac:dyDescent="0.25">
      <c r="A173" s="12" t="s">
        <v>370</v>
      </c>
      <c r="B173" s="12" t="s">
        <v>559</v>
      </c>
      <c r="C173" s="12">
        <v>1000</v>
      </c>
      <c r="D173" s="12">
        <v>6.9619999999999997</v>
      </c>
      <c r="E173" s="12">
        <f t="shared" si="12"/>
        <v>356</v>
      </c>
      <c r="F173" s="12">
        <v>317</v>
      </c>
      <c r="G173" s="12">
        <v>39</v>
      </c>
      <c r="H173" s="11">
        <v>10758134</v>
      </c>
      <c r="I173" s="11">
        <v>3627276</v>
      </c>
      <c r="J173" s="10">
        <v>79640</v>
      </c>
      <c r="K173" s="9">
        <f t="shared" si="13"/>
        <v>79640</v>
      </c>
      <c r="L173" s="10">
        <v>4077</v>
      </c>
      <c r="M173" s="9">
        <f t="shared" si="10"/>
        <v>4002.5518756855031</v>
      </c>
      <c r="N173" s="1">
        <v>75563</v>
      </c>
      <c r="O173" s="10">
        <v>20079</v>
      </c>
      <c r="P173" s="9">
        <f t="shared" si="11"/>
        <v>21044.24626</v>
      </c>
      <c r="Q173" s="42"/>
    </row>
    <row r="174" spans="1:17" x14ac:dyDescent="0.25">
      <c r="A174" s="12" t="s">
        <v>369</v>
      </c>
      <c r="B174" s="12" t="s">
        <v>559</v>
      </c>
      <c r="C174" s="12">
        <v>1006</v>
      </c>
      <c r="D174" s="12">
        <v>6.9610000000000003</v>
      </c>
      <c r="E174" s="12">
        <f t="shared" si="12"/>
        <v>356</v>
      </c>
      <c r="F174" s="12">
        <v>318</v>
      </c>
      <c r="G174" s="12">
        <v>38</v>
      </c>
      <c r="H174" s="11">
        <v>10771469</v>
      </c>
      <c r="I174" s="11">
        <v>3710413</v>
      </c>
      <c r="J174" s="10">
        <v>86043</v>
      </c>
      <c r="K174" s="9">
        <f t="shared" si="13"/>
        <v>86042</v>
      </c>
      <c r="L174" s="10">
        <v>4143</v>
      </c>
      <c r="M174" s="9">
        <f t="shared" si="10"/>
        <v>4066.9021597420456</v>
      </c>
      <c r="N174" s="1">
        <v>81899</v>
      </c>
      <c r="O174" s="10">
        <v>20564</v>
      </c>
      <c r="P174" s="9">
        <f t="shared" si="11"/>
        <v>21523.487410833335</v>
      </c>
      <c r="Q174" s="42"/>
    </row>
    <row r="175" spans="1:17" x14ac:dyDescent="0.25">
      <c r="A175" s="12" t="s">
        <v>368</v>
      </c>
      <c r="B175" s="12" t="s">
        <v>559</v>
      </c>
      <c r="C175" s="12">
        <v>1015</v>
      </c>
      <c r="D175" s="12">
        <v>6.9619999999999997</v>
      </c>
      <c r="E175" s="12">
        <f t="shared" si="12"/>
        <v>356</v>
      </c>
      <c r="F175" s="12">
        <v>319</v>
      </c>
      <c r="G175" s="12">
        <v>37</v>
      </c>
      <c r="H175" s="11">
        <v>10791905</v>
      </c>
      <c r="I175" s="11">
        <v>3796695</v>
      </c>
      <c r="J175" s="10">
        <v>85940</v>
      </c>
      <c r="K175" s="9">
        <f t="shared" si="13"/>
        <v>85940</v>
      </c>
      <c r="L175" s="10">
        <v>4206</v>
      </c>
      <c r="M175" s="9">
        <f t="shared" si="10"/>
        <v>4132.2656924178882</v>
      </c>
      <c r="N175" s="1">
        <v>81734</v>
      </c>
      <c r="O175" s="10">
        <v>21031</v>
      </c>
      <c r="P175" s="9">
        <f t="shared" si="11"/>
        <v>22027.158824999999</v>
      </c>
      <c r="Q175" s="42"/>
    </row>
    <row r="176" spans="1:17" x14ac:dyDescent="0.25">
      <c r="A176" s="12" t="s">
        <v>367</v>
      </c>
      <c r="B176" s="12" t="s">
        <v>559</v>
      </c>
      <c r="C176" s="12">
        <v>1027</v>
      </c>
      <c r="D176" s="12">
        <v>6.9610000000000003</v>
      </c>
      <c r="E176" s="12">
        <f t="shared" si="12"/>
        <v>356</v>
      </c>
      <c r="F176" s="12">
        <v>320</v>
      </c>
      <c r="G176" s="12">
        <v>36</v>
      </c>
      <c r="H176" s="11">
        <v>10816199</v>
      </c>
      <c r="I176" s="11">
        <v>3888367</v>
      </c>
      <c r="J176" s="10">
        <v>106094</v>
      </c>
      <c r="K176" s="9">
        <f t="shared" si="13"/>
        <v>106094</v>
      </c>
      <c r="L176" s="10">
        <v>4294</v>
      </c>
      <c r="M176" s="9">
        <f t="shared" si="10"/>
        <v>4203.7989860726311</v>
      </c>
      <c r="N176" s="1">
        <v>101800</v>
      </c>
      <c r="O176" s="10">
        <v>21637</v>
      </c>
      <c r="P176" s="9">
        <f t="shared" si="11"/>
        <v>22555.768905833334</v>
      </c>
      <c r="Q176" s="42"/>
    </row>
    <row r="177" spans="1:17" x14ac:dyDescent="0.25">
      <c r="A177" s="12" t="s">
        <v>366</v>
      </c>
      <c r="B177" s="12" t="s">
        <v>559</v>
      </c>
      <c r="C177" s="12">
        <v>1037</v>
      </c>
      <c r="D177" s="12">
        <v>6.9610000000000003</v>
      </c>
      <c r="E177" s="12">
        <f t="shared" si="12"/>
        <v>356</v>
      </c>
      <c r="F177" s="12">
        <v>321</v>
      </c>
      <c r="G177" s="12">
        <v>35</v>
      </c>
      <c r="H177" s="11">
        <v>10838750</v>
      </c>
      <c r="I177" s="11">
        <v>4002386</v>
      </c>
      <c r="J177" s="10">
        <v>117356</v>
      </c>
      <c r="K177" s="9">
        <f t="shared" si="13"/>
        <v>117356</v>
      </c>
      <c r="L177" s="10">
        <v>4396</v>
      </c>
      <c r="M177" s="9">
        <f t="shared" si="10"/>
        <v>4297.4922820262263</v>
      </c>
      <c r="N177" s="1">
        <v>112960</v>
      </c>
      <c r="O177" s="10">
        <v>22315</v>
      </c>
      <c r="P177" s="9">
        <f t="shared" si="11"/>
        <v>23217.174121666671</v>
      </c>
      <c r="Q177" s="42"/>
    </row>
    <row r="178" spans="1:17" x14ac:dyDescent="0.25">
      <c r="A178" s="12" t="s">
        <v>365</v>
      </c>
      <c r="B178" s="12" t="s">
        <v>559</v>
      </c>
      <c r="C178" s="12">
        <v>1046</v>
      </c>
      <c r="D178" s="12">
        <v>6.9610000000000003</v>
      </c>
      <c r="E178" s="12">
        <f t="shared" si="12"/>
        <v>356</v>
      </c>
      <c r="F178" s="12">
        <v>322</v>
      </c>
      <c r="G178" s="12">
        <v>34</v>
      </c>
      <c r="H178" s="11">
        <v>10849406</v>
      </c>
      <c r="I178" s="11">
        <v>4121212</v>
      </c>
      <c r="J178" s="10">
        <v>114472</v>
      </c>
      <c r="K178" s="9">
        <f t="shared" si="13"/>
        <v>114473</v>
      </c>
      <c r="L178" s="10">
        <v>4488</v>
      </c>
      <c r="M178" s="9">
        <f t="shared" si="10"/>
        <v>4394.8668289134675</v>
      </c>
      <c r="N178" s="1">
        <v>109985</v>
      </c>
      <c r="O178" s="10">
        <v>22943</v>
      </c>
      <c r="P178" s="9">
        <f t="shared" si="11"/>
        <v>23906.463943333336</v>
      </c>
      <c r="Q178" s="42"/>
    </row>
    <row r="179" spans="1:17" x14ac:dyDescent="0.25">
      <c r="A179" s="12" t="s">
        <v>364</v>
      </c>
      <c r="B179" s="12" t="s">
        <v>559</v>
      </c>
      <c r="C179" s="12">
        <v>1054</v>
      </c>
      <c r="D179" s="12">
        <v>6.9610000000000003</v>
      </c>
      <c r="E179" s="12">
        <f t="shared" si="12"/>
        <v>356</v>
      </c>
      <c r="F179" s="12">
        <v>323</v>
      </c>
      <c r="G179" s="12">
        <v>33</v>
      </c>
      <c r="H179" s="11">
        <v>10939233</v>
      </c>
      <c r="I179" s="11">
        <v>4271922</v>
      </c>
      <c r="J179" s="10">
        <v>134993</v>
      </c>
      <c r="K179" s="9">
        <f t="shared" si="13"/>
        <v>134992</v>
      </c>
      <c r="L179" s="10">
        <v>4635</v>
      </c>
      <c r="M179" s="9">
        <f t="shared" si="10"/>
        <v>4524.5133096154286</v>
      </c>
      <c r="N179" s="1">
        <v>130357</v>
      </c>
      <c r="O179" s="10">
        <v>23871</v>
      </c>
      <c r="P179" s="9">
        <f t="shared" si="11"/>
        <v>24780.707535000001</v>
      </c>
      <c r="Q179" s="42"/>
    </row>
    <row r="180" spans="1:17" x14ac:dyDescent="0.25">
      <c r="A180" s="12" t="s">
        <v>363</v>
      </c>
      <c r="B180" s="12" t="s">
        <v>559</v>
      </c>
      <c r="C180" s="12">
        <v>1067</v>
      </c>
      <c r="D180" s="12">
        <v>6.9610000000000003</v>
      </c>
      <c r="E180" s="12">
        <f t="shared" si="12"/>
        <v>356</v>
      </c>
      <c r="F180" s="12">
        <v>324</v>
      </c>
      <c r="G180" s="12">
        <v>32</v>
      </c>
      <c r="H180" s="11">
        <v>10954402</v>
      </c>
      <c r="I180" s="11">
        <v>4403526</v>
      </c>
      <c r="J180" s="10">
        <v>127486</v>
      </c>
      <c r="K180" s="9">
        <f t="shared" si="13"/>
        <v>127486</v>
      </c>
      <c r="L180" s="10">
        <v>4729</v>
      </c>
      <c r="M180" s="9">
        <f t="shared" si="10"/>
        <v>4632.122641576053</v>
      </c>
      <c r="N180" s="1">
        <v>122757</v>
      </c>
      <c r="O180" s="10">
        <v>24543</v>
      </c>
      <c r="P180" s="9">
        <f t="shared" si="11"/>
        <v>25544.120405000001</v>
      </c>
      <c r="Q180" s="42"/>
    </row>
    <row r="181" spans="1:17" x14ac:dyDescent="0.25">
      <c r="A181" s="12" t="s">
        <v>362</v>
      </c>
      <c r="B181" s="12" t="s">
        <v>559</v>
      </c>
      <c r="C181" s="12">
        <v>1076</v>
      </c>
      <c r="D181" s="12">
        <v>6.9610000000000003</v>
      </c>
      <c r="E181" s="12">
        <f t="shared" si="12"/>
        <v>356</v>
      </c>
      <c r="F181" s="12">
        <v>325</v>
      </c>
      <c r="G181" s="12">
        <v>31</v>
      </c>
      <c r="H181" s="11">
        <v>10973725</v>
      </c>
      <c r="I181" s="11">
        <v>4539035</v>
      </c>
      <c r="J181" s="10">
        <v>131053</v>
      </c>
      <c r="K181" s="9">
        <f t="shared" si="13"/>
        <v>131053</v>
      </c>
      <c r="L181" s="10">
        <v>4836</v>
      </c>
      <c r="M181" s="9">
        <f t="shared" si="10"/>
        <v>4742.1693297921574</v>
      </c>
      <c r="N181" s="1">
        <v>126217</v>
      </c>
      <c r="O181" s="10">
        <v>25296</v>
      </c>
      <c r="P181" s="9">
        <f t="shared" si="11"/>
        <v>26330.185529166669</v>
      </c>
      <c r="Q181" s="42"/>
    </row>
    <row r="182" spans="1:17" x14ac:dyDescent="0.25">
      <c r="A182" s="12" t="s">
        <v>361</v>
      </c>
      <c r="B182" s="12" t="s">
        <v>559</v>
      </c>
      <c r="C182" s="12">
        <v>1088</v>
      </c>
      <c r="D182" s="12">
        <v>6.9610000000000003</v>
      </c>
      <c r="E182" s="12">
        <f t="shared" si="12"/>
        <v>356</v>
      </c>
      <c r="F182" s="12">
        <v>326</v>
      </c>
      <c r="G182" s="12">
        <v>30</v>
      </c>
      <c r="H182" s="11">
        <v>10980516</v>
      </c>
      <c r="I182" s="11">
        <v>4669132</v>
      </c>
      <c r="J182" s="10">
        <v>158653</v>
      </c>
      <c r="K182" s="9">
        <f t="shared" si="13"/>
        <v>158653</v>
      </c>
      <c r="L182" s="10">
        <v>4964</v>
      </c>
      <c r="M182" s="9">
        <f t="shared" si="10"/>
        <v>4844.9221972017422</v>
      </c>
      <c r="N182" s="1">
        <v>153689</v>
      </c>
      <c r="O182" s="10">
        <v>26150</v>
      </c>
      <c r="P182" s="9">
        <f t="shared" si="11"/>
        <v>27084.856543333335</v>
      </c>
      <c r="Q182" s="42"/>
    </row>
    <row r="183" spans="1:17" x14ac:dyDescent="0.25">
      <c r="A183" s="8" t="s">
        <v>360</v>
      </c>
      <c r="B183" s="8" t="s">
        <v>558</v>
      </c>
      <c r="C183" s="8">
        <v>1663</v>
      </c>
      <c r="D183" s="8">
        <v>7.0640000000000001</v>
      </c>
      <c r="E183" s="8">
        <f t="shared" si="12"/>
        <v>356</v>
      </c>
      <c r="F183" s="8">
        <v>316</v>
      </c>
      <c r="G183" s="8">
        <v>40</v>
      </c>
      <c r="H183" s="7">
        <v>34343715</v>
      </c>
      <c r="I183" s="7">
        <v>12100405</v>
      </c>
      <c r="J183" s="6">
        <v>320500</v>
      </c>
      <c r="K183" s="5">
        <f t="shared" si="13"/>
        <v>320500</v>
      </c>
      <c r="L183" s="6">
        <v>13455</v>
      </c>
      <c r="M183" s="5">
        <f t="shared" si="10"/>
        <v>13215.429591757516</v>
      </c>
      <c r="N183" s="1">
        <v>307045</v>
      </c>
      <c r="O183" s="6">
        <v>67280</v>
      </c>
      <c r="P183" s="5">
        <f t="shared" si="11"/>
        <v>71231.050766666653</v>
      </c>
      <c r="Q183" s="42"/>
    </row>
    <row r="184" spans="1:17" x14ac:dyDescent="0.25">
      <c r="A184" s="8" t="s">
        <v>359</v>
      </c>
      <c r="B184" s="8" t="s">
        <v>558</v>
      </c>
      <c r="C184" s="8">
        <v>1666</v>
      </c>
      <c r="D184" s="8">
        <v>7.0629999999999997</v>
      </c>
      <c r="E184" s="8">
        <f t="shared" si="12"/>
        <v>356</v>
      </c>
      <c r="F184" s="8">
        <v>317</v>
      </c>
      <c r="G184" s="8">
        <v>39</v>
      </c>
      <c r="H184" s="7">
        <v>34302969</v>
      </c>
      <c r="I184" s="7">
        <v>12409831</v>
      </c>
      <c r="J184" s="6">
        <v>352600</v>
      </c>
      <c r="K184" s="5">
        <f t="shared" si="13"/>
        <v>352600</v>
      </c>
      <c r="L184" s="6">
        <v>13724</v>
      </c>
      <c r="M184" s="5">
        <f t="shared" si="10"/>
        <v>13461.718353756944</v>
      </c>
      <c r="N184" s="1">
        <v>338876</v>
      </c>
      <c r="O184" s="6">
        <v>69130</v>
      </c>
      <c r="P184" s="5">
        <f t="shared" si="11"/>
        <v>73042.196960833331</v>
      </c>
      <c r="Q184" s="42"/>
    </row>
    <row r="185" spans="1:17" x14ac:dyDescent="0.25">
      <c r="A185" s="8" t="s">
        <v>358</v>
      </c>
      <c r="B185" s="8" t="s">
        <v>558</v>
      </c>
      <c r="C185" s="8">
        <v>1670</v>
      </c>
      <c r="D185" s="8">
        <v>7.0640000000000001</v>
      </c>
      <c r="E185" s="8">
        <f t="shared" si="12"/>
        <v>356</v>
      </c>
      <c r="F185" s="8">
        <v>318</v>
      </c>
      <c r="G185" s="8">
        <v>38</v>
      </c>
      <c r="H185" s="7">
        <v>34371246</v>
      </c>
      <c r="I185" s="7">
        <v>12785657</v>
      </c>
      <c r="J185" s="6">
        <v>348388</v>
      </c>
      <c r="K185" s="5">
        <f t="shared" si="13"/>
        <v>348388</v>
      </c>
      <c r="L185" s="6">
        <v>14015</v>
      </c>
      <c r="M185" s="5">
        <f t="shared" si="10"/>
        <v>13771.049061348482</v>
      </c>
      <c r="N185" s="1">
        <v>334373</v>
      </c>
      <c r="O185" s="6">
        <v>71143</v>
      </c>
      <c r="P185" s="5">
        <f t="shared" si="11"/>
        <v>75264.900873333318</v>
      </c>
      <c r="Q185" s="42"/>
    </row>
    <row r="186" spans="1:17" x14ac:dyDescent="0.25">
      <c r="A186" s="8" t="s">
        <v>357</v>
      </c>
      <c r="B186" s="8" t="s">
        <v>558</v>
      </c>
      <c r="C186" s="8">
        <v>1675</v>
      </c>
      <c r="D186" s="8">
        <v>7.0650000000000004</v>
      </c>
      <c r="E186" s="8">
        <f t="shared" si="12"/>
        <v>356</v>
      </c>
      <c r="F186" s="8">
        <v>319</v>
      </c>
      <c r="G186" s="8">
        <v>37</v>
      </c>
      <c r="H186" s="7">
        <v>34406085</v>
      </c>
      <c r="I186" s="7">
        <v>13146154</v>
      </c>
      <c r="J186" s="6">
        <v>402619</v>
      </c>
      <c r="K186" s="5">
        <f t="shared" si="13"/>
        <v>402620</v>
      </c>
      <c r="L186" s="6">
        <v>14345</v>
      </c>
      <c r="M186" s="5">
        <f t="shared" si="10"/>
        <v>14059.009052657178</v>
      </c>
      <c r="N186" s="1">
        <v>388275</v>
      </c>
      <c r="O186" s="6">
        <v>73389</v>
      </c>
      <c r="P186" s="5">
        <f t="shared" si="11"/>
        <v>77397.981675000003</v>
      </c>
      <c r="Q186" s="42"/>
    </row>
    <row r="187" spans="1:17" x14ac:dyDescent="0.25">
      <c r="A187" s="8" t="s">
        <v>356</v>
      </c>
      <c r="B187" s="8" t="s">
        <v>558</v>
      </c>
      <c r="C187" s="8">
        <v>1679</v>
      </c>
      <c r="D187" s="8">
        <v>7.0650000000000004</v>
      </c>
      <c r="E187" s="8">
        <f t="shared" si="12"/>
        <v>357</v>
      </c>
      <c r="F187" s="8">
        <v>321</v>
      </c>
      <c r="G187" s="8">
        <v>36</v>
      </c>
      <c r="H187" s="7">
        <v>34435396</v>
      </c>
      <c r="I187" s="7">
        <v>13555685</v>
      </c>
      <c r="J187" s="6">
        <v>386944</v>
      </c>
      <c r="K187" s="5">
        <f t="shared" si="13"/>
        <v>386944</v>
      </c>
      <c r="L187" s="6">
        <v>14650</v>
      </c>
      <c r="M187" s="5">
        <f t="shared" si="10"/>
        <v>14297.458748434998</v>
      </c>
      <c r="N187" s="1">
        <v>372294</v>
      </c>
      <c r="O187" s="6">
        <v>75523</v>
      </c>
      <c r="P187" s="5">
        <f t="shared" si="11"/>
        <v>79809.0954375</v>
      </c>
      <c r="Q187" s="42"/>
    </row>
    <row r="188" spans="1:17" x14ac:dyDescent="0.25">
      <c r="A188" s="8" t="s">
        <v>355</v>
      </c>
      <c r="B188" s="8" t="s">
        <v>558</v>
      </c>
      <c r="C188" s="8">
        <v>1688</v>
      </c>
      <c r="D188" s="8">
        <v>7.0659999999999998</v>
      </c>
      <c r="E188" s="8">
        <f t="shared" si="12"/>
        <v>357</v>
      </c>
      <c r="F188" s="8">
        <v>322</v>
      </c>
      <c r="G188" s="8">
        <v>35</v>
      </c>
      <c r="H188" s="7">
        <v>34503402</v>
      </c>
      <c r="I188" s="7">
        <v>13967868</v>
      </c>
      <c r="J188" s="6">
        <v>464357</v>
      </c>
      <c r="K188" s="5">
        <f t="shared" si="13"/>
        <v>464357</v>
      </c>
      <c r="L188" s="6">
        <v>15044</v>
      </c>
      <c r="M188" s="5">
        <f t="shared" si="10"/>
        <v>14628.101329879501</v>
      </c>
      <c r="N188" s="1">
        <v>449313</v>
      </c>
      <c r="O188" s="6">
        <v>78175</v>
      </c>
      <c r="P188" s="5">
        <f t="shared" si="11"/>
        <v>82247.462740000003</v>
      </c>
      <c r="Q188" s="42"/>
    </row>
    <row r="189" spans="1:17" x14ac:dyDescent="0.25">
      <c r="A189" t="s">
        <v>354</v>
      </c>
      <c r="B189" t="s">
        <v>559</v>
      </c>
      <c r="C189">
        <v>1144</v>
      </c>
      <c r="D189">
        <v>6.9610000000000003</v>
      </c>
      <c r="E189">
        <f t="shared" si="12"/>
        <v>357</v>
      </c>
      <c r="F189">
        <v>334</v>
      </c>
      <c r="G189">
        <v>23</v>
      </c>
      <c r="H189" s="43">
        <v>11164525</v>
      </c>
      <c r="I189" s="43">
        <v>5868537</v>
      </c>
      <c r="J189" s="35">
        <v>209051</v>
      </c>
      <c r="K189" s="34">
        <f t="shared" si="13"/>
        <v>209051</v>
      </c>
      <c r="L189" s="35">
        <v>5927</v>
      </c>
      <c r="M189" s="34">
        <f t="shared" si="10"/>
        <v>5767.4768267944992</v>
      </c>
      <c r="N189" s="1">
        <v>203124</v>
      </c>
      <c r="O189" s="35">
        <v>32920</v>
      </c>
      <c r="P189" s="34">
        <f t="shared" si="11"/>
        <v>34042.405047500004</v>
      </c>
      <c r="Q189" s="42"/>
    </row>
    <row r="190" spans="1:17" x14ac:dyDescent="0.25">
      <c r="A190" t="s">
        <v>353</v>
      </c>
      <c r="B190" t="s">
        <v>559</v>
      </c>
      <c r="C190">
        <v>1150</v>
      </c>
      <c r="D190">
        <v>6.9640000000000004</v>
      </c>
      <c r="E190">
        <f t="shared" si="12"/>
        <v>357</v>
      </c>
      <c r="F190">
        <v>335</v>
      </c>
      <c r="G190">
        <v>22</v>
      </c>
      <c r="H190" s="43">
        <v>11218327</v>
      </c>
      <c r="I190" s="43">
        <v>6099519</v>
      </c>
      <c r="J190" s="35">
        <v>231986</v>
      </c>
      <c r="K190" s="34">
        <f t="shared" si="13"/>
        <v>231986</v>
      </c>
      <c r="L190" s="35">
        <v>6113</v>
      </c>
      <c r="M190" s="34">
        <f t="shared" si="10"/>
        <v>5950.8656146813364</v>
      </c>
      <c r="N190" s="1">
        <v>225873</v>
      </c>
      <c r="O190" s="35">
        <v>34296</v>
      </c>
      <c r="P190" s="34">
        <f t="shared" si="11"/>
        <v>35397.541930000007</v>
      </c>
      <c r="Q190" s="42"/>
    </row>
    <row r="191" spans="1:17" x14ac:dyDescent="0.25">
      <c r="A191" t="s">
        <v>352</v>
      </c>
      <c r="B191" t="s">
        <v>559</v>
      </c>
      <c r="C191">
        <v>1169</v>
      </c>
      <c r="D191">
        <v>6.968</v>
      </c>
      <c r="E191">
        <f t="shared" si="12"/>
        <v>358</v>
      </c>
      <c r="F191">
        <v>337</v>
      </c>
      <c r="G191">
        <v>21</v>
      </c>
      <c r="H191" s="43">
        <v>11231048</v>
      </c>
      <c r="I191" s="43">
        <v>6333213</v>
      </c>
      <c r="J191" s="35">
        <v>1107443</v>
      </c>
      <c r="K191" s="34">
        <f t="shared" si="13"/>
        <v>1107443</v>
      </c>
      <c r="L191" s="35">
        <v>7124</v>
      </c>
      <c r="M191" s="34">
        <f t="shared" si="10"/>
        <v>6091.5408403872225</v>
      </c>
      <c r="N191" s="1">
        <v>1100319</v>
      </c>
      <c r="O191" s="35">
        <v>40304</v>
      </c>
      <c r="P191" s="34">
        <f t="shared" si="11"/>
        <v>36774.856820000008</v>
      </c>
      <c r="Q191" s="42"/>
    </row>
    <row r="192" spans="1:17" x14ac:dyDescent="0.25">
      <c r="A192" t="s">
        <v>351</v>
      </c>
      <c r="B192" t="s">
        <v>559</v>
      </c>
      <c r="C192">
        <v>1201</v>
      </c>
      <c r="D192">
        <v>6.9770000000000003</v>
      </c>
      <c r="E192">
        <f t="shared" si="12"/>
        <v>358</v>
      </c>
      <c r="F192">
        <v>338</v>
      </c>
      <c r="G192">
        <v>20</v>
      </c>
      <c r="H192" s="43">
        <v>11329419</v>
      </c>
      <c r="I192" s="43">
        <v>7504522</v>
      </c>
      <c r="J192" s="35">
        <v>246840</v>
      </c>
      <c r="K192" s="34">
        <f t="shared" si="13"/>
        <v>246840</v>
      </c>
      <c r="L192" s="35">
        <v>7366</v>
      </c>
      <c r="M192" s="34">
        <f t="shared" si="10"/>
        <v>7157.851037904099</v>
      </c>
      <c r="N192" s="1">
        <v>239474</v>
      </c>
      <c r="O192" s="35">
        <v>41987</v>
      </c>
      <c r="P192" s="34">
        <f t="shared" si="11"/>
        <v>43632.541661666663</v>
      </c>
      <c r="Q192" s="42"/>
    </row>
    <row r="193" spans="1:17" x14ac:dyDescent="0.25">
      <c r="A193" t="s">
        <v>350</v>
      </c>
      <c r="B193" t="s">
        <v>559</v>
      </c>
      <c r="C193">
        <v>1202</v>
      </c>
      <c r="D193">
        <v>6.9779999999999998</v>
      </c>
      <c r="E193">
        <f t="shared" si="12"/>
        <v>358</v>
      </c>
      <c r="F193">
        <v>339</v>
      </c>
      <c r="G193">
        <v>19</v>
      </c>
      <c r="H193" s="43">
        <v>11316174</v>
      </c>
      <c r="I193" s="43">
        <v>7744819</v>
      </c>
      <c r="J193" s="35">
        <v>211938</v>
      </c>
      <c r="K193" s="34">
        <f t="shared" si="13"/>
        <v>211938</v>
      </c>
      <c r="L193" s="35">
        <v>7506</v>
      </c>
      <c r="M193" s="34">
        <f t="shared" si="10"/>
        <v>7336.0434193152532</v>
      </c>
      <c r="N193" s="1">
        <v>204432</v>
      </c>
      <c r="O193" s="35">
        <v>43099</v>
      </c>
      <c r="P193" s="34">
        <f t="shared" si="11"/>
        <v>45036.122485</v>
      </c>
      <c r="Q193" s="42"/>
    </row>
    <row r="194" spans="1:17" x14ac:dyDescent="0.25">
      <c r="A194" t="s">
        <v>349</v>
      </c>
      <c r="B194" t="s">
        <v>559</v>
      </c>
      <c r="C194">
        <v>1210</v>
      </c>
      <c r="D194">
        <v>6.9790000000000001</v>
      </c>
      <c r="E194">
        <f t="shared" si="12"/>
        <v>358</v>
      </c>
      <c r="F194">
        <v>340</v>
      </c>
      <c r="G194">
        <v>18</v>
      </c>
      <c r="H194" s="43">
        <v>11343909</v>
      </c>
      <c r="I194" s="43">
        <v>7972364</v>
      </c>
      <c r="J194" s="35">
        <v>262895</v>
      </c>
      <c r="K194" s="34">
        <f t="shared" si="13"/>
        <v>262895</v>
      </c>
      <c r="L194" s="35">
        <v>7713</v>
      </c>
      <c r="M194" s="34">
        <f t="shared" ref="M194:M257" si="14">(D194/100/12)/((1+D194/100/12)^F194-1)*I194</f>
        <v>7499.476248562597</v>
      </c>
      <c r="N194" s="1">
        <v>255182</v>
      </c>
      <c r="O194" s="35">
        <v>44608</v>
      </c>
      <c r="P194" s="34">
        <f t="shared" ref="P194:P257" si="15">D194/100/12*I194</f>
        <v>46365.940296666668</v>
      </c>
      <c r="Q194" s="42"/>
    </row>
    <row r="195" spans="1:17" x14ac:dyDescent="0.25">
      <c r="A195" t="s">
        <v>348</v>
      </c>
      <c r="B195" t="s">
        <v>559</v>
      </c>
      <c r="C195">
        <v>1213</v>
      </c>
      <c r="D195">
        <v>6.9790000000000001</v>
      </c>
      <c r="E195">
        <f t="shared" ref="E195:E258" si="16">F195+G195</f>
        <v>358</v>
      </c>
      <c r="F195">
        <v>341</v>
      </c>
      <c r="G195">
        <v>17</v>
      </c>
      <c r="H195" s="43">
        <v>11347921</v>
      </c>
      <c r="I195" s="43">
        <v>8237220</v>
      </c>
      <c r="J195" s="35">
        <v>177013</v>
      </c>
      <c r="K195" s="34">
        <f t="shared" ref="K195:K258" si="17">L195+N195</f>
        <v>177013</v>
      </c>
      <c r="L195" s="35">
        <v>7821</v>
      </c>
      <c r="M195" s="34">
        <f t="shared" si="14"/>
        <v>7696.6197373878258</v>
      </c>
      <c r="N195" s="1">
        <v>169192</v>
      </c>
      <c r="O195" s="35">
        <v>45577</v>
      </c>
      <c r="P195" s="34">
        <f t="shared" si="15"/>
        <v>47906.298650000004</v>
      </c>
      <c r="Q195" s="42"/>
    </row>
    <row r="196" spans="1:17" x14ac:dyDescent="0.25">
      <c r="A196" t="s">
        <v>347</v>
      </c>
      <c r="B196" t="s">
        <v>559</v>
      </c>
      <c r="C196">
        <v>1218</v>
      </c>
      <c r="D196">
        <v>6.9790000000000001</v>
      </c>
      <c r="E196">
        <f t="shared" si="16"/>
        <v>358</v>
      </c>
      <c r="F196">
        <v>342</v>
      </c>
      <c r="G196">
        <v>16</v>
      </c>
      <c r="H196" s="43">
        <v>11350830</v>
      </c>
      <c r="I196" s="43">
        <v>8417126</v>
      </c>
      <c r="J196" s="35">
        <v>237259</v>
      </c>
      <c r="K196" s="34">
        <f t="shared" si="17"/>
        <v>237259</v>
      </c>
      <c r="L196" s="35">
        <v>7987</v>
      </c>
      <c r="M196" s="34">
        <f t="shared" si="14"/>
        <v>7811.98618868832</v>
      </c>
      <c r="N196" s="1">
        <v>229272</v>
      </c>
      <c r="O196" s="35">
        <v>46878</v>
      </c>
      <c r="P196" s="34">
        <f t="shared" si="15"/>
        <v>48952.601961666667</v>
      </c>
      <c r="Q196" s="42"/>
    </row>
    <row r="197" spans="1:17" x14ac:dyDescent="0.25">
      <c r="A197" t="s">
        <v>346</v>
      </c>
      <c r="B197" t="s">
        <v>559</v>
      </c>
      <c r="C197">
        <v>1223</v>
      </c>
      <c r="D197">
        <v>6.9790000000000001</v>
      </c>
      <c r="E197">
        <f t="shared" si="16"/>
        <v>358</v>
      </c>
      <c r="F197">
        <v>343</v>
      </c>
      <c r="G197">
        <v>15</v>
      </c>
      <c r="H197" s="43">
        <v>11352776</v>
      </c>
      <c r="I197" s="43">
        <v>8656146</v>
      </c>
      <c r="J197" s="35">
        <v>208125</v>
      </c>
      <c r="K197" s="34">
        <f t="shared" si="17"/>
        <v>208125</v>
      </c>
      <c r="L197" s="35">
        <v>8123</v>
      </c>
      <c r="M197" s="34">
        <f t="shared" si="14"/>
        <v>7980.0054409281438</v>
      </c>
      <c r="N197" s="1">
        <v>200002</v>
      </c>
      <c r="O197" s="35">
        <v>48015</v>
      </c>
      <c r="P197" s="34">
        <f t="shared" si="15"/>
        <v>50342.702445000003</v>
      </c>
      <c r="Q197" s="42"/>
    </row>
    <row r="198" spans="1:17" x14ac:dyDescent="0.25">
      <c r="A198" t="s">
        <v>345</v>
      </c>
      <c r="B198" t="s">
        <v>559</v>
      </c>
      <c r="C198">
        <v>1225</v>
      </c>
      <c r="D198">
        <v>6.98</v>
      </c>
      <c r="E198">
        <f t="shared" si="16"/>
        <v>358</v>
      </c>
      <c r="F198">
        <v>344</v>
      </c>
      <c r="G198">
        <v>14</v>
      </c>
      <c r="H198" s="43">
        <v>11361114</v>
      </c>
      <c r="I198" s="43">
        <v>8875025</v>
      </c>
      <c r="J198" s="35">
        <v>204505</v>
      </c>
      <c r="K198" s="34">
        <f t="shared" si="17"/>
        <v>204505</v>
      </c>
      <c r="L198" s="35">
        <v>8250</v>
      </c>
      <c r="M198" s="34">
        <f t="shared" si="14"/>
        <v>8125.5135394958688</v>
      </c>
      <c r="N198" s="1">
        <v>196255</v>
      </c>
      <c r="O198" s="35">
        <v>49181</v>
      </c>
      <c r="P198" s="34">
        <f t="shared" si="15"/>
        <v>51623.062083333338</v>
      </c>
      <c r="Q198" s="42"/>
    </row>
    <row r="199" spans="1:17" x14ac:dyDescent="0.25">
      <c r="A199" t="s">
        <v>344</v>
      </c>
      <c r="B199" t="s">
        <v>559</v>
      </c>
      <c r="C199">
        <v>1227</v>
      </c>
      <c r="D199">
        <v>6.98</v>
      </c>
      <c r="E199">
        <f t="shared" si="16"/>
        <v>358</v>
      </c>
      <c r="F199">
        <v>345</v>
      </c>
      <c r="G199">
        <v>13</v>
      </c>
      <c r="H199" s="43">
        <v>11369700</v>
      </c>
      <c r="I199" s="43">
        <v>9086996</v>
      </c>
      <c r="J199" s="35">
        <v>219702</v>
      </c>
      <c r="K199" s="34">
        <f t="shared" si="17"/>
        <v>219701</v>
      </c>
      <c r="L199" s="35">
        <v>8402</v>
      </c>
      <c r="M199" s="34">
        <f t="shared" si="14"/>
        <v>8263.948538415847</v>
      </c>
      <c r="N199" s="1">
        <v>211299</v>
      </c>
      <c r="O199" s="35">
        <v>50411</v>
      </c>
      <c r="P199" s="34">
        <f t="shared" si="15"/>
        <v>52856.02673333334</v>
      </c>
      <c r="Q199" s="42"/>
    </row>
    <row r="200" spans="1:17" x14ac:dyDescent="0.25">
      <c r="A200" t="s">
        <v>343</v>
      </c>
      <c r="B200" t="s">
        <v>559</v>
      </c>
      <c r="C200">
        <v>1230</v>
      </c>
      <c r="D200">
        <v>6.98</v>
      </c>
      <c r="E200">
        <f t="shared" si="16"/>
        <v>358</v>
      </c>
      <c r="F200">
        <v>346</v>
      </c>
      <c r="G200">
        <v>12</v>
      </c>
      <c r="H200" s="43">
        <v>11694601</v>
      </c>
      <c r="I200" s="43">
        <v>9625351</v>
      </c>
      <c r="J200" s="35">
        <v>220596</v>
      </c>
      <c r="K200" s="34">
        <f t="shared" si="17"/>
        <v>220595</v>
      </c>
      <c r="L200" s="35">
        <v>8843</v>
      </c>
      <c r="M200" s="34">
        <f t="shared" si="14"/>
        <v>8695.0586922163093</v>
      </c>
      <c r="N200" s="1">
        <v>211752</v>
      </c>
      <c r="O200" s="35">
        <v>53332</v>
      </c>
      <c r="P200" s="34">
        <f t="shared" si="15"/>
        <v>55987.458316666671</v>
      </c>
      <c r="Q200" s="42"/>
    </row>
    <row r="201" spans="1:17" x14ac:dyDescent="0.25">
      <c r="A201" t="s">
        <v>342</v>
      </c>
      <c r="B201" t="s">
        <v>559</v>
      </c>
      <c r="C201">
        <v>1229</v>
      </c>
      <c r="D201">
        <v>6.9809999999999999</v>
      </c>
      <c r="E201">
        <f t="shared" si="16"/>
        <v>358</v>
      </c>
      <c r="F201">
        <v>347</v>
      </c>
      <c r="G201">
        <v>11</v>
      </c>
      <c r="H201" s="43">
        <v>11292785</v>
      </c>
      <c r="I201" s="43">
        <v>9442021</v>
      </c>
      <c r="J201" s="35">
        <v>208161</v>
      </c>
      <c r="K201" s="34">
        <f t="shared" si="17"/>
        <v>208161</v>
      </c>
      <c r="L201" s="35">
        <v>8584</v>
      </c>
      <c r="M201" s="34">
        <f t="shared" si="14"/>
        <v>8470.9145470728417</v>
      </c>
      <c r="N201" s="1">
        <v>199577</v>
      </c>
      <c r="O201" s="35">
        <v>52272</v>
      </c>
      <c r="P201" s="34">
        <f t="shared" si="15"/>
        <v>54928.957167499997</v>
      </c>
      <c r="Q201" s="42"/>
    </row>
    <row r="202" spans="1:17" x14ac:dyDescent="0.25">
      <c r="A202" t="s">
        <v>341</v>
      </c>
      <c r="B202" t="s">
        <v>559</v>
      </c>
      <c r="C202">
        <v>1222</v>
      </c>
      <c r="D202">
        <v>6.9809999999999999</v>
      </c>
      <c r="E202">
        <f t="shared" si="16"/>
        <v>358</v>
      </c>
      <c r="F202">
        <v>348</v>
      </c>
      <c r="G202">
        <v>10</v>
      </c>
      <c r="H202" s="43">
        <v>11277992</v>
      </c>
      <c r="I202" s="43">
        <v>9635292</v>
      </c>
      <c r="J202" s="35">
        <v>215309</v>
      </c>
      <c r="K202" s="34">
        <f t="shared" si="17"/>
        <v>215309</v>
      </c>
      <c r="L202" s="35">
        <v>8697</v>
      </c>
      <c r="M202" s="34">
        <f t="shared" si="14"/>
        <v>8586.6513718473725</v>
      </c>
      <c r="N202" s="1">
        <v>206612</v>
      </c>
      <c r="O202" s="35">
        <v>53357</v>
      </c>
      <c r="P202" s="34">
        <f t="shared" si="15"/>
        <v>56053.31121</v>
      </c>
      <c r="Q202" s="42"/>
    </row>
    <row r="203" spans="1:17" x14ac:dyDescent="0.25">
      <c r="A203" t="s">
        <v>340</v>
      </c>
      <c r="B203" t="s">
        <v>559</v>
      </c>
      <c r="C203">
        <v>1229</v>
      </c>
      <c r="D203">
        <v>6.9809999999999999</v>
      </c>
      <c r="E203">
        <f t="shared" si="16"/>
        <v>359</v>
      </c>
      <c r="F203">
        <v>350</v>
      </c>
      <c r="G203">
        <v>9</v>
      </c>
      <c r="H203" s="43">
        <v>11288072</v>
      </c>
      <c r="I203" s="43">
        <v>9859428</v>
      </c>
      <c r="J203" s="35">
        <v>229123</v>
      </c>
      <c r="K203" s="34">
        <f t="shared" si="17"/>
        <v>229123</v>
      </c>
      <c r="L203" s="35">
        <v>8844</v>
      </c>
      <c r="M203" s="34">
        <f t="shared" si="14"/>
        <v>8669.730882130234</v>
      </c>
      <c r="N203" s="1">
        <v>220279</v>
      </c>
      <c r="O203" s="35">
        <v>54646</v>
      </c>
      <c r="P203" s="34">
        <f t="shared" si="15"/>
        <v>57357.222389999995</v>
      </c>
      <c r="Q203" s="42"/>
    </row>
    <row r="204" spans="1:17" x14ac:dyDescent="0.25">
      <c r="A204" t="s">
        <v>339</v>
      </c>
      <c r="B204" t="s">
        <v>559</v>
      </c>
      <c r="C204">
        <v>1240</v>
      </c>
      <c r="D204">
        <v>6.9809999999999999</v>
      </c>
      <c r="E204">
        <f t="shared" si="16"/>
        <v>359</v>
      </c>
      <c r="F204">
        <v>351</v>
      </c>
      <c r="G204">
        <v>8</v>
      </c>
      <c r="H204" s="43">
        <v>11316148</v>
      </c>
      <c r="I204" s="43">
        <v>10111960</v>
      </c>
      <c r="J204" s="35">
        <v>239653</v>
      </c>
      <c r="K204" s="34">
        <f t="shared" si="17"/>
        <v>239654</v>
      </c>
      <c r="L204" s="35">
        <v>9011</v>
      </c>
      <c r="M204" s="34">
        <f t="shared" si="14"/>
        <v>8832.6401463304337</v>
      </c>
      <c r="N204" s="1">
        <v>230643</v>
      </c>
      <c r="O204" s="35">
        <v>56071</v>
      </c>
      <c r="P204" s="34">
        <f t="shared" si="15"/>
        <v>58826.327299999997</v>
      </c>
      <c r="Q204" s="42"/>
    </row>
    <row r="205" spans="1:17" x14ac:dyDescent="0.25">
      <c r="A205" t="s">
        <v>338</v>
      </c>
      <c r="B205" t="s">
        <v>559</v>
      </c>
      <c r="C205">
        <v>1254</v>
      </c>
      <c r="D205">
        <v>6.9809999999999999</v>
      </c>
      <c r="E205">
        <f t="shared" si="16"/>
        <v>359</v>
      </c>
      <c r="F205">
        <v>352</v>
      </c>
      <c r="G205">
        <v>7</v>
      </c>
      <c r="H205" s="43">
        <v>11328276</v>
      </c>
      <c r="I205" s="43">
        <v>10361360</v>
      </c>
      <c r="J205" s="35">
        <v>215300</v>
      </c>
      <c r="K205" s="34">
        <f t="shared" si="17"/>
        <v>215299</v>
      </c>
      <c r="L205" s="35">
        <v>9138</v>
      </c>
      <c r="M205" s="34">
        <f t="shared" si="14"/>
        <v>8990.3329976544919</v>
      </c>
      <c r="N205" s="1">
        <v>206161</v>
      </c>
      <c r="O205" s="35">
        <v>57290</v>
      </c>
      <c r="P205" s="34">
        <f t="shared" si="15"/>
        <v>60277.211799999997</v>
      </c>
      <c r="Q205" s="42"/>
    </row>
    <row r="206" spans="1:17" x14ac:dyDescent="0.25">
      <c r="A206" t="s">
        <v>337</v>
      </c>
      <c r="B206" t="s">
        <v>559</v>
      </c>
      <c r="C206">
        <v>1199</v>
      </c>
      <c r="D206">
        <v>6.9779999999999998</v>
      </c>
      <c r="E206">
        <f t="shared" si="16"/>
        <v>359</v>
      </c>
      <c r="F206">
        <v>353</v>
      </c>
      <c r="G206">
        <v>6</v>
      </c>
      <c r="H206" s="43">
        <v>10959149</v>
      </c>
      <c r="I206" s="43">
        <v>10208323</v>
      </c>
      <c r="J206" s="35">
        <v>157869</v>
      </c>
      <c r="K206" s="34">
        <f t="shared" si="17"/>
        <v>157868</v>
      </c>
      <c r="L206" s="35">
        <v>8899</v>
      </c>
      <c r="M206" s="34">
        <f t="shared" si="14"/>
        <v>8803.8088242886024</v>
      </c>
      <c r="N206" s="1">
        <v>148969</v>
      </c>
      <c r="O206" s="35">
        <v>56142</v>
      </c>
      <c r="P206" s="34">
        <f t="shared" si="15"/>
        <v>59361.398244999997</v>
      </c>
      <c r="Q206" s="42"/>
    </row>
    <row r="207" spans="1:17" x14ac:dyDescent="0.25">
      <c r="A207" t="s">
        <v>336</v>
      </c>
      <c r="B207" t="s">
        <v>558</v>
      </c>
      <c r="C207">
        <v>1872</v>
      </c>
      <c r="D207">
        <v>7.1120000000000001</v>
      </c>
      <c r="E207">
        <f t="shared" si="16"/>
        <v>359</v>
      </c>
      <c r="F207">
        <v>343</v>
      </c>
      <c r="G207">
        <v>16</v>
      </c>
      <c r="H207" s="43">
        <v>35431351</v>
      </c>
      <c r="I207" s="43">
        <v>28756417</v>
      </c>
      <c r="J207" s="35">
        <v>277007</v>
      </c>
      <c r="K207" s="34">
        <f t="shared" si="17"/>
        <v>277007</v>
      </c>
      <c r="L207" s="35">
        <v>26005</v>
      </c>
      <c r="M207" s="34">
        <f t="shared" si="14"/>
        <v>25861.426259528158</v>
      </c>
      <c r="N207" s="1">
        <v>251002</v>
      </c>
      <c r="O207" s="35">
        <v>157264</v>
      </c>
      <c r="P207" s="34">
        <f t="shared" si="15"/>
        <v>170429.69808666667</v>
      </c>
      <c r="Q207" s="42"/>
    </row>
    <row r="208" spans="1:17" x14ac:dyDescent="0.25">
      <c r="A208" t="s">
        <v>335</v>
      </c>
      <c r="B208" t="s">
        <v>558</v>
      </c>
      <c r="C208">
        <v>1882</v>
      </c>
      <c r="D208">
        <v>7.1120000000000001</v>
      </c>
      <c r="E208">
        <f t="shared" si="16"/>
        <v>359</v>
      </c>
      <c r="F208">
        <v>344</v>
      </c>
      <c r="G208">
        <v>15</v>
      </c>
      <c r="H208" s="43">
        <v>35477018</v>
      </c>
      <c r="I208" s="43">
        <v>29075949</v>
      </c>
      <c r="J208" s="35">
        <v>373424</v>
      </c>
      <c r="K208" s="34">
        <f t="shared" si="17"/>
        <v>373424</v>
      </c>
      <c r="L208" s="35">
        <v>26183</v>
      </c>
      <c r="M208" s="34">
        <f t="shared" si="14"/>
        <v>25971.508701702212</v>
      </c>
      <c r="N208" s="1">
        <v>347241</v>
      </c>
      <c r="O208" s="35">
        <v>159517</v>
      </c>
      <c r="P208" s="34">
        <f t="shared" si="15"/>
        <v>172323.45774000001</v>
      </c>
      <c r="Q208" s="42"/>
    </row>
    <row r="209" spans="1:17" x14ac:dyDescent="0.25">
      <c r="A209" t="s">
        <v>334</v>
      </c>
      <c r="B209" t="s">
        <v>558</v>
      </c>
      <c r="C209">
        <v>1881</v>
      </c>
      <c r="D209">
        <v>7.1130000000000004</v>
      </c>
      <c r="E209">
        <f t="shared" si="16"/>
        <v>359</v>
      </c>
      <c r="F209">
        <v>345</v>
      </c>
      <c r="G209">
        <v>14</v>
      </c>
      <c r="H209" s="43">
        <v>35540276</v>
      </c>
      <c r="I209" s="43">
        <v>29511939</v>
      </c>
      <c r="J209" s="35">
        <v>284660</v>
      </c>
      <c r="K209" s="34">
        <f t="shared" si="17"/>
        <v>284659</v>
      </c>
      <c r="L209" s="35">
        <v>26293</v>
      </c>
      <c r="M209" s="34">
        <f t="shared" si="14"/>
        <v>26177.465437806772</v>
      </c>
      <c r="N209" s="1">
        <v>258366</v>
      </c>
      <c r="O209" s="35">
        <v>161398</v>
      </c>
      <c r="P209" s="34">
        <f t="shared" si="15"/>
        <v>174932.0184225</v>
      </c>
      <c r="Q209" s="42"/>
    </row>
    <row r="210" spans="1:17" x14ac:dyDescent="0.25">
      <c r="A210" t="s">
        <v>333</v>
      </c>
      <c r="B210" t="s">
        <v>558</v>
      </c>
      <c r="C210">
        <v>1875</v>
      </c>
      <c r="D210">
        <v>7.1130000000000004</v>
      </c>
      <c r="E210">
        <f t="shared" si="16"/>
        <v>359</v>
      </c>
      <c r="F210">
        <v>346</v>
      </c>
      <c r="G210">
        <v>13</v>
      </c>
      <c r="H210" s="43">
        <v>35511081</v>
      </c>
      <c r="I210" s="43">
        <v>29760897</v>
      </c>
      <c r="J210" s="35">
        <v>285694</v>
      </c>
      <c r="K210" s="34">
        <f t="shared" si="17"/>
        <v>285694</v>
      </c>
      <c r="L210" s="35">
        <v>26320</v>
      </c>
      <c r="M210" s="34">
        <f t="shared" si="14"/>
        <v>26219.620414876095</v>
      </c>
      <c r="N210" s="1">
        <v>259374</v>
      </c>
      <c r="O210" s="35">
        <v>162752</v>
      </c>
      <c r="P210" s="34">
        <f t="shared" si="15"/>
        <v>176407.71696749999</v>
      </c>
      <c r="Q210" s="42"/>
    </row>
    <row r="211" spans="1:17" x14ac:dyDescent="0.25">
      <c r="A211" t="s">
        <v>332</v>
      </c>
      <c r="B211" t="s">
        <v>558</v>
      </c>
      <c r="C211">
        <v>1875</v>
      </c>
      <c r="D211">
        <v>7.1139999999999999</v>
      </c>
      <c r="E211">
        <f t="shared" si="16"/>
        <v>359</v>
      </c>
      <c r="F211">
        <v>347</v>
      </c>
      <c r="G211">
        <v>12</v>
      </c>
      <c r="H211" s="43">
        <v>35504328</v>
      </c>
      <c r="I211" s="43">
        <v>30036324</v>
      </c>
      <c r="J211" s="35">
        <v>334704</v>
      </c>
      <c r="K211" s="34">
        <f t="shared" si="17"/>
        <v>334705</v>
      </c>
      <c r="L211" s="35">
        <v>26403</v>
      </c>
      <c r="M211" s="34">
        <f t="shared" si="14"/>
        <v>26278.348504318412</v>
      </c>
      <c r="N211" s="1">
        <v>308302</v>
      </c>
      <c r="O211" s="35">
        <v>164510</v>
      </c>
      <c r="P211" s="34">
        <f t="shared" si="15"/>
        <v>178065.34078</v>
      </c>
      <c r="Q211" s="42"/>
    </row>
    <row r="212" spans="1:17" x14ac:dyDescent="0.25">
      <c r="A212" t="s">
        <v>331</v>
      </c>
      <c r="B212" t="s">
        <v>558</v>
      </c>
      <c r="C212">
        <v>1875</v>
      </c>
      <c r="D212">
        <v>7.1139999999999999</v>
      </c>
      <c r="E212">
        <f t="shared" si="16"/>
        <v>359</v>
      </c>
      <c r="F212">
        <v>348</v>
      </c>
      <c r="G212">
        <v>11</v>
      </c>
      <c r="H212" s="43">
        <v>35498175</v>
      </c>
      <c r="I212" s="43">
        <v>30364802</v>
      </c>
      <c r="J212" s="35">
        <v>399445</v>
      </c>
      <c r="K212" s="34">
        <f t="shared" si="17"/>
        <v>399446</v>
      </c>
      <c r="L212" s="35">
        <v>26549</v>
      </c>
      <c r="M212" s="34">
        <f t="shared" si="14"/>
        <v>26386.217970424343</v>
      </c>
      <c r="N212" s="1">
        <v>372897</v>
      </c>
      <c r="O212" s="35">
        <v>166639</v>
      </c>
      <c r="P212" s="34">
        <f t="shared" si="15"/>
        <v>180012.66785666667</v>
      </c>
      <c r="Q212" s="42"/>
    </row>
    <row r="213" spans="1:17" x14ac:dyDescent="0.25">
      <c r="A213" t="s">
        <v>330</v>
      </c>
      <c r="B213" t="s">
        <v>558</v>
      </c>
      <c r="C213">
        <v>1874</v>
      </c>
      <c r="D213">
        <v>7.1150000000000002</v>
      </c>
      <c r="E213">
        <f t="shared" si="16"/>
        <v>359</v>
      </c>
      <c r="F213">
        <v>349</v>
      </c>
      <c r="G213">
        <v>10</v>
      </c>
      <c r="H213" s="43">
        <v>35468257</v>
      </c>
      <c r="I213" s="43">
        <v>30738401</v>
      </c>
      <c r="J213" s="35">
        <v>494262</v>
      </c>
      <c r="K213" s="34">
        <f t="shared" si="17"/>
        <v>494262</v>
      </c>
      <c r="L213" s="35">
        <v>26761</v>
      </c>
      <c r="M213" s="34">
        <f t="shared" si="14"/>
        <v>26525.472074395511</v>
      </c>
      <c r="N213" s="1">
        <v>467501</v>
      </c>
      <c r="O213" s="35">
        <v>169177</v>
      </c>
      <c r="P213" s="34">
        <f t="shared" si="15"/>
        <v>182253.10259583333</v>
      </c>
      <c r="Q213" s="42"/>
    </row>
    <row r="214" spans="1:17" x14ac:dyDescent="0.25">
      <c r="A214" t="s">
        <v>329</v>
      </c>
      <c r="B214" t="s">
        <v>558</v>
      </c>
      <c r="C214">
        <v>3997</v>
      </c>
      <c r="D214">
        <v>7.0979999999999999</v>
      </c>
      <c r="E214">
        <f t="shared" si="16"/>
        <v>359</v>
      </c>
      <c r="F214">
        <v>350</v>
      </c>
      <c r="G214">
        <v>9</v>
      </c>
      <c r="H214" s="43">
        <v>51356913</v>
      </c>
      <c r="I214" s="43">
        <v>45995125</v>
      </c>
      <c r="J214" s="35">
        <v>784698</v>
      </c>
      <c r="K214" s="34">
        <f t="shared" si="17"/>
        <v>784698</v>
      </c>
      <c r="L214" s="35">
        <v>39964</v>
      </c>
      <c r="M214" s="34">
        <f t="shared" si="14"/>
        <v>39551.774660317365</v>
      </c>
      <c r="N214" s="1">
        <v>744734</v>
      </c>
      <c r="O214" s="35">
        <v>253390</v>
      </c>
      <c r="P214" s="34">
        <f t="shared" si="15"/>
        <v>272061.16437499999</v>
      </c>
      <c r="Q214" s="42"/>
    </row>
    <row r="215" spans="1:17" x14ac:dyDescent="0.25">
      <c r="A215" t="s">
        <v>328</v>
      </c>
      <c r="B215" t="s">
        <v>558</v>
      </c>
      <c r="C215">
        <v>3993</v>
      </c>
      <c r="D215">
        <v>7.0979999999999999</v>
      </c>
      <c r="E215">
        <f t="shared" si="16"/>
        <v>359</v>
      </c>
      <c r="F215">
        <v>351</v>
      </c>
      <c r="G215">
        <v>8</v>
      </c>
      <c r="H215" s="43">
        <v>51354799</v>
      </c>
      <c r="I215" s="43">
        <v>46775024</v>
      </c>
      <c r="J215" s="35">
        <v>801089</v>
      </c>
      <c r="K215" s="34">
        <f t="shared" si="17"/>
        <v>801089</v>
      </c>
      <c r="L215" s="35">
        <v>40351</v>
      </c>
      <c r="M215" s="34">
        <f t="shared" si="14"/>
        <v>39951.749816939868</v>
      </c>
      <c r="N215" s="1">
        <v>760738</v>
      </c>
      <c r="O215" s="35">
        <v>257703</v>
      </c>
      <c r="P215" s="34">
        <f t="shared" si="15"/>
        <v>276674.26695999998</v>
      </c>
      <c r="Q215" s="42"/>
    </row>
    <row r="216" spans="1:17" x14ac:dyDescent="0.25">
      <c r="A216" t="s">
        <v>327</v>
      </c>
      <c r="B216" t="s">
        <v>558</v>
      </c>
      <c r="C216">
        <v>3991</v>
      </c>
      <c r="D216">
        <v>7.0990000000000002</v>
      </c>
      <c r="E216">
        <f t="shared" si="16"/>
        <v>359</v>
      </c>
      <c r="F216">
        <v>352</v>
      </c>
      <c r="G216">
        <v>7</v>
      </c>
      <c r="H216" s="43">
        <v>51043811</v>
      </c>
      <c r="I216" s="43">
        <v>47263855</v>
      </c>
      <c r="J216" s="35">
        <v>869136</v>
      </c>
      <c r="K216" s="34">
        <f t="shared" si="17"/>
        <v>869136</v>
      </c>
      <c r="L216" s="35">
        <v>40511</v>
      </c>
      <c r="M216" s="34">
        <f t="shared" si="14"/>
        <v>40090.125413894879</v>
      </c>
      <c r="N216" s="1">
        <v>828625</v>
      </c>
      <c r="O216" s="35">
        <v>260720</v>
      </c>
      <c r="P216" s="34">
        <f t="shared" si="15"/>
        <v>279605.08887083334</v>
      </c>
      <c r="Q216" s="42"/>
    </row>
    <row r="217" spans="1:17" x14ac:dyDescent="0.25">
      <c r="A217" t="s">
        <v>326</v>
      </c>
      <c r="B217" t="s">
        <v>558</v>
      </c>
      <c r="C217">
        <v>3796</v>
      </c>
      <c r="D217">
        <v>7.0990000000000002</v>
      </c>
      <c r="E217">
        <f t="shared" si="16"/>
        <v>359</v>
      </c>
      <c r="F217">
        <v>353</v>
      </c>
      <c r="G217">
        <v>6</v>
      </c>
      <c r="H217" s="43">
        <v>49149519</v>
      </c>
      <c r="I217" s="43">
        <v>46238699</v>
      </c>
      <c r="J217" s="35">
        <v>612637</v>
      </c>
      <c r="K217" s="34">
        <f t="shared" si="17"/>
        <v>612637</v>
      </c>
      <c r="L217" s="35">
        <v>39183</v>
      </c>
      <c r="M217" s="34">
        <f t="shared" si="14"/>
        <v>38957.060444994808</v>
      </c>
      <c r="N217" s="1">
        <v>573454</v>
      </c>
      <c r="O217" s="35">
        <v>253778</v>
      </c>
      <c r="P217" s="34">
        <f t="shared" si="15"/>
        <v>273540.43683416664</v>
      </c>
      <c r="Q217" s="42"/>
    </row>
    <row r="218" spans="1:17" x14ac:dyDescent="0.25">
      <c r="A218" t="s">
        <v>325</v>
      </c>
      <c r="B218" t="s">
        <v>558</v>
      </c>
      <c r="C218">
        <v>3497</v>
      </c>
      <c r="D218">
        <v>7.093</v>
      </c>
      <c r="E218">
        <f t="shared" si="16"/>
        <v>359</v>
      </c>
      <c r="F218">
        <v>354</v>
      </c>
      <c r="G218">
        <v>5</v>
      </c>
      <c r="H218" s="43">
        <v>46006124</v>
      </c>
      <c r="I218" s="43">
        <v>43705193</v>
      </c>
      <c r="J218" s="35">
        <v>546257</v>
      </c>
      <c r="K218" s="34">
        <f t="shared" si="17"/>
        <v>546257</v>
      </c>
      <c r="L218" s="35">
        <v>36851</v>
      </c>
      <c r="M218" s="34">
        <f t="shared" si="14"/>
        <v>36617.90982859565</v>
      </c>
      <c r="N218" s="1">
        <v>509406</v>
      </c>
      <c r="O218" s="35">
        <v>239695</v>
      </c>
      <c r="P218" s="34">
        <f t="shared" si="15"/>
        <v>258334.11162416666</v>
      </c>
      <c r="Q218" s="42"/>
    </row>
    <row r="219" spans="1:17" x14ac:dyDescent="0.25">
      <c r="A219" t="s">
        <v>324</v>
      </c>
      <c r="B219" t="s">
        <v>558</v>
      </c>
      <c r="C219">
        <v>3155</v>
      </c>
      <c r="D219">
        <v>7.0830000000000002</v>
      </c>
      <c r="E219">
        <f t="shared" si="16"/>
        <v>360</v>
      </c>
      <c r="F219">
        <v>355</v>
      </c>
      <c r="G219">
        <v>5</v>
      </c>
      <c r="H219" s="43">
        <v>41621081</v>
      </c>
      <c r="I219" s="43">
        <v>39866403</v>
      </c>
      <c r="J219" s="35">
        <v>376693</v>
      </c>
      <c r="K219" s="34">
        <f t="shared" si="17"/>
        <v>376693</v>
      </c>
      <c r="L219" s="35">
        <v>33419</v>
      </c>
      <c r="M219" s="34">
        <f t="shared" si="14"/>
        <v>33242.306861377314</v>
      </c>
      <c r="N219" s="1">
        <v>343274</v>
      </c>
      <c r="O219" s="35">
        <v>217983</v>
      </c>
      <c r="P219" s="34">
        <f t="shared" si="15"/>
        <v>235311.44370750003</v>
      </c>
      <c r="Q219" s="42"/>
    </row>
    <row r="220" spans="1:17" x14ac:dyDescent="0.25">
      <c r="A220" t="s">
        <v>323</v>
      </c>
      <c r="B220" t="s">
        <v>558</v>
      </c>
      <c r="C220">
        <v>2821</v>
      </c>
      <c r="D220">
        <v>7.0750000000000002</v>
      </c>
      <c r="E220">
        <f t="shared" si="16"/>
        <v>359</v>
      </c>
      <c r="F220">
        <v>355</v>
      </c>
      <c r="G220">
        <v>4</v>
      </c>
      <c r="H220" s="43">
        <v>37221981</v>
      </c>
      <c r="I220" s="43">
        <v>35842670</v>
      </c>
      <c r="J220" s="35">
        <v>392694</v>
      </c>
      <c r="K220" s="34">
        <f t="shared" si="17"/>
        <v>392694</v>
      </c>
      <c r="L220" s="35">
        <v>29978</v>
      </c>
      <c r="M220" s="34">
        <f t="shared" si="14"/>
        <v>29933.672556467089</v>
      </c>
      <c r="N220" s="1">
        <v>362716</v>
      </c>
      <c r="O220" s="35">
        <v>196275</v>
      </c>
      <c r="P220" s="34">
        <f t="shared" si="15"/>
        <v>211322.40854166666</v>
      </c>
      <c r="Q220" s="42"/>
    </row>
    <row r="221" spans="1:17" x14ac:dyDescent="0.25">
      <c r="A221" t="s">
        <v>322</v>
      </c>
      <c r="B221" t="s">
        <v>558</v>
      </c>
      <c r="C221">
        <v>2390</v>
      </c>
      <c r="D221">
        <v>7.0750000000000002</v>
      </c>
      <c r="E221">
        <f t="shared" si="16"/>
        <v>359</v>
      </c>
      <c r="F221">
        <v>356</v>
      </c>
      <c r="G221">
        <v>3</v>
      </c>
      <c r="H221" s="43">
        <v>29726265</v>
      </c>
      <c r="I221" s="43">
        <v>28738471</v>
      </c>
      <c r="J221" s="35">
        <v>277696</v>
      </c>
      <c r="K221" s="34">
        <f t="shared" si="17"/>
        <v>277696</v>
      </c>
      <c r="L221" s="35">
        <v>23927</v>
      </c>
      <c r="M221" s="34">
        <f t="shared" si="14"/>
        <v>23840.199061325249</v>
      </c>
      <c r="N221" s="1">
        <v>253769</v>
      </c>
      <c r="O221" s="35">
        <v>157171</v>
      </c>
      <c r="P221" s="34">
        <f t="shared" si="15"/>
        <v>169437.23527083333</v>
      </c>
      <c r="Q221" s="42"/>
    </row>
    <row r="222" spans="1:17" x14ac:dyDescent="0.25">
      <c r="A222" t="s">
        <v>321</v>
      </c>
      <c r="B222" t="s">
        <v>558</v>
      </c>
      <c r="C222">
        <v>1934</v>
      </c>
      <c r="D222">
        <v>7.0609999999999999</v>
      </c>
      <c r="E222">
        <f t="shared" si="16"/>
        <v>359</v>
      </c>
      <c r="F222">
        <v>356</v>
      </c>
      <c r="G222">
        <v>3</v>
      </c>
      <c r="H222" s="43">
        <v>21031295</v>
      </c>
      <c r="I222" s="43">
        <v>20317856</v>
      </c>
      <c r="J222" s="35">
        <v>217357</v>
      </c>
      <c r="K222" s="34">
        <f t="shared" si="17"/>
        <v>217357</v>
      </c>
      <c r="L222" s="35">
        <v>16954</v>
      </c>
      <c r="M222" s="34">
        <f t="shared" si="14"/>
        <v>16900.905590607559</v>
      </c>
      <c r="N222" s="1">
        <v>200403</v>
      </c>
      <c r="O222" s="35">
        <v>111232</v>
      </c>
      <c r="P222" s="34">
        <f t="shared" si="15"/>
        <v>119553.65101333334</v>
      </c>
      <c r="Q222" s="42"/>
    </row>
    <row r="223" spans="1:17" x14ac:dyDescent="0.25">
      <c r="A223" t="s">
        <v>320</v>
      </c>
      <c r="B223" t="s">
        <v>558</v>
      </c>
      <c r="C223">
        <v>1512</v>
      </c>
      <c r="D223">
        <v>7.07</v>
      </c>
      <c r="E223">
        <f t="shared" si="16"/>
        <v>359</v>
      </c>
      <c r="F223">
        <v>356</v>
      </c>
      <c r="G223">
        <v>3</v>
      </c>
      <c r="H223" s="43">
        <v>14743431</v>
      </c>
      <c r="I223" s="43">
        <v>14242497</v>
      </c>
      <c r="J223" s="35">
        <v>184822</v>
      </c>
      <c r="K223" s="34">
        <f t="shared" si="17"/>
        <v>184822</v>
      </c>
      <c r="L223" s="35">
        <v>11868</v>
      </c>
      <c r="M223" s="34">
        <f t="shared" si="14"/>
        <v>11826.491934971002</v>
      </c>
      <c r="N223" s="1">
        <v>172954</v>
      </c>
      <c r="O223" s="35">
        <v>78148</v>
      </c>
      <c r="P223" s="34">
        <f t="shared" si="15"/>
        <v>83912.044825000004</v>
      </c>
      <c r="Q223" s="42"/>
    </row>
    <row r="224" spans="1:17" x14ac:dyDescent="0.25">
      <c r="A224" t="s">
        <v>319</v>
      </c>
      <c r="B224" t="s">
        <v>558</v>
      </c>
      <c r="C224">
        <v>1124</v>
      </c>
      <c r="D224">
        <v>7.117</v>
      </c>
      <c r="E224">
        <f t="shared" si="16"/>
        <v>359</v>
      </c>
      <c r="F224">
        <v>356</v>
      </c>
      <c r="G224">
        <v>3</v>
      </c>
      <c r="H224" s="43">
        <v>8997924</v>
      </c>
      <c r="I224" s="43">
        <v>8683216</v>
      </c>
      <c r="J224" s="35">
        <v>163536</v>
      </c>
      <c r="K224" s="34">
        <f t="shared" si="17"/>
        <v>163536</v>
      </c>
      <c r="L224" s="35">
        <v>7216</v>
      </c>
      <c r="M224" s="34">
        <f t="shared" si="14"/>
        <v>7144.4081710677401</v>
      </c>
      <c r="N224" s="1">
        <v>156320</v>
      </c>
      <c r="O224" s="35">
        <v>47920</v>
      </c>
      <c r="P224" s="34">
        <f t="shared" si="15"/>
        <v>51498.706893333328</v>
      </c>
      <c r="Q224" s="42"/>
    </row>
    <row r="225" spans="1:17" x14ac:dyDescent="0.25">
      <c r="A225" t="s">
        <v>318</v>
      </c>
      <c r="B225" t="s">
        <v>557</v>
      </c>
      <c r="C225">
        <v>4306</v>
      </c>
      <c r="D225">
        <v>7.0330000000000004</v>
      </c>
      <c r="E225">
        <f t="shared" si="16"/>
        <v>359</v>
      </c>
      <c r="F225">
        <v>348</v>
      </c>
      <c r="G225">
        <v>11</v>
      </c>
      <c r="H225" s="43">
        <v>60566123</v>
      </c>
      <c r="I225" s="43">
        <v>51773193</v>
      </c>
      <c r="J225" s="35">
        <v>1014363</v>
      </c>
      <c r="K225" s="34">
        <f t="shared" si="17"/>
        <v>1014363</v>
      </c>
      <c r="L225" s="35">
        <v>46407</v>
      </c>
      <c r="M225" s="34">
        <f t="shared" si="14"/>
        <v>45686.393988314383</v>
      </c>
      <c r="N225" s="1">
        <v>967956</v>
      </c>
      <c r="O225" s="35">
        <v>285932</v>
      </c>
      <c r="P225" s="34">
        <f t="shared" si="15"/>
        <v>303434.05530750001</v>
      </c>
      <c r="Q225" s="42"/>
    </row>
    <row r="226" spans="1:17" x14ac:dyDescent="0.25">
      <c r="A226" t="s">
        <v>317</v>
      </c>
      <c r="B226" t="s">
        <v>557</v>
      </c>
      <c r="C226">
        <v>4294</v>
      </c>
      <c r="D226">
        <v>7.0339999999999998</v>
      </c>
      <c r="E226">
        <f t="shared" si="16"/>
        <v>359</v>
      </c>
      <c r="F226">
        <v>349</v>
      </c>
      <c r="G226">
        <v>10</v>
      </c>
      <c r="H226" s="43">
        <v>60327607</v>
      </c>
      <c r="I226" s="43">
        <v>52552136</v>
      </c>
      <c r="J226" s="35">
        <v>997265</v>
      </c>
      <c r="K226" s="34">
        <f t="shared" si="17"/>
        <v>997265</v>
      </c>
      <c r="L226" s="35">
        <v>46703</v>
      </c>
      <c r="M226" s="34">
        <f t="shared" si="14"/>
        <v>46054.382992165054</v>
      </c>
      <c r="N226" s="1">
        <v>950562</v>
      </c>
      <c r="O226" s="35">
        <v>290059</v>
      </c>
      <c r="P226" s="34">
        <f t="shared" si="15"/>
        <v>308043.10385333333</v>
      </c>
      <c r="Q226" s="42"/>
    </row>
    <row r="227" spans="1:17" x14ac:dyDescent="0.25">
      <c r="A227" t="s">
        <v>316</v>
      </c>
      <c r="B227" t="s">
        <v>557</v>
      </c>
      <c r="C227">
        <v>4269</v>
      </c>
      <c r="D227">
        <v>7.0359999999999996</v>
      </c>
      <c r="E227">
        <f t="shared" si="16"/>
        <v>359</v>
      </c>
      <c r="F227">
        <v>350</v>
      </c>
      <c r="G227">
        <v>9</v>
      </c>
      <c r="H227" s="43">
        <v>60095185</v>
      </c>
      <c r="I227" s="43">
        <v>53317272</v>
      </c>
      <c r="J227" s="35">
        <v>990088</v>
      </c>
      <c r="K227" s="34">
        <f t="shared" si="17"/>
        <v>990088</v>
      </c>
      <c r="L227" s="35">
        <v>46994</v>
      </c>
      <c r="M227" s="34">
        <f t="shared" si="14"/>
        <v>46394.47439262658</v>
      </c>
      <c r="N227" s="1">
        <v>943094</v>
      </c>
      <c r="O227" s="35">
        <v>294164</v>
      </c>
      <c r="P227" s="34">
        <f t="shared" si="15"/>
        <v>312616.93815999996</v>
      </c>
      <c r="Q227" s="42"/>
    </row>
    <row r="228" spans="1:17" x14ac:dyDescent="0.25">
      <c r="A228" t="s">
        <v>315</v>
      </c>
      <c r="B228" t="s">
        <v>557</v>
      </c>
      <c r="C228">
        <v>4220</v>
      </c>
      <c r="D228">
        <v>7.0359999999999996</v>
      </c>
      <c r="E228">
        <f t="shared" si="16"/>
        <v>359</v>
      </c>
      <c r="F228">
        <v>351</v>
      </c>
      <c r="G228">
        <v>8</v>
      </c>
      <c r="H228" s="43">
        <v>59852599</v>
      </c>
      <c r="I228" s="43">
        <v>54056538</v>
      </c>
      <c r="J228" s="35">
        <v>855220</v>
      </c>
      <c r="K228" s="34">
        <f t="shared" si="17"/>
        <v>855220</v>
      </c>
      <c r="L228" s="35">
        <v>47164</v>
      </c>
      <c r="M228" s="34">
        <f t="shared" si="14"/>
        <v>46723.143044746408</v>
      </c>
      <c r="N228" s="1">
        <v>808056</v>
      </c>
      <c r="O228" s="35">
        <v>297438</v>
      </c>
      <c r="P228" s="34">
        <f t="shared" si="15"/>
        <v>316951.50113999995</v>
      </c>
      <c r="Q228" s="42"/>
    </row>
    <row r="229" spans="1:17" x14ac:dyDescent="0.25">
      <c r="A229" t="s">
        <v>314</v>
      </c>
      <c r="B229" t="s">
        <v>557</v>
      </c>
      <c r="C229">
        <v>4014</v>
      </c>
      <c r="D229">
        <v>7.0339999999999998</v>
      </c>
      <c r="E229">
        <f t="shared" si="16"/>
        <v>359</v>
      </c>
      <c r="F229">
        <v>352</v>
      </c>
      <c r="G229">
        <v>7</v>
      </c>
      <c r="H229" s="43">
        <v>57868773</v>
      </c>
      <c r="I229" s="43">
        <v>52929029</v>
      </c>
      <c r="J229" s="35">
        <v>970786</v>
      </c>
      <c r="K229" s="34">
        <f t="shared" si="17"/>
        <v>970786</v>
      </c>
      <c r="L229" s="35">
        <v>46016</v>
      </c>
      <c r="M229" s="34">
        <f t="shared" si="14"/>
        <v>45460.340009593026</v>
      </c>
      <c r="N229" s="1">
        <v>924770</v>
      </c>
      <c r="O229" s="35">
        <v>291957</v>
      </c>
      <c r="P229" s="34">
        <f t="shared" si="15"/>
        <v>310252.32498833333</v>
      </c>
      <c r="Q229" s="42"/>
    </row>
    <row r="230" spans="1:17" x14ac:dyDescent="0.25">
      <c r="A230" t="s">
        <v>313</v>
      </c>
      <c r="B230" t="s">
        <v>557</v>
      </c>
      <c r="C230">
        <v>3747</v>
      </c>
      <c r="D230">
        <v>7.0279999999999996</v>
      </c>
      <c r="E230">
        <f t="shared" si="16"/>
        <v>359</v>
      </c>
      <c r="F230">
        <v>353</v>
      </c>
      <c r="G230">
        <v>6</v>
      </c>
      <c r="H230" s="43">
        <v>55746954</v>
      </c>
      <c r="I230" s="43">
        <v>51778237</v>
      </c>
      <c r="J230" s="35">
        <v>874592</v>
      </c>
      <c r="K230" s="34">
        <f t="shared" si="17"/>
        <v>874592</v>
      </c>
      <c r="L230" s="35">
        <v>44730</v>
      </c>
      <c r="M230" s="34">
        <f t="shared" si="14"/>
        <v>44226.192996519341</v>
      </c>
      <c r="N230" s="1">
        <v>829862</v>
      </c>
      <c r="O230" s="35">
        <v>285202</v>
      </c>
      <c r="P230" s="34">
        <f t="shared" si="15"/>
        <v>303247.87469666667</v>
      </c>
      <c r="Q230" s="42"/>
    </row>
    <row r="231" spans="1:17" x14ac:dyDescent="0.25">
      <c r="A231" t="s">
        <v>312</v>
      </c>
      <c r="B231" t="s">
        <v>557</v>
      </c>
      <c r="C231">
        <v>3472</v>
      </c>
      <c r="D231">
        <v>7.0209999999999999</v>
      </c>
      <c r="E231">
        <f t="shared" si="16"/>
        <v>359</v>
      </c>
      <c r="F231">
        <v>354</v>
      </c>
      <c r="G231">
        <v>5</v>
      </c>
      <c r="H231" s="43">
        <v>52798507</v>
      </c>
      <c r="I231" s="43">
        <v>49705220</v>
      </c>
      <c r="J231" s="35">
        <v>680688</v>
      </c>
      <c r="K231" s="34">
        <f t="shared" si="17"/>
        <v>680687</v>
      </c>
      <c r="L231" s="35">
        <v>42591</v>
      </c>
      <c r="M231" s="34">
        <f t="shared" si="14"/>
        <v>42229.671324930132</v>
      </c>
      <c r="N231" s="1">
        <v>638096</v>
      </c>
      <c r="O231" s="35">
        <v>272923</v>
      </c>
      <c r="P231" s="34">
        <f t="shared" si="15"/>
        <v>290816.95801666664</v>
      </c>
      <c r="Q231" s="42"/>
    </row>
    <row r="232" spans="1:17" x14ac:dyDescent="0.25">
      <c r="A232" t="s">
        <v>311</v>
      </c>
      <c r="B232" t="s">
        <v>557</v>
      </c>
      <c r="C232">
        <v>3154</v>
      </c>
      <c r="D232">
        <v>7.016</v>
      </c>
      <c r="E232">
        <f t="shared" si="16"/>
        <v>359</v>
      </c>
      <c r="F232">
        <v>355</v>
      </c>
      <c r="G232">
        <v>4</v>
      </c>
      <c r="H232" s="43">
        <v>48936468</v>
      </c>
      <c r="I232" s="43">
        <v>46522109</v>
      </c>
      <c r="J232" s="35">
        <v>697173</v>
      </c>
      <c r="K232" s="34">
        <f t="shared" si="17"/>
        <v>697173</v>
      </c>
      <c r="L232" s="35">
        <v>39734</v>
      </c>
      <c r="M232" s="34">
        <f t="shared" si="14"/>
        <v>39300.339761656389</v>
      </c>
      <c r="N232" s="1">
        <v>657439</v>
      </c>
      <c r="O232" s="35">
        <v>255771</v>
      </c>
      <c r="P232" s="34">
        <f t="shared" si="15"/>
        <v>271999.26395333331</v>
      </c>
      <c r="Q232" s="42"/>
    </row>
    <row r="233" spans="1:17" x14ac:dyDescent="0.25">
      <c r="A233" t="s">
        <v>310</v>
      </c>
      <c r="B233" t="s">
        <v>557</v>
      </c>
      <c r="C233">
        <v>2759</v>
      </c>
      <c r="D233">
        <v>7.0129999999999999</v>
      </c>
      <c r="E233">
        <f t="shared" si="16"/>
        <v>359</v>
      </c>
      <c r="F233">
        <v>355</v>
      </c>
      <c r="G233">
        <v>4</v>
      </c>
      <c r="H233" s="43">
        <v>42635627</v>
      </c>
      <c r="I233" s="43">
        <v>40917456</v>
      </c>
      <c r="J233" s="35">
        <v>507883</v>
      </c>
      <c r="K233" s="34">
        <f t="shared" si="17"/>
        <v>507883</v>
      </c>
      <c r="L233" s="35">
        <v>34690</v>
      </c>
      <c r="M233" s="34">
        <f t="shared" si="14"/>
        <v>34585.844485430673</v>
      </c>
      <c r="N233" s="1">
        <v>473193</v>
      </c>
      <c r="O233" s="35">
        <v>224327</v>
      </c>
      <c r="P233" s="34">
        <f t="shared" si="15"/>
        <v>239128.43244</v>
      </c>
      <c r="Q233" s="42"/>
    </row>
    <row r="234" spans="1:17" x14ac:dyDescent="0.25">
      <c r="A234" t="s">
        <v>309</v>
      </c>
      <c r="B234" t="s">
        <v>557</v>
      </c>
      <c r="C234">
        <v>2275</v>
      </c>
      <c r="D234">
        <v>7.0019999999999998</v>
      </c>
      <c r="E234">
        <f t="shared" si="16"/>
        <v>359</v>
      </c>
      <c r="F234">
        <v>356</v>
      </c>
      <c r="G234">
        <v>3</v>
      </c>
      <c r="H234" s="43">
        <v>35445941</v>
      </c>
      <c r="I234" s="43">
        <v>34224522</v>
      </c>
      <c r="J234" s="35">
        <v>422408</v>
      </c>
      <c r="K234" s="34">
        <f t="shared" si="17"/>
        <v>422408</v>
      </c>
      <c r="L234" s="35">
        <v>28944</v>
      </c>
      <c r="M234" s="34">
        <f t="shared" si="14"/>
        <v>28797.961343333987</v>
      </c>
      <c r="N234" s="1">
        <v>393464</v>
      </c>
      <c r="O234" s="35">
        <v>187662</v>
      </c>
      <c r="P234" s="34">
        <f t="shared" si="15"/>
        <v>199700.08587000001</v>
      </c>
      <c r="Q234" s="42"/>
    </row>
    <row r="235" spans="1:17" x14ac:dyDescent="0.25">
      <c r="A235" t="s">
        <v>308</v>
      </c>
      <c r="B235" t="s">
        <v>557</v>
      </c>
      <c r="C235">
        <v>1793</v>
      </c>
      <c r="D235">
        <v>6.9950000000000001</v>
      </c>
      <c r="E235">
        <f t="shared" si="16"/>
        <v>359</v>
      </c>
      <c r="F235">
        <v>356</v>
      </c>
      <c r="G235">
        <v>3</v>
      </c>
      <c r="H235" s="43">
        <v>26151946</v>
      </c>
      <c r="I235" s="43">
        <v>25351121</v>
      </c>
      <c r="J235" s="35">
        <v>299460</v>
      </c>
      <c r="K235" s="34">
        <f t="shared" si="17"/>
        <v>299460</v>
      </c>
      <c r="L235" s="35">
        <v>21407</v>
      </c>
      <c r="M235" s="34">
        <f t="shared" si="14"/>
        <v>21360.590053002794</v>
      </c>
      <c r="N235" s="1">
        <v>278053</v>
      </c>
      <c r="O235" s="35">
        <v>138941</v>
      </c>
      <c r="P235" s="34">
        <f t="shared" si="15"/>
        <v>147775.90949583333</v>
      </c>
      <c r="Q235" s="42"/>
    </row>
    <row r="236" spans="1:17" x14ac:dyDescent="0.25">
      <c r="A236" t="s">
        <v>307</v>
      </c>
      <c r="B236" t="s">
        <v>557</v>
      </c>
      <c r="C236">
        <v>1387</v>
      </c>
      <c r="D236">
        <v>7.0270000000000001</v>
      </c>
      <c r="E236">
        <f t="shared" si="16"/>
        <v>360</v>
      </c>
      <c r="F236">
        <v>357</v>
      </c>
      <c r="G236">
        <v>3</v>
      </c>
      <c r="H236" s="43">
        <v>17968052</v>
      </c>
      <c r="I236" s="43">
        <v>17466101</v>
      </c>
      <c r="J236" s="35">
        <v>241654</v>
      </c>
      <c r="K236" s="34">
        <f t="shared" si="17"/>
        <v>241653</v>
      </c>
      <c r="L236" s="35">
        <v>14653</v>
      </c>
      <c r="M236" s="34">
        <f t="shared" si="14"/>
        <v>14528.102306777986</v>
      </c>
      <c r="N236" s="1">
        <v>227000</v>
      </c>
      <c r="O236" s="35">
        <v>95901</v>
      </c>
      <c r="P236" s="34">
        <f t="shared" si="15"/>
        <v>102278.57643916667</v>
      </c>
      <c r="Q236" s="42"/>
    </row>
    <row r="237" spans="1:17" x14ac:dyDescent="0.25">
      <c r="A237" t="s">
        <v>306</v>
      </c>
      <c r="B237" t="s">
        <v>556</v>
      </c>
      <c r="C237">
        <v>1433</v>
      </c>
      <c r="D237">
        <v>6.9790000000000001</v>
      </c>
      <c r="E237">
        <f t="shared" si="16"/>
        <v>356</v>
      </c>
      <c r="F237">
        <v>334</v>
      </c>
      <c r="G237">
        <v>22</v>
      </c>
      <c r="H237" s="43">
        <v>9586310</v>
      </c>
      <c r="I237" s="43">
        <v>4584003</v>
      </c>
      <c r="J237" s="35">
        <v>136375</v>
      </c>
      <c r="K237" s="34">
        <f t="shared" si="17"/>
        <v>136376</v>
      </c>
      <c r="L237" s="35">
        <v>4585</v>
      </c>
      <c r="M237" s="34">
        <f t="shared" si="14"/>
        <v>4490.4905295891149</v>
      </c>
      <c r="N237" s="1">
        <v>131791</v>
      </c>
      <c r="O237" s="35">
        <v>25569</v>
      </c>
      <c r="P237" s="34">
        <f t="shared" si="15"/>
        <v>26659.797447500001</v>
      </c>
      <c r="Q237" s="42"/>
    </row>
    <row r="238" spans="1:17" x14ac:dyDescent="0.25">
      <c r="A238" t="s">
        <v>305</v>
      </c>
      <c r="B238" t="s">
        <v>556</v>
      </c>
      <c r="C238">
        <v>1434</v>
      </c>
      <c r="D238">
        <v>6.9790000000000001</v>
      </c>
      <c r="E238">
        <f t="shared" si="16"/>
        <v>356</v>
      </c>
      <c r="F238">
        <v>335</v>
      </c>
      <c r="G238">
        <v>21</v>
      </c>
      <c r="H238" s="43">
        <v>9600336</v>
      </c>
      <c r="I238" s="43">
        <v>4735456</v>
      </c>
      <c r="J238" s="35">
        <v>112252</v>
      </c>
      <c r="K238" s="34">
        <f t="shared" si="17"/>
        <v>112253</v>
      </c>
      <c r="L238" s="35">
        <v>4669</v>
      </c>
      <c r="M238" s="34">
        <f t="shared" si="14"/>
        <v>4607.543670690643</v>
      </c>
      <c r="N238" s="1">
        <v>107584</v>
      </c>
      <c r="O238" s="35">
        <v>26258</v>
      </c>
      <c r="P238" s="34">
        <f t="shared" si="15"/>
        <v>27540.622853333334</v>
      </c>
      <c r="Q238" s="42"/>
    </row>
    <row r="239" spans="1:17" x14ac:dyDescent="0.25">
      <c r="A239" t="s">
        <v>304</v>
      </c>
      <c r="B239" t="s">
        <v>556</v>
      </c>
      <c r="C239">
        <v>1433</v>
      </c>
      <c r="D239">
        <v>6.9809999999999999</v>
      </c>
      <c r="E239">
        <f t="shared" si="16"/>
        <v>357</v>
      </c>
      <c r="F239">
        <v>337</v>
      </c>
      <c r="G239">
        <v>20</v>
      </c>
      <c r="H239" s="43">
        <v>9598200</v>
      </c>
      <c r="I239" s="43">
        <v>4843974</v>
      </c>
      <c r="J239" s="35">
        <v>143387</v>
      </c>
      <c r="K239" s="34">
        <f t="shared" si="17"/>
        <v>143387</v>
      </c>
      <c r="L239" s="35">
        <v>4763</v>
      </c>
      <c r="M239" s="34">
        <f t="shared" si="14"/>
        <v>4648.1209943583235</v>
      </c>
      <c r="N239" s="1">
        <v>138624</v>
      </c>
      <c r="O239" s="35">
        <v>27015</v>
      </c>
      <c r="P239" s="34">
        <f t="shared" si="15"/>
        <v>28179.818745</v>
      </c>
      <c r="Q239" s="42"/>
    </row>
    <row r="240" spans="1:17" x14ac:dyDescent="0.25">
      <c r="A240" t="s">
        <v>303</v>
      </c>
      <c r="B240" t="s">
        <v>556</v>
      </c>
      <c r="C240">
        <v>1437</v>
      </c>
      <c r="D240">
        <v>6.9829999999999997</v>
      </c>
      <c r="E240">
        <f t="shared" si="16"/>
        <v>357</v>
      </c>
      <c r="F240">
        <v>338</v>
      </c>
      <c r="G240">
        <v>19</v>
      </c>
      <c r="H240" s="43">
        <v>9559680</v>
      </c>
      <c r="I240" s="43">
        <v>4944961</v>
      </c>
      <c r="J240" s="35">
        <v>153679</v>
      </c>
      <c r="K240" s="34">
        <f t="shared" si="17"/>
        <v>153679</v>
      </c>
      <c r="L240" s="35">
        <v>4829</v>
      </c>
      <c r="M240" s="34">
        <f t="shared" si="14"/>
        <v>4711.3623413226378</v>
      </c>
      <c r="N240" s="1">
        <v>148850</v>
      </c>
      <c r="O240" s="35">
        <v>27618</v>
      </c>
      <c r="P240" s="34">
        <f t="shared" si="15"/>
        <v>28775.552219166668</v>
      </c>
      <c r="Q240" s="42"/>
    </row>
    <row r="241" spans="1:17" x14ac:dyDescent="0.25">
      <c r="A241" t="s">
        <v>302</v>
      </c>
      <c r="B241" t="s">
        <v>556</v>
      </c>
      <c r="C241">
        <v>1438</v>
      </c>
      <c r="D241">
        <v>6.9850000000000003</v>
      </c>
      <c r="E241">
        <f t="shared" si="16"/>
        <v>357</v>
      </c>
      <c r="F241">
        <v>339</v>
      </c>
      <c r="G241">
        <v>18</v>
      </c>
      <c r="H241" s="43">
        <v>9570282</v>
      </c>
      <c r="I241" s="43">
        <v>5105213</v>
      </c>
      <c r="J241" s="35">
        <v>151590</v>
      </c>
      <c r="K241" s="34">
        <f t="shared" si="17"/>
        <v>151590</v>
      </c>
      <c r="L241" s="35">
        <v>4939</v>
      </c>
      <c r="M241" s="34">
        <f t="shared" si="14"/>
        <v>4829.5554400273259</v>
      </c>
      <c r="N241" s="1">
        <v>146651</v>
      </c>
      <c r="O241" s="35">
        <v>28474</v>
      </c>
      <c r="P241" s="34">
        <f t="shared" si="15"/>
        <v>29716.594004166669</v>
      </c>
      <c r="Q241" s="42"/>
    </row>
    <row r="242" spans="1:17" x14ac:dyDescent="0.25">
      <c r="A242" t="s">
        <v>301</v>
      </c>
      <c r="B242" t="s">
        <v>556</v>
      </c>
      <c r="C242">
        <v>1436</v>
      </c>
      <c r="D242">
        <v>6.9870000000000001</v>
      </c>
      <c r="E242">
        <f t="shared" si="16"/>
        <v>357</v>
      </c>
      <c r="F242">
        <v>340</v>
      </c>
      <c r="G242">
        <v>17</v>
      </c>
      <c r="H242" s="43">
        <v>9575681</v>
      </c>
      <c r="I242" s="43">
        <v>5252530</v>
      </c>
      <c r="J242" s="35">
        <v>201902</v>
      </c>
      <c r="K242" s="34">
        <f t="shared" si="17"/>
        <v>201902</v>
      </c>
      <c r="L242" s="35">
        <v>5084</v>
      </c>
      <c r="M242" s="34">
        <f t="shared" si="14"/>
        <v>4933.7041279028335</v>
      </c>
      <c r="N242" s="1">
        <v>196818</v>
      </c>
      <c r="O242" s="35">
        <v>29545</v>
      </c>
      <c r="P242" s="34">
        <f t="shared" si="15"/>
        <v>30582.855925000003</v>
      </c>
      <c r="Q242" s="42"/>
    </row>
    <row r="243" spans="1:17" x14ac:dyDescent="0.25">
      <c r="A243" t="s">
        <v>300</v>
      </c>
      <c r="B243" t="s">
        <v>556</v>
      </c>
      <c r="C243">
        <v>1435</v>
      </c>
      <c r="D243">
        <v>6.9889999999999999</v>
      </c>
      <c r="E243">
        <f t="shared" si="16"/>
        <v>357</v>
      </c>
      <c r="F243">
        <v>341</v>
      </c>
      <c r="G243">
        <v>16</v>
      </c>
      <c r="H243" s="43">
        <v>9558471</v>
      </c>
      <c r="I243" s="43">
        <v>5442417</v>
      </c>
      <c r="J243" s="35">
        <v>231559</v>
      </c>
      <c r="K243" s="34">
        <f t="shared" si="17"/>
        <v>231559</v>
      </c>
      <c r="L243" s="35">
        <v>5244</v>
      </c>
      <c r="M243" s="34">
        <f t="shared" si="14"/>
        <v>5075.8553693337908</v>
      </c>
      <c r="N243" s="1">
        <v>226315</v>
      </c>
      <c r="O243" s="35">
        <v>30734</v>
      </c>
      <c r="P243" s="34">
        <f t="shared" si="15"/>
        <v>31697.543677499994</v>
      </c>
      <c r="Q243" s="42"/>
    </row>
    <row r="244" spans="1:17" x14ac:dyDescent="0.25">
      <c r="A244" t="s">
        <v>299</v>
      </c>
      <c r="B244" t="s">
        <v>556</v>
      </c>
      <c r="C244">
        <v>1436</v>
      </c>
      <c r="D244">
        <v>6.9909999999999997</v>
      </c>
      <c r="E244">
        <f t="shared" si="16"/>
        <v>357</v>
      </c>
      <c r="F244">
        <v>342</v>
      </c>
      <c r="G244">
        <v>15</v>
      </c>
      <c r="H244" s="43">
        <v>9549415</v>
      </c>
      <c r="I244" s="43">
        <v>5681674</v>
      </c>
      <c r="J244" s="35">
        <v>237033</v>
      </c>
      <c r="K244" s="34">
        <f t="shared" si="17"/>
        <v>237034</v>
      </c>
      <c r="L244" s="35">
        <v>5428</v>
      </c>
      <c r="M244" s="34">
        <f t="shared" si="14"/>
        <v>5261.4830006339962</v>
      </c>
      <c r="N244" s="1">
        <v>231606</v>
      </c>
      <c r="O244" s="35">
        <v>32060</v>
      </c>
      <c r="P244" s="34">
        <f t="shared" si="15"/>
        <v>33100.485778333328</v>
      </c>
      <c r="Q244" s="42"/>
    </row>
    <row r="245" spans="1:17" x14ac:dyDescent="0.25">
      <c r="A245" t="s">
        <v>298</v>
      </c>
      <c r="B245" t="s">
        <v>556</v>
      </c>
      <c r="C245">
        <v>1437</v>
      </c>
      <c r="D245">
        <v>6.9939999999999998</v>
      </c>
      <c r="E245">
        <f t="shared" si="16"/>
        <v>358</v>
      </c>
      <c r="F245">
        <v>344</v>
      </c>
      <c r="G245">
        <v>14</v>
      </c>
      <c r="H245" s="43">
        <v>9559905</v>
      </c>
      <c r="I245" s="43">
        <v>5909022</v>
      </c>
      <c r="J245" s="35">
        <v>277929</v>
      </c>
      <c r="K245" s="34">
        <f t="shared" si="17"/>
        <v>277928</v>
      </c>
      <c r="L245" s="35">
        <v>5625</v>
      </c>
      <c r="M245" s="34">
        <f t="shared" si="14"/>
        <v>5395.876968677042</v>
      </c>
      <c r="N245" s="1">
        <v>272303</v>
      </c>
      <c r="O245" s="35">
        <v>33513</v>
      </c>
      <c r="P245" s="34">
        <f t="shared" si="15"/>
        <v>34439.749889999999</v>
      </c>
      <c r="Q245" s="42"/>
    </row>
    <row r="246" spans="1:17" x14ac:dyDescent="0.25">
      <c r="A246" t="s">
        <v>297</v>
      </c>
      <c r="B246" t="s">
        <v>556</v>
      </c>
      <c r="C246">
        <v>1434</v>
      </c>
      <c r="D246">
        <v>6.9950000000000001</v>
      </c>
      <c r="E246">
        <f t="shared" si="16"/>
        <v>358</v>
      </c>
      <c r="F246">
        <v>345</v>
      </c>
      <c r="G246">
        <v>13</v>
      </c>
      <c r="H246" s="43">
        <v>9562985</v>
      </c>
      <c r="I246" s="43">
        <v>6186172</v>
      </c>
      <c r="J246" s="35">
        <v>320756</v>
      </c>
      <c r="K246" s="34">
        <f t="shared" si="17"/>
        <v>320756</v>
      </c>
      <c r="L246" s="35">
        <v>5874</v>
      </c>
      <c r="M246" s="34">
        <f t="shared" si="14"/>
        <v>5610.0805070383703</v>
      </c>
      <c r="N246" s="1">
        <v>314882</v>
      </c>
      <c r="O246" s="35">
        <v>35246</v>
      </c>
      <c r="P246" s="34">
        <f t="shared" si="15"/>
        <v>36060.227616666663</v>
      </c>
      <c r="Q246" s="42"/>
    </row>
    <row r="247" spans="1:17" x14ac:dyDescent="0.25">
      <c r="A247" t="s">
        <v>296</v>
      </c>
      <c r="B247" t="s">
        <v>556</v>
      </c>
      <c r="C247">
        <v>1431</v>
      </c>
      <c r="D247">
        <v>6.9960000000000004</v>
      </c>
      <c r="E247">
        <f t="shared" si="16"/>
        <v>358</v>
      </c>
      <c r="F247">
        <v>346</v>
      </c>
      <c r="G247">
        <v>12</v>
      </c>
      <c r="H247" s="43">
        <v>9529976</v>
      </c>
      <c r="I247" s="43">
        <v>6493352</v>
      </c>
      <c r="J247" s="35">
        <v>294750</v>
      </c>
      <c r="K247" s="34">
        <f t="shared" si="17"/>
        <v>294750</v>
      </c>
      <c r="L247" s="35">
        <v>6079</v>
      </c>
      <c r="M247" s="34">
        <f t="shared" si="14"/>
        <v>5848.1537639230191</v>
      </c>
      <c r="N247" s="1">
        <v>288671</v>
      </c>
      <c r="O247" s="35">
        <v>36769</v>
      </c>
      <c r="P247" s="34">
        <f t="shared" si="15"/>
        <v>37856.242160000009</v>
      </c>
      <c r="Q247" s="42"/>
    </row>
    <row r="248" spans="1:17" x14ac:dyDescent="0.25">
      <c r="A248" t="s">
        <v>295</v>
      </c>
      <c r="B248" t="s">
        <v>556</v>
      </c>
      <c r="C248">
        <v>1432</v>
      </c>
      <c r="D248">
        <v>6.9969999999999999</v>
      </c>
      <c r="E248">
        <f t="shared" si="16"/>
        <v>358</v>
      </c>
      <c r="F248">
        <v>347</v>
      </c>
      <c r="G248">
        <v>11</v>
      </c>
      <c r="H248" s="43">
        <v>9526715</v>
      </c>
      <c r="I248" s="43">
        <v>6782440</v>
      </c>
      <c r="J248" s="35">
        <v>306442</v>
      </c>
      <c r="K248" s="34">
        <f t="shared" si="17"/>
        <v>306442</v>
      </c>
      <c r="L248" s="35">
        <v>6298</v>
      </c>
      <c r="M248" s="34">
        <f t="shared" si="14"/>
        <v>6066.5331253989025</v>
      </c>
      <c r="N248" s="1">
        <v>300144</v>
      </c>
      <c r="O248" s="35">
        <v>38398</v>
      </c>
      <c r="P248" s="34">
        <f t="shared" si="15"/>
        <v>39547.277233333334</v>
      </c>
      <c r="Q248" s="42"/>
    </row>
    <row r="249" spans="1:17" x14ac:dyDescent="0.25">
      <c r="A249" t="s">
        <v>294</v>
      </c>
      <c r="B249" t="s">
        <v>555</v>
      </c>
      <c r="C249">
        <v>1246</v>
      </c>
      <c r="D249">
        <v>7.101</v>
      </c>
      <c r="E249">
        <f t="shared" si="16"/>
        <v>356</v>
      </c>
      <c r="F249">
        <v>335</v>
      </c>
      <c r="G249">
        <v>21</v>
      </c>
      <c r="H249" s="43">
        <v>9020948</v>
      </c>
      <c r="I249" s="43">
        <v>3865467</v>
      </c>
      <c r="J249" s="35">
        <v>177205</v>
      </c>
      <c r="K249" s="34">
        <f t="shared" si="17"/>
        <v>177205</v>
      </c>
      <c r="L249" s="35">
        <v>3815</v>
      </c>
      <c r="M249" s="34">
        <f t="shared" si="14"/>
        <v>3678.9052284030481</v>
      </c>
      <c r="N249" s="1">
        <v>173390</v>
      </c>
      <c r="O249" s="35">
        <v>21898</v>
      </c>
      <c r="P249" s="34">
        <f t="shared" si="15"/>
        <v>22873.9009725</v>
      </c>
      <c r="Q249" s="42"/>
    </row>
    <row r="250" spans="1:17" x14ac:dyDescent="0.25">
      <c r="A250" t="s">
        <v>293</v>
      </c>
      <c r="B250" t="s">
        <v>555</v>
      </c>
      <c r="C250">
        <v>1246</v>
      </c>
      <c r="D250">
        <v>7.1040000000000001</v>
      </c>
      <c r="E250">
        <f t="shared" si="16"/>
        <v>356</v>
      </c>
      <c r="F250">
        <v>336</v>
      </c>
      <c r="G250">
        <v>20</v>
      </c>
      <c r="H250" s="43">
        <v>9018995</v>
      </c>
      <c r="I250" s="43">
        <v>4038187</v>
      </c>
      <c r="J250" s="35">
        <v>181321</v>
      </c>
      <c r="K250" s="34">
        <f t="shared" si="17"/>
        <v>181321</v>
      </c>
      <c r="L250" s="35">
        <v>3949</v>
      </c>
      <c r="M250" s="34">
        <f t="shared" si="14"/>
        <v>3814.985238103814</v>
      </c>
      <c r="N250" s="1">
        <v>177372</v>
      </c>
      <c r="O250" s="35">
        <v>22856</v>
      </c>
      <c r="P250" s="34">
        <f t="shared" si="15"/>
        <v>23906.067040000002</v>
      </c>
      <c r="Q250" s="42"/>
    </row>
    <row r="251" spans="1:17" x14ac:dyDescent="0.25">
      <c r="A251" t="s">
        <v>292</v>
      </c>
      <c r="B251" t="s">
        <v>555</v>
      </c>
      <c r="C251">
        <v>1254</v>
      </c>
      <c r="D251">
        <v>7.1059999999999999</v>
      </c>
      <c r="E251">
        <f t="shared" si="16"/>
        <v>357</v>
      </c>
      <c r="F251">
        <v>338</v>
      </c>
      <c r="G251">
        <v>19</v>
      </c>
      <c r="H251" s="43">
        <v>9043451</v>
      </c>
      <c r="I251" s="43">
        <v>4233308</v>
      </c>
      <c r="J251" s="35">
        <v>223359</v>
      </c>
      <c r="K251" s="34">
        <f t="shared" si="17"/>
        <v>223359</v>
      </c>
      <c r="L251" s="35">
        <v>4137</v>
      </c>
      <c r="M251" s="34">
        <f t="shared" si="14"/>
        <v>3943.552187223856</v>
      </c>
      <c r="N251" s="1">
        <v>219222</v>
      </c>
      <c r="O251" s="35">
        <v>24140</v>
      </c>
      <c r="P251" s="34">
        <f t="shared" si="15"/>
        <v>25068.238873333332</v>
      </c>
      <c r="Q251" s="42"/>
    </row>
    <row r="252" spans="1:17" x14ac:dyDescent="0.25">
      <c r="A252" t="s">
        <v>291</v>
      </c>
      <c r="B252" t="s">
        <v>555</v>
      </c>
      <c r="C252">
        <v>1253</v>
      </c>
      <c r="D252">
        <v>7.109</v>
      </c>
      <c r="E252">
        <f t="shared" si="16"/>
        <v>357</v>
      </c>
      <c r="F252">
        <v>339</v>
      </c>
      <c r="G252">
        <v>18</v>
      </c>
      <c r="H252" s="43">
        <v>9039746</v>
      </c>
      <c r="I252" s="43">
        <v>4454069</v>
      </c>
      <c r="J252" s="35">
        <v>190406</v>
      </c>
      <c r="K252" s="34">
        <f t="shared" si="17"/>
        <v>190406</v>
      </c>
      <c r="L252" s="35">
        <v>4274</v>
      </c>
      <c r="M252" s="34">
        <f t="shared" si="14"/>
        <v>4118.6868718449632</v>
      </c>
      <c r="N252" s="1">
        <v>186132</v>
      </c>
      <c r="O252" s="35">
        <v>25158</v>
      </c>
      <c r="P252" s="34">
        <f t="shared" si="15"/>
        <v>26386.647100833336</v>
      </c>
      <c r="Q252" s="42"/>
    </row>
    <row r="253" spans="1:17" x14ac:dyDescent="0.25">
      <c r="A253" t="s">
        <v>290</v>
      </c>
      <c r="B253" t="s">
        <v>555</v>
      </c>
      <c r="C253">
        <v>1255</v>
      </c>
      <c r="D253">
        <v>7.1109999999999998</v>
      </c>
      <c r="E253">
        <f t="shared" si="16"/>
        <v>357</v>
      </c>
      <c r="F253">
        <v>340</v>
      </c>
      <c r="G253">
        <v>17</v>
      </c>
      <c r="H253" s="43">
        <v>9037807</v>
      </c>
      <c r="I253" s="43">
        <v>4641386</v>
      </c>
      <c r="J253" s="35">
        <v>208257</v>
      </c>
      <c r="K253" s="34">
        <f t="shared" si="17"/>
        <v>208256</v>
      </c>
      <c r="L253" s="35">
        <v>4427</v>
      </c>
      <c r="M253" s="34">
        <f t="shared" si="14"/>
        <v>4261.1304976041638</v>
      </c>
      <c r="N253" s="1">
        <v>203829</v>
      </c>
      <c r="O253" s="35">
        <v>26269</v>
      </c>
      <c r="P253" s="34">
        <f t="shared" si="15"/>
        <v>27504.079871666661</v>
      </c>
      <c r="Q253" s="42"/>
    </row>
    <row r="254" spans="1:17" x14ac:dyDescent="0.25">
      <c r="A254" t="s">
        <v>289</v>
      </c>
      <c r="B254" t="s">
        <v>555</v>
      </c>
      <c r="C254">
        <v>1256</v>
      </c>
      <c r="D254">
        <v>7.1130000000000004</v>
      </c>
      <c r="E254">
        <f t="shared" si="16"/>
        <v>357</v>
      </c>
      <c r="F254">
        <v>341</v>
      </c>
      <c r="G254">
        <v>16</v>
      </c>
      <c r="H254" s="43">
        <v>9052752</v>
      </c>
      <c r="I254" s="43">
        <v>4858700</v>
      </c>
      <c r="J254" s="35">
        <v>280840</v>
      </c>
      <c r="K254" s="34">
        <f t="shared" si="17"/>
        <v>280840</v>
      </c>
      <c r="L254" s="35">
        <v>4653</v>
      </c>
      <c r="M254" s="34">
        <f t="shared" si="14"/>
        <v>4428.6779696195617</v>
      </c>
      <c r="N254" s="1">
        <v>276187</v>
      </c>
      <c r="O254" s="35">
        <v>27839</v>
      </c>
      <c r="P254" s="34">
        <f t="shared" si="15"/>
        <v>28799.944249999997</v>
      </c>
      <c r="Q254" s="42"/>
    </row>
    <row r="255" spans="1:17" x14ac:dyDescent="0.25">
      <c r="A255" t="s">
        <v>288</v>
      </c>
      <c r="B255" t="s">
        <v>554</v>
      </c>
      <c r="C255">
        <v>9978</v>
      </c>
      <c r="D255">
        <v>7.0039999999999996</v>
      </c>
      <c r="E255">
        <f t="shared" si="16"/>
        <v>352</v>
      </c>
      <c r="F255">
        <v>312</v>
      </c>
      <c r="G255">
        <v>40</v>
      </c>
      <c r="H255" s="43">
        <v>191413105</v>
      </c>
      <c r="I255" s="43">
        <v>24376060</v>
      </c>
      <c r="J255" s="35">
        <v>1021008</v>
      </c>
      <c r="K255" s="34">
        <f t="shared" si="17"/>
        <v>1021008</v>
      </c>
      <c r="L255" s="35">
        <v>28522</v>
      </c>
      <c r="M255" s="34">
        <f t="shared" si="14"/>
        <v>27649.500577932464</v>
      </c>
      <c r="N255" s="1">
        <v>992486</v>
      </c>
      <c r="O255" s="35">
        <v>137567</v>
      </c>
      <c r="P255" s="34">
        <f t="shared" si="15"/>
        <v>142274.93686666666</v>
      </c>
      <c r="Q255" s="42"/>
    </row>
    <row r="256" spans="1:17" x14ac:dyDescent="0.25">
      <c r="A256" t="s">
        <v>287</v>
      </c>
      <c r="B256" t="s">
        <v>554</v>
      </c>
      <c r="C256">
        <v>10026</v>
      </c>
      <c r="D256">
        <v>7.0049999999999999</v>
      </c>
      <c r="E256">
        <f t="shared" si="16"/>
        <v>353</v>
      </c>
      <c r="F256">
        <v>314</v>
      </c>
      <c r="G256">
        <v>39</v>
      </c>
      <c r="H256" s="43">
        <v>191629622</v>
      </c>
      <c r="I256" s="43">
        <v>25399120</v>
      </c>
      <c r="J256" s="35">
        <v>958094</v>
      </c>
      <c r="K256" s="34">
        <f t="shared" si="17"/>
        <v>958094</v>
      </c>
      <c r="L256" s="35">
        <v>29359</v>
      </c>
      <c r="M256" s="34">
        <f t="shared" si="14"/>
        <v>28407.912382538769</v>
      </c>
      <c r="N256" s="1">
        <v>928735</v>
      </c>
      <c r="O256" s="35">
        <v>142768</v>
      </c>
      <c r="P256" s="34">
        <f t="shared" si="15"/>
        <v>148267.36299999998</v>
      </c>
      <c r="Q256" s="42"/>
    </row>
    <row r="257" spans="1:17" x14ac:dyDescent="0.25">
      <c r="A257" t="s">
        <v>286</v>
      </c>
      <c r="B257" t="s">
        <v>554</v>
      </c>
      <c r="C257">
        <v>10047</v>
      </c>
      <c r="D257">
        <v>7.0060000000000002</v>
      </c>
      <c r="E257">
        <f t="shared" si="16"/>
        <v>353</v>
      </c>
      <c r="F257">
        <v>315</v>
      </c>
      <c r="G257">
        <v>38</v>
      </c>
      <c r="H257" s="43">
        <v>191711270</v>
      </c>
      <c r="I257" s="43">
        <v>26351846</v>
      </c>
      <c r="J257" s="35">
        <v>979511</v>
      </c>
      <c r="K257" s="34">
        <f t="shared" si="17"/>
        <v>979511</v>
      </c>
      <c r="L257" s="35">
        <v>30195</v>
      </c>
      <c r="M257" s="34">
        <f t="shared" si="14"/>
        <v>29264.985066679546</v>
      </c>
      <c r="N257" s="1">
        <v>949316</v>
      </c>
      <c r="O257" s="35">
        <v>148044</v>
      </c>
      <c r="P257" s="34">
        <f t="shared" si="15"/>
        <v>153850.86089666668</v>
      </c>
      <c r="Q257" s="42"/>
    </row>
    <row r="258" spans="1:17" x14ac:dyDescent="0.25">
      <c r="A258" t="s">
        <v>285</v>
      </c>
      <c r="B258" t="s">
        <v>554</v>
      </c>
      <c r="C258">
        <v>10072</v>
      </c>
      <c r="D258">
        <v>7.0069999999999997</v>
      </c>
      <c r="E258">
        <f t="shared" si="16"/>
        <v>353</v>
      </c>
      <c r="F258">
        <v>316</v>
      </c>
      <c r="G258">
        <v>37</v>
      </c>
      <c r="H258" s="43">
        <v>191779660</v>
      </c>
      <c r="I258" s="43">
        <v>27338666</v>
      </c>
      <c r="J258" s="35">
        <v>1121715</v>
      </c>
      <c r="K258" s="34">
        <f t="shared" si="17"/>
        <v>1121715</v>
      </c>
      <c r="L258" s="35">
        <v>31183</v>
      </c>
      <c r="M258" s="34">
        <f t="shared" ref="M258:M266" si="18">(D258/100/12)/((1+D258/100/12)^F258-1)*I258</f>
        <v>30146.296591453483</v>
      </c>
      <c r="N258" s="1">
        <v>1090532</v>
      </c>
      <c r="O258" s="35">
        <v>154160</v>
      </c>
      <c r="P258" s="34">
        <f t="shared" ref="P258:P266" si="19">D258/100/12*I258</f>
        <v>159635.02721833333</v>
      </c>
      <c r="Q258" s="42"/>
    </row>
    <row r="259" spans="1:17" x14ac:dyDescent="0.25">
      <c r="A259" t="s">
        <v>284</v>
      </c>
      <c r="B259" t="s">
        <v>554</v>
      </c>
      <c r="C259">
        <v>10109</v>
      </c>
      <c r="D259">
        <v>7.0069999999999997</v>
      </c>
      <c r="E259">
        <f t="shared" ref="E259:E266" si="20">F259+G259</f>
        <v>353</v>
      </c>
      <c r="F259">
        <v>317</v>
      </c>
      <c r="G259">
        <v>36</v>
      </c>
      <c r="H259" s="43">
        <v>192120009</v>
      </c>
      <c r="I259" s="43">
        <v>28498022</v>
      </c>
      <c r="J259" s="35">
        <v>1136354</v>
      </c>
      <c r="K259" s="34">
        <f t="shared" ref="K259:K266" si="21">L259+N259</f>
        <v>1136355</v>
      </c>
      <c r="L259" s="35">
        <v>32200</v>
      </c>
      <c r="M259" s="34">
        <f t="shared" si="18"/>
        <v>31208.074083375894</v>
      </c>
      <c r="N259" s="1">
        <v>1104155</v>
      </c>
      <c r="O259" s="35">
        <v>160519</v>
      </c>
      <c r="P259" s="34">
        <f t="shared" si="19"/>
        <v>166404.70012833332</v>
      </c>
      <c r="Q259" s="42"/>
    </row>
    <row r="260" spans="1:17" x14ac:dyDescent="0.25">
      <c r="A260" t="s">
        <v>283</v>
      </c>
      <c r="B260" t="s">
        <v>554</v>
      </c>
      <c r="C260">
        <v>10145</v>
      </c>
      <c r="D260">
        <v>7.008</v>
      </c>
      <c r="E260">
        <f t="shared" si="20"/>
        <v>353</v>
      </c>
      <c r="F260">
        <v>318</v>
      </c>
      <c r="G260">
        <v>35</v>
      </c>
      <c r="H260" s="43">
        <v>192293495</v>
      </c>
      <c r="I260" s="43">
        <v>29658683</v>
      </c>
      <c r="J260" s="35">
        <v>1543733</v>
      </c>
      <c r="K260" s="34">
        <f t="shared" si="21"/>
        <v>1543733</v>
      </c>
      <c r="L260" s="35">
        <v>33632</v>
      </c>
      <c r="M260" s="34">
        <f t="shared" si="18"/>
        <v>32249.964616373312</v>
      </c>
      <c r="N260" s="1">
        <v>1510101</v>
      </c>
      <c r="O260" s="35">
        <v>169013</v>
      </c>
      <c r="P260" s="34">
        <f t="shared" si="19"/>
        <v>173206.70872000002</v>
      </c>
      <c r="Q260" s="42"/>
    </row>
    <row r="261" spans="1:17" x14ac:dyDescent="0.25">
      <c r="A261" t="s">
        <v>282</v>
      </c>
      <c r="B261" t="s">
        <v>554</v>
      </c>
      <c r="C261">
        <v>10174</v>
      </c>
      <c r="D261">
        <v>7.0090000000000003</v>
      </c>
      <c r="E261">
        <f t="shared" si="20"/>
        <v>353</v>
      </c>
      <c r="F261">
        <v>319</v>
      </c>
      <c r="G261">
        <v>34</v>
      </c>
      <c r="H261" s="43">
        <v>192335593</v>
      </c>
      <c r="I261" s="43">
        <v>31181153</v>
      </c>
      <c r="J261" s="35">
        <v>1955226</v>
      </c>
      <c r="K261" s="34">
        <f t="shared" si="21"/>
        <v>1955226</v>
      </c>
      <c r="L261" s="35">
        <v>35432</v>
      </c>
      <c r="M261" s="34">
        <f t="shared" si="18"/>
        <v>33666.453637037957</v>
      </c>
      <c r="N261" s="1">
        <v>1919794</v>
      </c>
      <c r="O261" s="35">
        <v>179488</v>
      </c>
      <c r="P261" s="34">
        <f t="shared" si="19"/>
        <v>182123.91781416666</v>
      </c>
      <c r="Q261" s="42"/>
    </row>
    <row r="262" spans="1:17" x14ac:dyDescent="0.25">
      <c r="A262" t="s">
        <v>281</v>
      </c>
      <c r="B262" t="s">
        <v>554</v>
      </c>
      <c r="C262">
        <v>10204</v>
      </c>
      <c r="D262">
        <v>7.0090000000000003</v>
      </c>
      <c r="E262">
        <f t="shared" si="20"/>
        <v>354</v>
      </c>
      <c r="F262">
        <v>321</v>
      </c>
      <c r="G262">
        <v>33</v>
      </c>
      <c r="H262" s="43">
        <v>192173206</v>
      </c>
      <c r="I262" s="43">
        <v>33106638</v>
      </c>
      <c r="J262" s="35">
        <v>2394188</v>
      </c>
      <c r="K262" s="34">
        <f t="shared" si="21"/>
        <v>2394188</v>
      </c>
      <c r="L262" s="35">
        <v>37654</v>
      </c>
      <c r="M262" s="34">
        <f t="shared" si="18"/>
        <v>35256.003667943645</v>
      </c>
      <c r="N262" s="1">
        <v>2356534</v>
      </c>
      <c r="O262" s="35">
        <v>192296</v>
      </c>
      <c r="P262" s="34">
        <f t="shared" si="19"/>
        <v>193370.354785</v>
      </c>
      <c r="Q262" s="42"/>
    </row>
    <row r="263" spans="1:17" x14ac:dyDescent="0.25">
      <c r="A263" t="s">
        <v>280</v>
      </c>
      <c r="B263" t="s">
        <v>554</v>
      </c>
      <c r="C263">
        <v>10232</v>
      </c>
      <c r="D263">
        <v>7.0090000000000003</v>
      </c>
      <c r="E263">
        <f t="shared" si="20"/>
        <v>354</v>
      </c>
      <c r="F263">
        <v>322</v>
      </c>
      <c r="G263">
        <v>32</v>
      </c>
      <c r="H263" s="43">
        <v>192153340</v>
      </c>
      <c r="I263" s="43">
        <v>35472194</v>
      </c>
      <c r="J263" s="35">
        <v>2417504</v>
      </c>
      <c r="K263" s="34">
        <f t="shared" si="21"/>
        <v>2417504</v>
      </c>
      <c r="L263" s="35">
        <v>39876</v>
      </c>
      <c r="M263" s="34">
        <f t="shared" si="18"/>
        <v>37516.060719551118</v>
      </c>
      <c r="N263" s="1">
        <v>2377628</v>
      </c>
      <c r="O263" s="35">
        <v>205235</v>
      </c>
      <c r="P263" s="34">
        <f t="shared" si="19"/>
        <v>207187.17312166665</v>
      </c>
      <c r="Q263" s="42"/>
    </row>
    <row r="264" spans="1:17" x14ac:dyDescent="0.25">
      <c r="A264" t="s">
        <v>279</v>
      </c>
      <c r="B264" t="s">
        <v>554</v>
      </c>
      <c r="C264">
        <v>10271</v>
      </c>
      <c r="D264">
        <v>7.01</v>
      </c>
      <c r="E264">
        <f t="shared" si="20"/>
        <v>354</v>
      </c>
      <c r="F264">
        <v>323</v>
      </c>
      <c r="G264">
        <v>31</v>
      </c>
      <c r="H264" s="43">
        <v>192259439</v>
      </c>
      <c r="I264" s="43">
        <v>37889642</v>
      </c>
      <c r="J264" s="35">
        <v>1921782</v>
      </c>
      <c r="K264" s="34">
        <f t="shared" si="21"/>
        <v>1921783</v>
      </c>
      <c r="L264" s="35">
        <v>41558</v>
      </c>
      <c r="M264" s="34">
        <f t="shared" si="18"/>
        <v>39791.366186617845</v>
      </c>
      <c r="N264" s="1">
        <v>1880225</v>
      </c>
      <c r="O264" s="35">
        <v>215645</v>
      </c>
      <c r="P264" s="34">
        <f t="shared" si="19"/>
        <v>221338.65868333331</v>
      </c>
      <c r="Q264" s="42"/>
    </row>
    <row r="265" spans="1:17" x14ac:dyDescent="0.25">
      <c r="A265" t="s">
        <v>278</v>
      </c>
      <c r="B265" t="s">
        <v>554</v>
      </c>
      <c r="C265">
        <v>10303</v>
      </c>
      <c r="D265">
        <v>7.01</v>
      </c>
      <c r="E265">
        <f t="shared" si="20"/>
        <v>354</v>
      </c>
      <c r="F265">
        <v>324</v>
      </c>
      <c r="G265">
        <v>30</v>
      </c>
      <c r="H265" s="43">
        <v>192339354</v>
      </c>
      <c r="I265" s="43">
        <v>39812478</v>
      </c>
      <c r="J265" s="35">
        <v>1621056</v>
      </c>
      <c r="K265" s="34">
        <f t="shared" si="21"/>
        <v>1621056</v>
      </c>
      <c r="L265" s="35">
        <v>42902</v>
      </c>
      <c r="M265" s="34">
        <f t="shared" si="18"/>
        <v>41524.530351887865</v>
      </c>
      <c r="N265" s="1">
        <v>1578154</v>
      </c>
      <c r="O265" s="35">
        <v>224431</v>
      </c>
      <c r="P265" s="34">
        <f t="shared" si="19"/>
        <v>232571.22564999998</v>
      </c>
      <c r="Q265" s="42"/>
    </row>
    <row r="266" spans="1:17" ht="15.75" thickBot="1" x14ac:dyDescent="0.3">
      <c r="A266" t="s">
        <v>277</v>
      </c>
      <c r="B266" t="s">
        <v>554</v>
      </c>
      <c r="C266">
        <v>10326</v>
      </c>
      <c r="D266">
        <v>7.0119999999999996</v>
      </c>
      <c r="E266">
        <f t="shared" si="20"/>
        <v>354</v>
      </c>
      <c r="F266">
        <v>325</v>
      </c>
      <c r="G266">
        <v>29</v>
      </c>
      <c r="H266" s="43">
        <v>192464133</v>
      </c>
      <c r="I266" s="43">
        <v>41463914</v>
      </c>
      <c r="J266" s="33">
        <v>2217845</v>
      </c>
      <c r="K266" s="32">
        <f t="shared" si="21"/>
        <v>2217846</v>
      </c>
      <c r="L266" s="33">
        <v>44865</v>
      </c>
      <c r="M266" s="32">
        <f t="shared" si="18"/>
        <v>42936.302320072093</v>
      </c>
      <c r="N266" s="1">
        <v>2172981</v>
      </c>
      <c r="O266" s="33">
        <v>236609</v>
      </c>
      <c r="P266" s="32">
        <f t="shared" si="19"/>
        <v>242287.47080666665</v>
      </c>
      <c r="Q266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CF66-8BC9-43B1-A772-2490D83E0EB4}">
  <dimension ref="F17:M19"/>
  <sheetViews>
    <sheetView zoomScaleNormal="100" workbookViewId="0">
      <selection activeCell="M17" sqref="M17"/>
    </sheetView>
  </sheetViews>
  <sheetFormatPr defaultRowHeight="15" x14ac:dyDescent="0.25"/>
  <sheetData>
    <row r="17" spans="6:13" x14ac:dyDescent="0.25">
      <c r="M17">
        <f>1083350*0.065/12</f>
        <v>5868.145833333333</v>
      </c>
    </row>
    <row r="18" spans="6:13" x14ac:dyDescent="0.25">
      <c r="F18">
        <v>1082557.96</v>
      </c>
      <c r="G18">
        <f>F19-F18</f>
        <v>792.04000000003725</v>
      </c>
    </row>
    <row r="19" spans="6:13" x14ac:dyDescent="0.25">
      <c r="F19">
        <v>1083350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Paydown</vt:lpstr>
      <vt:lpstr>Collateral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Gazzano, Pierre</cp:lastModifiedBy>
  <dcterms:created xsi:type="dcterms:W3CDTF">2013-04-03T15:49:21Z</dcterms:created>
  <dcterms:modified xsi:type="dcterms:W3CDTF">2026-06-15T16:52:07Z</dcterms:modified>
</cp:coreProperties>
</file>
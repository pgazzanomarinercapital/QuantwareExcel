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4670" documentId="8_{5BC9BF22-D5E1-40C8-8EF5-84AC04A4E172}" xr6:coauthVersionLast="47" xr6:coauthVersionMax="47" xr10:uidLastSave="{17B74149-C049-4506-8ACC-F39002BFDAB4}"/>
  <bookViews>
    <workbookView xWindow="38280" yWindow="-120" windowWidth="38640" windowHeight="21840" activeTab="1" xr2:uid="{67299944-7FF9-49B4-A72F-BD4B4EE2DA64}"/>
  </bookViews>
  <sheets>
    <sheet name="QuantWare" sheetId="4" r:id="rId1"/>
    <sheet name="Sheet1" sheetId="1" r:id="rId2"/>
    <sheet name="Sheet3" sheetId="3" r:id="rId3"/>
  </sheets>
  <definedNames>
    <definedName name="LaggedEOM">Sheet1!$D$12</definedName>
    <definedName name="spotDate">Sheet1!$D$11</definedName>
    <definedName name="strippingDate">Sheet1!$D$10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" i="1" l="1"/>
  <c r="X6" i="1"/>
  <c r="X7" i="1"/>
  <c r="X8" i="1"/>
  <c r="X9" i="1"/>
  <c r="X10" i="1"/>
  <c r="X11" i="1"/>
  <c r="X12" i="1"/>
  <c r="X13" i="1"/>
  <c r="X14" i="1"/>
  <c r="X5" i="1"/>
  <c r="T4" i="1"/>
  <c r="S4" i="1" s="1" a="1"/>
  <c r="S4" i="1" s="1"/>
  <c r="T15" i="1"/>
  <c r="S15" i="1" s="1" a="1"/>
  <c r="S15" i="1" s="1"/>
  <c r="W5" i="1"/>
  <c r="W6" i="1"/>
  <c r="W7" i="1"/>
  <c r="W8" i="1"/>
  <c r="W9" i="1"/>
  <c r="W10" i="1"/>
  <c r="W11" i="1"/>
  <c r="W12" i="1"/>
  <c r="W13" i="1"/>
  <c r="W14" i="1"/>
  <c r="W15" i="1"/>
  <c r="W4" i="1"/>
  <c r="D32" i="1"/>
  <c r="D30" i="1"/>
  <c r="D29" i="1"/>
  <c r="D23" i="1"/>
  <c r="D22" i="1"/>
  <c r="D21" i="1"/>
  <c r="D25" i="1"/>
  <c r="D24" i="1"/>
  <c r="D26" i="1"/>
  <c r="D27" i="1"/>
  <c r="D28" i="1"/>
  <c r="D31" i="1"/>
  <c r="V15" i="1" a="1"/>
  <c r="V15" i="1"/>
  <c r="T5" i="1"/>
  <c r="S5" i="1" s="1" a="1"/>
  <c r="S5" i="1" s="1"/>
  <c r="V6" i="1" a="1"/>
  <c r="V6" i="1"/>
  <c r="V5" i="1" a="1"/>
  <c r="V5" i="1"/>
  <c r="V4" i="1" a="1"/>
  <c r="V4" i="1"/>
  <c r="T6" i="1"/>
  <c r="S6" i="1" s="1" a="1"/>
  <c r="S6" i="1" s="1"/>
  <c r="T7" i="1"/>
  <c r="S7" i="1" s="1" a="1"/>
  <c r="S7" i="1" s="1"/>
  <c r="T8" i="1"/>
  <c r="S8" i="1" s="1" a="1"/>
  <c r="S8" i="1" s="1"/>
  <c r="T9" i="1"/>
  <c r="S9" i="1" s="1" a="1"/>
  <c r="S9" i="1" s="1"/>
  <c r="T10" i="1"/>
  <c r="S10" i="1" s="1" a="1"/>
  <c r="S10" i="1" s="1"/>
  <c r="T11" i="1"/>
  <c r="S11" i="1" s="1" a="1"/>
  <c r="S11" i="1" s="1"/>
  <c r="T12" i="1"/>
  <c r="S12" i="1" s="1" a="1"/>
  <c r="S12" i="1" s="1"/>
  <c r="T13" i="1"/>
  <c r="S13" i="1" s="1" a="1"/>
  <c r="S13" i="1" s="1"/>
  <c r="T14" i="1"/>
  <c r="S14" i="1" s="1" a="1"/>
  <c r="S14" i="1" s="1"/>
  <c r="V9" i="1" a="1"/>
  <c r="V9" i="1"/>
  <c r="I3" i="3"/>
  <c r="I11" i="3"/>
  <c r="V11" i="1" a="1"/>
  <c r="V11" i="1"/>
  <c r="V14" i="1" a="1"/>
  <c r="V14" i="1"/>
  <c r="I4" i="3"/>
  <c r="I9" i="3"/>
  <c r="I13" i="3"/>
  <c r="V12" i="1" a="1"/>
  <c r="V12" i="1"/>
  <c r="I12" i="3"/>
  <c r="I10" i="3"/>
  <c r="I7" i="3"/>
  <c r="V7" i="1" a="1"/>
  <c r="V7" i="1"/>
  <c r="I8" i="3"/>
  <c r="V8" i="1" a="1"/>
  <c r="V8" i="1"/>
  <c r="I2" i="3"/>
  <c r="I26" i="3"/>
  <c r="C6" i="3"/>
  <c r="C142" i="3"/>
  <c r="I71" i="3"/>
  <c r="C153" i="3"/>
  <c r="I59" i="3"/>
  <c r="I22" i="3"/>
  <c r="C107" i="3"/>
  <c r="C147" i="3"/>
  <c r="I53" i="3"/>
  <c r="I17" i="3"/>
  <c r="C138" i="3"/>
  <c r="C50" i="3"/>
  <c r="C111" i="3"/>
  <c r="C47" i="3"/>
  <c r="I66" i="3"/>
  <c r="C155" i="3"/>
  <c r="I30" i="3"/>
  <c r="C116" i="3"/>
  <c r="C140" i="3"/>
  <c r="I27" i="3"/>
  <c r="C36" i="3"/>
  <c r="C132" i="3"/>
  <c r="C32" i="3"/>
  <c r="C33" i="3"/>
  <c r="C12" i="3"/>
  <c r="I51" i="3"/>
  <c r="C94" i="3"/>
  <c r="C11" i="3"/>
  <c r="C139" i="3"/>
  <c r="C61" i="3"/>
  <c r="C39" i="3"/>
  <c r="C56" i="3"/>
  <c r="C10" i="3"/>
  <c r="C31" i="3"/>
  <c r="I32" i="3"/>
  <c r="C157" i="3"/>
  <c r="C48" i="3"/>
  <c r="C7" i="3"/>
  <c r="C137" i="3"/>
  <c r="I76" i="3"/>
  <c r="C45" i="3"/>
  <c r="C52" i="3"/>
  <c r="C124" i="3"/>
  <c r="C120" i="3"/>
  <c r="I23" i="3"/>
  <c r="I48" i="3"/>
  <c r="C156" i="3"/>
  <c r="I35" i="3"/>
  <c r="C150" i="3"/>
  <c r="I25" i="3"/>
  <c r="C127" i="3"/>
  <c r="I70" i="3"/>
  <c r="AK12" i="1"/>
  <c r="C25" i="3"/>
  <c r="I60" i="3"/>
  <c r="C95" i="3"/>
  <c r="C131" i="3"/>
  <c r="C133" i="3"/>
  <c r="C4" i="3"/>
  <c r="I56" i="3"/>
  <c r="I52" i="3"/>
  <c r="I46" i="3"/>
  <c r="C18" i="3"/>
  <c r="C148" i="3"/>
  <c r="C114" i="3"/>
  <c r="C122" i="3"/>
  <c r="C63" i="3"/>
  <c r="C13" i="3"/>
  <c r="AK4" i="1"/>
  <c r="C92" i="3"/>
  <c r="I14" i="3"/>
  <c r="I49" i="3"/>
  <c r="C30" i="3"/>
  <c r="C93" i="3"/>
  <c r="I29" i="3"/>
  <c r="C113" i="3"/>
  <c r="C118" i="3"/>
  <c r="I47" i="3"/>
  <c r="I73" i="3"/>
  <c r="C125" i="3"/>
  <c r="C71" i="3"/>
  <c r="C134" i="3"/>
  <c r="C46" i="3"/>
  <c r="I39" i="3"/>
  <c r="C70" i="3"/>
  <c r="C40" i="3"/>
  <c r="C88" i="3"/>
  <c r="C154" i="3"/>
  <c r="C51" i="3"/>
  <c r="AK10" i="1"/>
  <c r="C151" i="3"/>
  <c r="C136" i="3"/>
  <c r="C123" i="3"/>
  <c r="C29" i="3"/>
  <c r="C8" i="3"/>
  <c r="I37" i="3"/>
  <c r="I20" i="3"/>
  <c r="C54" i="3"/>
  <c r="I54" i="3"/>
  <c r="C129" i="3"/>
  <c r="I24" i="3"/>
  <c r="I44" i="3"/>
  <c r="C35" i="3"/>
  <c r="I78" i="3"/>
  <c r="I65" i="3"/>
  <c r="I16" i="3"/>
  <c r="I42" i="3"/>
  <c r="C141" i="3"/>
  <c r="C59" i="3"/>
  <c r="C144" i="3"/>
  <c r="C128" i="3"/>
  <c r="C146" i="3"/>
  <c r="AK6" i="1"/>
  <c r="C42" i="3"/>
  <c r="I28" i="3"/>
  <c r="C104" i="3"/>
  <c r="C102" i="3"/>
  <c r="C19" i="3"/>
  <c r="I57" i="3"/>
  <c r="C145" i="3"/>
  <c r="C66" i="3"/>
  <c r="I34" i="3"/>
  <c r="I31" i="3"/>
  <c r="C2" i="3"/>
  <c r="I18" i="3"/>
  <c r="C126" i="3"/>
  <c r="C53" i="3"/>
  <c r="I43" i="3"/>
  <c r="C110" i="3"/>
  <c r="I79" i="3"/>
  <c r="C159" i="3"/>
  <c r="C49" i="3"/>
  <c r="C27" i="3"/>
  <c r="C162" i="3"/>
  <c r="C15" i="3"/>
  <c r="C106" i="3"/>
  <c r="C41" i="3"/>
  <c r="I33" i="3"/>
  <c r="C37" i="3"/>
  <c r="C149" i="3"/>
  <c r="C98" i="3"/>
  <c r="I15" i="3"/>
  <c r="I45" i="3"/>
  <c r="I63" i="3"/>
  <c r="C100" i="3"/>
  <c r="C72" i="3"/>
  <c r="C160" i="3"/>
  <c r="C112" i="3"/>
  <c r="C91" i="3"/>
  <c r="C23" i="3"/>
  <c r="C34" i="3"/>
  <c r="C38" i="3"/>
  <c r="C117" i="3"/>
  <c r="C152" i="3"/>
  <c r="C90" i="3"/>
  <c r="C135" i="3"/>
  <c r="I69" i="3"/>
  <c r="C158" i="3"/>
  <c r="C83" i="3"/>
  <c r="C108" i="3"/>
  <c r="C161" i="3"/>
  <c r="C68" i="3"/>
  <c r="C143" i="3"/>
  <c r="C58" i="3"/>
  <c r="C20" i="3"/>
  <c r="I67" i="3"/>
  <c r="C9" i="3"/>
  <c r="C69" i="3"/>
  <c r="C109" i="3"/>
  <c r="C60" i="3"/>
  <c r="C97" i="3"/>
  <c r="I41" i="3"/>
  <c r="C103" i="3"/>
  <c r="C16" i="3"/>
  <c r="C17" i="3"/>
  <c r="C121" i="3"/>
  <c r="C22" i="3"/>
  <c r="C119" i="3"/>
  <c r="C101" i="3"/>
  <c r="C105" i="3"/>
  <c r="I72" i="3"/>
  <c r="C115" i="3"/>
  <c r="I38" i="3"/>
  <c r="C99" i="3"/>
  <c r="I64" i="3"/>
  <c r="C26" i="3"/>
  <c r="AK8" i="1"/>
  <c r="C5" i="3"/>
  <c r="C130" i="3"/>
  <c r="C44" i="3"/>
  <c r="AK5" i="1"/>
  <c r="C89" i="3"/>
  <c r="I36" i="3"/>
  <c r="AK7" i="1"/>
  <c r="C96" i="3"/>
  <c r="C43" i="3"/>
  <c r="I62" i="3"/>
  <c r="C21" i="3"/>
  <c r="I40" i="3"/>
  <c r="C24" i="3"/>
  <c r="I75" i="3"/>
  <c r="C78" i="3"/>
  <c r="AF9" i="1"/>
  <c r="C57" i="3"/>
  <c r="C65" i="3"/>
  <c r="C77" i="3"/>
  <c r="AF8" i="1"/>
  <c r="AK13" i="1"/>
  <c r="AK11" i="1"/>
  <c r="AE4" i="1"/>
  <c r="I50" i="3"/>
  <c r="C64" i="3"/>
  <c r="C82" i="3"/>
  <c r="AF13" i="1"/>
  <c r="C55" i="3"/>
  <c r="AE7" i="1"/>
  <c r="I19" i="3"/>
  <c r="I58" i="3"/>
  <c r="I74" i="3"/>
  <c r="C87" i="3"/>
  <c r="AF17" i="1"/>
  <c r="I21" i="3"/>
  <c r="C14" i="3"/>
  <c r="AK14" i="1"/>
  <c r="AE6" i="1"/>
  <c r="C28" i="3"/>
  <c r="AK15" i="1"/>
  <c r="AE14" i="1"/>
  <c r="AK9" i="1"/>
  <c r="AE17" i="1"/>
  <c r="I77" i="3"/>
  <c r="C62" i="3"/>
  <c r="C75" i="3"/>
  <c r="AF6" i="1"/>
  <c r="C3" i="3"/>
  <c r="I55" i="3"/>
  <c r="AE9" i="1"/>
  <c r="I68" i="3"/>
  <c r="C67" i="3"/>
  <c r="I61" i="3"/>
  <c r="AE8" i="1"/>
  <c r="C84" i="3"/>
  <c r="AF14" i="1"/>
  <c r="C76" i="3"/>
  <c r="AF7" i="1"/>
  <c r="C73" i="3"/>
  <c r="AF4" i="1"/>
  <c r="AE12" i="1"/>
  <c r="C79" i="3"/>
  <c r="AF10" i="1"/>
  <c r="C81" i="3"/>
  <c r="AF12" i="1"/>
  <c r="AE10" i="1"/>
  <c r="AE13" i="1"/>
  <c r="C74" i="3"/>
  <c r="AF5" i="1"/>
  <c r="AE15" i="1"/>
  <c r="AE16" i="1"/>
  <c r="AE11" i="1"/>
  <c r="C85" i="3"/>
  <c r="AF15" i="1"/>
  <c r="C86" i="3"/>
  <c r="AF16" i="1"/>
  <c r="C80" i="3"/>
  <c r="AF11" i="1"/>
  <c r="V10" i="1" a="1"/>
  <c r="V10" i="1"/>
  <c r="I5" i="3"/>
  <c r="I6" i="3"/>
  <c r="AE5" i="1"/>
  <c r="V13" i="1" a="1"/>
  <c r="V13" i="1"/>
  <c r="B21" i="1"/>
  <c r="D10" i="1"/>
  <c r="B22" i="1"/>
  <c r="Z2" i="1" l="1"/>
  <c r="AA2" i="1"/>
  <c r="K3" i="1" a="1"/>
  <c r="K3" i="1" s="1"/>
  <c r="C30" i="1"/>
  <c r="U13" i="1" a="1"/>
  <c r="U13" i="1" s="1"/>
  <c r="C27" i="1"/>
  <c r="U10" i="1" a="1"/>
  <c r="U10" i="1" s="1"/>
  <c r="C25" i="1"/>
  <c r="U8" i="1" a="1"/>
  <c r="U8" i="1" s="1"/>
  <c r="C24" i="1"/>
  <c r="U7" i="1" a="1"/>
  <c r="U7" i="1" s="1"/>
  <c r="C29" i="1"/>
  <c r="U12" i="1" a="1"/>
  <c r="U12" i="1" s="1"/>
  <c r="C31" i="1"/>
  <c r="U14" i="1" a="1"/>
  <c r="U14" i="1" s="1"/>
  <c r="C28" i="1"/>
  <c r="U11" i="1" a="1"/>
  <c r="U11" i="1" s="1"/>
  <c r="C26" i="1"/>
  <c r="U9" i="1" a="1"/>
  <c r="U9" i="1" s="1"/>
  <c r="C21" i="1"/>
  <c r="A21" i="1" s="1"/>
  <c r="U4" i="1" a="1"/>
  <c r="U4" i="1" s="1"/>
  <c r="C22" i="1"/>
  <c r="U5" i="1" a="1"/>
  <c r="U5" i="1" s="1"/>
  <c r="C23" i="1"/>
  <c r="U6" i="1" a="1"/>
  <c r="U6" i="1" s="1"/>
  <c r="C32" i="1"/>
  <c r="U15" i="1" a="1"/>
  <c r="U15" i="1" s="1"/>
  <c r="C41" i="1"/>
  <c r="B41" i="1"/>
  <c r="B26" i="1"/>
  <c r="C38" i="1"/>
  <c r="B38" i="1"/>
  <c r="C40" i="1"/>
  <c r="B40" i="1"/>
  <c r="B25" i="1"/>
  <c r="B30" i="1"/>
  <c r="C42" i="1"/>
  <c r="B42" i="1"/>
  <c r="C35" i="1"/>
  <c r="B35" i="1"/>
  <c r="C36" i="1"/>
  <c r="B36" i="1"/>
  <c r="C37" i="1"/>
  <c r="B37" i="1"/>
  <c r="B24" i="1"/>
  <c r="C33" i="1"/>
  <c r="B33" i="1"/>
  <c r="C34" i="1"/>
  <c r="B34" i="1"/>
  <c r="B32" i="1"/>
  <c r="B23" i="1"/>
  <c r="C44" i="1"/>
  <c r="B44" i="1"/>
  <c r="B29" i="1"/>
  <c r="B31" i="1"/>
  <c r="B28" i="1"/>
  <c r="C39" i="1"/>
  <c r="B39" i="1"/>
  <c r="B27" i="1"/>
  <c r="C43" i="1"/>
  <c r="B43" i="1"/>
  <c r="A22" i="1"/>
  <c r="Z5" i="1"/>
  <c r="AA5" i="1" s="1"/>
  <c r="Z6" i="1"/>
  <c r="AA6" i="1" s="1"/>
  <c r="Z7" i="1"/>
  <c r="AA7" i="1" s="1"/>
  <c r="Z8" i="1"/>
  <c r="AA8" i="1" s="1"/>
  <c r="Z9" i="1"/>
  <c r="AA9" i="1" s="1"/>
  <c r="Z10" i="1"/>
  <c r="AA10" i="1" s="1"/>
  <c r="Z11" i="1"/>
  <c r="AA11" i="1" s="1"/>
  <c r="Z12" i="1"/>
  <c r="AA12" i="1" s="1"/>
  <c r="Z13" i="1"/>
  <c r="AA13" i="1" s="1"/>
  <c r="D11" i="1" a="1"/>
  <c r="D11" i="1" s="1"/>
  <c r="C20" i="1" s="1"/>
  <c r="Z15" i="1" l="1"/>
  <c r="Z4" i="1"/>
  <c r="AA4" i="1" s="1"/>
  <c r="Z14" i="1"/>
  <c r="AA14" i="1" s="1"/>
  <c r="AA15" i="1"/>
  <c r="B20" i="1"/>
  <c r="D12" i="1" a="1"/>
  <c r="D12" i="1" s="1"/>
  <c r="D20" i="1" s="1" a="1"/>
  <c r="D20" i="1" s="1"/>
  <c r="D33" i="1" s="1"/>
  <c r="I74" i="1" l="1"/>
  <c r="I75" i="1"/>
  <c r="I72" i="1"/>
  <c r="I73" i="1"/>
  <c r="I70" i="1"/>
  <c r="I71" i="1"/>
  <c r="I68" i="1"/>
  <c r="I69" i="1"/>
  <c r="I66" i="1"/>
  <c r="I67" i="1"/>
  <c r="I64" i="1"/>
  <c r="I65" i="1"/>
  <c r="I62" i="1"/>
  <c r="I63" i="1"/>
  <c r="I60" i="1"/>
  <c r="I61" i="1"/>
  <c r="I58" i="1"/>
  <c r="I59" i="1"/>
  <c r="I56" i="1"/>
  <c r="I57" i="1"/>
  <c r="I54" i="1"/>
  <c r="I55" i="1"/>
  <c r="I52" i="1"/>
  <c r="I53" i="1"/>
  <c r="I50" i="1"/>
  <c r="I51" i="1"/>
  <c r="I48" i="1"/>
  <c r="I49" i="1"/>
  <c r="I46" i="1"/>
  <c r="I47" i="1"/>
  <c r="I44" i="1"/>
  <c r="I45" i="1"/>
  <c r="I42" i="1"/>
  <c r="I43" i="1"/>
  <c r="I40" i="1"/>
  <c r="I41" i="1"/>
  <c r="I38" i="1"/>
  <c r="I39" i="1"/>
  <c r="I36" i="1"/>
  <c r="I37" i="1"/>
  <c r="I34" i="1"/>
  <c r="I35" i="1"/>
  <c r="I32" i="1"/>
  <c r="I33" i="1"/>
  <c r="I30" i="1"/>
  <c r="I31" i="1"/>
  <c r="I28" i="1"/>
  <c r="I29" i="1"/>
  <c r="I26" i="1"/>
  <c r="I27" i="1"/>
  <c r="I24" i="1"/>
  <c r="I25" i="1"/>
  <c r="I22" i="1"/>
  <c r="I23" i="1"/>
  <c r="I20" i="1"/>
  <c r="I21" i="1"/>
  <c r="I18" i="1"/>
  <c r="I19" i="1"/>
  <c r="I16" i="1"/>
  <c r="I17" i="1"/>
  <c r="I14" i="1"/>
  <c r="I15" i="1"/>
  <c r="I12" i="1"/>
  <c r="I13" i="1"/>
  <c r="I10" i="1"/>
  <c r="I11" i="1"/>
  <c r="I2" i="1"/>
  <c r="I4" i="1"/>
  <c r="I3" i="1"/>
  <c r="I5" i="1"/>
  <c r="I6" i="1"/>
  <c r="I9" i="1"/>
  <c r="I7" i="1"/>
  <c r="I8" i="1"/>
  <c r="AE29" i="1" l="1"/>
  <c r="N21" i="1"/>
  <c r="N22" i="1" s="1"/>
  <c r="O22" i="1" s="1"/>
  <c r="A43" i="1" l="1"/>
  <c r="A25" i="1"/>
  <c r="A40" i="1"/>
  <c r="A39" i="1"/>
  <c r="A29" i="1"/>
  <c r="A27" i="1"/>
  <c r="A38" i="1"/>
  <c r="A44" i="1"/>
  <c r="A31" i="1"/>
  <c r="A26" i="1"/>
  <c r="A28" i="1"/>
  <c r="A42" i="1"/>
  <c r="A36" i="1"/>
  <c r="A24" i="1"/>
  <c r="A34" i="1"/>
  <c r="A32" i="1"/>
  <c r="A23" i="1"/>
  <c r="A30" i="1"/>
  <c r="A35" i="1"/>
  <c r="O21" i="1"/>
  <c r="A33" i="1"/>
  <c r="A37" i="1"/>
  <c r="A41" i="1"/>
  <c r="O20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G5" i="1"/>
  <c r="AG6" i="1" l="1"/>
  <c r="AG7" i="1" s="1"/>
  <c r="AG8" i="1" s="1"/>
  <c r="AF30" i="1" s="1"/>
  <c r="AA23" i="1"/>
  <c r="AB23" i="1" s="1"/>
  <c r="AC23" i="1" s="1"/>
  <c r="AA27" i="1"/>
  <c r="AB27" i="1" s="1"/>
  <c r="AC27" i="1" s="1"/>
  <c r="AA25" i="1"/>
  <c r="AB25" i="1" s="1"/>
  <c r="AC25" i="1" s="1"/>
  <c r="AA24" i="1"/>
  <c r="AB24" i="1" s="1"/>
  <c r="AC24" i="1" s="1"/>
  <c r="AA26" i="1"/>
  <c r="AB26" i="1" s="1"/>
  <c r="AC26" i="1" s="1"/>
  <c r="AD24" i="1"/>
  <c r="AD27" i="1"/>
  <c r="AD23" i="1"/>
  <c r="AD26" i="1"/>
  <c r="AD25" i="1"/>
  <c r="A20" i="1"/>
  <c r="N23" i="1"/>
  <c r="AE25" i="1"/>
  <c r="AF25" i="1" s="1"/>
  <c r="AG30" i="1" s="1"/>
  <c r="AG9" i="1"/>
  <c r="AF29" i="1"/>
  <c r="AE24" i="1"/>
  <c r="AE26" i="1"/>
  <c r="AE27" i="1"/>
  <c r="AG10" i="1" l="1"/>
  <c r="AG11" i="1" s="1"/>
  <c r="AG12" i="1" s="1"/>
  <c r="AG13" i="1" s="1"/>
  <c r="D37" i="1"/>
  <c r="N24" i="1"/>
  <c r="O23" i="1"/>
  <c r="AG29" i="1"/>
  <c r="N25" i="1" l="1"/>
  <c r="O24" i="1"/>
  <c r="N26" i="1" l="1"/>
  <c r="O25" i="1"/>
  <c r="N27" i="1" l="1"/>
  <c r="O26" i="1"/>
  <c r="N28" i="1" l="1"/>
  <c r="O27" i="1"/>
  <c r="N29" i="1" l="1"/>
  <c r="O28" i="1"/>
  <c r="N30" i="1" l="1"/>
  <c r="O29" i="1"/>
  <c r="N31" i="1" l="1"/>
  <c r="O30" i="1"/>
  <c r="N32" i="1" l="1"/>
  <c r="O31" i="1"/>
  <c r="N33" i="1" l="1"/>
  <c r="O32" i="1"/>
  <c r="N34" i="1" l="1"/>
  <c r="O33" i="1"/>
  <c r="N35" i="1" l="1"/>
  <c r="O34" i="1"/>
  <c r="N36" i="1" l="1"/>
  <c r="O35" i="1"/>
  <c r="N37" i="1" l="1"/>
  <c r="O36" i="1"/>
  <c r="N38" i="1" l="1"/>
  <c r="O37" i="1"/>
  <c r="N39" i="1" l="1"/>
  <c r="O38" i="1"/>
  <c r="N40" i="1" l="1"/>
  <c r="O39" i="1"/>
  <c r="N41" i="1" l="1"/>
  <c r="O40" i="1"/>
  <c r="N42" i="1" l="1"/>
  <c r="O41" i="1"/>
  <c r="N43" i="1" l="1"/>
  <c r="O42" i="1"/>
  <c r="N44" i="1" l="1"/>
  <c r="O43" i="1"/>
  <c r="N45" i="1" l="1"/>
  <c r="O44" i="1"/>
  <c r="N46" i="1" l="1"/>
  <c r="O45" i="1"/>
  <c r="N47" i="1" l="1"/>
  <c r="O46" i="1"/>
  <c r="N48" i="1" l="1"/>
  <c r="O47" i="1"/>
  <c r="N49" i="1" l="1"/>
  <c r="O48" i="1"/>
  <c r="N50" i="1" l="1"/>
  <c r="O49" i="1"/>
  <c r="N51" i="1" l="1"/>
  <c r="O50" i="1"/>
  <c r="N52" i="1" l="1"/>
  <c r="O51" i="1"/>
  <c r="N53" i="1" l="1"/>
  <c r="O52" i="1"/>
  <c r="N54" i="1" l="1"/>
  <c r="O53" i="1"/>
  <c r="N55" i="1" l="1"/>
  <c r="O54" i="1"/>
  <c r="N56" i="1" l="1"/>
  <c r="O55" i="1"/>
  <c r="N57" i="1" l="1"/>
  <c r="O56" i="1"/>
  <c r="N58" i="1" l="1"/>
  <c r="O57" i="1"/>
  <c r="N59" i="1" l="1"/>
  <c r="O58" i="1"/>
  <c r="N60" i="1" l="1"/>
  <c r="O59" i="1"/>
  <c r="N61" i="1" l="1"/>
  <c r="O60" i="1"/>
  <c r="N62" i="1" l="1"/>
  <c r="O61" i="1"/>
  <c r="N63" i="1" l="1"/>
  <c r="O62" i="1"/>
  <c r="N64" i="1" l="1"/>
  <c r="O63" i="1"/>
  <c r="N65" i="1" l="1"/>
  <c r="O64" i="1"/>
  <c r="N66" i="1" l="1"/>
  <c r="O65" i="1"/>
  <c r="N67" i="1" l="1"/>
  <c r="O66" i="1"/>
  <c r="N68" i="1" l="1"/>
  <c r="O67" i="1"/>
  <c r="N69" i="1" l="1"/>
  <c r="O68" i="1"/>
  <c r="N70" i="1" l="1"/>
  <c r="O69" i="1"/>
  <c r="N71" i="1" l="1"/>
  <c r="O70" i="1"/>
  <c r="N72" i="1" l="1"/>
  <c r="O71" i="1"/>
  <c r="N73" i="1" l="1"/>
  <c r="O72" i="1"/>
  <c r="N74" i="1" l="1"/>
  <c r="O73" i="1"/>
  <c r="N75" i="1" l="1"/>
  <c r="O74" i="1"/>
  <c r="N76" i="1" l="1"/>
  <c r="O75" i="1"/>
  <c r="N77" i="1" l="1"/>
  <c r="O76" i="1"/>
  <c r="N78" i="1" l="1"/>
  <c r="O77" i="1"/>
  <c r="N79" i="1" l="1"/>
  <c r="O78" i="1"/>
  <c r="N80" i="1" l="1"/>
  <c r="O79" i="1"/>
  <c r="N81" i="1" l="1"/>
  <c r="O80" i="1"/>
  <c r="N82" i="1" l="1"/>
  <c r="O81" i="1"/>
  <c r="N83" i="1" l="1"/>
  <c r="O82" i="1"/>
  <c r="N84" i="1" l="1"/>
  <c r="O83" i="1"/>
  <c r="N85" i="1" l="1"/>
  <c r="O84" i="1"/>
  <c r="N86" i="1" l="1"/>
  <c r="O85" i="1"/>
  <c r="N87" i="1" l="1"/>
  <c r="O86" i="1"/>
  <c r="N88" i="1" l="1"/>
  <c r="O87" i="1"/>
  <c r="N89" i="1" l="1"/>
  <c r="O88" i="1"/>
  <c r="N90" i="1" l="1"/>
  <c r="O89" i="1"/>
  <c r="N91" i="1" l="1"/>
  <c r="O90" i="1"/>
  <c r="N92" i="1" l="1"/>
  <c r="O91" i="1"/>
  <c r="N93" i="1" l="1"/>
  <c r="O92" i="1"/>
  <c r="O93" i="1" l="1"/>
  <c r="D35" i="1"/>
  <c r="D34" i="1"/>
  <c r="D43" i="1"/>
  <c r="D40" i="1"/>
  <c r="D39" i="1"/>
  <c r="D44" i="1"/>
  <c r="D36" i="1"/>
  <c r="D42" i="1"/>
  <c r="D41" i="1"/>
  <c r="D38" i="1"/>
  <c r="P22" i="1" l="1" a="1"/>
  <c r="P22" i="1" s="1"/>
  <c r="P21" i="1" a="1"/>
  <c r="P21" i="1" s="1"/>
  <c r="P20" i="1" a="1"/>
  <c r="P20" i="1" s="1"/>
  <c r="P93" i="1" a="1"/>
  <c r="P93" i="1" s="1"/>
  <c r="P92" i="1" a="1"/>
  <c r="P92" i="1" s="1"/>
  <c r="P91" i="1" a="1"/>
  <c r="P91" i="1" s="1"/>
  <c r="P90" i="1" a="1"/>
  <c r="P90" i="1" s="1"/>
  <c r="P89" i="1" a="1"/>
  <c r="P89" i="1" s="1"/>
  <c r="P88" i="1" a="1"/>
  <c r="P88" i="1" s="1"/>
  <c r="P87" i="1" a="1"/>
  <c r="P87" i="1" s="1"/>
  <c r="P86" i="1" a="1"/>
  <c r="P86" i="1" s="1"/>
  <c r="P85" i="1" a="1"/>
  <c r="P85" i="1" s="1"/>
  <c r="P84" i="1" a="1"/>
  <c r="P84" i="1" s="1"/>
  <c r="P83" i="1" a="1"/>
  <c r="P83" i="1" s="1"/>
  <c r="P82" i="1" a="1"/>
  <c r="P82" i="1" s="1"/>
  <c r="P81" i="1" a="1"/>
  <c r="P81" i="1" s="1"/>
  <c r="P80" i="1" a="1"/>
  <c r="P80" i="1" s="1"/>
  <c r="P79" i="1" a="1"/>
  <c r="P79" i="1" s="1"/>
  <c r="P78" i="1" a="1"/>
  <c r="P78" i="1" s="1"/>
  <c r="P77" i="1" a="1"/>
  <c r="P77" i="1" s="1"/>
  <c r="P76" i="1" a="1"/>
  <c r="P76" i="1" s="1"/>
  <c r="P75" i="1" a="1"/>
  <c r="P75" i="1" s="1"/>
  <c r="P74" i="1" a="1"/>
  <c r="P74" i="1" s="1"/>
  <c r="P73" i="1" a="1"/>
  <c r="P73" i="1" s="1"/>
  <c r="P72" i="1" a="1"/>
  <c r="P72" i="1" s="1"/>
  <c r="P71" i="1" a="1"/>
  <c r="P71" i="1" s="1"/>
  <c r="P70" i="1" a="1"/>
  <c r="P70" i="1" s="1"/>
  <c r="P69" i="1" a="1"/>
  <c r="P69" i="1" s="1"/>
  <c r="P68" i="1" a="1"/>
  <c r="P68" i="1" s="1"/>
  <c r="P67" i="1" a="1"/>
  <c r="P67" i="1" s="1"/>
  <c r="P66" i="1" a="1"/>
  <c r="P66" i="1" s="1"/>
  <c r="P65" i="1" a="1"/>
  <c r="P65" i="1" s="1"/>
  <c r="P64" i="1" a="1"/>
  <c r="P64" i="1" s="1"/>
  <c r="P63" i="1" a="1"/>
  <c r="P63" i="1" s="1"/>
  <c r="P62" i="1" a="1"/>
  <c r="P62" i="1" s="1"/>
  <c r="P61" i="1" a="1"/>
  <c r="P61" i="1" s="1"/>
  <c r="P60" i="1" a="1"/>
  <c r="P60" i="1" s="1"/>
  <c r="P59" i="1" a="1"/>
  <c r="P59" i="1" s="1"/>
  <c r="P58" i="1" a="1"/>
  <c r="P58" i="1" s="1"/>
  <c r="P57" i="1" a="1"/>
  <c r="P57" i="1" s="1"/>
  <c r="P56" i="1" a="1"/>
  <c r="P56" i="1" s="1"/>
  <c r="P55" i="1" a="1"/>
  <c r="P55" i="1" s="1"/>
  <c r="P54" i="1" a="1"/>
  <c r="P54" i="1" s="1"/>
  <c r="P53" i="1" a="1"/>
  <c r="P53" i="1" s="1"/>
  <c r="P52" i="1" a="1"/>
  <c r="P52" i="1" s="1"/>
  <c r="P51" i="1" a="1"/>
  <c r="P51" i="1" s="1"/>
  <c r="P50" i="1" a="1"/>
  <c r="P50" i="1" s="1"/>
  <c r="P49" i="1" a="1"/>
  <c r="P49" i="1" s="1"/>
  <c r="P48" i="1" a="1"/>
  <c r="P48" i="1" s="1"/>
  <c r="P47" i="1" a="1"/>
  <c r="P47" i="1" s="1"/>
  <c r="P46" i="1" a="1"/>
  <c r="P46" i="1" s="1"/>
  <c r="P45" i="1" a="1"/>
  <c r="P45" i="1" s="1"/>
  <c r="P44" i="1" a="1"/>
  <c r="P44" i="1" s="1"/>
  <c r="P43" i="1" a="1"/>
  <c r="P43" i="1" s="1"/>
  <c r="P42" i="1" a="1"/>
  <c r="P42" i="1" s="1"/>
  <c r="P41" i="1" a="1"/>
  <c r="P41" i="1" s="1"/>
  <c r="P40" i="1" a="1"/>
  <c r="P40" i="1" s="1"/>
  <c r="P39" i="1" a="1"/>
  <c r="P39" i="1" s="1"/>
  <c r="P38" i="1" a="1"/>
  <c r="P38" i="1" s="1"/>
  <c r="P37" i="1" a="1"/>
  <c r="P37" i="1" s="1"/>
  <c r="P36" i="1" a="1"/>
  <c r="P36" i="1" s="1"/>
  <c r="P35" i="1" a="1"/>
  <c r="P35" i="1" s="1"/>
  <c r="P34" i="1" a="1"/>
  <c r="P34" i="1" s="1"/>
  <c r="P33" i="1" a="1"/>
  <c r="P33" i="1" s="1"/>
  <c r="P32" i="1" a="1"/>
  <c r="P32" i="1" s="1"/>
  <c r="P31" i="1" a="1"/>
  <c r="P31" i="1" s="1"/>
  <c r="P30" i="1" a="1"/>
  <c r="P30" i="1" s="1"/>
  <c r="P29" i="1" a="1"/>
  <c r="P29" i="1" s="1"/>
  <c r="P28" i="1" a="1"/>
  <c r="P28" i="1" s="1"/>
  <c r="P27" i="1" a="1"/>
  <c r="P27" i="1" s="1"/>
  <c r="P26" i="1" a="1"/>
  <c r="P26" i="1" s="1"/>
  <c r="P25" i="1" a="1"/>
  <c r="P25" i="1" s="1"/>
  <c r="P23" i="1" a="1"/>
  <c r="P23" i="1" s="1"/>
  <c r="P24" i="1" a="1"/>
  <c r="P24" i="1" s="1"/>
  <c r="R24" i="1" s="1"/>
  <c r="Q20" i="1"/>
  <c r="R21" i="1" l="1"/>
  <c r="R22" i="1"/>
  <c r="Q24" i="1"/>
  <c r="R23" i="1"/>
  <c r="Q23" i="1"/>
  <c r="Q21" i="1"/>
  <c r="Q22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R32" i="1"/>
  <c r="Q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R54" i="1"/>
  <c r="Q54" i="1"/>
  <c r="Q55" i="1"/>
  <c r="R55" i="1"/>
  <c r="R56" i="1"/>
  <c r="Q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<sst xmlns="http://schemas.openxmlformats.org/spreadsheetml/2006/main" count="635" uniqueCount="578">
  <si>
    <t>CPI:</t>
  </si>
  <si>
    <t>YOY Swap</t>
  </si>
  <si>
    <t xml:space="preserve">Start Date </t>
  </si>
  <si>
    <t>End Date</t>
  </si>
  <si>
    <t>Quote</t>
  </si>
  <si>
    <t>ZC Swap</t>
  </si>
  <si>
    <t>Start Date</t>
  </si>
  <si>
    <t>ZC Infla</t>
  </si>
  <si>
    <t>Month</t>
  </si>
  <si>
    <t>Seasonality</t>
  </si>
  <si>
    <t>Value</t>
  </si>
  <si>
    <t>USSWIF6 Curncy</t>
  </si>
  <si>
    <t>USSWIT1 Curncy</t>
  </si>
  <si>
    <t>USSWMJAN Curncy</t>
  </si>
  <si>
    <t>USSWIF7 Curncy</t>
  </si>
  <si>
    <t>USSWIT2 Curncy</t>
  </si>
  <si>
    <t>USSWMFEB Curncy</t>
  </si>
  <si>
    <t>USSWIF8 Curncy</t>
  </si>
  <si>
    <t>USSWIT3 Curncy</t>
  </si>
  <si>
    <t>USSWMMAR Curncy</t>
  </si>
  <si>
    <t>USSWIF9 Curncy</t>
  </si>
  <si>
    <t>USSWIT4 Curncy</t>
  </si>
  <si>
    <t>USSWMAPR Curncy</t>
  </si>
  <si>
    <t>USSWIF10 Curncy</t>
  </si>
  <si>
    <t>USSWIT5 Curncy</t>
  </si>
  <si>
    <t>USSWMMAY Curncy</t>
  </si>
  <si>
    <t>USSWIF11 Curncy</t>
  </si>
  <si>
    <t>USSWIT6 Curncy</t>
  </si>
  <si>
    <t>USSWMJUN Curncy</t>
  </si>
  <si>
    <t>USSWIF12 Curncy</t>
  </si>
  <si>
    <t>USSWIT7 Curncy</t>
  </si>
  <si>
    <t>USSWMJUL Curncy</t>
  </si>
  <si>
    <t>Period</t>
  </si>
  <si>
    <t>M</t>
  </si>
  <si>
    <t>USSWIF1 Curncy</t>
  </si>
  <si>
    <t>USSWIT8 Curncy</t>
  </si>
  <si>
    <t>USSWMAUG Curncy</t>
  </si>
  <si>
    <t>Lag</t>
  </si>
  <si>
    <t>USSWIF2 Curncy</t>
  </si>
  <si>
    <t>USSWIT9 Curncy</t>
  </si>
  <si>
    <t>USSWMSEP Curncy</t>
  </si>
  <si>
    <t>USSWIF3 Curncy</t>
  </si>
  <si>
    <t>USSWIT10 Curncy</t>
  </si>
  <si>
    <t>USSWMOCT Curncy</t>
  </si>
  <si>
    <t>USSWIF4 Curncy</t>
  </si>
  <si>
    <t>USSWIT15 Curncy</t>
  </si>
  <si>
    <t>USSWMNOV Curncy</t>
  </si>
  <si>
    <t>USSWIF5 Curncy</t>
  </si>
  <si>
    <t>USSWIT20 Curncy</t>
  </si>
  <si>
    <t>USSWMDEC Curncy</t>
  </si>
  <si>
    <t>USSWIT25 Curncy</t>
  </si>
  <si>
    <t>USSWIT30 Curncy</t>
  </si>
  <si>
    <t>Security</t>
  </si>
  <si>
    <t>Description</t>
  </si>
  <si>
    <t>USSWIC Curncy</t>
  </si>
  <si>
    <t>USD Swap CRV SA 9M3M</t>
  </si>
  <si>
    <t>USD Inflation CPI FIX Jul 1Y</t>
  </si>
  <si>
    <t>USSWIV3 Curncy</t>
  </si>
  <si>
    <t>USD Swap (vs 3M LIBOR ) 9MO</t>
  </si>
  <si>
    <t>USD Inflation CPI FIX Sep 1Y</t>
  </si>
  <si>
    <t>USSWIA Curncy</t>
  </si>
  <si>
    <t>USD Swap Annual (VS 1M) 9M</t>
  </si>
  <si>
    <t>USD Inflation CPI FIX Dec 1Y</t>
  </si>
  <si>
    <t>USSWI Curncy</t>
  </si>
  <si>
    <t>USD Swap Semi-Annual 30/360 9M</t>
  </si>
  <si>
    <t>USD Inflation CPI FIX Apr 1Y</t>
  </si>
  <si>
    <t>USSWIVA Curncy</t>
  </si>
  <si>
    <t>USD Swap v3M ACT/360 9MO</t>
  </si>
  <si>
    <t>USD Inflation CPI FIX Jan 1Y</t>
  </si>
  <si>
    <t>USSWIYL Curncy</t>
  </si>
  <si>
    <t>USD Swap SA (VS 12M) 9M</t>
  </si>
  <si>
    <t>USD Inflation CPI FIX Jun 1Y</t>
  </si>
  <si>
    <t>USSWIAPR Curncy</t>
  </si>
  <si>
    <t>USD Inflation SEASONAL HA Apr</t>
  </si>
  <si>
    <t>USD Inflation CPI FIX Mar 1Y</t>
  </si>
  <si>
    <t>USSWIAUG Curncy</t>
  </si>
  <si>
    <t>USD Inflation SEASONAL HA Aug</t>
  </si>
  <si>
    <t>USD Inflation CPI FIX May 1Y</t>
  </si>
  <si>
    <t>USSWIJAN Curncy</t>
  </si>
  <si>
    <t>USD Inflation SEASONAL HA Jan</t>
  </si>
  <si>
    <t>USD Inflation CPI FIX Oct 1Y</t>
  </si>
  <si>
    <t>USSWINOV Curncy</t>
  </si>
  <si>
    <t>USD Inflation SEASONAL HA Nov</t>
  </si>
  <si>
    <t>USD Inflation CPI FIX Feb 1Y</t>
  </si>
  <si>
    <t>USSWIFEB Curncy</t>
  </si>
  <si>
    <t>USD Inflation SEASONAL HA Feb</t>
  </si>
  <si>
    <t>USD Inflation CPI FIX Aug 1Y</t>
  </si>
  <si>
    <t>USSWISEP Curncy</t>
  </si>
  <si>
    <t>USD Inflation SEASONAL HA Sep</t>
  </si>
  <si>
    <t>USD Inflation CPI FIX Nov 1Y</t>
  </si>
  <si>
    <t>USSWIMAR Curncy</t>
  </si>
  <si>
    <t>USD Inflation SEASONAL HA Mar</t>
  </si>
  <si>
    <t>USSWIH11 Curncy</t>
  </si>
  <si>
    <t>USD Inflation CPI FIX Nov 2Y</t>
  </si>
  <si>
    <t>USSWIMAY Curncy</t>
  </si>
  <si>
    <t>USD Inflation SEASONAL HA May</t>
  </si>
  <si>
    <t>USSWIH6 Curncy</t>
  </si>
  <si>
    <t>USD Inflation CPI FIX Jun 2Y</t>
  </si>
  <si>
    <t>USSWIOCT Curncy</t>
  </si>
  <si>
    <t>USD Inflation SEASONAL HA Oct</t>
  </si>
  <si>
    <t>USSWIH7 Curncy</t>
  </si>
  <si>
    <t>USD Inflation CPI FIX Jul 2Y</t>
  </si>
  <si>
    <t>USSWIJUL Curncy</t>
  </si>
  <si>
    <t>USD Inflation SEASONAL HA Jul</t>
  </si>
  <si>
    <t>USSWIH8 Curncy</t>
  </si>
  <si>
    <t>USD Inflation CPI FIX Aug 2Y</t>
  </si>
  <si>
    <t>USSWIJUN Curncy</t>
  </si>
  <si>
    <t>USD Inflation SEASONAL HA Jun</t>
  </si>
  <si>
    <t>USSWIH9 Curncy</t>
  </si>
  <si>
    <t>USD Inflation CPI FIX Sep 2Y</t>
  </si>
  <si>
    <t>USSWIDEC Curncy</t>
  </si>
  <si>
    <t>USD Inflation SEASONAL HA Dec</t>
  </si>
  <si>
    <t>USSWIH1 Curncy</t>
  </si>
  <si>
    <t>USD Inflation CPI FIX Jan 2Y</t>
  </si>
  <si>
    <t>USSWIC10 Curncy</t>
  </si>
  <si>
    <t>USD Inflation Urban CONS 10Y</t>
  </si>
  <si>
    <t>USSWIH10 Curncy</t>
  </si>
  <si>
    <t>USD Inflation CPI FIX Oct 2Y</t>
  </si>
  <si>
    <t>USSWIC12 Curncy</t>
  </si>
  <si>
    <t>USD Inflation Urban CONS 12Y</t>
  </si>
  <si>
    <t>USSWIH12 Curncy</t>
  </si>
  <si>
    <t>USD Inflation CPI FIX Dec 2Y</t>
  </si>
  <si>
    <t>USSWIC15 Curncy</t>
  </si>
  <si>
    <t>USD Inflation Urban CONS 15Y</t>
  </si>
  <si>
    <t>USSWIH2 Curncy</t>
  </si>
  <si>
    <t>USD Inflation CPI FIX Feb 2Y</t>
  </si>
  <si>
    <t>USSWIC2 Curncy</t>
  </si>
  <si>
    <t>USD Inflation Urban CONS 2Y</t>
  </si>
  <si>
    <t>USSWIH3 Curncy</t>
  </si>
  <si>
    <t>USD Inflation CPI FIX Mar 2Y</t>
  </si>
  <si>
    <t>USSWIC20 Curncy</t>
  </si>
  <si>
    <t>USD Inflation Urban CONS 20Y</t>
  </si>
  <si>
    <t>USSWIH4 Curncy</t>
  </si>
  <si>
    <t>USD Inflation CPI FIX Apr 2Y</t>
  </si>
  <si>
    <t>USSWIC25 Curncy</t>
  </si>
  <si>
    <t>USD Inflation Urban CONS 25Y</t>
  </si>
  <si>
    <t>USSWIH5 Curncy</t>
  </si>
  <si>
    <t>USD Inflation CPI FIX May 2Y</t>
  </si>
  <si>
    <t>USSWIC3 Curncy</t>
  </si>
  <si>
    <t>USD Inflation Urban CONS 3Y</t>
  </si>
  <si>
    <t>USSWII1 Curncy</t>
  </si>
  <si>
    <t>USD Inflation Swap Zero Coupon BPS 1Y</t>
  </si>
  <si>
    <t>USSWIC30 Curncy</t>
  </si>
  <si>
    <t>USD Inflation Urban CONS 30Y</t>
  </si>
  <si>
    <t>USSWII10 Curncy</t>
  </si>
  <si>
    <t>USD Inflation Swap Zero Coupon BPS 10Y</t>
  </si>
  <si>
    <t>USSWIC4 Curncy</t>
  </si>
  <si>
    <t>USD Inflation Urban CONS 4Y</t>
  </si>
  <si>
    <t>USSWII2 Curncy</t>
  </si>
  <si>
    <t>USD Inflation Swap Zero Coupon BPS 2Y</t>
  </si>
  <si>
    <t>USSWIC40 Curncy</t>
  </si>
  <si>
    <t>USD Inflation Urban CONS 40Y</t>
  </si>
  <si>
    <t>USSWII20 Curncy</t>
  </si>
  <si>
    <t>USD Inflation Swap Zero Coupon BPS 20Y</t>
  </si>
  <si>
    <t>USSWIC5 Curncy</t>
  </si>
  <si>
    <t>USD Inflation Urban CONS 5Y</t>
  </si>
  <si>
    <t>USSWII3 Curncy</t>
  </si>
  <si>
    <t>USD Inflation Swap Zero Coupon BPS 3Y</t>
  </si>
  <si>
    <t>USSWIC6 Curncy</t>
  </si>
  <si>
    <t>USD Inflation Urban CONS 6Y</t>
  </si>
  <si>
    <t>USSWII5 Curncy</t>
  </si>
  <si>
    <t>USD Inflation Swap Zero Coupon BPS 5Y</t>
  </si>
  <si>
    <t>USSWIC7 Curncy</t>
  </si>
  <si>
    <t>USD Inflation Urban CONS 7Y</t>
  </si>
  <si>
    <t>USSWII6 Curncy</t>
  </si>
  <si>
    <t>USD Inflation Swap Zero Coupon BPS 6Y</t>
  </si>
  <si>
    <t>USSWIC8 Curncy</t>
  </si>
  <si>
    <t>USD Inflation Urban CONS 8Y</t>
  </si>
  <si>
    <t>USSWII7 Curncy</t>
  </si>
  <si>
    <t>USD Inflation Swap Zero Coupon BPS 7Y</t>
  </si>
  <si>
    <t>USSWIC9 Curncy</t>
  </si>
  <si>
    <t>USD Inflation Urban CONS 9Y</t>
  </si>
  <si>
    <t>USSWII12 Curncy</t>
  </si>
  <si>
    <t>USD Inflation Swap Zero Coupon BPS 12Y</t>
  </si>
  <si>
    <t>USSWIC1 Curncy</t>
  </si>
  <si>
    <t>USD Inflation Urban CONS 1Y</t>
  </si>
  <si>
    <t>USSWII15 Curncy</t>
  </si>
  <si>
    <t>USD Inflation Swap Zero Coupon BPS 15Y</t>
  </si>
  <si>
    <t>USSWIM1 Curncy</t>
  </si>
  <si>
    <t>USD Swap IMM 1ST YR 1CNT</t>
  </si>
  <si>
    <t>USSWII25 Curncy</t>
  </si>
  <si>
    <t>USD Inflation Swap Zero Coupon BPS 25Y</t>
  </si>
  <si>
    <t>USSWIM2 Curncy</t>
  </si>
  <si>
    <t>USD Swap IMM 1ST YR 2CNT</t>
  </si>
  <si>
    <t>USSWII30 Curncy</t>
  </si>
  <si>
    <t>USD Inflation Swap Zero Coupon BPS 30Y</t>
  </si>
  <si>
    <t>USSWIM3 Curncy</t>
  </si>
  <si>
    <t>USD Swap IMM 1ST YR 3CNT</t>
  </si>
  <si>
    <t>USSWII4 Curncy</t>
  </si>
  <si>
    <t>USD Inflation Swap Zero Coupon BPS 4Y</t>
  </si>
  <si>
    <t>USSWIM4 Curncy</t>
  </si>
  <si>
    <t>USD Swap IMM 1ST YR 4CNT</t>
  </si>
  <si>
    <t>USSWII8 Curncy</t>
  </si>
  <si>
    <t>USD Inflation Swap Zero Coupon BPS 8Y</t>
  </si>
  <si>
    <t>USSWIM5 Curncy</t>
  </si>
  <si>
    <t>USD Swap IMM 1ST YR 5CNT</t>
  </si>
  <si>
    <t>USSWII9 Curncy</t>
  </si>
  <si>
    <t>USD Inflation Swap Zero Coupon BPS 9Y</t>
  </si>
  <si>
    <t>USSWIY11 Curncy</t>
  </si>
  <si>
    <t>USD Inflation Swap YOY 11Y</t>
  </si>
  <si>
    <t>USSWIP1A Curncy</t>
  </si>
  <si>
    <t>USD Inflation Swap Zero Coupon PCSWS 1</t>
  </si>
  <si>
    <t>USSWIY12 Curncy</t>
  </si>
  <si>
    <t>USD Inflation Swap YOY 12Y</t>
  </si>
  <si>
    <t>USSWIP1B Curncy</t>
  </si>
  <si>
    <t>USSWIY13 Curncy</t>
  </si>
  <si>
    <t>USD Inflation Swap YOY 13Y</t>
  </si>
  <si>
    <t>USSWIP1C Curncy</t>
  </si>
  <si>
    <t>USSWIY14 Curncy</t>
  </si>
  <si>
    <t>USD Inflation Swap YOY 14Y</t>
  </si>
  <si>
    <t>USSWIP1D Curncy</t>
  </si>
  <si>
    <t>USSWIY15 Curncy</t>
  </si>
  <si>
    <t>USD Inflation Swap YOY 15Y</t>
  </si>
  <si>
    <t>USSWIP1E Curncy</t>
  </si>
  <si>
    <t>USSWIY16 Curncy</t>
  </si>
  <si>
    <t>USD Inflation Swap YOY 16Y</t>
  </si>
  <si>
    <t>USSWIP1G Curncy</t>
  </si>
  <si>
    <t>USSWIY17 Curncy</t>
  </si>
  <si>
    <t>USD Inflation Swap YOY 17Y</t>
  </si>
  <si>
    <t>USSWIP1H Curncy</t>
  </si>
  <si>
    <t>USD Inflation Swap Zero Coupon PCSWS 2</t>
  </si>
  <si>
    <t>USSWIY18 Curncy</t>
  </si>
  <si>
    <t>USD Inflation Swap YOY 18Y</t>
  </si>
  <si>
    <t>USSWIP1I Curncy</t>
  </si>
  <si>
    <t>USSWIY19 Curncy</t>
  </si>
  <si>
    <t>USD Inflation Swap YOY 19Y</t>
  </si>
  <si>
    <t>USSWIP1J Curncy</t>
  </si>
  <si>
    <t>USSWIY20 Curncy</t>
  </si>
  <si>
    <t>USD Inflation Swap YOY 20Y</t>
  </si>
  <si>
    <t>USSWIP1K Curncy</t>
  </si>
  <si>
    <t>USSWIY21 Curncy</t>
  </si>
  <si>
    <t>USD Inflation Swap YOY 21Y</t>
  </si>
  <si>
    <t>USSWIP4 Curncy</t>
  </si>
  <si>
    <t>USD Inflation Swap Zero Coupon PCSWS 4</t>
  </si>
  <si>
    <t>USSWIY22 Curncy</t>
  </si>
  <si>
    <t>USD Inflation Swap YOY 22Y</t>
  </si>
  <si>
    <t>USSWIPB Curncy</t>
  </si>
  <si>
    <t>USSWIY23 Curncy</t>
  </si>
  <si>
    <t>USD Inflation Swap YOY 23Y</t>
  </si>
  <si>
    <t>USSWIPC Curncy</t>
  </si>
  <si>
    <t>USD Inflation Swap Zero Coupon PCSWS 3</t>
  </si>
  <si>
    <t>USSWIY24 Curncy</t>
  </si>
  <si>
    <t>USD Inflation Swap YOY 24Y</t>
  </si>
  <si>
    <t>USSWIPD Curncy</t>
  </si>
  <si>
    <t>USSWIY25 Curncy</t>
  </si>
  <si>
    <t>USD Inflation Swap YOY 25Y</t>
  </si>
  <si>
    <t>USSWIPE Curncy</t>
  </si>
  <si>
    <t>USD Inflation Swap Zero Coupon PCSWS 5</t>
  </si>
  <si>
    <t>USSWIY26 Curncy</t>
  </si>
  <si>
    <t>USD Inflation Swap YOY 26Y</t>
  </si>
  <si>
    <t>USSWIPF Curncy</t>
  </si>
  <si>
    <t>USD Inflation Swap Zero Coupon PCSWS 6</t>
  </si>
  <si>
    <t>USSWIY27 Curncy</t>
  </si>
  <si>
    <t>USD Inflation Swap YOY 27Y</t>
  </si>
  <si>
    <t>USSWIPG Curncy</t>
  </si>
  <si>
    <t>USD Inflation Swap Zero Coupon PCSWS 7</t>
  </si>
  <si>
    <t>USSWIY28 Curncy</t>
  </si>
  <si>
    <t>USD Inflation Swap YOY 28Y</t>
  </si>
  <si>
    <t>USSWIPH Curncy</t>
  </si>
  <si>
    <t>USD Inflation Swap Zero Coupon PCSWS 8</t>
  </si>
  <si>
    <t>USSWIY29 Curncy</t>
  </si>
  <si>
    <t>USD Inflation Swap YOY 29Y</t>
  </si>
  <si>
    <t>USSWIPI Curncy</t>
  </si>
  <si>
    <t>USD Inflation Swap Zero Coupon PCSWS 9</t>
  </si>
  <si>
    <t>USSWIY30 Curncy</t>
  </si>
  <si>
    <t>USD Inflation Swap YOY 30Y</t>
  </si>
  <si>
    <t>USSWIPJ Curncy</t>
  </si>
  <si>
    <t>USSWIY4 Curncy</t>
  </si>
  <si>
    <t>USD Inflation Swap YOY 4Y</t>
  </si>
  <si>
    <t>USSWIPK Curncy</t>
  </si>
  <si>
    <t>USSWIY40 Curncy</t>
  </si>
  <si>
    <t>USD Inflation Swap YOY 40Y</t>
  </si>
  <si>
    <t>USSWIPA Curncy</t>
  </si>
  <si>
    <t>USSWIY50 Curncy</t>
  </si>
  <si>
    <t>USD Inflation Swap YOY 50Y</t>
  </si>
  <si>
    <t>USSWIP1 Curncy</t>
  </si>
  <si>
    <t>USSWIY6 Curncy</t>
  </si>
  <si>
    <t>USD Inflation Swap YOY 6Y</t>
  </si>
  <si>
    <t>USSWIP1F Curncy</t>
  </si>
  <si>
    <t>USSWIY7 Curncy</t>
  </si>
  <si>
    <t>USD Inflation Swap YOY 7Y</t>
  </si>
  <si>
    <t>USSWIP2 Curncy</t>
  </si>
  <si>
    <t>USSWIY8 Curncy</t>
  </si>
  <si>
    <t>USD Inflation Swap YOY 8Y</t>
  </si>
  <si>
    <t>USSWI10 Curncy</t>
  </si>
  <si>
    <t>USD Swap 9M vs 10Y</t>
  </si>
  <si>
    <t>USSWIY9 Curncy</t>
  </si>
  <si>
    <t>USD Inflation Swap YOY 9Y</t>
  </si>
  <si>
    <t>USSWI30 Curncy</t>
  </si>
  <si>
    <t>USD Swap 9M vs 30Y</t>
  </si>
  <si>
    <t>USSWIY3 Curncy</t>
  </si>
  <si>
    <t>USD Inflation Swap YOY 3Y</t>
  </si>
  <si>
    <t>USSWI01 Curncy</t>
  </si>
  <si>
    <t>USD Swap 9M vs 1Y</t>
  </si>
  <si>
    <t>USSWIY10 Curncy</t>
  </si>
  <si>
    <t>USD Inflation Swap YOY 10Y</t>
  </si>
  <si>
    <t>USSWI02 Curncy</t>
  </si>
  <si>
    <t>USD Swap 9M vs 2Y</t>
  </si>
  <si>
    <t>USSWIY1 Curncy</t>
  </si>
  <si>
    <t>USD Inflation Swap YOY 1Y</t>
  </si>
  <si>
    <t>USSWI03 Curncy</t>
  </si>
  <si>
    <t>USD Swap 9M vs 3Y</t>
  </si>
  <si>
    <t>USSWIY2 Curncy</t>
  </si>
  <si>
    <t>USD Inflation Swap YOY 2Y</t>
  </si>
  <si>
    <t>USSWI04 Curncy</t>
  </si>
  <si>
    <t>USD Swap 9M vs 4Y</t>
  </si>
  <si>
    <t>USSWIY5 Curncy</t>
  </si>
  <si>
    <t>USD Inflation Swap YOY 5Y</t>
  </si>
  <si>
    <t>USSWI05 Curncy</t>
  </si>
  <si>
    <t>USD Swap 9M vs 5Y</t>
  </si>
  <si>
    <t>USD Inflation Swap Zero Coupon 1Y</t>
  </si>
  <si>
    <t>USSWI06 Curncy</t>
  </si>
  <si>
    <t>USD Swap 9M vs 6Y</t>
  </si>
  <si>
    <t>USD Inflation Swap Zero Coupon 2Y</t>
  </si>
  <si>
    <t>USSWI07 Curncy</t>
  </si>
  <si>
    <t>USD Swap 9M vs 7Y</t>
  </si>
  <si>
    <t>USD Inflation Swap Zero Coupon 3Y</t>
  </si>
  <si>
    <t>USSWI08 Curncy</t>
  </si>
  <si>
    <t>USD Swap 9M vs 8Y</t>
  </si>
  <si>
    <t>USD Inflation Swap Zero Coupon 4Y</t>
  </si>
  <si>
    <t>USSWI09 Curncy</t>
  </si>
  <si>
    <t>USD Swap 9M vs 9Y</t>
  </si>
  <si>
    <t>USD Inflation Swap Zero Coupon 5Y</t>
  </si>
  <si>
    <t>USSWI15 Curncy</t>
  </si>
  <si>
    <t>USD Swap 9M vs 15Y</t>
  </si>
  <si>
    <t>USD Inflation Swap Zero Coupon 6Y</t>
  </si>
  <si>
    <t>USSWI20 Curncy</t>
  </si>
  <si>
    <t>USD Swap 9M vs 20Y</t>
  </si>
  <si>
    <t>USD Inflation Swap Zero Coupon 7Y</t>
  </si>
  <si>
    <t>USSWI25 Curncy</t>
  </si>
  <si>
    <t>USD Swap 9M vs 25Y</t>
  </si>
  <si>
    <t>USD Inflation Swap Zero Coupon 8Y</t>
  </si>
  <si>
    <t>USD Inflation Swap Zero Coupon 9Y</t>
  </si>
  <si>
    <t>USD Inflation Swap Zero Coupon 10Y</t>
  </si>
  <si>
    <t>USSWIT12 Curncy</t>
  </si>
  <si>
    <t>USD Inflation Swap Zero Coupon 12Y</t>
  </si>
  <si>
    <t>USD Inflation Swap Zero Coupon 15Y</t>
  </si>
  <si>
    <t>USD Inflation Swap Zero Coupon 20Y</t>
  </si>
  <si>
    <t>USD Inflation Swap Zero Coupon 25Y</t>
  </si>
  <si>
    <t>USD Inflation Swap Zero Coupon 30Y</t>
  </si>
  <si>
    <t>USSWITF Curncy</t>
  </si>
  <si>
    <t>USD Inflation Swap Zero Coupon 6M</t>
  </si>
  <si>
    <t>USSWITB Curncy</t>
  </si>
  <si>
    <t>USD Inflation Swap Zero Coupon 2M</t>
  </si>
  <si>
    <t>USSWIT2G Curncy</t>
  </si>
  <si>
    <t>USD Inflation Swap Zero Coupon 31M</t>
  </si>
  <si>
    <t>USSWITE Curncy</t>
  </si>
  <si>
    <t>USD Inflation Swap Zero Coupon 5M</t>
  </si>
  <si>
    <t>USSWITK Curncy</t>
  </si>
  <si>
    <t>USD Inflation Swap Zero Coupon 11M</t>
  </si>
  <si>
    <t>USSWIT1A Curncy</t>
  </si>
  <si>
    <t>USD Inflation Swap Zero Coupon 13M</t>
  </si>
  <si>
    <t>USSWIT1D Curncy</t>
  </si>
  <si>
    <t>USD Inflation Swap Zero Coupon 16M</t>
  </si>
  <si>
    <t>USSWIT1E Curncy</t>
  </si>
  <si>
    <t>USD Inflation Swap Zero Coupon 17M</t>
  </si>
  <si>
    <t>USSWIT1H Curncy</t>
  </si>
  <si>
    <t>USD Inflation Swap Zero Coupon 20M</t>
  </si>
  <si>
    <t>USSWIT1J Curncy</t>
  </si>
  <si>
    <t>USD Inflation Swap Zero Coupon 22M</t>
  </si>
  <si>
    <t>USSWIT1K Curncy</t>
  </si>
  <si>
    <t>USD Inflation Swap Zero Coupon 23M</t>
  </si>
  <si>
    <t>USSWIT22 Curncy</t>
  </si>
  <si>
    <t>USD Inflation Swap Zero Coupon 22Y</t>
  </si>
  <si>
    <t>USSWIT23 Curncy</t>
  </si>
  <si>
    <t>USD Inflation Swap Zero Coupon 23Y</t>
  </si>
  <si>
    <t>USSWIT24 Curncy</t>
  </si>
  <si>
    <t>USD Inflation Swap Zero Coupon 24Y</t>
  </si>
  <si>
    <t>USSWIT26 Curncy</t>
  </si>
  <si>
    <t>USD Inflation Swap Zero Coupon 26Y</t>
  </si>
  <si>
    <t>USSWIT27 Curncy</t>
  </si>
  <si>
    <t>USD Inflation Swap Zero Coupon 27Y</t>
  </si>
  <si>
    <t>USSWIT2A Curncy</t>
  </si>
  <si>
    <t>USD Inflation Swap Zero Coupon 25M</t>
  </si>
  <si>
    <t>USSWIT2B Curncy</t>
  </si>
  <si>
    <t>USD Inflation Swap Zero Coupon 26M</t>
  </si>
  <si>
    <t>USSWIT2C Curncy</t>
  </si>
  <si>
    <t>USD Inflation Swap Zero Coupon 27M</t>
  </si>
  <si>
    <t>USSWIT2D Curncy</t>
  </si>
  <si>
    <t>USD Inflation Swap Zero Coupon 28M</t>
  </si>
  <si>
    <t>USSWIT2E Curncy</t>
  </si>
  <si>
    <t>USD Inflation Swap Zero Coupon 29M</t>
  </si>
  <si>
    <t>USSWIT2F Curncy</t>
  </si>
  <si>
    <t>USD Inflation Swap Zero Coupon 30M</t>
  </si>
  <si>
    <t>USSWIT2H Curncy</t>
  </si>
  <si>
    <t>USD Inflation Swap Zero Coupon 32M</t>
  </si>
  <si>
    <t>USSWIT2I Curncy</t>
  </si>
  <si>
    <t>USD Inflation Swap Zero Coupon 33M</t>
  </si>
  <si>
    <t>USSWIT2J Curncy</t>
  </si>
  <si>
    <t>USD Inflation Swap Zero Coupon 34M</t>
  </si>
  <si>
    <t>USSWIT2K Curncy</t>
  </si>
  <si>
    <t>USD Inflation Swap Zero Coupon 35M</t>
  </si>
  <si>
    <t>USSWIT35 Curncy</t>
  </si>
  <si>
    <t>USD Inflation Swap Zero Coupon 35Y</t>
  </si>
  <si>
    <t>USSWIT3A Curncy</t>
  </si>
  <si>
    <t>USD Inflation Swap Zero Coupon 37M</t>
  </si>
  <si>
    <t>USSWIT3B Curncy</t>
  </si>
  <si>
    <t>USD Inflation Swap Zero Coupon 38M</t>
  </si>
  <si>
    <t>USSWIT3C Curncy</t>
  </si>
  <si>
    <t>USD Inflation Swap Zero Coupon 39M</t>
  </si>
  <si>
    <t>USSWIT3D Curncy</t>
  </si>
  <si>
    <t>USD Inflation Swap Zero Coupon 40M</t>
  </si>
  <si>
    <t>USSWIT3E Curncy</t>
  </si>
  <si>
    <t>USD Inflation Swap Zero Coupon 41M</t>
  </si>
  <si>
    <t>USSWIT3F Curncy</t>
  </si>
  <si>
    <t>USD Inflation Swap Zero Coupon 42M</t>
  </si>
  <si>
    <t>USSWIT3G Curncy</t>
  </si>
  <si>
    <t>USD Inflation Swap Zero Coupon 43M</t>
  </si>
  <si>
    <t>USSWIT3H Curncy</t>
  </si>
  <si>
    <t>USD Inflation Swap Zero Coupon 44M</t>
  </si>
  <si>
    <t>USSWIT3I Curncy</t>
  </si>
  <si>
    <t>USD Inflation Swap Zero Coupon 45M</t>
  </si>
  <si>
    <t>USSWIT3J Curncy</t>
  </si>
  <si>
    <t>USD Inflation Swap Zero Coupon 46M</t>
  </si>
  <si>
    <t>USSWIT3K Curncy</t>
  </si>
  <si>
    <t>USD Inflation Swap Zero Coupon 47M</t>
  </si>
  <si>
    <t>USSWIT4A Curncy</t>
  </si>
  <si>
    <t>USD Inflation Swap Zero Coupon 49M</t>
  </si>
  <si>
    <t>USSWIT4B Curncy</t>
  </si>
  <si>
    <t>USD Inflation Swap Zero Coupon 50M</t>
  </si>
  <si>
    <t>USSWIT4C Curncy</t>
  </si>
  <si>
    <t>USD Inflation Swap Zero Coupon 51M</t>
  </si>
  <si>
    <t>USSWIT4D Curncy</t>
  </si>
  <si>
    <t>USD Inflation Swap Zero Coupon 52M</t>
  </si>
  <si>
    <t>USSWIT4E Curncy</t>
  </si>
  <si>
    <t>USD Inflation Swap Zero Coupon 53M</t>
  </si>
  <si>
    <t>USSWIT4F Curncy</t>
  </si>
  <si>
    <t>USD Inflation Swap Zero Coupon 54M</t>
  </si>
  <si>
    <t>USSWIT4G Curncy</t>
  </si>
  <si>
    <t>USD Inflation Swap Zero Coupon 55M</t>
  </si>
  <si>
    <t>USSWIT4H Curncy</t>
  </si>
  <si>
    <t>USD Inflation Swap Zero Coupon 56M</t>
  </si>
  <si>
    <t>USSWIT4J Curncy</t>
  </si>
  <si>
    <t>USD Inflation Swap Zero Coupon 58M</t>
  </si>
  <si>
    <t>USSWIT4K Curncy</t>
  </si>
  <si>
    <t>USD Inflation Swap Zero Coupon 59M</t>
  </si>
  <si>
    <t>USSWITG Curncy</t>
  </si>
  <si>
    <t>USD Inflation Swap Zero Coupon 7M</t>
  </si>
  <si>
    <t>USSWIT11 Curncy</t>
  </si>
  <si>
    <t>USD Inflation Swap Zero Coupon 11Y</t>
  </si>
  <si>
    <t>USSWIT1C Curncy</t>
  </si>
  <si>
    <t>USD Inflation Swap Zero Coupon 15M</t>
  </si>
  <si>
    <t>USSWITI Curncy</t>
  </si>
  <si>
    <t>USD Inflation Swap Zero Coupon 9M</t>
  </si>
  <si>
    <t>USSWIT13 Curncy</t>
  </si>
  <si>
    <t>USD Inflation Swap Zero Coupon 13Y</t>
  </si>
  <si>
    <t>USSWIT14 Curncy</t>
  </si>
  <si>
    <t>USD Inflation Swap Zero Coupon 14Y</t>
  </si>
  <si>
    <t>USSWIT16 Curncy</t>
  </si>
  <si>
    <t>USD Inflation Swap Zero Coupon 16Y</t>
  </si>
  <si>
    <t>USSWIT17 Curncy</t>
  </si>
  <si>
    <t>USD Inflation Swap Zero Coupon 17Y</t>
  </si>
  <si>
    <t>USSWIT18 Curncy</t>
  </si>
  <si>
    <t>USD Inflation Swap Zero Coupon 18Y</t>
  </si>
  <si>
    <t>USSWIT19 Curncy</t>
  </si>
  <si>
    <t>USD Inflation Swap Zero Coupon 19Y</t>
  </si>
  <si>
    <t>USSWIT1B Curncy</t>
  </si>
  <si>
    <t>USD Inflation Swap Zero Coupon 14M</t>
  </si>
  <si>
    <t>USSWIT1F Curncy</t>
  </si>
  <si>
    <t>USD Inflation Swap Zero Coupon 18M</t>
  </si>
  <si>
    <t>USSWIT1G Curncy</t>
  </si>
  <si>
    <t>USD Inflation Swap Zero Coupon 19M</t>
  </si>
  <si>
    <t>USSWIT1I Curncy</t>
  </si>
  <si>
    <t>USD Inflation Swap Zero Coupon 21M</t>
  </si>
  <si>
    <t>USSWIT21 Curncy</t>
  </si>
  <si>
    <t>USD Inflation Swap Zero Coupon 21Y</t>
  </si>
  <si>
    <t>USSWIT28 Curncy</t>
  </si>
  <si>
    <t>USD Inflation Swap Zero Coupon 28Y</t>
  </si>
  <si>
    <t>USSWIT29 Curncy</t>
  </si>
  <si>
    <t>USD Inflation Swap Zero Coupon 29Y</t>
  </si>
  <si>
    <t>USSWIT40 Curncy</t>
  </si>
  <si>
    <t>USD Inflation Swap Zero Coupon 40Y</t>
  </si>
  <si>
    <t>USSWIT45 Curncy</t>
  </si>
  <si>
    <t>USD Inflation Swap Zero Coupon 45Y</t>
  </si>
  <si>
    <t>USSWIT4I Curncy</t>
  </si>
  <si>
    <t>USD Inflation Swap Zero Coupon 57M</t>
  </si>
  <si>
    <t>USSWIT50 Curncy</t>
  </si>
  <si>
    <t>USD Inflation Swap Zero Coupon 50Y</t>
  </si>
  <si>
    <t>USSWIT55 Curncy</t>
  </si>
  <si>
    <t>USD Inflation Swap Zero Coupon 55Y</t>
  </si>
  <si>
    <t>USSWITD Curncy</t>
  </si>
  <si>
    <t>USD Inflation Swap Zero Coupon 4M</t>
  </si>
  <si>
    <t>USSWITH Curncy</t>
  </si>
  <si>
    <t>USD Inflation Swap Zero Coupon 8M</t>
  </si>
  <si>
    <t>USSWITJ Curncy</t>
  </si>
  <si>
    <t>USD Inflation Swap Zero Coupon 10M</t>
  </si>
  <si>
    <t>USSWITA Curncy</t>
  </si>
  <si>
    <t>USD Inflation Swap Zero Coupon 1M</t>
  </si>
  <si>
    <t>USSWITC Curncy</t>
  </si>
  <si>
    <t>USD Inflation Swap Zero Coupon 3M</t>
  </si>
  <si>
    <t>Quot Date</t>
  </si>
  <si>
    <t>Frst of Month</t>
  </si>
  <si>
    <t>Lag Date</t>
  </si>
  <si>
    <t>curve rate from BBG Screen</t>
  </si>
  <si>
    <t>curve rate from excel</t>
  </si>
  <si>
    <t>SwapIndexPropertyMap</t>
  </si>
  <si>
    <t>Inflation Index</t>
  </si>
  <si>
    <t>Infla Curve</t>
  </si>
  <si>
    <t>QW.Security.Curve.CurveLoaderBms  (Ex: SOFRSWAP/ESTRONSWAP/CORRASWAP)</t>
  </si>
  <si>
    <t xml:space="preserve">SwapTerms in QW.Security.Curve.CurveLoaderBms </t>
  </si>
  <si>
    <t xml:space="preserve">Deposits in QW.Security.Curve.CurveLoaderBms </t>
  </si>
  <si>
    <t>RollDaysl, Lag</t>
  </si>
  <si>
    <t>CPI</t>
  </si>
  <si>
    <t xml:space="preserve">FutureRoot/NumFutures in QW.Security.Curve.CurveLoaderBms </t>
  </si>
  <si>
    <t>Stripping Methods</t>
  </si>
  <si>
    <t>&lt;lookup-method name="newCurve" object="CurveBootstrap"/&gt;</t>
  </si>
  <si>
    <t>Info/Static Data</t>
  </si>
  <si>
    <t>Equivalent for Rates</t>
  </si>
  <si>
    <t>CPURNSA Index</t>
  </si>
  <si>
    <t>Effective Date, End Date, Quote</t>
  </si>
  <si>
    <t>12 last Fixing</t>
  </si>
  <si>
    <t>Months and Fixing</t>
  </si>
  <si>
    <t>&lt;dictionary key-type="string" value-type="object"&gt;</t>
  </si>
  <si>
    <t>&lt;entry key="ResetFrequency" value="4"/&gt;</t>
  </si>
  <si>
    <t>&lt;entry key="FloatPayFrequency" value="4"/&gt;</t>
  </si>
  <si>
    <t>&lt;entry key="DiscountCurve" value="SofrSwap"/&gt;</t>
  </si>
  <si>
    <t>&lt;entry key="DV01Curve" value="NORMED"/&gt;</t>
  </si>
  <si>
    <t>&lt;/dictionary&gt;</t>
  </si>
  <si>
    <t>SwapPropertyMap</t>
  </si>
  <si>
    <t>&lt;!--CPURNSA--&gt;</t>
  </si>
  <si>
    <t>&lt;!--….USSWIT...--&gt;</t>
  </si>
  <si>
    <t>&lt;entry key="Currency" value="USD"/&gt;</t>
  </si>
  <si>
    <t>&lt;entry key="FloatIndex" value="CPURNSA"/&gt;</t>
  </si>
  <si>
    <t>&lt;entry key="FixedRateType"&gt;</t>
  </si>
  <si>
    <t>&lt;object type="QW.Security.Rate.RateTypeCompounded, QWSecurity"&gt;</t>
  </si>
  <si>
    <t>&lt;property name="Frequency" value="1"/&gt;</t>
  </si>
  <si>
    <t>&lt;property name="DayCount" value="ActActeom"/&gt;</t>
  </si>
  <si>
    <t>&lt;property name="DayCounter" ref="ActualActual"/&gt;</t>
  </si>
  <si>
    <t>&lt;!--&lt;property name="BusinessDayConvention" value="IMM"/&gt;--&gt;</t>
  </si>
  <si>
    <t>&lt;property name="BusinessDayConvention" value="Following"/&gt;</t>
  </si>
  <si>
    <t>&lt;/object&gt;</t>
  </si>
  <si>
    <t>&lt;/entry&gt;</t>
  </si>
  <si>
    <t>RateLoader</t>
  </si>
  <si>
    <t xml:space="preserve">	&lt;property name="ExpMap"</t>
  </si>
  <si>
    <t>&lt;property name="PropertyMap"&gt;</t>
  </si>
  <si>
    <t>&lt;property name="TermExtractorMap"&gt;</t>
  </si>
  <si>
    <t>&lt;entry key="Country" value="US"/&gt;</t>
  </si>
  <si>
    <t>&lt;entry key="SettleDays" value="2"/&gt;</t>
  </si>
  <si>
    <t>&lt;entry key="Term" value="1"/&gt;</t>
  </si>
  <si>
    <t>&lt;entry key="TermUnit" value="Month"/&gt;</t>
  </si>
  <si>
    <t>&lt;entry key="Type" value="MoneyMarket"/&gt;</t>
  </si>
  <si>
    <t>&lt;!--^CPURNSA--&gt;</t>
  </si>
  <si>
    <t>SecurityProvider</t>
  </si>
  <si>
    <t>&lt;object type="QW.Security.TypeLoaderFixed, QWSecurity"&gt;</t>
  </si>
  <si>
    <t>&lt;!--special rates--&gt;</t>
  </si>
  <si>
    <t>&lt;property name="IDPattern" value="^(GC\.|ZERO|FEDL|GCFR|EONIA|ESTRON|SONI|VIX$|V2X$|OISCAD|NZOCRS|RBACOR|TOISTOIS|CAONREPO|SOFR|CORRA|MUTKCALM|CPURNSA)"/&gt;</t>
  </si>
  <si>
    <t>&lt;!--anything--&gt;</t>
  </si>
  <si>
    <t>&lt;property name="IDPattern" value="USSWIT[0-9]"/&gt;</t>
  </si>
  <si>
    <t>…</t>
  </si>
  <si>
    <r>
      <t>&lt;property name="Type" value="</t>
    </r>
    <r>
      <rPr>
        <b/>
        <sz val="11"/>
        <color rgb="FFFF0000"/>
        <rFont val="Aptos Narrow"/>
        <family val="2"/>
        <scheme val="minor"/>
      </rPr>
      <t>SwapBM</t>
    </r>
    <r>
      <rPr>
        <sz val="11"/>
        <color theme="1"/>
        <rFont val="Aptos Narrow"/>
        <family val="2"/>
        <scheme val="minor"/>
      </rPr>
      <t>"/&gt;</t>
    </r>
  </si>
  <si>
    <r>
      <t>&lt;property name="Type" value="</t>
    </r>
    <r>
      <rPr>
        <b/>
        <sz val="11"/>
        <color rgb="FFFF0000"/>
        <rFont val="Aptos Narrow"/>
        <family val="2"/>
        <scheme val="minor"/>
      </rPr>
      <t>Rate</t>
    </r>
    <r>
      <rPr>
        <sz val="11"/>
        <color theme="1"/>
        <rFont val="Aptos Narrow"/>
        <family val="2"/>
        <scheme val="minor"/>
      </rPr>
      <t>"/&gt;</t>
    </r>
  </si>
  <si>
    <t>&lt;object type="QW.Security.Curve.CurveLoaderBms, QWSecurity"&gt;</t>
  </si>
  <si>
    <t>&lt;property name="IDPattern" value="^CPURNSA$"/&gt;</t>
  </si>
  <si>
    <t>&lt;property name="SwapRoot" value="USSWIT"/&gt;</t>
  </si>
  <si>
    <t>&lt;property name="SwapTerms" value="1,2,3,4,5,7"/&gt;</t>
  </si>
  <si>
    <t>&lt;lookup-method name="newCurve" object="Curve"/&gt;</t>
  </si>
  <si>
    <t>QW.Security.Curve.CurveLoaderBm</t>
  </si>
  <si>
    <t>Lagged EOM</t>
  </si>
  <si>
    <t>SpotDate</t>
  </si>
  <si>
    <t>Stripping Date</t>
  </si>
  <si>
    <t>JUN</t>
  </si>
  <si>
    <t>JUL</t>
  </si>
  <si>
    <t>AUG</t>
  </si>
  <si>
    <t>SEP</t>
  </si>
  <si>
    <t>OCT</t>
  </si>
  <si>
    <t>JAN</t>
  </si>
  <si>
    <t>FEB</t>
  </si>
  <si>
    <t>MAR</t>
  </si>
  <si>
    <t>APR</t>
  </si>
  <si>
    <t>MAY</t>
  </si>
  <si>
    <t>NOV</t>
  </si>
  <si>
    <t>DEC</t>
  </si>
  <si>
    <t>Reset Date</t>
  </si>
  <si>
    <t>Reset Date of End Date</t>
  </si>
  <si>
    <t>Reset Date of Start Date</t>
  </si>
  <si>
    <t>Term Date</t>
  </si>
  <si>
    <t>Reset/fixing Date</t>
  </si>
  <si>
    <t>Start d 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</si>
</sst>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dd\-mmm\-yy;@"/>
    <numFmt numFmtId="165" formatCode="0.0000"/>
    <numFmt numFmtId="166" formatCode="0.00000"/>
    <numFmt numFmtId="167" formatCode="0.0000000"/>
    <numFmt numFmtId="168" formatCode="_(* #,##0.00000_);_(* \(#,##0.00000\);_(* &quot;-&quot;??_);_(@_)"/>
    <numFmt numFmtId="169" formatCode="[$-F800]dddd\,\ mmmm\ dd\,\ yyyy"/>
    <numFmt numFmtId="170" formatCode="0.000"/>
    <numFmt numFmtId="171" formatCode="_(* #,##0.0_);_(* \(#,##0.0\);_(* &quot;-&quot;??_);_(@_)"/>
    <numFmt numFmtId="172" formatCode="_(* #,##0.0_);_(* \(#,##0.0\);_(* &quot;-&quot;?_);_(@_)"/>
    <numFmt numFmtId="176" formatCode="_(* #,##0.000000_);_(* \(#,##0.0000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22" fontId="3" fillId="0" borderId="0"/>
    <xf numFmtId="0" fontId="5" fillId="3" borderId="0"/>
  </cellStyleXfs>
  <cellXfs count="42">
    <xf numFmtId="0" fontId="0" fillId="0" borderId="0" xfId="0"/>
    <xf numFmtId="22" fontId="3" fillId="0" borderId="0" xfId="2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14" fontId="0" fillId="0" borderId="0" xfId="1" applyNumberFormat="1" applyFont="1"/>
    <xf numFmtId="0" fontId="0" fillId="2" borderId="0" xfId="0" applyFill="1"/>
    <xf numFmtId="0" fontId="5" fillId="3" borderId="0" xfId="3"/>
    <xf numFmtId="0" fontId="2" fillId="0" borderId="0" xfId="0" applyFont="1"/>
    <xf numFmtId="0" fontId="0" fillId="4" borderId="0" xfId="0" applyFill="1"/>
    <xf numFmtId="0" fontId="0" fillId="5" borderId="0" xfId="0" applyFill="1"/>
    <xf numFmtId="0" fontId="6" fillId="0" borderId="0" xfId="0" applyFont="1"/>
    <xf numFmtId="164" fontId="0" fillId="4" borderId="0" xfId="0" applyNumberFormat="1" applyFill="1"/>
    <xf numFmtId="14" fontId="0" fillId="5" borderId="0" xfId="0" applyNumberFormat="1" applyFill="1"/>
    <xf numFmtId="0" fontId="0" fillId="6" borderId="0" xfId="0" applyFill="1"/>
    <xf numFmtId="165" fontId="0" fillId="0" borderId="0" xfId="0" applyNumberFormat="1"/>
    <xf numFmtId="166" fontId="6" fillId="2" borderId="0" xfId="0" applyNumberFormat="1" applyFont="1" applyFill="1"/>
    <xf numFmtId="165" fontId="0" fillId="5" borderId="0" xfId="0" applyNumberFormat="1" applyFill="1"/>
    <xf numFmtId="167" fontId="6" fillId="2" borderId="0" xfId="0" applyNumberFormat="1" applyFont="1" applyFill="1"/>
    <xf numFmtId="168" fontId="0" fillId="2" borderId="0" xfId="1" applyNumberFormat="1" applyFont="1" applyFill="1"/>
    <xf numFmtId="169" fontId="0" fillId="0" borderId="0" xfId="0" applyNumberFormat="1"/>
    <xf numFmtId="169" fontId="7" fillId="0" borderId="0" xfId="0" applyNumberFormat="1" applyFont="1"/>
    <xf numFmtId="0" fontId="7" fillId="0" borderId="0" xfId="0" applyFont="1"/>
    <xf numFmtId="169" fontId="0" fillId="2" borderId="0" xfId="0" applyNumberFormat="1" applyFill="1"/>
    <xf numFmtId="169" fontId="0" fillId="4" borderId="0" xfId="0" applyNumberFormat="1" applyFill="1"/>
    <xf numFmtId="169" fontId="0" fillId="5" borderId="0" xfId="0" applyNumberFormat="1" applyFill="1"/>
    <xf numFmtId="168" fontId="0" fillId="0" borderId="0" xfId="0" applyNumberFormat="1"/>
    <xf numFmtId="166" fontId="0" fillId="0" borderId="0" xfId="0" applyNumberFormat="1"/>
    <xf numFmtId="168" fontId="7" fillId="0" borderId="0" xfId="0" applyNumberFormat="1" applyFont="1"/>
    <xf numFmtId="170" fontId="7" fillId="0" borderId="0" xfId="0" applyNumberFormat="1" applyFont="1"/>
    <xf numFmtId="22" fontId="0" fillId="0" borderId="0" xfId="0" applyNumberFormat="1"/>
    <xf numFmtId="0" fontId="0" fillId="4" borderId="1" xfId="0" applyFill="1" applyBorder="1"/>
    <xf numFmtId="164" fontId="0" fillId="4" borderId="1" xfId="0" applyNumberFormat="1" applyFill="1" applyBorder="1"/>
    <xf numFmtId="14" fontId="0" fillId="4" borderId="0" xfId="0" applyNumberFormat="1" applyFill="1"/>
    <xf numFmtId="14" fontId="0" fillId="2" borderId="0" xfId="0" applyNumberFormat="1" applyFill="1"/>
    <xf numFmtId="166" fontId="0" fillId="4" borderId="0" xfId="0" applyNumberFormat="1" applyFill="1"/>
    <xf numFmtId="164" fontId="0" fillId="4" borderId="0" xfId="0" applyNumberFormat="1" applyFont="1" applyFill="1"/>
    <xf numFmtId="176" fontId="0" fillId="5" borderId="0" xfId="1" applyNumberFormat="1" applyFont="1" applyFill="1"/>
    <xf numFmtId="171" fontId="0" fillId="0" borderId="2" xfId="1" applyNumberFormat="1" applyFont="1" applyBorder="1"/>
    <xf numFmtId="0" fontId="0" fillId="0" borderId="3" xfId="0" applyBorder="1"/>
    <xf numFmtId="172" fontId="0" fillId="0" borderId="4" xfId="0" applyNumberFormat="1" applyBorder="1"/>
    <xf numFmtId="14" fontId="0" fillId="0" borderId="5" xfId="0" applyNumberFormat="1" applyBorder="1"/>
  </cellXfs>
  <cellStyles count="4">
    <cellStyle name="blp_column_header" xfId="3" xr:uid="{7E45C141-DC45-44C9-A945-11B318FEE6FC}"/>
    <cellStyle name="blp_datetime" xfId="2" xr:uid="{FBF863B6-B38E-4A5A-9EB5-7FA9B4DF5CDF}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Data...3155729628</v>
        <stp/>
        <stp>BDP|16992731541288536763</stp>
        <tr r="C47" s="3"/>
      </tp>
      <tp t="s">
        <v>#N/A Requesting Data...1639696837</v>
        <stp/>
        <stp>BDP|17441981385548469415</stp>
        <tr r="C147" s="3"/>
      </tp>
      <tp t="s">
        <v>#N/A Requesting Data...1913221632</v>
        <stp/>
        <stp>BDP|16823300664420383917</stp>
        <tr r="AF15" s="1"/>
        <tr r="C85" s="3"/>
      </tp>
      <tp t="s">
        <v>#N/A Requesting Data...1954532055</v>
        <stp/>
        <stp>BDP|16104534607308324160</stp>
        <tr r="C94" s="3"/>
      </tp>
      <tp t="s">
        <v>#N/A Requesting Data...1482027718</v>
        <stp/>
        <stp>BDP|14000381530049220788</stp>
        <tr r="I25" s="3"/>
      </tp>
      <tp t="s">
        <v>#N/A Requesting Data...3691723697</v>
        <stp/>
        <stp>BDP|13618062996597023700</stp>
        <tr r="C133" s="3"/>
      </tp>
      <tp t="s">
        <v>#N/A Requesting Data...1304036496</v>
        <stp/>
        <stp>BDP|17796553259829473542</stp>
        <tr r="AF5" s="1"/>
        <tr r="C74" s="3"/>
      </tp>
      <tp t="s">
        <v>#N/A Requesting Data...3513330003</v>
        <stp/>
        <stp>BDP|11686869327268789806</stp>
        <tr r="C93" s="3"/>
      </tp>
      <tp t="s">
        <v>#N/A Requesting Data...3388671834</v>
        <stp/>
        <stp>BDP|11254996630569760992</stp>
        <tr r="C125" s="3"/>
      </tp>
      <tp t="s">
        <v>#N/A Requesting Data...2305151974</v>
        <stp/>
        <stp>BDP|13612015264399033752</stp>
        <tr r="V10" s="1"/>
      </tp>
      <tp t="s">
        <v>#N/A Requesting Data...2098765324</v>
        <stp/>
        <stp>BDP|14079966014713726781</stp>
        <tr r="C127" s="3"/>
      </tp>
      <tp t="s">
        <v>#N/A Requesting Data...2333332787</v>
        <stp/>
        <stp>BDP|11610845028872276145</stp>
        <tr r="I29" s="3"/>
      </tp>
      <tp t="s">
        <v>#N/A Requesting Data...3995530022</v>
        <stp/>
        <stp>BDP|14672533486751855074</stp>
        <tr r="C124" s="3"/>
      </tp>
      <tp t="s">
        <v>#N/A Requesting Data...1391140872</v>
        <stp/>
        <stp>BDP|17211020683026650195</stp>
        <tr r="C138" s="3"/>
      </tp>
      <tp t="s">
        <v>#N/A Requesting Data...3482081210</v>
        <stp/>
        <stp>BDP|15922667237158126089</stp>
        <tr r="C39" s="3"/>
      </tp>
      <tp t="s">
        <v>#N/A Requesting Data...2286100432</v>
        <stp/>
        <stp>BDP|16094027085626196074</stp>
        <tr r="C11" s="3"/>
      </tp>
      <tp t="s">
        <v>#N/A Requesting Data...1970540860</v>
        <stp/>
        <stp>BDP|15407879862292613179</stp>
        <tr r="C137" s="3"/>
      </tp>
      <tp t="s">
        <v>#N/A Requesting Data...1295336086</v>
        <stp/>
        <stp>BDP|15985719489993665142</stp>
        <tr r="I6" s="3"/>
      </tp>
      <tp t="s">
        <v>#N/A Requesting Data...2799692971</v>
        <stp/>
        <stp>BDP|12763602035166936982</stp>
        <tr r="C148" s="3"/>
      </tp>
      <tp t="s">
        <v>1/1/2026</v>
        <stp/>
        <stp>BDP|18024206404748167547|22</stp>
        <stp>USSWIF10 Curncy</stp>
        <stp>SWAP_EFFECTIVE_DATE_RT</stp>
        <tr r="T7" s="1"/>
      </tp>
      <tp t="s">
        <v>#N/A Requesting Data...2533731207</v>
        <stp/>
        <stp>BDP|16166135517967557952</stp>
        <tr r="C132" s="3"/>
      </tp>
      <tp t="s">
        <v>#N/A Requesting Data...4031243140</v>
        <stp/>
        <stp>BDP|17940409158619316760</stp>
        <tr r="C142" s="3"/>
      </tp>
      <tp t="s">
        <v>#N/A Requesting Data...3253477041</v>
        <stp/>
        <stp>BDP|17216665397240952135</stp>
        <tr r="I17" s="3"/>
      </tp>
      <tp t="s">
        <v>#N/A Requesting Data...3197751905</v>
        <stp/>
        <stp>BDP|18019433634783990550</stp>
        <tr r="W12" s="1"/>
      </tp>
      <tp t="s">
        <v>#N/A Requesting Data...3234414167</v>
        <stp/>
        <stp>BDP|18103056307516801704</stp>
        <tr r="I26" s="3"/>
      </tp>
      <tp t="s">
        <v>#N/A Requesting Data...1886011336</v>
        <stp/>
        <stp>BDP|10391992824295341769</stp>
        <tr r="I39" s="3"/>
      </tp>
      <tp t="s">
        <v>#N/A Requesting Data...4104215391</v>
        <stp/>
        <stp>BDP|16844649074268040624</stp>
        <tr r="AE16" s="1"/>
      </tp>
      <tp t="s">
        <v>#N/A Requesting Data...3167783338</v>
        <stp/>
        <stp>BDP|10096235586877124490</stp>
        <tr r="I13" s="3"/>
      </tp>
      <tp t="s">
        <v>#N/A Requesting Data...1849625593</v>
        <stp/>
        <stp>BDP|10266403270799696389</stp>
        <tr r="C40" s="3"/>
      </tp>
      <tp t="s">
        <v>#N/A Requesting Data...3162347837</v>
        <stp/>
        <stp>BDP|11425990669214060384</stp>
        <tr r="I47" s="3"/>
      </tp>
      <tp t="s">
        <v>#N/A Requesting Data...1662256687</v>
        <stp/>
        <stp>BDP|10949768593410598761</stp>
        <tr r="I73" s="3"/>
      </tp>
      <tp t="s">
        <v>#N/A Requesting Data...3824768085</v>
        <stp/>
        <stp>BDP|10439160437642326946</stp>
        <tr r="AF16" s="1"/>
        <tr r="C86" s="3"/>
      </tp>
      <tp t="s">
        <v>#N/A Requesting Data...3567830231</v>
        <stp/>
        <stp>BDP|16882700591339832859</stp>
        <tr r="C111" s="3"/>
      </tp>
      <tp t="s">
        <v>#N/A Requesting Data...1951955005</v>
        <stp/>
        <stp>BDP|14170015680415757018</stp>
        <tr r="AE7" s="1"/>
      </tp>
      <tp t="s">
        <v>#N/A Requesting Data...3220611498</v>
        <stp/>
        <stp>BDP|17611243686320531382</stp>
        <tr r="I59" s="3"/>
      </tp>
      <tp t="s">
        <v>#N/A Requesting Data...3891626701</v>
        <stp/>
        <stp>BDP|11918829406737250071</stp>
        <tr r="I14" s="3"/>
      </tp>
      <tp t="s">
        <v>#N/A Requesting Data...3976775457</v>
        <stp/>
        <stp>BDP|16854832033436138544</stp>
        <tr r="C155" s="3"/>
      </tp>
      <tp t="s">
        <v>#N/A Requesting Data...3517235477</v>
        <stp/>
        <stp>BDP|17277042607970816970</stp>
        <tr r="C107" s="3"/>
      </tp>
      <tp t="s">
        <v>#N/A Requesting Data...4095013943</v>
        <stp/>
        <stp>BDP|17998578082714402060</stp>
        <tr r="C6" s="3"/>
      </tp>
      <tp t="s">
        <v>#N/A Requesting Data...3871002787</v>
        <stp/>
        <stp>BDP|10193350955170613871</stp>
        <tr r="C88" s="3"/>
      </tp>
      <tp t="s">
        <v>#N/A Requesting Data...1577650544</v>
        <stp/>
        <stp>BDP|18190172375590154027</stp>
        <tr r="W9" s="1"/>
      </tp>
      <tp t="s">
        <v>#N/A Requesting Data...1725755215</v>
        <stp/>
        <stp>BDP|15409909570243670676</stp>
        <tr r="C7" s="3"/>
      </tp>
      <tp t="s">
        <v>#N/A Requesting Data...2381189204</v>
        <stp/>
        <stp>BDP|15569719439659786703</stp>
        <tr r="C31" s="3"/>
      </tp>
      <tp t="s">
        <v>#N/A Requesting Data...2119412698</v>
        <stp/>
        <stp>BDP|13008418403139983145</stp>
        <tr r="I46" s="3"/>
      </tp>
      <tp t="s">
        <v>#N/A Requesting Data...2876396833</v>
        <stp/>
        <stp>BDP|15405122576505065908</stp>
        <tr r="V5" s="1"/>
      </tp>
      <tp t="s">
        <v>#N/A Requesting Data...3765943002</v>
        <stp/>
        <stp>BDP|17170955494088651062</stp>
        <tr r="AE15" s="1"/>
      </tp>
      <tp t="s">
        <v>#N/A Requesting Data...4097337710</v>
        <stp/>
        <stp>BDP|13376976025412533562</stp>
        <tr r="V13" s="1"/>
      </tp>
      <tp t="s">
        <v>#N/A Requesting Data...2361421271</v>
        <stp/>
        <stp>BDP|10161399052818535276</stp>
        <tr r="C51" s="3"/>
      </tp>
      <tp t="s">
        <v>#N/A Requesting Data...2739273994</v>
        <stp/>
        <stp>BDP|18169528328365199626</stp>
        <tr r="W13" s="1"/>
      </tp>
      <tp t="s">
        <v>#N/A Requesting Data...3443202116</v>
        <stp/>
        <stp>BDP|10201197039248094690</stp>
        <tr r="I9" s="3"/>
      </tp>
      <tp t="s">
        <v>#N/A Requesting Data...3967208950</v>
        <stp/>
        <stp>BDP|10089418345044912817</stp>
        <tr r="C154" s="3"/>
      </tp>
      <tp t="s">
        <v>#N/A Requesting Data...3293436360</v>
        <stp/>
        <stp>BDP|14277400349200350878</stp>
        <tr r="W10" s="1"/>
      </tp>
      <tp t="s">
        <v>#N/A Requesting Data...1948705772</v>
        <stp/>
        <stp>BDP|17122786846908926017</stp>
        <tr r="V9" s="1"/>
      </tp>
      <tp t="s">
        <v>#N/A Requesting Data...1595008380</v>
        <stp/>
        <stp>BDP|16368593729568206565</stp>
        <tr r="I27" s="3"/>
      </tp>
      <tp t="s">
        <v>#N/A Requesting Data...2911108425</v>
        <stp/>
        <stp>BDP|12771767702650217891</stp>
        <tr r="C122" s="3"/>
      </tp>
      <tp t="s">
        <v>#N/A Requesting Data...3352250463</v>
        <stp/>
        <stp>BDP|15688574989692869788</stp>
        <tr r="AE4" s="1"/>
      </tp>
      <tp t="s">
        <v>#N/A Requesting Data...4235706179</v>
        <stp/>
        <stp>BDP|10069874117551329525</stp>
        <tr r="AK10" s="1"/>
      </tp>
      <tp t="s">
        <v>#N/A Requesting Data...1636200737</v>
        <stp/>
        <stp>BDP|13723237952388691137</stp>
        <tr r="I60" s="3"/>
      </tp>
      <tp t="s">
        <v>#N/A Requesting Data...1970764072</v>
        <stp/>
        <stp>BDP|15792251865835196930</stp>
        <tr r="C61" s="3"/>
      </tp>
      <tp t="s">
        <v>#N/A Requesting Data...2390515348</v>
        <stp/>
        <stp>BDP|17348010560575754900</stp>
        <tr r="AF9" s="1"/>
        <tr r="C78" s="3"/>
      </tp>
      <tp t="s">
        <v>#N/A Requesting Data...2770978510</v>
        <stp/>
        <stp>BDP|13850828028222234643</stp>
        <tr r="AK12" s="1"/>
      </tp>
      <tp t="s">
        <v>#N/A Requesting Data...1862523809</v>
        <stp/>
        <stp>BDP|11843315733840319306</stp>
        <tr r="C30" s="3"/>
      </tp>
      <tp t="s">
        <v>#N/A Requesting Data...3391688847</v>
        <stp/>
        <stp>BDP|12539778833923851723</stp>
        <tr r="I4" s="3"/>
      </tp>
      <tp t="s">
        <v>#N/A Requesting Data...1548114766</v>
        <stp/>
        <stp>BDP|15948974743108575243</stp>
        <tr r="C139" s="3"/>
      </tp>
      <tp t="s">
        <v>#N/A Requesting Data...3014976389</v>
        <stp/>
        <stp>BDP|14510679863436763091</stp>
        <tr r="C120" s="3"/>
      </tp>
      <tp t="s">
        <v>#N/A Requesting Data...2691111969</v>
        <stp/>
        <stp>BDP|15423337468220010200</stp>
        <tr r="C48" s="3"/>
      </tp>
      <tp t="s">
        <v>#N/A Requesting Data...2674547222</v>
        <stp/>
        <stp>BDP|16554250964053323391</stp>
        <tr r="C140" s="3"/>
      </tp>
      <tp t="s">
        <v>#N/A Requesting Data...3331831747</v>
        <stp/>
        <stp>BDP|16592160652608667810</stp>
        <tr r="AF8" s="1"/>
        <tr r="C77" s="3"/>
      </tp>
      <tp t="s">
        <v>#N/A Requesting Data...1983549664</v>
        <stp/>
        <stp>BDP|17581209526214633130</stp>
        <tr r="I22" s="3"/>
      </tp>
      <tp t="s">
        <v>#N/A Requesting Data...3896097499</v>
        <stp/>
        <stp>BDP|17790067849286391665</stp>
        <tr r="C153" s="3"/>
      </tp>
      <tp t="s">
        <v>#N/A Requesting Data...2916895722</v>
        <stp/>
        <stp>BDP|13848414330300524717</stp>
        <tr r="C25" s="3"/>
      </tp>
      <tp t="s">
        <v>#N/A Requesting Data...1752808058</v>
        <stp/>
        <stp>BDP|14414742449277677333</stp>
        <tr r="I48" s="3"/>
      </tp>
      <tp t="s">
        <v>#N/A Requesting Data...1916959323</v>
        <stp/>
        <stp>BDP|10431525984949135731</stp>
        <tr r="AE6" s="1"/>
      </tp>
      <tp t="s">
        <v>#N/A Requesting Data...3791658991</v>
        <stp/>
        <stp>BDP|15245373431663059562</stp>
        <tr r="C45" s="3"/>
      </tp>
      <tp t="s">
        <v>#N/A Requesting Data...4159367953</v>
        <stp/>
        <stp>BDP|16400223992249703771</stp>
        <tr r="C36" s="3"/>
      </tp>
      <tp t="s">
        <v>#N/A Requesting Data...2395861803</v>
        <stp/>
        <stp>BDP|13306033102620776023</stp>
        <tr r="I56" s="3"/>
      </tp>
      <tp t="s">
        <v>#N/A Requesting Data...2476777605</v>
        <stp/>
        <stp>BDP|14212899810107505982</stp>
        <tr r="I35" s="3"/>
      </tp>
      <tp t="s">
        <v>#N/A Requesting Data...3271826261</v>
        <stp/>
        <stp>BDP|15868782608511683085</stp>
        <tr r="I11" s="3"/>
      </tp>
      <tp t="s">
        <v>#N/A Requesting Data...3055418831</v>
        <stp/>
        <stp>BDP|17979515276474716106</stp>
        <tr r="I71" s="3"/>
      </tp>
      <tp t="s">
        <v>#N/A Requesting Data...3196040688</v>
        <stp/>
        <stp>BDP|10778957143819306480</stp>
        <tr r="C71" s="3"/>
      </tp>
      <tp t="s">
        <v>#N/A Requesting Data...2691230505</v>
        <stp/>
        <stp>BDP|12688448013157483092</stp>
        <tr r="C63" s="3"/>
      </tp>
      <tp t="s">
        <v>#N/A Requesting Data...2951881577</v>
        <stp/>
        <stp>BDP|12731169093339220353</stp>
        <tr r="AF17" s="1"/>
        <tr r="C87" s="3"/>
      </tp>
      <tp t="s">
        <v>#N/A Requesting Data...2964728000</v>
        <stp/>
        <stp>BDP|12647196816636675482</stp>
        <tr r="C13" s="3"/>
      </tp>
      <tp t="s">
        <v>#N/A Requesting Data...3498493776</v>
        <stp/>
        <stp>BDP|11165722673805264442</stp>
        <tr r="V14" s="1"/>
      </tp>
      <tp t="s">
        <v>#N/A Requesting Data...3527318251</v>
        <stp/>
        <stp>BDP|15304390986719897723</stp>
        <tr r="I76" s="3"/>
      </tp>
      <tp t="s">
        <v>9/1/2026</v>
        <stp/>
        <stp>BDP|11495316686715134876|22</stp>
        <stp>USSWIF6 Curncy</stp>
        <stp>SWAP_EFFECTIVE_DATE_RT</stp>
        <tr r="T15" s="1"/>
      </tp>
      <tp t="s">
        <v>#N/A Requesting Data...3068373711</v>
        <stp/>
        <stp>BDP|17056094946115101730</stp>
        <tr r="C50" s="3"/>
      </tp>
      <tp t="s">
        <v>#N/A Requesting Data...3038358642</v>
        <stp/>
        <stp>BDP|12482341349384741022</stp>
        <tr r="C92" s="3"/>
      </tp>
      <tp t="s">
        <v>#N/A Requesting Data...1697728374</v>
        <stp/>
        <stp>BDP|10035372776576778398</stp>
        <tr r="C151" s="3"/>
      </tp>
      <tp t="s">
        <v>#N/A Requesting Data...4024827129</v>
        <stp/>
        <stp>BDP|10572518377996429593</stp>
        <tr r="C134" s="3"/>
      </tp>
      <tp t="s">
        <v>2/1/2026</v>
        <stp/>
        <stp>BDP|15053128436861195786|22</stp>
        <stp>USSWIF11 Curncy</stp>
        <stp>SWAP_EFFECTIVE_DATE_RT</stp>
        <tr r="T8" s="1"/>
      </tp>
      <tp t="s">
        <v>#N/A Requesting Data...2564773346</v>
        <stp/>
        <stp>BDP|14164033904596541345</stp>
        <tr r="C150" s="3"/>
      </tp>
      <tp t="s">
        <v>#N/A Requesting Data...4047553863</v>
        <stp/>
        <stp>BDP|10277563748234944425</stp>
        <tr r="C70" s="3"/>
      </tp>
      <tp t="s">
        <v>#N/A Requesting Data...1774150200</v>
        <stp/>
        <stp>BDP|15558992728378959052</stp>
        <tr r="C157" s="3"/>
      </tp>
      <tp t="s">
        <v>#N/A Requesting Data...1609285708</v>
        <stp/>
        <stp>BDP|16966155604549938892</stp>
        <tr r="V15" s="1"/>
      </tp>
      <tp t="s">
        <v>#N/A Requesting Data...2124957220</v>
        <stp/>
        <stp>BDP|16630171868172310578</stp>
        <tr r="C116" s="3"/>
      </tp>
      <tp t="s">
        <v>#N/A Requesting Data...2852890850</v>
        <stp/>
        <stp>BDP|14911167774876199256</stp>
        <tr r="AE11" s="1"/>
      </tp>
      <tp t="s">
        <v>#N/A Requesting Data...2345144129</v>
        <stp/>
        <stp>BDP|18140782390732147273</stp>
        <tr r="W6" s="1"/>
      </tp>
      <tp t="s">
        <v>#N/A Requesting Data...1989350400</v>
        <stp/>
        <stp>BDP|14358713536591913732</stp>
        <tr r="C156" s="3"/>
      </tp>
      <tp t="s">
        <v>#N/A Requesting Data...3918097732</v>
        <stp/>
        <stp>BDP|16141034773411586653</stp>
        <tr r="C33" s="3"/>
      </tp>
      <tp t="s">
        <v>#N/A Requesting Data...1816539478</v>
        <stp/>
        <stp>BDP|10200710664763406425</stp>
        <tr r="AE14" s="1"/>
      </tp>
      <tp t="s">
        <v>#N/A Requesting Data...2982775689</v>
        <stp/>
        <stp>BDP|12094558219224430496</stp>
        <tr r="I49" s="3"/>
      </tp>
      <tp t="s">
        <v>#N/A Requesting Data...4136682983</v>
        <stp/>
        <stp>BDP|16156359880729322243</stp>
        <tr r="C32" s="3"/>
      </tp>
      <tp t="s">
        <v>#N/A Requesting Data...2428000674</v>
        <stp/>
        <stp>BDP|15948321080311984908</stp>
        <tr r="I5" s="3"/>
      </tp>
      <tp t="s">
        <v>#N/A Requesting Data...3996310824</v>
        <stp/>
        <stp>BDP|17218052059356947231</stp>
        <tr r="I53" s="3"/>
      </tp>
      <tp t="s">
        <v>#N/A Requesting Data...2998108425</v>
        <stp/>
        <stp>BDP|16811994797920872091</stp>
        <tr r="I30" s="3"/>
      </tp>
      <tp t="s">
        <v>#N/A Requesting Data...2419100629</v>
        <stp/>
        <stp>BDP|14453384572801610619</stp>
        <tr r="I23" s="3"/>
      </tp>
      <tp t="s">
        <v>#N/A Requesting Data...3023863129</v>
        <stp/>
        <stp>BDP|14133672355676181691</stp>
        <tr r="AF11" s="1"/>
        <tr r="C80" s="3"/>
      </tp>
      <tp t="s">
        <v>#N/A Requesting Data...3616864427</v>
        <stp/>
        <stp>BDP|14412490661036598757</stp>
        <tr r="W14" s="1"/>
      </tp>
      <tp t="s">
        <v>#N/A Requesting Data...2720094406</v>
        <stp/>
        <stp>BDP|15170971991113066182</stp>
        <tr r="C52" s="3"/>
      </tp>
      <tp t="s">
        <v>#N/A Requesting Data...2586180194</v>
        <stp/>
        <stp>BDP|13697562200646106730</stp>
        <tr r="C95" s="3"/>
      </tp>
      <tp t="s">
        <v>#N/A Requesting Data...2859135863</v>
        <stp/>
        <stp>BDP|15636417672138478943</stp>
        <tr r="C10" s="3"/>
      </tp>
      <tp t="s">
        <v>#N/A Requesting Data...2123700646</v>
        <stp/>
        <stp>BDP|16484417675794106582</stp>
        <tr r="I3" s="3"/>
      </tp>
      <tp t="s">
        <v>#N/A Requesting Data...4254173888</v>
        <stp/>
        <stp>BDP|12975895672638204195</stp>
        <tr r="C114" s="3"/>
      </tp>
      <tp t="s">
        <v>#N/A Requesting Data...2925029613</v>
        <stp/>
        <stp>BDP|11600197301772388656</stp>
        <tr r="C118" s="3"/>
      </tp>
      <tp t="s">
        <v>#N/A Requesting Data...2581434718</v>
        <stp/>
        <stp>BDP|13197414718614244628</stp>
        <tr r="I52" s="3"/>
      </tp>
      <tp t="s">
        <v>#N/A Requesting Data...3786355680</v>
        <stp/>
        <stp>BDP|16134319015750831018</stp>
        <tr r="C12" s="3"/>
      </tp>
      <tp t="s">
        <v>#N/A Requesting Data...2225596875</v>
        <stp/>
        <stp>BDP|13916844794424712219</stp>
        <tr r="I70" s="3"/>
      </tp>
      <tp t="s">
        <v>#N/A Requesting Data...2344655958</v>
        <stp/>
        <stp>BDP|13001255852371146195</stp>
        <tr r="C18" s="3"/>
      </tp>
      <tp t="s">
        <v>#N/A Requesting Data...3535902662</v>
        <stp/>
        <stp>BDP|10472707553534432264</stp>
        <tr r="C46" s="3"/>
      </tp>
      <tp t="s">
        <v>#N/A Requesting Data...3338129071</v>
        <stp/>
        <stp>BDP|13672224711066528251</stp>
        <tr r="C131" s="3"/>
      </tp>
      <tp t="s">
        <v>#N/A Requesting Data...3673268608</v>
        <stp/>
        <stp>BDP|12536746671673215567</stp>
        <tr r="AK4" s="1"/>
      </tp>
      <tp t="s">
        <v>4/1/2026</v>
        <stp/>
        <stp>BDP|12877192853191719630|22</stp>
        <stp>USSWIF1 Curncy</stp>
        <stp>SWAP_EFFECTIVE_DATE_RT</stp>
        <tr r="T10" s="1"/>
      </tp>
      <tp t="s">
        <v>#N/A Requesting Data...3975269209</v>
        <stp/>
        <stp>BDP|15629013929185250743</stp>
        <tr r="AF13" s="1"/>
        <tr r="C82" s="3"/>
      </tp>
      <tp t="s">
        <v>#N/A Requesting Data...3685061926</v>
        <stp/>
        <stp>BDP|15561826719479490000</stp>
        <tr r="I32" s="3"/>
      </tp>
      <tp t="s">
        <v>#N/A Requesting Data...3031719355</v>
        <stp/>
        <stp>BDP|11603244106841953730</stp>
        <tr r="C113" s="3"/>
      </tp>
      <tp t="s">
        <v>#N/A Requesting Data...4275407078</v>
        <stp/>
        <stp>BDP|10982893394443299785</stp>
        <tr r="W7" s="1"/>
      </tp>
      <tp t="s">
        <v>#N/A Requesting Data...1821346841</v>
        <stp/>
        <stp>BDP|16846227505238851942</stp>
        <tr r="I66" s="3"/>
      </tp>
      <tp t="s">
        <v>#N/A Requesting Data...3312192108</v>
        <stp/>
        <stp>BDP|12955848023335935850</stp>
        <tr r="V11" s="1"/>
      </tp>
      <tp t="s">
        <v>#N/A Requesting Data...1947949182</v>
        <stp/>
        <stp>BDP|15789438722520061638</stp>
        <tr r="C56" s="3"/>
      </tp>
      <tp t="s">
        <v>#N/A Requesting Data...2574227802</v>
        <stp/>
        <stp>BDP|16132012335723119300</stp>
        <tr r="I51" s="3"/>
      </tp>
      <tp t="s">
        <v>#N/A Requesting Data...3991338997</v>
        <stp/>
        <stp>BDP|13223727566213658474</stp>
        <tr r="C4" s="3"/>
      </tp>
      <tp t="s">
        <v>3/1/2026</v>
        <stp/>
        <stp>BDP|9129543431975639621|22</stp>
        <stp>USSWIF12 Curncy</stp>
        <stp>SWAP_EFFECTIVE_DATE_RT</stp>
        <tr r="T9" s="1"/>
      </tp>
      <tp t="s">
        <v>5/1/2026</v>
        <stp/>
        <stp>BDP|903597428535209691|22</stp>
        <stp>USSWIF2 Curncy</stp>
        <stp>SWAP_EFFECTIVE_DATE_RT</stp>
        <tr r="T11" s="1"/>
      </tp>
      <tp t="s">
        <v>#N/A Requesting Data...4222387547</v>
        <stp/>
        <stp>BDP|8883858632779658642</stp>
        <tr r="C35" s="3"/>
      </tp>
      <tp t="s">
        <v>#N/A Requesting Data...1998722045</v>
        <stp/>
        <stp>BDP|3086350895877252240</stp>
        <tr r="C16" s="3"/>
      </tp>
      <tp t="s">
        <v>#N/A Requesting Data...4027395473</v>
        <stp/>
        <stp>BDP|8438578538283438076</stp>
        <tr r="C141" s="3"/>
      </tp>
      <tp t="s">
        <v>#N/A Requesting Data...2827512856</v>
        <stp/>
        <stp>BDP|6588650681734761183</stp>
        <tr r="C27" s="3"/>
      </tp>
      <tp t="s">
        <v>#N/A Requesting Data...1802688589</v>
        <stp/>
        <stp>BDP|3444084880003121533</stp>
        <tr r="C60" s="3"/>
      </tp>
      <tp t="s">
        <v>#N/A Requesting Data...2077781147</v>
        <stp/>
        <stp>BDP|6909868581922049918</stp>
        <tr r="C110" s="3"/>
      </tp>
      <tp t="s">
        <v>#N/A Requesting Data...2145238789</v>
        <stp/>
        <stp>BDP|1445557879826346863</stp>
        <tr r="I40" s="3"/>
      </tp>
      <tp t="s">
        <v>#N/A Requesting Data...1799827062</v>
        <stp/>
        <stp>BDP|9950524043497247294</stp>
        <tr r="C136" s="3"/>
      </tp>
      <tp t="s">
        <v>#N/A Requesting Data...3826590396</v>
        <stp/>
        <stp>BDP|9710156432571566758</stp>
        <tr r="I37" s="3"/>
      </tp>
      <tp t="s">
        <v>#N/A Requesting Data...2909310914</v>
        <stp/>
        <stp>BDP|5663303020590277926</stp>
        <tr r="C98" s="3"/>
      </tp>
      <tp t="s">
        <v>#N/A Requesting Data...2194150963</v>
        <stp/>
        <stp>BDP|2199406980220213375</stp>
        <tr r="C5" s="3"/>
      </tp>
      <tp t="s">
        <v>#N/A Requesting Data...4061016005</v>
        <stp/>
        <stp>BDP|4217561534179612625</stp>
        <tr r="C58" s="3"/>
      </tp>
      <tp t="s">
        <v>#N/A Requesting Data...3300629138</v>
        <stp/>
        <stp>BDP|2180948075766112744</stp>
        <tr r="C130" s="3"/>
      </tp>
      <tp t="s">
        <v>#N/A Requesting Data...3093790700</v>
        <stp/>
        <stp>BDP|7901956006278721869</stp>
        <tr r="C104" s="3"/>
      </tp>
      <tp t="s">
        <v>#N/A Requesting Data...4268758088</v>
        <stp/>
        <stp>BDP|7411893423245165667</stp>
        <tr r="C2" s="3"/>
      </tp>
      <tp t="s">
        <v>#N/A Requesting Data...2718582398</v>
        <stp/>
        <stp>BDP|5391621699753663705</stp>
        <tr r="C100" s="3"/>
      </tp>
      <tp t="s">
        <v>#N/A Requesting Data...3479847780</v>
        <stp/>
        <stp>BDP|1569781952234888993</stp>
        <tr r="V8" s="1"/>
      </tp>
      <tp t="s">
        <v>#N/A Requesting Data...3718896850</v>
        <stp/>
        <stp>BDP|4672226517939820059</stp>
        <tr r="C117" s="3"/>
      </tp>
      <tp t="s">
        <v>#N/A Requesting Data...2263922935</v>
        <stp/>
        <stp>BDP|3800842490174647867</stp>
        <tr r="C109" s="3"/>
      </tp>
      <tp t="s">
        <v>#N/A Requesting Data...3058710068</v>
        <stp/>
        <stp>BDP|5709225380357404601</stp>
        <tr r="C149" s="3"/>
      </tp>
      <tp t="s">
        <v>#N/A Requesting Data...2881581373</v>
        <stp/>
        <stp>BDP|5085189328000745819</stp>
        <tr r="C112" s="3"/>
      </tp>
      <tp t="s">
        <v>#N/A Requesting Data...3038890494</v>
        <stp/>
        <stp>BDP|9382709674166745175</stp>
        <tr r="AE5" s="1"/>
      </tp>
      <tp t="s">
        <v>#N/A Requesting Data...3043669962</v>
        <stp/>
        <stp>BDP|2340626784505790767</stp>
        <tr r="I64" s="3"/>
      </tp>
      <tp t="s">
        <v>#N/A Requesting Data...3599936394</v>
        <stp/>
        <stp>BDP|8152802095095796271</stp>
        <tr r="C146" s="3"/>
      </tp>
      <tp t="s">
        <v>#N/A Requesting Data...2177832124</v>
        <stp/>
        <stp>BDP|9651250663630176343</stp>
        <tr r="W8" s="1"/>
      </tp>
      <tp t="s">
        <v>#N/A Requesting Data...4009122505</v>
        <stp/>
        <stp>BDP|5586141029318235107</stp>
        <tr r="I8" s="3"/>
      </tp>
      <tp t="s">
        <v>#N/A Requesting Data...2826817992</v>
        <stp/>
        <stp>BDP|3942884404210820458</stp>
        <tr r="I67" s="3"/>
      </tp>
      <tp t="s">
        <v>#N/A Requesting Data...2299646328</v>
        <stp/>
        <stp>BDP|3410021422558947640</stp>
        <tr r="I41" s="3"/>
      </tp>
      <tp t="s">
        <v>#N/A Requesting Data...1803241645</v>
        <stp/>
        <stp>BDP|7821635165939358110</stp>
        <tr r="AF6" s="1"/>
        <tr r="C75" s="3"/>
      </tp>
      <tp t="s">
        <v>#N/A Requesting Data...3316773881</v>
        <stp/>
        <stp>BDP|8099192118667719026</stp>
        <tr r="C42" s="3"/>
      </tp>
      <tp t="s">
        <v>#N/A Requesting Data...3899736741</v>
        <stp/>
        <stp>BDP|7564342032061205950</stp>
        <tr r="C145" s="3"/>
      </tp>
      <tp t="s">
        <v>#N/A Requesting Data...3091965159</v>
        <stp/>
        <stp>BDP|6558427909622035868</stp>
        <tr r="C15" s="3"/>
      </tp>
      <tp t="s">
        <v>#N/A Requesting Data...3445324269</v>
        <stp/>
        <stp>BDP|9888060838461771394</stp>
        <tr r="V4" s="1"/>
      </tp>
      <tp t="s">
        <v>#N/A Requesting Data...4177211298</v>
        <stp/>
        <stp>BDP|8314771832905317181</stp>
        <tr r="C128" s="3"/>
      </tp>
      <tp t="s">
        <v>#N/A Requesting Data...3169112536</v>
        <stp/>
        <stp>BDP|1996573356248002191</stp>
        <tr r="AK5" s="1"/>
      </tp>
      <tp t="s">
        <v>#N/A Requesting Data...4211469348</v>
        <stp/>
        <stp>BDP|4081049616208229565</stp>
        <tr r="C20" s="3"/>
      </tp>
      <tp t="s">
        <v>#N/A Requesting Data...2971837175</v>
        <stp/>
        <stp>BDP|1377186698529462809</stp>
        <tr r="I75" s="3"/>
      </tp>
      <tp t="s">
        <v>#N/A N/A</v>
        <stp/>
        <stp>BDH|1928780872019042065</stp>
        <tr r="K3" s="1"/>
      </tp>
      <tp t="s">
        <v>#N/A Requesting Data...2330350238</v>
        <stp/>
        <stp>BDP|5083165645249889039</stp>
        <tr r="C91" s="3"/>
      </tp>
      <tp t="s">
        <v>#N/A Requesting Data...3942818857</v>
        <stp/>
        <stp>BDP|4536059193783666790</stp>
        <tr r="C135" s="3"/>
      </tp>
      <tp t="s">
        <v>#N/A Requesting Data...3597557928</v>
        <stp/>
        <stp>BDP|1058017446765192947</stp>
        <tr r="W15" s="1"/>
      </tp>
      <tp t="s">
        <v>#N/A Requesting Data...3868496070</v>
        <stp/>
        <stp>BDP|4749656183205678650</stp>
        <tr r="C38" s="3"/>
      </tp>
      <tp t="s">
        <v>#N/A Requesting Data...3957371331</v>
        <stp/>
        <stp>BDP|8594765946847731528</stp>
        <tr r="I16" s="3"/>
      </tp>
      <tp t="s">
        <v>#N/A Requesting Data...3816045867</v>
        <stp/>
        <stp>BDP|9272224747107497120</stp>
        <tr r="I54" s="3"/>
      </tp>
      <tp t="s">
        <v>#N/A Requesting Data...2857712296</v>
        <stp/>
        <stp>BDP|1041774784140013721</stp>
        <tr r="C64" s="3"/>
      </tp>
      <tp t="s">
        <v>#N/A Requesting Data...3844679912</v>
        <stp/>
        <stp>BDP|1031635446673217915</stp>
        <tr r="I50" s="3"/>
      </tp>
      <tp t="s">
        <v>#N/A Requesting Data...3278825620</v>
        <stp/>
        <stp>BDP|9518744973899580904</stp>
        <tr r="C54" s="3"/>
      </tp>
      <tp t="s">
        <v>#N/A Requesting Data...1980003713</v>
        <stp/>
        <stp>BDP|5406820151140268124</stp>
        <tr r="I63" s="3"/>
      </tp>
      <tp t="s">
        <v>#N/A Requesting Data...3590148727</v>
        <stp/>
        <stp>BDP|1694830350593957686</stp>
        <tr r="I62" s="3"/>
      </tp>
      <tp t="s">
        <v>#N/A Requesting Data...3860207447</v>
        <stp/>
        <stp>BDP|7500666667194702990</stp>
        <tr r="C66" s="3"/>
      </tp>
      <tp t="s">
        <v>#N/A Requesting Data...3906609083</v>
        <stp/>
        <stp>BDP|3833953673663160479</stp>
        <tr r="C69" s="3"/>
      </tp>
      <tp t="s">
        <v>#N/A Requesting Data...2189826928</v>
        <stp/>
        <stp>BDP|9567701714471945402</stp>
        <tr r="I20" s="3"/>
      </tp>
      <tp t="s">
        <v>#N/A Requesting Data...2805831966</v>
        <stp/>
        <stp>BDP|6985157280997075252</stp>
        <tr r="C53" s="3"/>
      </tp>
      <tp t="s">
        <v>#N/A Requesting Data...2839812448</v>
        <stp/>
        <stp>BDP|2456785810019057752</stp>
        <tr r="C99" s="3"/>
      </tp>
      <tp t="s">
        <v>#N/A Requesting Data...2492231010</v>
        <stp/>
        <stp>BDP|9838492126827038280</stp>
        <tr r="C8" s="3"/>
      </tp>
      <tp t="s">
        <v>#N/A Requesting Data...3372322538</v>
        <stp/>
        <stp>BDP|8937076405480531228</stp>
        <tr r="I44" s="3"/>
      </tp>
      <tp t="s">
        <v>#N/A Requesting Data...2132057435</v>
        <stp/>
        <stp>BDP|7712524477676613982</stp>
        <tr r="I57" s="3"/>
      </tp>
      <tp t="s">
        <v>#N/A Requesting Data...2306787797</v>
        <stp/>
        <stp>BDP|1719299799386153607</stp>
        <tr r="AK7" s="1"/>
      </tp>
      <tp t="s">
        <v>#N/A Requesting Data...3688279456</v>
        <stp/>
        <stp>BDP|1429354032568056352</stp>
        <tr r="C24" s="3"/>
      </tp>
      <tp t="s">
        <v>#N/A Requesting Data...2014779700</v>
        <stp/>
        <stp>BDP|8014457710991160601</stp>
        <tr r="I28" s="3"/>
      </tp>
      <tp t="s">
        <v>#N/A Requesting Data...2608679417</v>
        <stp/>
        <stp>BDP|3033880618804365593</stp>
        <tr r="C121" s="3"/>
      </tp>
      <tp t="s">
        <v>#N/A Requesting Data...2218831786</v>
        <stp/>
        <stp>BDP|1706011192993813054</stp>
        <tr r="C96" s="3"/>
      </tp>
      <tp t="s">
        <v>#N/A Requesting Data...3902673546</v>
        <stp/>
        <stp>BDP|4435771694765996413</stp>
        <tr r="C83" s="3"/>
      </tp>
      <tp t="s">
        <v>#N/A Requesting Data...3995768507</v>
        <stp/>
        <stp>BDP|8140233211939841992</stp>
        <tr r="AK6" s="1"/>
      </tp>
      <tp t="s">
        <v>#N/A Requesting Data...1860865594</v>
        <stp/>
        <stp>BDP|1861014768014580864</stp>
        <tr r="C89" s="3"/>
      </tp>
      <tp t="s">
        <v>#N/A Requesting Data...4154094432</v>
        <stp/>
        <stp>BDP|7491589793132824247</stp>
        <tr r="AE9" s="1"/>
      </tp>
      <tp t="s">
        <v>#N/A Requesting Data...3249376567</v>
        <stp/>
        <stp>BDP|8239565527673146722</stp>
        <tr r="C144" s="3"/>
      </tp>
      <tp t="s">
        <v>#N/A Requesting Data...2191544811</v>
        <stp/>
        <stp>BDP|8403458650990508239</stp>
        <tr r="C59" s="3"/>
      </tp>
      <tp t="s">
        <v>#N/A Requesting Data...3632365611</v>
        <stp/>
        <stp>BDP|9839159273063333794</stp>
        <tr r="C29" s="3"/>
      </tp>
      <tp t="s">
        <v>#N/A Requesting Data...2313851979</v>
        <stp/>
        <stp>BDP|6567984001629018265</stp>
        <tr r="C162" s="3"/>
      </tp>
      <tp t="s">
        <v>#N/A Requesting Data...3709742789</v>
        <stp/>
        <stp>BDP|1818082544567658696</stp>
        <tr r="I36" s="3"/>
      </tp>
      <tp t="s">
        <v>#N/A Requesting Data...2701236434</v>
        <stp/>
        <stp>BDP|6993846849007577980</stp>
        <tr r="I43" s="3"/>
      </tp>
      <tp t="s">
        <v>#N/A Requesting Data...2634252600</v>
        <stp/>
        <stp>BDP|4351081083971715968</stp>
        <tr r="C68" s="3"/>
      </tp>
      <tp t="s">
        <v>#N/A Requesting Data...2835094208</v>
        <stp/>
        <stp>BDP|1704371763125928545</stp>
        <tr r="C43" s="3"/>
      </tp>
      <tp t="s">
        <v>#N/A Requesting Data...2766958322</v>
        <stp/>
        <stp>BDP|2814041733612431765</stp>
        <tr r="C105" s="3"/>
      </tp>
      <tp t="s">
        <v>#N/A Requesting Data...1866084703</v>
        <stp/>
        <stp>BDP|7829998593746821592</stp>
        <tr r="C102" s="3"/>
      </tp>
      <tp t="s">
        <v>#N/A Requesting Data...1977967483</v>
        <stp/>
        <stp>BDP|6258056741615792371</stp>
        <tr r="C106" s="3"/>
      </tp>
      <tp t="s">
        <v>#N/A Requesting Data...1907974004</v>
        <stp/>
        <stp>BDP|4617042838635235721</stp>
        <tr r="C152" s="3"/>
      </tp>
      <tp t="s">
        <v>#N/A Requesting Data...3221394326</v>
        <stp/>
        <stp>BDP|1240404019180728146</stp>
        <tr r="C65" s="3"/>
      </tp>
      <tp t="s">
        <v>#N/A Requesting Data...3260218647</v>
        <stp/>
        <stp>BDP|2330938495090261788</stp>
        <tr r="AK8" s="1"/>
      </tp>
      <tp t="s">
        <v>#N/A Requesting Data...2596751629</v>
        <stp/>
        <stp>BDP|8465946647526914636</stp>
        <tr r="I42" s="3"/>
      </tp>
      <tp t="s">
        <v>#N/A Requesting Data...4174684462</v>
        <stp/>
        <stp>BDP|9950496650399002439</stp>
        <tr r="C123" s="3"/>
      </tp>
      <tp t="s">
        <v>#N/A Requesting Data...3040604761</v>
        <stp/>
        <stp>BDP|2667683450453794790</stp>
        <tr r="C115" s="3"/>
      </tp>
      <tp t="s">
        <v>#N/A Requesting Data...2701293268</v>
        <stp/>
        <stp>BDP|7273482579447089634</stp>
        <tr r="I10" s="3"/>
      </tp>
      <tp t="s">
        <v>#N/A Requesting Data...3589535068</v>
        <stp/>
        <stp>BDP|5025328525011211047</stp>
        <tr r="C34" s="3"/>
      </tp>
      <tp t="s">
        <v>#N/A Requesting Data...3794355669</v>
        <stp/>
        <stp>BDP|3834658410891383085</stp>
        <tr r="C9" s="3"/>
      </tp>
      <tp t="s">
        <v>#N/A Requesting Data...2555278291</v>
        <stp/>
        <stp>BDP|5204453854055475411</stp>
        <tr r="C72" s="3"/>
      </tp>
      <tp t="s">
        <v>#N/A Requesting Data...2790422120</v>
        <stp/>
        <stp>BDP|4788424420704423360</stp>
        <tr r="W5" s="1"/>
      </tp>
      <tp t="s">
        <v>#N/A Requesting Data...2470929154</v>
        <stp/>
        <stp>BDP|7184509443593036063</stp>
        <tr r="I18" s="3"/>
      </tp>
      <tp t="s">
        <v>#N/A Requesting Data...2987892223</v>
        <stp/>
        <stp>BDP|4409571100871585532</stp>
        <tr r="AF4" s="1"/>
        <tr r="C73" s="3"/>
      </tp>
      <tp t="s">
        <v>#N/A Requesting Data...3011657820</v>
        <stp/>
        <stp>BDP|9147095673928589078</stp>
        <tr r="I24" s="3"/>
      </tp>
      <tp t="s">
        <v>#N/A Requesting Data...3010194367</v>
        <stp/>
        <stp>BDP|6751685416204293341</stp>
        <tr r="C159" s="3"/>
      </tp>
      <tp t="s">
        <v>#N/A Requesting Data...2380126017</v>
        <stp/>
        <stp>BDP|2646981305435776837</stp>
        <tr r="I38" s="3"/>
      </tp>
      <tp t="s">
        <v>#N/A Requesting Data...3609990263</v>
        <stp/>
        <stp>BDP|5538226760447497012</stp>
        <tr r="I15" s="3"/>
      </tp>
      <tp t="s">
        <v>#N/A Requesting Data...4208334264</v>
        <stp/>
        <stp>BDP|4410242283930284836</stp>
        <tr r="C108" s="3"/>
      </tp>
      <tp t="s">
        <v>#N/A Requesting Data...4035478997</v>
        <stp/>
        <stp>BDP|5599646844690725120</stp>
        <tr r="V7" s="1"/>
      </tp>
      <tp t="s">
        <v>#N/A Requesting Data...2829535929</v>
        <stp/>
        <stp>BDP|7323562495194409926</stp>
        <tr r="AE8" s="1"/>
      </tp>
      <tp t="s">
        <v>#N/A Requesting Data...3264035869</v>
        <stp/>
        <stp>BDP|4433046404986412449</stp>
        <tr r="C158" s="3"/>
      </tp>
      <tp t="s">
        <v>#N/A Requesting Data...3312136990</v>
        <stp/>
        <stp>BDP|2382374971599643898</stp>
        <tr r="C26" s="3"/>
      </tp>
      <tp t="s">
        <v>#N/A Requesting Data...3451448050</v>
        <stp/>
        <stp>BDP|5510498631210704517</stp>
        <tr r="AF14" s="1"/>
        <tr r="C84" s="3"/>
      </tp>
      <tp t="s">
        <v>#N/A Requesting Data...3066656999</v>
        <stp/>
        <stp>BDP|9026898305143148551</stp>
        <tr r="V6" s="1"/>
      </tp>
      <tp t="s">
        <v>#N/A Requesting Data...2201713113</v>
        <stp/>
        <stp>BDP|7449967289015704458</stp>
        <tr r="I34" s="3"/>
      </tp>
      <tp t="s">
        <v>#N/A Requesting Data...1978872656</v>
        <stp/>
        <stp>BDP|7128217049024788278</stp>
        <tr r="C126" s="3"/>
      </tp>
      <tp t="s">
        <v>#N/A Requesting Data...3462485681</v>
        <stp/>
        <stp>BDP|1225789237812079036</stp>
        <tr r="AK13" s="1"/>
      </tp>
      <tp t="s">
        <v>#N/A Requesting Data...1946002533</v>
        <stp/>
        <stp>BDP|2688398335815461032</stp>
        <tr r="I72" s="3"/>
      </tp>
      <tp t="s">
        <v>#N/A Requesting Data...4235038550</v>
        <stp/>
        <stp>BDP|5407744553420709092</stp>
        <tr r="I45" s="3"/>
      </tp>
      <tp t="s">
        <v>#N/A Requesting Data...2427692396</v>
        <stp/>
        <stp>BDP|3301994951851485995</stp>
        <tr r="C103" s="3"/>
      </tp>
      <tp t="s">
        <v>#N/A Requesting Data...4203364516</v>
        <stp/>
        <stp>BDP|1715692313415242487</stp>
        <tr r="AE10" s="1"/>
      </tp>
      <tp t="s">
        <v>#N/A Requesting Data...3478381088</v>
        <stp/>
        <stp>BDP|7787511640980270100</stp>
        <tr r="C19" s="3"/>
      </tp>
      <tp t="s">
        <v>#N/A Requesting Data...3041044922</v>
        <stp/>
        <stp>BDP|5881769373931552438</stp>
        <tr r="C37" s="3"/>
      </tp>
      <tp t="s">
        <v>#N/A Requesting Data...3979539860</v>
        <stp/>
        <stp>BDP|8775887083928455015</stp>
        <tr r="I65" s="3"/>
      </tp>
      <tp t="s">
        <v>#N/A Requesting Data...2304731951</v>
        <stp/>
        <stp>BDP|2999354362923182419</stp>
        <tr r="C119" s="3"/>
      </tp>
      <tp t="s">
        <v>#N/A Requesting Data...2984894505</v>
        <stp/>
        <stp>BDP|7144957155592866969</stp>
        <tr r="I7" s="3"/>
      </tp>
      <tp t="s">
        <v>#N/A Requesting Data...2238903263</v>
        <stp/>
        <stp>BDP|7376321538937352077</stp>
        <tr r="I31" s="3"/>
      </tp>
      <tp t="s">
        <v>#N/A Requesting Data...3639886418</v>
        <stp/>
        <stp>BDP|6067526931230468040</stp>
        <tr r="C41" s="3"/>
      </tp>
      <tp t="s">
        <v>#N/A Requesting Data...2646798338</v>
        <stp/>
        <stp>BDP|4583763296699195352</stp>
        <tr r="C90" s="3"/>
      </tp>
      <tp t="s">
        <v>#N/A Requesting Data...3598830917</v>
        <stp/>
        <stp>BDP|9013230294690428273</stp>
        <tr r="V12" s="1"/>
      </tp>
      <tp t="s">
        <v>#N/A Requesting Data...3267410995</v>
        <stp/>
        <stp>BDP|2884216262693648467</stp>
        <tr r="C101" s="3"/>
      </tp>
      <tp t="s">
        <v>#N/A Requesting Data...1990406057</v>
        <stp/>
        <stp>BDP|6653931085044954226</stp>
        <tr r="C49" s="3"/>
      </tp>
      <tp t="s">
        <v>#N/A Requesting Data...3034322624</v>
        <stp/>
        <stp>BDP|8816274015493202973</stp>
        <tr r="AE17" s="1"/>
      </tp>
      <tp t="s">
        <v>#N/A Requesting Data...2601480253</v>
        <stp/>
        <stp>BDP|4442406327391170217</stp>
        <tr r="I69" s="3"/>
      </tp>
      <tp t="s">
        <v>#N/A Requesting Data...3740624920</v>
        <stp/>
        <stp>BDP|2160522543402219031</stp>
        <tr r="C44" s="3"/>
      </tp>
      <tp t="s">
        <v>#N/A Requesting Data...4257420180</v>
        <stp/>
        <stp>BDP|8134386539959622001</stp>
        <tr r="I12" s="3"/>
      </tp>
      <tp t="s">
        <v>#N/A Requesting Data...4152688725</v>
        <stp/>
        <stp>BDP|5175596859875743108</stp>
        <tr r="C160" s="3"/>
      </tp>
      <tp t="s">
        <v>#N/A Requesting Data...3055398047</v>
        <stp/>
        <stp>BDP|6213448269441194717</stp>
        <tr r="I33" s="3"/>
      </tp>
      <tp t="s">
        <v>#N/A Requesting Data...2712553546</v>
        <stp/>
        <stp>BDP|9203340293449607800</stp>
        <tr r="W4" s="1"/>
      </tp>
      <tp t="s">
        <v>#N/A Requesting Data...2437002915</v>
        <stp/>
        <stp>BDP|1674630257287785748</stp>
        <tr r="C21" s="3"/>
      </tp>
      <tp t="s">
        <v>#N/A Requesting Data...3074447044</v>
        <stp/>
        <stp>BDP|6722538765332235541</stp>
        <tr r="I79" s="3"/>
      </tp>
      <tp t="s">
        <v>#N/A Requesting Data...2848948934</v>
        <stp/>
        <stp>BDP|4321930751773162948</stp>
        <tr r="C143" s="3"/>
      </tp>
      <tp t="s">
        <v>#N/A Requesting Data...2362402499</v>
        <stp/>
        <stp>BDP|2465770666370232132</stp>
        <tr r="AF12" s="1"/>
        <tr r="C81" s="3"/>
      </tp>
      <tp t="s">
        <v>#N/A Requesting Data...3353025422</v>
        <stp/>
        <stp>BDP|3614236909801232351</stp>
        <tr r="AF10" s="1"/>
        <tr r="C79" s="3"/>
      </tp>
      <tp t="s">
        <v>#N/A Requesting Data...2790290660</v>
        <stp/>
        <stp>BDP|9264525602047863819</stp>
        <tr r="C129" s="3"/>
      </tp>
      <tp t="s">
        <v>#N/A Requesting Data...3323650869</v>
        <stp/>
        <stp>BDP|3022564266265232698</stp>
        <tr r="C22" s="3"/>
      </tp>
      <tp t="s">
        <v>#N/A Requesting Data...2611102992</v>
        <stp/>
        <stp>BDP|3065289322003110341</stp>
        <tr r="C17" s="3"/>
      </tp>
      <tp t="s">
        <v>#N/A Requesting Data...2951793352</v>
        <stp/>
        <stp>BDP|3488562983458433575</stp>
        <tr r="C97" s="3"/>
      </tp>
      <tp t="s">
        <v>#N/A Requesting Data...4261613614</v>
        <stp/>
        <stp>BDP|8883686451619078120</stp>
        <tr r="I78" s="3"/>
      </tp>
      <tp t="s">
        <v>#N/A Requesting Data...3779344500</v>
        <stp/>
        <stp>BDP|3169607923705567144</stp>
        <tr r="AE12" s="1"/>
      </tp>
      <tp t="s">
        <v>#N/A Requesting Data...4067549513</v>
        <stp/>
        <stp>BDP|5066211127374524238</stp>
        <tr r="C23" s="3"/>
      </tp>
      <tp t="s">
        <v>#N/A Requesting Data...3020386381</v>
        <stp/>
        <stp>BDP|4981558656002856539</stp>
        <tr r="AF7" s="1"/>
        <tr r="C76" s="3"/>
      </tp>
      <tp t="s">
        <v>#N/A Requesting Data...4157995243</v>
        <stp/>
        <stp>BDP|1175608250980429144</stp>
        <tr r="AK11" s="1"/>
      </tp>
      <tp t="s">
        <v>#N/A Requesting Data...2561876667</v>
        <stp/>
        <stp>BDP|4365340775557570411</stp>
        <tr r="C161" s="3"/>
      </tp>
      <tp t="s">
        <v>#N/A Requesting Data...2361314268</v>
        <stp/>
        <stp>BDP|1345751232810291632</stp>
        <tr r="C57" s="3"/>
      </tp>
      <tp t="s">
        <v>11/1/2025</v>
        <stp/>
        <stp>BDP|4207405402146429574|22</stp>
        <stp>USSWIF8 Curncy</stp>
        <stp>SWAP_EFFECTIVE_DATE_RT</stp>
        <tr r="T5" s="1"/>
      </tp>
      <tp t="s">
        <v>#N/A Requesting Data...2667157386</v>
        <stp/>
        <stp>BDP|531173126430871456</stp>
        <tr r="AE13" s="1"/>
      </tp>
      <tp t="s">
        <v>#N/A Requesting Data...2889190828</v>
        <stp/>
        <stp>BDP|437360509784535044</stp>
        <tr r="C28" s="3"/>
      </tp>
      <tp t="s">
        <v>#N/A Requesting Data...3721103700</v>
        <stp/>
        <stp>BDP|719920997835819372</stp>
        <tr r="I21" s="3"/>
      </tp>
      <tp t="s">
        <v>#N/A Requesting Data...3206677458</v>
        <stp/>
        <stp>BDP|220158664486763756</stp>
        <tr r="I68" s="3"/>
      </tp>
      <tp t="s">
        <v>#N/A Requesting Data...1986341813</v>
        <stp/>
        <stp>BDP|327790706290079409</stp>
        <tr r="C62" s="3"/>
      </tp>
      <tp t="s">
        <v>#N/A Requesting Data...2944081823</v>
        <stp/>
        <stp>BDP|598255408960214169</stp>
        <tr r="AK14" s="1"/>
      </tp>
      <tp t="s">
        <v>#N/A Requesting Data...2048130234</v>
        <stp/>
        <stp>BDP|752544571119749831</stp>
        <tr r="I74" s="3"/>
      </tp>
      <tp t="s">
        <v>#N/A Requesting Data...3448278637</v>
        <stp/>
        <stp>BDP|314325233504172733</stp>
        <tr r="C3" s="3"/>
      </tp>
      <tp t="s">
        <v>#N/A Requesting Data...3501454942</v>
        <stp/>
        <stp>BDP|535673656531239152</stp>
        <tr r="C14" s="3"/>
      </tp>
      <tp t="s">
        <v>#N/A Requesting Data...3935314469</v>
        <stp/>
        <stp>BDP|215538495568786816</stp>
        <tr r="C67" s="3"/>
      </tp>
      <tp t="s">
        <v>#N/A Requesting Data...4262181170</v>
        <stp/>
        <stp>BDP|165287045318738295</stp>
        <tr r="I61" s="3"/>
      </tp>
      <tp t="s">
        <v>#N/A Requesting Data...2439304493</v>
        <stp/>
        <stp>BDP|760657431968210265</stp>
        <tr r="I58" s="3"/>
      </tp>
      <tp t="s">
        <v>#N/A Requesting Data...2817591033</v>
        <stp/>
        <stp>BDP|116642544894402895</stp>
        <tr r="W11" s="1"/>
      </tp>
      <tp t="s">
        <v>#N/A Requesting Data...3071415255</v>
        <stp/>
        <stp>BDP|379626236869393287</stp>
        <tr r="I77" s="3"/>
      </tp>
      <tp t="s">
        <v>#N/A Requesting Data...3670125676</v>
        <stp/>
        <stp>BDP|408866569944722468</stp>
        <tr r="AK15" s="1"/>
      </tp>
      <tp t="s">
        <v>#N/A Requesting Data...3615187807</v>
        <stp/>
        <stp>BDP|890144082077292780</stp>
        <tr r="I19" s="3"/>
      </tp>
      <tp t="s">
        <v>#N/A Requesting Data...2949840094</v>
        <stp/>
        <stp>BDP|390385784833233012</stp>
        <tr r="AK9" s="1"/>
      </tp>
      <tp t="s">
        <v>#N/A Requesting Data...3063355595</v>
        <stp/>
        <stp>BDP|487608147160746983</stp>
        <tr r="I2" s="3"/>
      </tp>
      <tp t="s">
        <v>12/1/2025</v>
        <stp/>
        <stp>BDP|3701838488086202223|22</stp>
        <stp>USSWIF9 Curncy</stp>
        <stp>SWAP_EFFECTIVE_DATE_RT</stp>
        <tr r="T6" s="1"/>
      </tp>
      <tp t="s">
        <v>8/1/2026</v>
        <stp/>
        <stp>BDP|8239038693000518075|22</stp>
        <stp>USSWIF5 Curncy</stp>
        <stp>SWAP_EFFECTIVE_DATE_RT</stp>
        <tr r="T14" s="1"/>
      </tp>
      <tp t="s">
        <v>#N/A Requesting Data...3735120232</v>
        <stp/>
        <stp>BDP|930696567893770943</stp>
        <tr r="C55" s="3"/>
      </tp>
      <tp t="s">
        <v>#N/A Requesting Data...2977334576</v>
        <stp/>
        <stp>BDP|267021441459137755</stp>
        <tr r="I55" s="3"/>
      </tp>
      <tp t="s">
        <v>10/1/2025</v>
        <stp/>
        <stp>BDP|9561094173690841543|22</stp>
        <stp>USSWIF7 Curncy</stp>
        <stp>SWAP_EFFECTIVE_DATE_RT</stp>
        <tr r="T4" s="1"/>
      </tp>
      <tp t="s">
        <v>6/1/2026</v>
        <stp/>
        <stp>BDP|9158504087751232435|22</stp>
        <stp>USSWIF3 Curncy</stp>
        <stp>SWAP_EFFECTIVE_DATE_RT</stp>
        <tr r="T12" s="1"/>
      </tp>
      <tp t="s">
        <v>7/1/2026</v>
        <stp/>
        <stp>BDP|5771426158732892451|22</stp>
        <stp>USSWIF4 Curncy</stp>
        <stp>SWAP_EFFECTIVE_DATE_RT</stp>
        <tr r="T1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Sheet1!$R$21:$R$53</c:f>
              <c:numCache>
                <c:formatCode>General</c:formatCode>
                <c:ptCount val="33"/>
                <c:pt idx="0">
                  <c:v>5.3752557610911023E-3</c:v>
                </c:pt>
                <c:pt idx="1">
                  <c:v>4.1688489100415449E-3</c:v>
                </c:pt>
                <c:pt idx="2">
                  <c:v>1.4023300559075524E-2</c:v>
                </c:pt>
                <c:pt idx="3">
                  <c:v>1.9799693437420718E-2</c:v>
                </c:pt>
                <c:pt idx="4">
                  <c:v>2.0927948543443708E-2</c:v>
                </c:pt>
                <c:pt idx="5">
                  <c:v>2.1763258488800119E-2</c:v>
                </c:pt>
                <c:pt idx="6">
                  <c:v>2.2334247377854055E-2</c:v>
                </c:pt>
                <c:pt idx="7">
                  <c:v>2.2745377323947213E-2</c:v>
                </c:pt>
                <c:pt idx="8">
                  <c:v>2.304792263276112E-2</c:v>
                </c:pt>
                <c:pt idx="9">
                  <c:v>2.3272408254412014E-2</c:v>
                </c:pt>
                <c:pt idx="10">
                  <c:v>2.3440316380464621E-2</c:v>
                </c:pt>
                <c:pt idx="11">
                  <c:v>2.357725549259837E-2</c:v>
                </c:pt>
                <c:pt idx="12">
                  <c:v>2.3679988093457727E-2</c:v>
                </c:pt>
                <c:pt idx="13">
                  <c:v>2.3756001767544221E-2</c:v>
                </c:pt>
                <c:pt idx="14">
                  <c:v>2.3817544490837284E-2</c:v>
                </c:pt>
                <c:pt idx="15">
                  <c:v>2.3872734759779135E-2</c:v>
                </c:pt>
                <c:pt idx="16">
                  <c:v>2.3911674765301871E-2</c:v>
                </c:pt>
                <c:pt idx="17">
                  <c:v>2.3937193187117956E-2</c:v>
                </c:pt>
                <c:pt idx="18">
                  <c:v>2.3953843594760826E-2</c:v>
                </c:pt>
                <c:pt idx="19">
                  <c:v>2.3961765633969678E-2</c:v>
                </c:pt>
                <c:pt idx="20">
                  <c:v>2.3961398687502689E-2</c:v>
                </c:pt>
                <c:pt idx="21">
                  <c:v>2.3954381768301447E-2</c:v>
                </c:pt>
                <c:pt idx="22">
                  <c:v>2.3950755095908827E-2</c:v>
                </c:pt>
                <c:pt idx="23">
                  <c:v>2.3940967412554803E-2</c:v>
                </c:pt>
                <c:pt idx="24">
                  <c:v>2.3925837383968362E-2</c:v>
                </c:pt>
                <c:pt idx="25">
                  <c:v>2.3912513610706343E-2</c:v>
                </c:pt>
                <c:pt idx="26">
                  <c:v>2.3904233092381766E-2</c:v>
                </c:pt>
                <c:pt idx="27">
                  <c:v>2.3891087364454666E-2</c:v>
                </c:pt>
                <c:pt idx="28">
                  <c:v>2.3873646641830559E-2</c:v>
                </c:pt>
                <c:pt idx="29">
                  <c:v>2.3869412529679224E-2</c:v>
                </c:pt>
                <c:pt idx="30">
                  <c:v>2.3866245289101862E-2</c:v>
                </c:pt>
                <c:pt idx="31">
                  <c:v>2.3858468792947507E-2</c:v>
                </c:pt>
                <c:pt idx="32">
                  <c:v>2.3849262340472244E-2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E-45F1-B075-74B26D9B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756000"/>
        <c:axId val="1396757440"/>
      </c:lineChart>
      <c:catAx>
        <c:axId val="139675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57440"/>
        <c:crosses val="autoZero"/>
        <c:auto val="1"/>
        <c:lblAlgn val="ctr"/>
        <c:lblOffset val="100"/>
        <c:noMultiLvlLbl val="0"/>
      </c:catAx>
      <c:valAx>
        <c:axId val="139675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5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A$1" max="194" page="10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1138403</xdr:colOff>
      <xdr:row>18</xdr:row>
      <xdr:rowOff>188528</xdr:rowOff>
    </xdr:from>
    <xdr:to>
      <xdr:col>26</xdr:col>
      <xdr:colOff>217433</xdr:colOff>
      <xdr:row>33</xdr:row>
      <xdr:rowOff>74228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D2B58D46-5858-CDD0-1D8E-78CE8A3E7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306295</xdr:colOff>
      <xdr:row>35</xdr:row>
      <xdr:rowOff>123265</xdr:rowOff>
    </xdr:from>
    <xdr:to>
      <xdr:col>27</xdr:col>
      <xdr:colOff>448049</xdr:colOff>
      <xdr:row>69</xdr:row>
      <xdr:rowOff>41595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C4FF4619-1263-39B2-F8C3-0B773CDC9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7883" y="6660030"/>
          <a:ext cx="9573773" cy="639533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36</xdr:row>
      <xdr:rowOff>0</xdr:rowOff>
    </xdr:from>
    <xdr:to>
      <xdr:col>48</xdr:col>
      <xdr:colOff>480611</xdr:colOff>
      <xdr:row>49</xdr:row>
      <xdr:rowOff>181346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618092-5903-2297-E71B-8FD741BF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63882" y="6858000"/>
          <a:ext cx="11193437" cy="2657846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51</xdr:row>
      <xdr:rowOff>0</xdr:rowOff>
    </xdr:from>
    <xdr:to>
      <xdr:col>42</xdr:col>
      <xdr:colOff>91207</xdr:colOff>
      <xdr:row>76</xdr:row>
      <xdr:rowOff>153086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BC2AB4-FBEA-6852-429E-93B22F1EA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63882" y="9715500"/>
          <a:ext cx="7173326" cy="491558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2</xdr:row>
          <xdr:rowOff>28575</xdr:rowOff>
        </xdr:from>
        <xdr:to>
          <xdr:col>4</xdr:col>
          <xdr:colOff>733425</xdr:colOff>
          <xdr:row>16</xdr:row>
          <xdr:rowOff>114300</xdr:rowOff>
        </xdr:to>
        <xdr:sp macro="" textlink="">
          <xdr:nvSpPr>
            <xdr:cNvPr id="1032" name="Scroll Bar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ABAD-72DC-4B66-A259-28FB506CA9EA}">
  <dimension ref="B1:D68"/>
  <sheetViews>
    <sheetView topLeftCell="A19" workbookViewId="0">
      <selection activeCell="K34" sqref="K34"/>
    </sheetView>
  </sheetViews>
  <sheetFormatPr defaultRowHeight="15" x14ac:dyDescent="0.25"/>
  <cols>
    <col min="2" max="2" width="17" bestFit="1" customWidth="1"/>
    <col min="3" max="3" width="28.140625" bestFit="1" customWidth="1"/>
    <col min="4" max="4" width="73.5703125" bestFit="1" customWidth="1"/>
  </cols>
  <sheetData>
    <row r="1" spans="2:4" x14ac:dyDescent="0.25">
      <c r="C1" t="s">
        <v>506</v>
      </c>
      <c r="D1" t="s">
        <v>507</v>
      </c>
    </row>
    <row r="2" spans="2:4" x14ac:dyDescent="0.25">
      <c r="B2" t="s">
        <v>496</v>
      </c>
      <c r="C2" t="s">
        <v>501</v>
      </c>
      <c r="D2" t="s">
        <v>495</v>
      </c>
    </row>
    <row r="3" spans="2:4" x14ac:dyDescent="0.25">
      <c r="B3" t="s">
        <v>497</v>
      </c>
      <c r="C3" t="s">
        <v>508</v>
      </c>
      <c r="D3" t="s">
        <v>498</v>
      </c>
    </row>
    <row r="4" spans="2:4" x14ac:dyDescent="0.25">
      <c r="B4" t="s">
        <v>502</v>
      </c>
      <c r="C4" t="s">
        <v>510</v>
      </c>
      <c r="D4" t="s">
        <v>500</v>
      </c>
    </row>
    <row r="5" spans="2:4" x14ac:dyDescent="0.25">
      <c r="B5" t="s">
        <v>1</v>
      </c>
      <c r="C5" t="s">
        <v>509</v>
      </c>
      <c r="D5" t="s">
        <v>503</v>
      </c>
    </row>
    <row r="6" spans="2:4" x14ac:dyDescent="0.25">
      <c r="B6" t="s">
        <v>5</v>
      </c>
      <c r="C6" t="s">
        <v>509</v>
      </c>
      <c r="D6" t="s">
        <v>499</v>
      </c>
    </row>
    <row r="7" spans="2:4" x14ac:dyDescent="0.25">
      <c r="B7" t="s">
        <v>9</v>
      </c>
      <c r="C7" t="s">
        <v>511</v>
      </c>
    </row>
    <row r="8" spans="2:4" x14ac:dyDescent="0.25">
      <c r="B8" t="s">
        <v>504</v>
      </c>
      <c r="D8" t="s">
        <v>505</v>
      </c>
    </row>
    <row r="11" spans="2:4" x14ac:dyDescent="0.25">
      <c r="B11" s="8" t="s">
        <v>495</v>
      </c>
    </row>
    <row r="12" spans="2:4" x14ac:dyDescent="0.25">
      <c r="B12" s="11" t="s">
        <v>519</v>
      </c>
    </row>
    <row r="13" spans="2:4" x14ac:dyDescent="0.25">
      <c r="B13" t="s">
        <v>512</v>
      </c>
    </row>
    <row r="14" spans="2:4" x14ac:dyDescent="0.25">
      <c r="C14" t="s">
        <v>513</v>
      </c>
    </row>
    <row r="15" spans="2:4" x14ac:dyDescent="0.25">
      <c r="C15" t="s">
        <v>514</v>
      </c>
    </row>
    <row r="16" spans="2:4" x14ac:dyDescent="0.25">
      <c r="C16" t="s">
        <v>515</v>
      </c>
    </row>
    <row r="17" spans="2:3" x14ac:dyDescent="0.25">
      <c r="C17" t="s">
        <v>516</v>
      </c>
    </row>
    <row r="18" spans="2:3" x14ac:dyDescent="0.25">
      <c r="B18" t="s">
        <v>517</v>
      </c>
    </row>
    <row r="20" spans="2:3" x14ac:dyDescent="0.25">
      <c r="B20" s="8" t="s">
        <v>518</v>
      </c>
    </row>
    <row r="21" spans="2:3" x14ac:dyDescent="0.25">
      <c r="B21" s="11" t="s">
        <v>520</v>
      </c>
    </row>
    <row r="22" spans="2:3" x14ac:dyDescent="0.25">
      <c r="B22" t="s">
        <v>512</v>
      </c>
    </row>
    <row r="23" spans="2:3" x14ac:dyDescent="0.25">
      <c r="B23" t="s">
        <v>521</v>
      </c>
    </row>
    <row r="24" spans="2:3" x14ac:dyDescent="0.25">
      <c r="B24" t="s">
        <v>522</v>
      </c>
    </row>
    <row r="25" spans="2:3" x14ac:dyDescent="0.25">
      <c r="B25" t="s">
        <v>523</v>
      </c>
    </row>
    <row r="26" spans="2:3" x14ac:dyDescent="0.25">
      <c r="C26" t="s">
        <v>524</v>
      </c>
    </row>
    <row r="27" spans="2:3" x14ac:dyDescent="0.25">
      <c r="C27" t="s">
        <v>525</v>
      </c>
    </row>
    <row r="28" spans="2:3" x14ac:dyDescent="0.25">
      <c r="C28" t="s">
        <v>526</v>
      </c>
    </row>
    <row r="29" spans="2:3" x14ac:dyDescent="0.25">
      <c r="C29" t="s">
        <v>527</v>
      </c>
    </row>
    <row r="30" spans="2:3" x14ac:dyDescent="0.25">
      <c r="C30" t="s">
        <v>528</v>
      </c>
    </row>
    <row r="31" spans="2:3" x14ac:dyDescent="0.25">
      <c r="C31" t="s">
        <v>529</v>
      </c>
    </row>
    <row r="32" spans="2:3" x14ac:dyDescent="0.25">
      <c r="C32" t="s">
        <v>530</v>
      </c>
    </row>
    <row r="33" spans="2:3" x14ac:dyDescent="0.25">
      <c r="C33" t="s">
        <v>531</v>
      </c>
    </row>
    <row r="34" spans="2:3" x14ac:dyDescent="0.25">
      <c r="B34" t="s">
        <v>517</v>
      </c>
    </row>
    <row r="36" spans="2:3" x14ac:dyDescent="0.25">
      <c r="B36" s="8" t="s">
        <v>532</v>
      </c>
    </row>
    <row r="37" spans="2:3" x14ac:dyDescent="0.25">
      <c r="B37" t="s">
        <v>533</v>
      </c>
    </row>
    <row r="38" spans="2:3" x14ac:dyDescent="0.25">
      <c r="B38" t="s">
        <v>534</v>
      </c>
    </row>
    <row r="39" spans="2:3" x14ac:dyDescent="0.25">
      <c r="B39" s="11" t="s">
        <v>541</v>
      </c>
    </row>
    <row r="40" spans="2:3" x14ac:dyDescent="0.25">
      <c r="C40" t="s">
        <v>512</v>
      </c>
    </row>
    <row r="41" spans="2:3" x14ac:dyDescent="0.25">
      <c r="C41" t="s">
        <v>536</v>
      </c>
    </row>
    <row r="42" spans="2:3" x14ac:dyDescent="0.25">
      <c r="C42" t="s">
        <v>537</v>
      </c>
    </row>
    <row r="43" spans="2:3" x14ac:dyDescent="0.25">
      <c r="C43" t="s">
        <v>538</v>
      </c>
    </row>
    <row r="44" spans="2:3" x14ac:dyDescent="0.25">
      <c r="C44" t="s">
        <v>539</v>
      </c>
    </row>
    <row r="45" spans="2:3" x14ac:dyDescent="0.25">
      <c r="C45" t="s">
        <v>540</v>
      </c>
    </row>
    <row r="46" spans="2:3" x14ac:dyDescent="0.25">
      <c r="C46" t="s">
        <v>517</v>
      </c>
    </row>
    <row r="47" spans="2:3" x14ac:dyDescent="0.25">
      <c r="B47" t="s">
        <v>535</v>
      </c>
    </row>
    <row r="49" spans="2:3" x14ac:dyDescent="0.25">
      <c r="B49" s="8" t="s">
        <v>542</v>
      </c>
    </row>
    <row r="50" spans="2:3" x14ac:dyDescent="0.25">
      <c r="B50" t="s">
        <v>543</v>
      </c>
    </row>
    <row r="51" spans="2:3" x14ac:dyDescent="0.25">
      <c r="C51" t="s">
        <v>544</v>
      </c>
    </row>
    <row r="52" spans="2:3" x14ac:dyDescent="0.25">
      <c r="C52" t="s">
        <v>545</v>
      </c>
    </row>
    <row r="53" spans="2:3" x14ac:dyDescent="0.25">
      <c r="C53" t="s">
        <v>550</v>
      </c>
    </row>
    <row r="54" spans="2:3" x14ac:dyDescent="0.25">
      <c r="B54" t="s">
        <v>530</v>
      </c>
    </row>
    <row r="55" spans="2:3" x14ac:dyDescent="0.25">
      <c r="B55" t="s">
        <v>548</v>
      </c>
    </row>
    <row r="56" spans="2:3" x14ac:dyDescent="0.25">
      <c r="B56" t="s">
        <v>543</v>
      </c>
    </row>
    <row r="57" spans="2:3" x14ac:dyDescent="0.25">
      <c r="C57" t="s">
        <v>546</v>
      </c>
    </row>
    <row r="58" spans="2:3" x14ac:dyDescent="0.25">
      <c r="C58" t="s">
        <v>547</v>
      </c>
    </row>
    <row r="59" spans="2:3" x14ac:dyDescent="0.25">
      <c r="C59" t="s">
        <v>549</v>
      </c>
    </row>
    <row r="60" spans="2:3" x14ac:dyDescent="0.25">
      <c r="B60" t="s">
        <v>530</v>
      </c>
    </row>
    <row r="62" spans="2:3" x14ac:dyDescent="0.25">
      <c r="B62" s="8" t="s">
        <v>556</v>
      </c>
    </row>
    <row r="63" spans="2:3" x14ac:dyDescent="0.25">
      <c r="B63" t="s">
        <v>551</v>
      </c>
    </row>
    <row r="64" spans="2:3" x14ac:dyDescent="0.25">
      <c r="C64" t="s">
        <v>552</v>
      </c>
    </row>
    <row r="65" spans="2:3" x14ac:dyDescent="0.25">
      <c r="C65" t="s">
        <v>553</v>
      </c>
    </row>
    <row r="66" spans="2:3" x14ac:dyDescent="0.25">
      <c r="C66" t="s">
        <v>554</v>
      </c>
    </row>
    <row r="67" spans="2:3" x14ac:dyDescent="0.25">
      <c r="C67" t="s">
        <v>555</v>
      </c>
    </row>
    <row r="68" spans="2:3" x14ac:dyDescent="0.25">
      <c r="B68" t="s">
        <v>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DA2B-B009-413B-B470-30E482D4C08C}">
  <dimension ref="A1:AK210"/>
  <sheetViews>
    <sheetView tabSelected="1" topLeftCell="H1" zoomScale="85" zoomScaleNormal="85" workbookViewId="0">
      <selection activeCell="O17" sqref="O16:AC17"/>
    </sheetView>
  </sheetViews>
  <sheetFormatPr defaultRowHeight="15" x14ac:dyDescent="0.25"/>
  <cols>
    <col min="1" max="1" width="9.5703125" bestFit="1" customWidth="1"/>
    <col min="2" max="2" width="25.5703125" bestFit="1" customWidth="1"/>
    <col min="3" max="3" width="32" bestFit="1" customWidth="1"/>
    <col min="4" max="4" width="29" bestFit="1" customWidth="1"/>
    <col min="5" max="6" width="16.42578125" customWidth="1"/>
    <col min="7" max="7" width="28.42578125" bestFit="1" customWidth="1"/>
    <col min="8" max="9" width="16.42578125" customWidth="1"/>
    <col min="10" max="10" width="12.5703125" customWidth="1"/>
    <col min="11" max="13" width="16.42578125" customWidth="1"/>
    <col min="14" max="14" width="11.5703125" style="3" bestFit="1" customWidth="1"/>
    <col min="15" max="15" width="12" style="2" bestFit="1" customWidth="1"/>
    <col min="17" max="17" width="18.5703125" bestFit="1" customWidth="1"/>
    <col min="18" max="18" width="16.140625" bestFit="1" customWidth="1"/>
    <col min="19" max="19" width="21.5703125" bestFit="1" customWidth="1"/>
    <col min="20" max="20" width="11.7109375" bestFit="1" customWidth="1"/>
    <col min="21" max="21" width="24.140625" bestFit="1" customWidth="1"/>
    <col min="22" max="22" width="24.140625" customWidth="1"/>
    <col min="23" max="23" width="16.140625" bestFit="1" customWidth="1"/>
    <col min="24" max="24" width="12.85546875" bestFit="1" customWidth="1"/>
    <col min="25" max="25" width="9.85546875" bestFit="1" customWidth="1"/>
    <col min="26" max="26" width="9.5703125" bestFit="1" customWidth="1"/>
    <col min="27" max="27" width="11.140625" bestFit="1" customWidth="1"/>
    <col min="28" max="28" width="11.85546875" customWidth="1"/>
    <col min="29" max="29" width="18.85546875" bestFit="1" customWidth="1"/>
    <col min="30" max="30" width="23.28515625" customWidth="1"/>
    <col min="31" max="31" width="19.28515625" bestFit="1" customWidth="1"/>
    <col min="32" max="33" width="12.28515625" bestFit="1" customWidth="1"/>
  </cols>
  <sheetData>
    <row r="1" spans="1:37" x14ac:dyDescent="0.25">
      <c r="A1">
        <v>0</v>
      </c>
      <c r="G1" t="s">
        <v>558</v>
      </c>
      <c r="I1" s="4"/>
      <c r="J1" s="4"/>
      <c r="Z1" t="s">
        <v>577</v>
      </c>
    </row>
    <row r="2" spans="1:37" x14ac:dyDescent="0.25">
      <c r="G2" s="20">
        <v>46223</v>
      </c>
      <c r="H2">
        <v>334.30894000000001</v>
      </c>
      <c r="I2" s="26">
        <f t="shared" ref="I2:I4" ca="1" si="0">IF((G2=$C$20),$D$20,0)</f>
        <v>334.30893548387098</v>
      </c>
      <c r="K2" t="s">
        <v>572</v>
      </c>
      <c r="L2" t="s">
        <v>0</v>
      </c>
      <c r="Z2" s="38">
        <f ca="1">MONTH(DATE(YEAR(strippingDate),MONTH(strippingDate)-2,1))</f>
        <v>5</v>
      </c>
      <c r="AA2" s="39">
        <f ca="1">IF(DAY(strippingDate)&gt;=15,2,1)</f>
        <v>2</v>
      </c>
    </row>
    <row r="3" spans="1:37" x14ac:dyDescent="0.25">
      <c r="D3" s="2"/>
      <c r="G3" s="20">
        <v>46220</v>
      </c>
      <c r="H3">
        <v>334.10541999999998</v>
      </c>
      <c r="I3" s="26">
        <f t="shared" ca="1" si="0"/>
        <v>0</v>
      </c>
      <c r="K3" s="2" cm="1">
        <f t="array" aca="1" ref="K3:L26" ca="1">_xll.BDH("CPURNSA Index","PX_LAST",DATE(YEAR(D10),MONTH(D10)-25,21),D10,"Dir=V","Dts=S","Sort=D",CONCATENATE("Per=c",D13),"DtFmt=D","UseDPDF=Y")</f>
        <v>46203</v>
      </c>
      <c r="L3">
        <f ca="1"/>
        <v>333.952</v>
      </c>
      <c r="Q3" s="9" t="s">
        <v>1</v>
      </c>
      <c r="R3" s="9"/>
      <c r="S3" s="12" t="s">
        <v>574</v>
      </c>
      <c r="T3" s="9" t="s">
        <v>2</v>
      </c>
      <c r="U3" s="12" t="s">
        <v>573</v>
      </c>
      <c r="V3" s="9" t="s">
        <v>3</v>
      </c>
      <c r="W3" s="9" t="s">
        <v>4</v>
      </c>
      <c r="Z3" s="40"/>
      <c r="AA3" s="41"/>
      <c r="AC3" s="10" t="s">
        <v>5</v>
      </c>
      <c r="AD3" s="10" t="s">
        <v>6</v>
      </c>
      <c r="AE3" s="10" t="s">
        <v>3</v>
      </c>
      <c r="AF3" s="10" t="s">
        <v>7</v>
      </c>
      <c r="AI3" s="14" t="s">
        <v>8</v>
      </c>
      <c r="AJ3" s="14" t="s">
        <v>9</v>
      </c>
      <c r="AK3" s="14" t="s">
        <v>10</v>
      </c>
    </row>
    <row r="4" spans="1:37" x14ac:dyDescent="0.25">
      <c r="D4" s="2"/>
      <c r="G4" s="20">
        <v>46219</v>
      </c>
      <c r="H4" s="27">
        <v>334.03758064516097</v>
      </c>
      <c r="I4" s="26">
        <f t="shared" ca="1" si="0"/>
        <v>0</v>
      </c>
      <c r="J4" s="26"/>
      <c r="K4" s="2">
        <f ca="1"/>
        <v>46173</v>
      </c>
      <c r="L4">
        <f ca="1"/>
        <v>335.12299999999999</v>
      </c>
      <c r="P4">
        <v>7</v>
      </c>
      <c r="Q4" s="9" t="s">
        <v>14</v>
      </c>
      <c r="R4" s="9" t="s">
        <v>561</v>
      </c>
      <c r="S4" s="12" cm="1">
        <f t="array" ref="S4">_xll.qwCalAddMonths("All",T4,-3)</f>
        <v>45839</v>
      </c>
      <c r="T4" s="12">
        <f>DATEVALUE(_xll.BDP(Q4, "SWAP_EFFECTIVE_DATE_RT"))</f>
        <v>45931</v>
      </c>
      <c r="U4" s="36" cm="1">
        <f t="array" ref="U4">_xll.qwCalAddMonths("All",V4,-3)</f>
        <v>46204</v>
      </c>
      <c r="V4" s="12" cm="1">
        <f t="array" ref="V4">DATEVALUE((_xll.BDP(Q4,"MATURITY")))</f>
        <v>46296</v>
      </c>
      <c r="W4" s="9">
        <f>_xll.BDP(Q4, "PX_MID")</f>
        <v>333.97989999999999</v>
      </c>
      <c r="Z4" s="40">
        <f ca="1">MOD($Z$2-P15+12,12)</f>
        <v>11</v>
      </c>
      <c r="AA4" s="41">
        <f ca="1">DATE(YEAR(strippingDate),MONTH(DATE(YEAR(strippingDate),MONTH(strippingDate),1))-Z4+$AA$2,1)</f>
        <v>45931</v>
      </c>
      <c r="AC4" s="10" t="s">
        <v>12</v>
      </c>
      <c r="AD4" s="13">
        <f t="shared" ref="AD4:AD17" ca="1" si="1">$D$10+2</f>
        <v>46221</v>
      </c>
      <c r="AE4" s="10" t="str">
        <f>_xll.BDP(AC4, "MATURITY")</f>
        <v>7/20/2027</v>
      </c>
      <c r="AF4" s="10">
        <f>_xll.BDP(AC4, "PX_LAST")</f>
        <v>1.9449000000000001</v>
      </c>
      <c r="AG4" s="10">
        <v>1</v>
      </c>
      <c r="AI4" s="14">
        <v>1</v>
      </c>
      <c r="AJ4" s="14" t="s">
        <v>13</v>
      </c>
      <c r="AK4" s="14">
        <f>_xll.BDP(AJ4, "PX_LAST")</f>
        <v>0.996</v>
      </c>
    </row>
    <row r="5" spans="1:37" x14ac:dyDescent="0.25">
      <c r="D5" s="2"/>
      <c r="G5" s="20">
        <v>46218</v>
      </c>
      <c r="H5">
        <v>333.96974</v>
      </c>
      <c r="I5" s="26">
        <f ca="1">IF((G5=$C$20),$D$20,0)</f>
        <v>0</v>
      </c>
      <c r="J5" s="26"/>
      <c r="K5" s="2">
        <f ca="1"/>
        <v>46142</v>
      </c>
      <c r="L5">
        <f ca="1"/>
        <v>333.02</v>
      </c>
      <c r="P5">
        <v>8</v>
      </c>
      <c r="Q5" s="9" t="s">
        <v>17</v>
      </c>
      <c r="R5" s="9" t="s">
        <v>562</v>
      </c>
      <c r="S5" s="12" cm="1">
        <f t="array" ref="S5">_xll.qwCalAddMonths("All",T5,-3)</f>
        <v>45870</v>
      </c>
      <c r="T5" s="12">
        <f>DATEVALUE(_xll.BDP(Q5, "SWAP_EFFECTIVE_DATE_RT"))</f>
        <v>45962</v>
      </c>
      <c r="U5" s="36" cm="1">
        <f t="array" ref="U5">_xll.qwCalAddMonths("All",V5,-3)</f>
        <v>46235</v>
      </c>
      <c r="V5" s="12" cm="1">
        <f t="array" ref="V5">DATEVALUE((_xll.BDP(Q5,"MATURITY")))</f>
        <v>46327</v>
      </c>
      <c r="W5" s="9">
        <f>_xll.BDP(Q5, "PX_MID")</f>
        <v>335.11</v>
      </c>
      <c r="X5" t="b">
        <f>V5&gt;V4</f>
        <v>1</v>
      </c>
      <c r="Z5" s="40">
        <f ca="1">MOD($Z$2-P4+12,12)</f>
        <v>10</v>
      </c>
      <c r="AA5" s="41">
        <f ca="1">DATE(YEAR(strippingDate),MONTH(DATE(YEAR(strippingDate),MONTH(strippingDate),1))-Z5+$AA$2,1)</f>
        <v>45962</v>
      </c>
      <c r="AC5" s="10" t="s">
        <v>15</v>
      </c>
      <c r="AD5" s="13">
        <f t="shared" ca="1" si="1"/>
        <v>46221</v>
      </c>
      <c r="AE5" s="10" t="str">
        <f>_xll.BDP(AC5, "MATURITY")</f>
        <v>7/20/2028</v>
      </c>
      <c r="AF5" s="10">
        <f>_xll.BDP(AC5, "PX_LAST")</f>
        <v>2.2675000000000001</v>
      </c>
      <c r="AG5" s="10">
        <f>AG4+1</f>
        <v>2</v>
      </c>
      <c r="AI5" s="14">
        <v>2</v>
      </c>
      <c r="AJ5" s="14" t="s">
        <v>16</v>
      </c>
      <c r="AK5" s="14">
        <f>_xll.BDP(AJ5, "PX_LAST")</f>
        <v>0.998</v>
      </c>
    </row>
    <row r="6" spans="1:37" x14ac:dyDescent="0.25">
      <c r="D6" s="20"/>
      <c r="G6" s="20">
        <v>46217</v>
      </c>
      <c r="H6">
        <v>333.90190000000001</v>
      </c>
      <c r="I6" s="26">
        <f ca="1">IF((G6=$C$20),$D$20,0)</f>
        <v>0</v>
      </c>
      <c r="J6" s="26"/>
      <c r="K6" s="2">
        <f ca="1"/>
        <v>46112</v>
      </c>
      <c r="L6">
        <f ca="1"/>
        <v>330.21300000000002</v>
      </c>
      <c r="P6">
        <v>9</v>
      </c>
      <c r="Q6" s="9" t="s">
        <v>20</v>
      </c>
      <c r="R6" s="9" t="s">
        <v>563</v>
      </c>
      <c r="S6" s="12" cm="1">
        <f t="array" ref="S6">_xll.qwCalAddMonths("All",T6,-3)</f>
        <v>45901</v>
      </c>
      <c r="T6" s="12">
        <f>DATEVALUE(_xll.BDP(Q6, "SWAP_EFFECTIVE_DATE_RT"))</f>
        <v>45992</v>
      </c>
      <c r="U6" s="36" cm="1">
        <f t="array" ref="U6">_xll.qwCalAddMonths("All",V6,-3)</f>
        <v>46266</v>
      </c>
      <c r="V6" s="12" cm="1">
        <f t="array" ref="V6">DATEVALUE((_xll.BDP(Q6,"MATURITY")))</f>
        <v>46357</v>
      </c>
      <c r="W6" s="9">
        <f>_xll.BDP(Q6, "PX_MID")</f>
        <v>335.64</v>
      </c>
      <c r="X6" t="b">
        <f t="shared" ref="X6:X15" si="2">V6&gt;V5</f>
        <v>1</v>
      </c>
      <c r="Z6" s="40">
        <f ca="1">MOD($Z$2-P5+12,12)</f>
        <v>9</v>
      </c>
      <c r="AA6" s="41">
        <f ca="1">DATE(YEAR(strippingDate),MONTH(DATE(YEAR(strippingDate),MONTH(strippingDate),1))-Z6+$AA$2,1)</f>
        <v>45992</v>
      </c>
      <c r="AC6" s="10" t="s">
        <v>18</v>
      </c>
      <c r="AD6" s="13">
        <f t="shared" ca="1" si="1"/>
        <v>46221</v>
      </c>
      <c r="AE6" s="10" t="str">
        <f>_xll.BDP(AC6, "MATURITY")</f>
        <v>7/20/2029</v>
      </c>
      <c r="AF6" s="10">
        <f>_xll.BDP(AC6, "PX_LAST")</f>
        <v>2.3567</v>
      </c>
      <c r="AG6" s="10">
        <f t="shared" ref="AG6:AG13" si="3">AG5+1</f>
        <v>3</v>
      </c>
      <c r="AI6" s="14">
        <v>3</v>
      </c>
      <c r="AJ6" s="14" t="s">
        <v>19</v>
      </c>
      <c r="AK6" s="14">
        <f>_xll.BDP(AJ6, "PX_LAST")</f>
        <v>1.0009999999999999</v>
      </c>
    </row>
    <row r="7" spans="1:37" x14ac:dyDescent="0.25">
      <c r="D7" s="20"/>
      <c r="G7" s="20">
        <v>46213</v>
      </c>
      <c r="H7">
        <v>333.63055000000003</v>
      </c>
      <c r="I7" s="26">
        <f t="shared" ref="I7:I69" ca="1" si="4">IF((G7=$C$20),$D$20,0)</f>
        <v>0</v>
      </c>
      <c r="J7" s="26"/>
      <c r="K7" s="2">
        <f ca="1"/>
        <v>46081</v>
      </c>
      <c r="L7">
        <f ca="1"/>
        <v>326.78500000000003</v>
      </c>
      <c r="P7">
        <v>10</v>
      </c>
      <c r="Q7" s="9" t="s">
        <v>23</v>
      </c>
      <c r="R7" s="9" t="s">
        <v>564</v>
      </c>
      <c r="S7" s="12" cm="1">
        <f t="array" ref="S7">_xll.qwCalAddMonths("All",T7,-3)</f>
        <v>45931</v>
      </c>
      <c r="T7" s="12">
        <f>DATEVALUE(_xll.BDP(Q7, "SWAP_EFFECTIVE_DATE_RT"))</f>
        <v>46023</v>
      </c>
      <c r="U7" s="36" cm="1">
        <f t="array" ref="U7">_xll.qwCalAddMonths("All",V7,-3)</f>
        <v>46296</v>
      </c>
      <c r="V7" s="12" cm="1">
        <f t="array" ref="V7">DATEVALUE((_xll.BDP(Q7,"MATURITY")))</f>
        <v>46388</v>
      </c>
      <c r="W7" s="9">
        <f>_xll.BDP(Q7, "PX_MID")</f>
        <v>335.51004999999998</v>
      </c>
      <c r="X7" t="b">
        <f t="shared" si="2"/>
        <v>1</v>
      </c>
      <c r="Z7" s="40">
        <f ca="1">MOD($Z$2-P6+12,12)</f>
        <v>8</v>
      </c>
      <c r="AA7" s="41">
        <f ca="1">DATE(YEAR(strippingDate),MONTH(DATE(YEAR(strippingDate),MONTH(strippingDate),1))-Z7+$AA$2,1)</f>
        <v>46023</v>
      </c>
      <c r="AC7" s="10" t="s">
        <v>21</v>
      </c>
      <c r="AD7" s="13">
        <f t="shared" ca="1" si="1"/>
        <v>46221</v>
      </c>
      <c r="AE7" s="10" t="str">
        <f>_xll.BDP(AC7, "MATURITY")</f>
        <v>7/20/2030</v>
      </c>
      <c r="AF7" s="10">
        <f>_xll.BDP(AC7, "PX_LAST")</f>
        <v>2.3889999999999998</v>
      </c>
      <c r="AG7" s="10">
        <f t="shared" si="3"/>
        <v>4</v>
      </c>
      <c r="AI7" s="14">
        <v>4</v>
      </c>
      <c r="AJ7" s="14" t="s">
        <v>22</v>
      </c>
      <c r="AK7" s="14">
        <f>_xll.BDP(AJ7, "PX_LAST")</f>
        <v>1.0029999999999999</v>
      </c>
    </row>
    <row r="8" spans="1:37" x14ac:dyDescent="0.25">
      <c r="G8" s="20">
        <v>46212</v>
      </c>
      <c r="H8">
        <v>333.56270999999998</v>
      </c>
      <c r="I8" s="26">
        <f t="shared" ca="1" si="4"/>
        <v>0</v>
      </c>
      <c r="J8" s="26"/>
      <c r="K8" s="5">
        <f ca="1"/>
        <v>46053</v>
      </c>
      <c r="L8">
        <f ca="1"/>
        <v>325.25200000000001</v>
      </c>
      <c r="P8">
        <v>11</v>
      </c>
      <c r="Q8" s="9" t="s">
        <v>26</v>
      </c>
      <c r="R8" s="9" t="s">
        <v>570</v>
      </c>
      <c r="S8" s="12" cm="1">
        <f t="array" ref="S8">_xll.qwCalAddMonths("All",T8,-3)</f>
        <v>45962</v>
      </c>
      <c r="T8" s="12">
        <f>DATEVALUE(_xll.BDP(Q8, "SWAP_EFFECTIVE_DATE_RT"))</f>
        <v>46054</v>
      </c>
      <c r="U8" s="36" cm="1">
        <f t="array" ref="U8">_xll.qwCalAddMonths("All",V8,-3)</f>
        <v>46327</v>
      </c>
      <c r="V8" s="12" cm="1">
        <f t="array" ref="V8">DATEVALUE((_xll.BDP(Q8,"MATURITY")))</f>
        <v>46419</v>
      </c>
      <c r="W8" s="9">
        <f>_xll.BDP(Q8, "PX_MID")</f>
        <v>335.08994999999999</v>
      </c>
      <c r="X8" t="b">
        <f t="shared" si="2"/>
        <v>1</v>
      </c>
      <c r="Z8" s="40">
        <f ca="1">MOD($Z$2-P7+12,12)</f>
        <v>7</v>
      </c>
      <c r="AA8" s="41">
        <f ca="1">DATE(YEAR(strippingDate),MONTH(DATE(YEAR(strippingDate),MONTH(strippingDate),1))-Z8+$AA$2,1)</f>
        <v>46054</v>
      </c>
      <c r="AC8" s="10" t="s">
        <v>24</v>
      </c>
      <c r="AD8" s="13">
        <f t="shared" ca="1" si="1"/>
        <v>46221</v>
      </c>
      <c r="AE8" s="10" t="str">
        <f>_xll.BDP(AC8, "MATURITY")</f>
        <v>7/20/2031</v>
      </c>
      <c r="AF8" s="17">
        <f>_xll.BDP(AC8, "PX_LAST")</f>
        <v>2.4020000000000001</v>
      </c>
      <c r="AG8" s="10">
        <f t="shared" si="3"/>
        <v>5</v>
      </c>
      <c r="AI8" s="14">
        <v>5</v>
      </c>
      <c r="AJ8" s="14" t="s">
        <v>25</v>
      </c>
      <c r="AK8" s="14">
        <f>_xll.BDP(AJ8, "PX_LAST")</f>
        <v>1.0029999999999999</v>
      </c>
    </row>
    <row r="9" spans="1:37" x14ac:dyDescent="0.25">
      <c r="D9" s="1"/>
      <c r="G9" s="20">
        <v>46211</v>
      </c>
      <c r="H9">
        <v>333.49486999999999</v>
      </c>
      <c r="I9" s="26">
        <f t="shared" ca="1" si="4"/>
        <v>0</v>
      </c>
      <c r="J9" s="26"/>
      <c r="K9" s="5">
        <f ca="1"/>
        <v>46022</v>
      </c>
      <c r="L9">
        <f ca="1"/>
        <v>324.05399999999997</v>
      </c>
      <c r="P9">
        <v>12</v>
      </c>
      <c r="Q9" s="31" t="s">
        <v>29</v>
      </c>
      <c r="R9" s="31" t="s">
        <v>571</v>
      </c>
      <c r="S9" s="32" cm="1">
        <f t="array" ref="S9">_xll.qwCalAddMonths("All",T9,-3)</f>
        <v>45992</v>
      </c>
      <c r="T9" s="32">
        <f>DATEVALUE(_xll.BDP(Q9, "SWAP_EFFECTIVE_DATE_RT"))</f>
        <v>46082</v>
      </c>
      <c r="U9" s="32" cm="1">
        <f t="array" ref="U9">_xll.qwCalAddMonths("All",V9,-3)</f>
        <v>46357</v>
      </c>
      <c r="V9" s="32" cm="1">
        <f t="array" ref="V9">DATEVALUE((_xll.BDP(Q9,"MATURITY")))</f>
        <v>46447</v>
      </c>
      <c r="W9" s="9">
        <f>_xll.BDP(Q9, "PX_MID")</f>
        <v>335.06995000000001</v>
      </c>
      <c r="X9" t="b">
        <f t="shared" si="2"/>
        <v>1</v>
      </c>
      <c r="Z9" s="40">
        <f ca="1">MOD($Z$2-P8+12,12)</f>
        <v>6</v>
      </c>
      <c r="AA9" s="41">
        <f ca="1">DATE(YEAR(strippingDate),MONTH(DATE(YEAR(strippingDate),MONTH(strippingDate),1))-Z9+$AA$2,1)</f>
        <v>46082</v>
      </c>
      <c r="AC9" s="10" t="s">
        <v>27</v>
      </c>
      <c r="AD9" s="13">
        <f t="shared" ca="1" si="1"/>
        <v>46221</v>
      </c>
      <c r="AE9" s="10" t="str">
        <f>_xll.BDP(AC9, "MATURITY")</f>
        <v>7/20/2032</v>
      </c>
      <c r="AF9" s="10">
        <f>_xll.BDP(AC9, "PX_LAST")</f>
        <v>2.403</v>
      </c>
      <c r="AG9" s="10">
        <f t="shared" si="3"/>
        <v>6</v>
      </c>
      <c r="AI9" s="14">
        <v>6</v>
      </c>
      <c r="AJ9" s="14" t="s">
        <v>28</v>
      </c>
      <c r="AK9" s="14">
        <f>_xll.BDP(AJ9, "PX_LAST")</f>
        <v>1.0029999999999999</v>
      </c>
    </row>
    <row r="10" spans="1:37" x14ac:dyDescent="0.25">
      <c r="C10" t="s">
        <v>559</v>
      </c>
      <c r="D10" s="20">
        <f ca="1">TODAY()-A1</f>
        <v>46219</v>
      </c>
      <c r="G10" s="20">
        <v>46210</v>
      </c>
      <c r="H10">
        <v>333.42703</v>
      </c>
      <c r="I10" s="26">
        <f t="shared" ca="1" si="4"/>
        <v>0</v>
      </c>
      <c r="J10" s="26"/>
      <c r="K10" s="5">
        <f ca="1"/>
        <v>45991</v>
      </c>
      <c r="L10">
        <f ca="1"/>
        <v>324.12200000000001</v>
      </c>
      <c r="P10">
        <v>1</v>
      </c>
      <c r="Q10" s="9" t="s">
        <v>34</v>
      </c>
      <c r="R10" s="9" t="s">
        <v>565</v>
      </c>
      <c r="S10" s="12" cm="1">
        <f t="array" ref="S10">_xll.qwCalAddMonths("All",T10,-3)</f>
        <v>46023</v>
      </c>
      <c r="T10" s="12">
        <f>DATEVALUE(_xll.BDP(Q10, "SWAP_EFFECTIVE_DATE_RT"))</f>
        <v>46113</v>
      </c>
      <c r="U10" s="36" cm="1">
        <f t="array" ref="U10">_xll.qwCalAddMonths("All",V10,-3)</f>
        <v>46388</v>
      </c>
      <c r="V10" s="12" cm="1">
        <f t="array" ref="V10">DATEVALUE((_xll.BDP(Q10,"MATURITY")))</f>
        <v>46478</v>
      </c>
      <c r="W10" s="9">
        <f>_xll.BDP(Q10, "PX_MID")</f>
        <v>336.42005</v>
      </c>
      <c r="X10" t="b">
        <f t="shared" si="2"/>
        <v>1</v>
      </c>
      <c r="Z10" s="40">
        <f ca="1">MOD($Z$2-P9+12,12)</f>
        <v>5</v>
      </c>
      <c r="AA10" s="41">
        <f ca="1">DATE(YEAR(strippingDate),MONTH(DATE(YEAR(strippingDate),MONTH(strippingDate),1))-Z10+$AA$2,1)</f>
        <v>46113</v>
      </c>
      <c r="AC10" s="10" t="s">
        <v>30</v>
      </c>
      <c r="AD10" s="13">
        <f t="shared" ca="1" si="1"/>
        <v>46221</v>
      </c>
      <c r="AE10" s="10" t="str">
        <f>_xll.BDP(AC10, "MATURITY")</f>
        <v>7/20/2033</v>
      </c>
      <c r="AF10" s="10">
        <f>_xll.BDP(AC10, "PX_LAST")</f>
        <v>2.3978999999999999</v>
      </c>
      <c r="AG10" s="10">
        <f t="shared" si="3"/>
        <v>7</v>
      </c>
      <c r="AI10" s="14">
        <v>7</v>
      </c>
      <c r="AJ10" s="14" t="s">
        <v>31</v>
      </c>
      <c r="AK10" s="14">
        <f>_xll.BDP(AJ10, "PX_LAST")</f>
        <v>1.002</v>
      </c>
    </row>
    <row r="11" spans="1:37" x14ac:dyDescent="0.25">
      <c r="C11" t="s">
        <v>558</v>
      </c>
      <c r="D11" s="20" cm="1">
        <f t="array" aca="1" ref="D11" ca="1">_xll.qwCalAddBusDays("US",strippingDate,2)</f>
        <v>46223</v>
      </c>
      <c r="G11" s="20">
        <v>46209</v>
      </c>
      <c r="H11">
        <v>333.35919000000001</v>
      </c>
      <c r="I11" s="26">
        <f t="shared" ca="1" si="4"/>
        <v>0</v>
      </c>
      <c r="J11" s="26"/>
      <c r="K11" s="5">
        <f ca="1"/>
        <v>45930</v>
      </c>
      <c r="L11">
        <f ca="1"/>
        <v>324.8</v>
      </c>
      <c r="P11">
        <v>2</v>
      </c>
      <c r="Q11" s="9" t="s">
        <v>38</v>
      </c>
      <c r="R11" s="9" t="s">
        <v>566</v>
      </c>
      <c r="S11" s="12" cm="1">
        <f t="array" ref="S11">_xll.qwCalAddMonths("All",T11,-3)</f>
        <v>46054</v>
      </c>
      <c r="T11" s="12">
        <f>DATEVALUE(_xll.BDP(Q11, "SWAP_EFFECTIVE_DATE_RT"))</f>
        <v>46143</v>
      </c>
      <c r="U11" s="36" cm="1">
        <f t="array" ref="U11">_xll.qwCalAddMonths("All",V11,-3)</f>
        <v>46419</v>
      </c>
      <c r="V11" s="12" cm="1">
        <f t="array" ref="V11">DATEVALUE((_xll.BDP(Q11,"MATURITY")))</f>
        <v>46508</v>
      </c>
      <c r="W11" s="9">
        <f>_xll.BDP(Q11, "PX_MID")</f>
        <v>337.69</v>
      </c>
      <c r="X11" t="b">
        <f t="shared" si="2"/>
        <v>1</v>
      </c>
      <c r="Z11" s="40">
        <f ca="1">MOD($Z$2-P10+12,12)</f>
        <v>4</v>
      </c>
      <c r="AA11" s="41">
        <f ca="1">DATE(YEAR(strippingDate),MONTH(DATE(YEAR(strippingDate),MONTH(strippingDate),1))-Z11+$AA$2,1)</f>
        <v>46143</v>
      </c>
      <c r="AC11" s="10" t="s">
        <v>35</v>
      </c>
      <c r="AD11" s="13">
        <f t="shared" ca="1" si="1"/>
        <v>46221</v>
      </c>
      <c r="AE11" s="10" t="str">
        <f>_xll.BDP(AC11, "MATURITY")</f>
        <v>7/20/2034</v>
      </c>
      <c r="AF11" s="10">
        <f>_xll.BDP(AC11, "PX_LAST")</f>
        <v>2.3925000000000001</v>
      </c>
      <c r="AG11" s="10">
        <f t="shared" si="3"/>
        <v>8</v>
      </c>
      <c r="AI11" s="14">
        <v>8</v>
      </c>
      <c r="AJ11" s="14" t="s">
        <v>36</v>
      </c>
      <c r="AK11" s="14">
        <f>_xll.BDP(AJ11, "PX_LAST")</f>
        <v>1.002</v>
      </c>
    </row>
    <row r="12" spans="1:37" x14ac:dyDescent="0.25">
      <c r="C12" t="s">
        <v>557</v>
      </c>
      <c r="D12" s="20" cm="1">
        <f t="array" aca="1" ref="D12" ca="1">IF(MONTH(strippingDate)=MONTH(spotDate),EOMONTH(_xll.qwCalAddMonths("US",D10,-3),0),EOMONTH(_xll.qwCalAddMonths("US",D11,-3),0))</f>
        <v>46142</v>
      </c>
      <c r="G12" s="20">
        <v>46205</v>
      </c>
      <c r="H12">
        <v>333.08784000000003</v>
      </c>
      <c r="I12" s="26">
        <f t="shared" ca="1" si="4"/>
        <v>0</v>
      </c>
      <c r="J12" s="26"/>
      <c r="K12" s="5">
        <f ca="1"/>
        <v>45900</v>
      </c>
      <c r="L12">
        <f ca="1"/>
        <v>323.976</v>
      </c>
      <c r="P12">
        <v>3</v>
      </c>
      <c r="Q12" s="9" t="s">
        <v>41</v>
      </c>
      <c r="R12" s="9" t="s">
        <v>567</v>
      </c>
      <c r="S12" s="12" cm="1">
        <f t="array" ref="S12">_xll.qwCalAddMonths("All",T12,-3)</f>
        <v>46082</v>
      </c>
      <c r="T12" s="12">
        <f>DATEVALUE(_xll.BDP(Q12, "SWAP_EFFECTIVE_DATE_RT"))</f>
        <v>46174</v>
      </c>
      <c r="U12" s="36" cm="1">
        <f t="array" ref="U12">_xll.qwCalAddMonths("All",V12,-3)</f>
        <v>46447</v>
      </c>
      <c r="V12" s="12" cm="1">
        <f t="array" ref="V12">DATEVALUE((_xll.BDP(Q12,"MATURITY")))</f>
        <v>46539</v>
      </c>
      <c r="W12" s="9">
        <f>_xll.BDP(Q12, "PX_MID")</f>
        <v>339.05860000000001</v>
      </c>
      <c r="X12" t="b">
        <f t="shared" si="2"/>
        <v>1</v>
      </c>
      <c r="Z12" s="40">
        <f ca="1">MOD($Z$2-P11+12,12)</f>
        <v>3</v>
      </c>
      <c r="AA12" s="41">
        <f ca="1">DATE(YEAR(strippingDate),MONTH(DATE(YEAR(strippingDate),MONTH(strippingDate),1))-Z12+$AA$2,1)</f>
        <v>46174</v>
      </c>
      <c r="AC12" s="10" t="s">
        <v>39</v>
      </c>
      <c r="AD12" s="13">
        <f t="shared" ca="1" si="1"/>
        <v>46221</v>
      </c>
      <c r="AE12" s="10" t="str">
        <f>_xll.BDP(AC12, "MATURITY")</f>
        <v>7/20/2035</v>
      </c>
      <c r="AF12" s="10">
        <f>_xll.BDP(AC12, "PX_LAST")</f>
        <v>2.3898000000000001</v>
      </c>
      <c r="AG12" s="10">
        <f t="shared" si="3"/>
        <v>9</v>
      </c>
      <c r="AI12" s="14">
        <v>9</v>
      </c>
      <c r="AJ12" s="14" t="s">
        <v>40</v>
      </c>
      <c r="AK12" s="14">
        <f>_xll.BDP(AJ12, "PX_LAST")</f>
        <v>1.002</v>
      </c>
    </row>
    <row r="13" spans="1:37" x14ac:dyDescent="0.25">
      <c r="C13" t="s">
        <v>32</v>
      </c>
      <c r="D13" t="s">
        <v>33</v>
      </c>
      <c r="G13" s="20">
        <v>46204</v>
      </c>
      <c r="H13">
        <v>333.02</v>
      </c>
      <c r="I13" s="26">
        <f t="shared" ca="1" si="4"/>
        <v>0</v>
      </c>
      <c r="J13" s="26"/>
      <c r="K13" s="5">
        <f ca="1"/>
        <v>45869</v>
      </c>
      <c r="L13">
        <f ca="1"/>
        <v>323.048</v>
      </c>
      <c r="P13">
        <v>4</v>
      </c>
      <c r="Q13" s="9" t="s">
        <v>44</v>
      </c>
      <c r="R13" s="9" t="s">
        <v>568</v>
      </c>
      <c r="S13" s="12" cm="1">
        <f t="array" ref="S13">_xll.qwCalAddMonths("All",T13,-3)</f>
        <v>46113</v>
      </c>
      <c r="T13" s="12">
        <f>DATEVALUE(_xll.BDP(Q13, "SWAP_EFFECTIVE_DATE_RT"))</f>
        <v>46204</v>
      </c>
      <c r="U13" s="36" cm="1">
        <f t="array" ref="U13">_xll.qwCalAddMonths("All",V13,-3)</f>
        <v>46478</v>
      </c>
      <c r="V13" s="12" cm="1">
        <f t="array" ref="V13">DATEVALUE((_xll.BDP(Q13,"MATURITY")))</f>
        <v>46569</v>
      </c>
      <c r="W13" s="9">
        <f>_xll.BDP(Q13, "PX_MID")</f>
        <v>340.18405000000001</v>
      </c>
      <c r="X13" t="b">
        <f t="shared" si="2"/>
        <v>1</v>
      </c>
      <c r="Z13" s="40">
        <f ca="1">MOD($Z$2-P12+12,12)</f>
        <v>2</v>
      </c>
      <c r="AA13" s="41">
        <f ca="1">DATE(YEAR(strippingDate),MONTH(DATE(YEAR(strippingDate),MONTH(strippingDate),1))-Z13+$AA$2,1)</f>
        <v>46204</v>
      </c>
      <c r="AC13" s="10" t="s">
        <v>42</v>
      </c>
      <c r="AD13" s="13">
        <f t="shared" ca="1" si="1"/>
        <v>46221</v>
      </c>
      <c r="AE13" s="10" t="str">
        <f>_xll.BDP(AC13, "MATURITY")</f>
        <v>7/20/2036</v>
      </c>
      <c r="AF13" s="10">
        <f>_xll.BDP(AC13, "PX_LAST")</f>
        <v>2.3925000000000001</v>
      </c>
      <c r="AG13" s="10">
        <f t="shared" si="3"/>
        <v>10</v>
      </c>
      <c r="AI13" s="14">
        <v>10</v>
      </c>
      <c r="AJ13" s="14" t="s">
        <v>43</v>
      </c>
      <c r="AK13" s="14">
        <f>_xll.BDP(AJ13, "PX_LAST")</f>
        <v>1</v>
      </c>
    </row>
    <row r="14" spans="1:37" x14ac:dyDescent="0.25">
      <c r="C14" t="s">
        <v>37</v>
      </c>
      <c r="D14">
        <v>3</v>
      </c>
      <c r="G14" s="20">
        <v>46203</v>
      </c>
      <c r="H14">
        <v>332.92642999999998</v>
      </c>
      <c r="I14" s="26">
        <f t="shared" ca="1" si="4"/>
        <v>0</v>
      </c>
      <c r="J14" s="26"/>
      <c r="K14" s="5">
        <f ca="1"/>
        <v>45838</v>
      </c>
      <c r="L14">
        <f ca="1"/>
        <v>322.56099999999998</v>
      </c>
      <c r="P14">
        <v>5</v>
      </c>
      <c r="Q14" s="9" t="s">
        <v>47</v>
      </c>
      <c r="R14" s="9" t="s">
        <v>569</v>
      </c>
      <c r="S14" s="12" cm="1">
        <f t="array" ref="S14">_xll.qwCalAddMonths("All",T14,-3)</f>
        <v>46143</v>
      </c>
      <c r="T14" s="12">
        <f>DATEVALUE(_xll.BDP(Q14, "SWAP_EFFECTIVE_DATE_RT"))</f>
        <v>46235</v>
      </c>
      <c r="U14" s="36" cm="1">
        <f t="array" ref="U14">_xll.qwCalAddMonths("All",V14,-3)</f>
        <v>46508</v>
      </c>
      <c r="V14" s="12" cm="1">
        <f t="array" ref="V14">DATEVALUE((_xll.BDP(Q14,"MATURITY")))</f>
        <v>46600</v>
      </c>
      <c r="W14" s="9">
        <f>_xll.BDP(Q14, "PX_MID")</f>
        <v>341.22640000000001</v>
      </c>
      <c r="X14" t="b">
        <f t="shared" si="2"/>
        <v>1</v>
      </c>
      <c r="Z14" s="40">
        <f ca="1">MOD($Z$2-P13+12,12)</f>
        <v>1</v>
      </c>
      <c r="AA14" s="41">
        <f ca="1">DATE(YEAR(strippingDate),MONTH(DATE(YEAR(strippingDate),MONTH(strippingDate),1))-Z14+$AA$2,1)</f>
        <v>46235</v>
      </c>
      <c r="AC14" s="10" t="s">
        <v>45</v>
      </c>
      <c r="AD14" s="13">
        <f t="shared" ca="1" si="1"/>
        <v>46221</v>
      </c>
      <c r="AE14" s="10" t="str">
        <f>_xll.BDP(AC14, "MATURITY")</f>
        <v>7/20/2041</v>
      </c>
      <c r="AF14" s="10">
        <f>_xll.BDP(AC14, "PX_LAST")</f>
        <v>2.3849999999999998</v>
      </c>
      <c r="AG14" s="10">
        <v>15</v>
      </c>
      <c r="AI14" s="14">
        <v>11</v>
      </c>
      <c r="AJ14" s="14" t="s">
        <v>46</v>
      </c>
      <c r="AK14" s="14">
        <f>_xll.BDP(AJ14, "PX_LAST")</f>
        <v>0.997</v>
      </c>
    </row>
    <row r="15" spans="1:37" x14ac:dyDescent="0.25">
      <c r="G15" s="20">
        <v>46202</v>
      </c>
      <c r="H15">
        <v>332.83287000000001</v>
      </c>
      <c r="I15" s="26">
        <f t="shared" ca="1" si="4"/>
        <v>0</v>
      </c>
      <c r="J15" s="26"/>
      <c r="K15" s="2">
        <f ca="1"/>
        <v>45808</v>
      </c>
      <c r="L15">
        <f ca="1"/>
        <v>321.46499999999997</v>
      </c>
      <c r="P15">
        <v>6</v>
      </c>
      <c r="Q15" s="9" t="s">
        <v>11</v>
      </c>
      <c r="R15" s="9" t="s">
        <v>560</v>
      </c>
      <c r="S15" s="12" cm="1">
        <f t="array" ref="S15">_xll.qwCalAddMonths("All",T15,-3)</f>
        <v>46174</v>
      </c>
      <c r="T15" s="12">
        <f>DATEVALUE(_xll.BDP(Q15, "SWAP_EFFECTIVE_DATE_RT"))</f>
        <v>46266</v>
      </c>
      <c r="U15" s="36" cm="1">
        <f t="array" ref="U15">_xll.qwCalAddMonths("All",V15,-3)</f>
        <v>46539</v>
      </c>
      <c r="V15" s="12" cm="1">
        <f t="array" ref="V15">DATEVALUE((_xll.BDP(Q15,"MATURITY")))</f>
        <v>46631</v>
      </c>
      <c r="W15" s="35">
        <f>_xll.BDP(Q15, "PX_MID")</f>
        <v>341.81659999999999</v>
      </c>
      <c r="X15" t="b">
        <f>V15&gt;V14</f>
        <v>1</v>
      </c>
      <c r="Z15" s="40">
        <f ca="1">MOD($Z$2-P14+12,12)</f>
        <v>0</v>
      </c>
      <c r="AA15" s="41">
        <f ca="1">DATE(YEAR(strippingDate),MONTH(DATE(YEAR(strippingDate),MONTH(strippingDate),1))-Z15+$AA$2,1)</f>
        <v>46266</v>
      </c>
      <c r="AC15" s="10" t="s">
        <v>48</v>
      </c>
      <c r="AD15" s="13">
        <f t="shared" ca="1" si="1"/>
        <v>46221</v>
      </c>
      <c r="AE15" s="10" t="str">
        <f>_xll.BDP(AC15, "MATURITY")</f>
        <v>7/20/2046</v>
      </c>
      <c r="AF15" s="10">
        <f>_xll.BDP(AC15, "PX_LAST")</f>
        <v>2.3620000000000001</v>
      </c>
      <c r="AG15" s="10">
        <v>20</v>
      </c>
      <c r="AI15" s="14">
        <v>12</v>
      </c>
      <c r="AJ15" s="14" t="s">
        <v>49</v>
      </c>
      <c r="AK15" s="14">
        <f>_xll.BDP(AJ15, "PX_LAST")</f>
        <v>0.995</v>
      </c>
    </row>
    <row r="16" spans="1:37" x14ac:dyDescent="0.25">
      <c r="A16" s="2"/>
      <c r="B16" s="2"/>
      <c r="D16" s="3"/>
      <c r="G16" s="20">
        <v>46199</v>
      </c>
      <c r="H16">
        <v>332.55216999999999</v>
      </c>
      <c r="I16" s="26">
        <f t="shared" ca="1" si="4"/>
        <v>0</v>
      </c>
      <c r="J16" s="26"/>
      <c r="K16" s="5">
        <f ca="1"/>
        <v>45777</v>
      </c>
      <c r="L16">
        <f ca="1"/>
        <v>320.79500000000002</v>
      </c>
      <c r="AC16" s="10" t="s">
        <v>50</v>
      </c>
      <c r="AD16" s="13">
        <f t="shared" ca="1" si="1"/>
        <v>46221</v>
      </c>
      <c r="AE16" s="10" t="str">
        <f>_xll.BDP(AC16, "MATURITY")</f>
        <v>7/20/2051</v>
      </c>
      <c r="AF16" s="10">
        <f>_xll.BDP(AC16, "PX_LAST")</f>
        <v>2.3330000000000002</v>
      </c>
      <c r="AG16" s="10">
        <v>25</v>
      </c>
    </row>
    <row r="17" spans="1:33" x14ac:dyDescent="0.25">
      <c r="C17" s="3"/>
      <c r="D17" s="3"/>
      <c r="G17" s="20">
        <v>46198</v>
      </c>
      <c r="H17">
        <v>332.45859999999999</v>
      </c>
      <c r="I17" s="26">
        <f t="shared" ca="1" si="4"/>
        <v>0</v>
      </c>
      <c r="J17" s="26"/>
      <c r="K17" s="5">
        <f ca="1"/>
        <v>45747</v>
      </c>
      <c r="L17">
        <f ca="1"/>
        <v>319.79899999999998</v>
      </c>
      <c r="N17"/>
      <c r="AC17" s="10" t="s">
        <v>51</v>
      </c>
      <c r="AD17" s="13">
        <f t="shared" ca="1" si="1"/>
        <v>46221</v>
      </c>
      <c r="AE17" s="10" t="str">
        <f>_xll.BDP(AC17, "MATURITY")</f>
        <v>7/20/2056</v>
      </c>
      <c r="AF17" s="10">
        <f>_xll.BDP(AC17, "PX_LAST")</f>
        <v>2.3340000000000001</v>
      </c>
      <c r="AG17" s="10">
        <v>30</v>
      </c>
    </row>
    <row r="18" spans="1:33" x14ac:dyDescent="0.25">
      <c r="E18" s="26"/>
      <c r="G18" s="20">
        <v>46197</v>
      </c>
      <c r="H18">
        <v>332.36502999999999</v>
      </c>
      <c r="I18" s="26">
        <f t="shared" ca="1" si="4"/>
        <v>0</v>
      </c>
      <c r="J18" s="26"/>
      <c r="K18" s="5">
        <f ca="1"/>
        <v>45716</v>
      </c>
      <c r="L18" s="4">
        <f ca="1"/>
        <v>319.08199999999999</v>
      </c>
      <c r="M18" s="4"/>
    </row>
    <row r="19" spans="1:33" x14ac:dyDescent="0.25">
      <c r="B19" t="s">
        <v>576</v>
      </c>
      <c r="C19" t="s">
        <v>575</v>
      </c>
      <c r="G19" s="20">
        <v>46196</v>
      </c>
      <c r="H19">
        <v>332.27147000000002</v>
      </c>
      <c r="I19" s="26">
        <f t="shared" ca="1" si="4"/>
        <v>0</v>
      </c>
      <c r="J19" s="26"/>
      <c r="K19" s="5">
        <f ca="1"/>
        <v>45688</v>
      </c>
      <c r="L19">
        <f ca="1"/>
        <v>317.67099999999999</v>
      </c>
    </row>
    <row r="20" spans="1:33" x14ac:dyDescent="0.25">
      <c r="A20" s="6">
        <f t="shared" ref="A20:A22" ca="1" si="5">C20-$D$10</f>
        <v>4</v>
      </c>
      <c r="B20" s="34">
        <f ca="1">DATE(YEAR(C20), MONTH(C20)-3,15)</f>
        <v>46127</v>
      </c>
      <c r="C20" s="23">
        <f ca="1">D11</f>
        <v>46223</v>
      </c>
      <c r="D20" s="19" cm="1">
        <f t="array" aca="1" ref="D20" ca="1">INDEX(_xlfn.ANCHORARRAY(K3),MATCH(LaggedEOM,K3:K13,0),2)+(DAY(spotDate)-1)/DAY(EOMONTH(spotDate,0))*(INDEX(_xlfn.ANCHORARRAY(K3),MATCH(LaggedEOM,K3:K13,0)-1,2)-INDEX(_xlfn.ANCHORARRAY(K3),MATCH(LaggedEOM,K3:K13,0),2))</f>
        <v>334.30893548387098</v>
      </c>
      <c r="G20" s="20">
        <v>46195</v>
      </c>
      <c r="H20">
        <v>332.17790000000002</v>
      </c>
      <c r="I20" s="26">
        <f t="shared" ca="1" si="4"/>
        <v>0</v>
      </c>
      <c r="J20" s="26"/>
      <c r="K20" s="5">
        <f ca="1"/>
        <v>45657</v>
      </c>
      <c r="L20">
        <f ca="1"/>
        <v>315.60500000000002</v>
      </c>
      <c r="N20" s="3">
        <v>0</v>
      </c>
      <c r="O20" s="2">
        <f t="shared" ref="O20:O51" ca="1" si="6">N20+$D$10</f>
        <v>46219</v>
      </c>
      <c r="P20" cm="1">
        <f t="array" aca="1" ref="P20" ca="1">_xll.qwDataInterp(N20,$A$20:$A$44,$D$20:$D$44,4)</f>
        <v>334.32696482545293</v>
      </c>
      <c r="Q20" s="3">
        <f t="shared" ref="Q20:Q51" ca="1" si="7">VLOOKUP(MONTH(O20),$AI$4:$AK$15,3,0)*P20</f>
        <v>334.99561875510386</v>
      </c>
    </row>
    <row r="21" spans="1:33" x14ac:dyDescent="0.25">
      <c r="A21" s="9">
        <f t="shared" ca="1" si="5"/>
        <v>77</v>
      </c>
      <c r="B21" s="33">
        <f>DATE(YEAR(V15), MONTH(V15)-3,15)</f>
        <v>46553</v>
      </c>
      <c r="C21" s="24">
        <f>DATE(YEAR(V4), MONTH(V4),DAY(V4))</f>
        <v>46296</v>
      </c>
      <c r="D21" s="35">
        <f>W4</f>
        <v>333.97989999999999</v>
      </c>
      <c r="E21" s="4"/>
      <c r="G21" s="20">
        <v>46191</v>
      </c>
      <c r="H21">
        <v>331.80363</v>
      </c>
      <c r="I21" s="26">
        <f t="shared" ca="1" si="4"/>
        <v>0</v>
      </c>
      <c r="J21" s="26"/>
      <c r="K21" s="5">
        <f ca="1"/>
        <v>45626</v>
      </c>
      <c r="L21" s="4">
        <f ca="1"/>
        <v>315.49299999999999</v>
      </c>
      <c r="M21" s="4"/>
      <c r="N21" s="3">
        <f>N20+100</f>
        <v>100</v>
      </c>
      <c r="O21" s="2">
        <f t="shared" ca="1" si="6"/>
        <v>46319</v>
      </c>
      <c r="P21" cm="1">
        <f t="array" aca="1" ref="P21" ca="1">_xll.qwDataInterp(N21,$A$20:$A$44,$D$20:$D$44,4)</f>
        <v>334.81836129032257</v>
      </c>
      <c r="Q21" s="3">
        <f t="shared" ca="1" si="7"/>
        <v>334.81836129032257</v>
      </c>
      <c r="R21">
        <f ca="1">EXP(LN(P21/$P$20)*1/((O21-$O$20)/365))-1</f>
        <v>5.3752557610911023E-3</v>
      </c>
    </row>
    <row r="22" spans="1:33" x14ac:dyDescent="0.25">
      <c r="A22" s="9">
        <f t="shared" ca="1" si="5"/>
        <v>108</v>
      </c>
      <c r="B22" s="33">
        <f t="shared" ref="B22:B32" si="8">DATE(YEAR(V4), MONTH(V4)-3,15)</f>
        <v>46218</v>
      </c>
      <c r="C22" s="24">
        <f t="shared" ref="C22:C31" si="9">DATE(YEAR(V5), MONTH(V5),DAY(V5))</f>
        <v>46327</v>
      </c>
      <c r="D22" s="35">
        <f>W5</f>
        <v>335.11</v>
      </c>
      <c r="E22" s="4"/>
      <c r="G22" s="20">
        <v>46190</v>
      </c>
      <c r="H22">
        <v>331.71006999999997</v>
      </c>
      <c r="I22" s="26">
        <f t="shared" ca="1" si="4"/>
        <v>0</v>
      </c>
      <c r="J22" s="26"/>
      <c r="K22" s="5">
        <f ca="1"/>
        <v>45596</v>
      </c>
      <c r="L22" s="4">
        <f ca="1"/>
        <v>315.66399999999999</v>
      </c>
      <c r="M22" s="4"/>
      <c r="N22" s="3">
        <f>N21+100</f>
        <v>200</v>
      </c>
      <c r="O22" s="2">
        <f ca="1">N22+$D$10</f>
        <v>46419</v>
      </c>
      <c r="P22" cm="1">
        <f t="array" aca="1" ref="P22" ca="1">_xll.qwDataInterp(N22,$A$20:$A$44,$D$20:$D$44,4)</f>
        <v>335.08994999999999</v>
      </c>
      <c r="Q22" s="3">
        <f t="shared" ca="1" si="7"/>
        <v>334.41977009999999</v>
      </c>
      <c r="R22">
        <f ca="1">EXP(LN(P22/$P$20)*1/((O22-$O$20)/365))-1</f>
        <v>4.1688489100415449E-3</v>
      </c>
      <c r="AA22" t="s">
        <v>490</v>
      </c>
      <c r="AB22" t="s">
        <v>491</v>
      </c>
      <c r="AC22" t="s">
        <v>492</v>
      </c>
      <c r="AF22" s="2">
        <v>46199</v>
      </c>
    </row>
    <row r="23" spans="1:33" x14ac:dyDescent="0.25">
      <c r="A23" s="9">
        <f t="shared" ref="A23:A44" ca="1" si="10">C23-$D$10</f>
        <v>138</v>
      </c>
      <c r="B23" s="33">
        <f t="shared" si="8"/>
        <v>46249</v>
      </c>
      <c r="C23" s="24">
        <f t="shared" si="9"/>
        <v>46357</v>
      </c>
      <c r="D23" s="35">
        <f>W6</f>
        <v>335.64</v>
      </c>
      <c r="E23" s="4"/>
      <c r="G23" s="20">
        <v>46189</v>
      </c>
      <c r="H23">
        <v>331.61649999999997</v>
      </c>
      <c r="I23" s="26">
        <f t="shared" ca="1" si="4"/>
        <v>0</v>
      </c>
      <c r="J23" s="26"/>
      <c r="K23" s="5">
        <f ca="1"/>
        <v>45565</v>
      </c>
      <c r="L23" s="4">
        <f ca="1"/>
        <v>315.30099999999999</v>
      </c>
      <c r="M23" s="4"/>
      <c r="N23" s="3">
        <f>N22+100</f>
        <v>300</v>
      </c>
      <c r="O23" s="2">
        <f t="shared" ca="1" si="6"/>
        <v>46519</v>
      </c>
      <c r="P23" cm="1">
        <f t="array" aca="1" ref="P23" ca="1">_xll.qwDataInterp(N23,$A$20:$A$44,$D$20:$D$44,4)</f>
        <v>338.17563225806452</v>
      </c>
      <c r="Q23" s="3">
        <f t="shared" ca="1" si="7"/>
        <v>339.19015915483868</v>
      </c>
      <c r="R23">
        <f t="shared" ref="R23:R52" ca="1" si="11">EXP(LN(P23/$P$20)*1/((O23-$O$20)/365))-1</f>
        <v>1.4023300559075524E-2</v>
      </c>
      <c r="AA23" s="2">
        <f ca="1">K3</f>
        <v>46203</v>
      </c>
      <c r="AB23" s="2">
        <f ca="1">DATE(YEAR(AA23),MONTH(AA23),1)</f>
        <v>46174</v>
      </c>
      <c r="AC23" s="2">
        <f ca="1">EDATE(AB23,D$14)</f>
        <v>46266</v>
      </c>
      <c r="AD23">
        <f ca="1">L3</f>
        <v>333.952</v>
      </c>
    </row>
    <row r="24" spans="1:33" x14ac:dyDescent="0.25">
      <c r="A24" s="9">
        <f t="shared" ca="1" si="10"/>
        <v>169</v>
      </c>
      <c r="B24" s="33">
        <f t="shared" si="8"/>
        <v>46280</v>
      </c>
      <c r="C24" s="24">
        <f t="shared" si="9"/>
        <v>46388</v>
      </c>
      <c r="D24" s="35">
        <f t="shared" ref="D24:D31" si="12">W7</f>
        <v>335.51004999999998</v>
      </c>
      <c r="E24" s="4"/>
      <c r="G24" s="20">
        <v>46188</v>
      </c>
      <c r="H24">
        <v>331.52292999999997</v>
      </c>
      <c r="I24" s="26">
        <f t="shared" ca="1" si="4"/>
        <v>0</v>
      </c>
      <c r="J24" s="26"/>
      <c r="K24" s="5">
        <f ca="1"/>
        <v>45535</v>
      </c>
      <c r="L24" s="4">
        <f ca="1"/>
        <v>314.79599999999999</v>
      </c>
      <c r="M24" s="4"/>
      <c r="N24" s="3">
        <f t="shared" ref="N24:N85" si="13">N23+100</f>
        <v>400</v>
      </c>
      <c r="O24" s="2">
        <f t="shared" ca="1" si="6"/>
        <v>46619</v>
      </c>
      <c r="P24" cm="1">
        <f t="array" aca="1" ref="P24" ca="1">_xll.qwDataInterp(N24,$A$20:$A$44,$D$20:$D$44,4)</f>
        <v>341.58813548387099</v>
      </c>
      <c r="Q24" s="3">
        <f t="shared" ca="1" si="7"/>
        <v>342.27131175483873</v>
      </c>
      <c r="R24">
        <f ca="1">EXP(LN(P24/$P$20)*1/((O24-$O$20)/365))-1</f>
        <v>1.9799693437420718E-2</v>
      </c>
      <c r="AA24" s="2">
        <f ca="1">K4</f>
        <v>46173</v>
      </c>
      <c r="AB24" s="2">
        <f t="shared" ref="AB24:AB27" ca="1" si="14">DATE(YEAR(AA24),MONTH(AA24),1)</f>
        <v>46143</v>
      </c>
      <c r="AC24" s="2">
        <f ca="1">EDATE(AB24,D$14)</f>
        <v>46235</v>
      </c>
      <c r="AD24" s="6">
        <f ca="1">L4</f>
        <v>335.12299999999999</v>
      </c>
      <c r="AE24">
        <f t="shared" ref="AE24" ca="1" si="15">AC23-AC24</f>
        <v>31</v>
      </c>
    </row>
    <row r="25" spans="1:33" x14ac:dyDescent="0.25">
      <c r="A25" s="9">
        <f t="shared" ca="1" si="10"/>
        <v>200</v>
      </c>
      <c r="B25" s="33">
        <f t="shared" si="8"/>
        <v>46310</v>
      </c>
      <c r="C25" s="24">
        <f t="shared" si="9"/>
        <v>46419</v>
      </c>
      <c r="D25" s="35">
        <f>W8</f>
        <v>335.08994999999999</v>
      </c>
      <c r="E25" s="4"/>
      <c r="G25" s="20">
        <v>46185</v>
      </c>
      <c r="H25">
        <v>331.24223000000001</v>
      </c>
      <c r="I25" s="26">
        <f t="shared" ca="1" si="4"/>
        <v>0</v>
      </c>
      <c r="J25" s="26"/>
      <c r="K25" s="5">
        <f ca="1"/>
        <v>45504</v>
      </c>
      <c r="L25" s="4">
        <f ca="1"/>
        <v>314.54000000000002</v>
      </c>
      <c r="M25" s="4"/>
      <c r="N25" s="3">
        <f t="shared" si="13"/>
        <v>500</v>
      </c>
      <c r="O25" s="2">
        <f t="shared" ca="1" si="6"/>
        <v>46719</v>
      </c>
      <c r="P25" cm="1">
        <f t="array" aca="1" ref="P25" ca="1">_xll.qwDataInterp(N25,$A$20:$A$44,$D$20:$D$44,4)</f>
        <v>343.94852465151814</v>
      </c>
      <c r="Q25" s="3">
        <f t="shared" ca="1" si="7"/>
        <v>342.91667907756357</v>
      </c>
      <c r="R25">
        <f t="shared" ca="1" si="11"/>
        <v>2.0927948543443708E-2</v>
      </c>
      <c r="AA25" s="2">
        <f ca="1">K5</f>
        <v>46142</v>
      </c>
      <c r="AB25" s="2">
        <f t="shared" ca="1" si="14"/>
        <v>46113</v>
      </c>
      <c r="AC25" s="2">
        <f ca="1">EDATE(AB25,D$14)</f>
        <v>46204</v>
      </c>
      <c r="AD25" s="6">
        <f ca="1">L5</f>
        <v>333.02</v>
      </c>
      <c r="AE25" s="6">
        <f ca="1">AC24-AC25</f>
        <v>31</v>
      </c>
      <c r="AF25" s="16">
        <f ca="1">AD25+(DAY(AF22)-1)*(AD24-AD25)/AE25</f>
        <v>334.71596774193546</v>
      </c>
    </row>
    <row r="26" spans="1:33" x14ac:dyDescent="0.25">
      <c r="A26" s="9">
        <f t="shared" ca="1" si="10"/>
        <v>228</v>
      </c>
      <c r="B26" s="33">
        <f t="shared" si="8"/>
        <v>46341</v>
      </c>
      <c r="C26" s="24">
        <f t="shared" si="9"/>
        <v>46447</v>
      </c>
      <c r="D26" s="35">
        <f t="shared" si="12"/>
        <v>335.06995000000001</v>
      </c>
      <c r="E26" s="4"/>
      <c r="G26" s="20">
        <v>46184</v>
      </c>
      <c r="H26">
        <v>331.14866999999998</v>
      </c>
      <c r="I26" s="26">
        <f t="shared" ca="1" si="4"/>
        <v>0</v>
      </c>
      <c r="J26" s="26"/>
      <c r="K26" s="5">
        <f ca="1"/>
        <v>45473</v>
      </c>
      <c r="L26" s="4">
        <f ca="1"/>
        <v>314.17500000000001</v>
      </c>
      <c r="M26" s="4"/>
      <c r="N26" s="3">
        <f t="shared" si="13"/>
        <v>600</v>
      </c>
      <c r="O26" s="2">
        <f t="shared" ca="1" si="6"/>
        <v>46819</v>
      </c>
      <c r="P26" cm="1">
        <f t="array" aca="1" ref="P26" ca="1">_xll.qwDataInterp(N26,$A$20:$A$44,$D$20:$D$44,4)</f>
        <v>346.37116630097051</v>
      </c>
      <c r="Q26" s="3">
        <f t="shared" ca="1" si="7"/>
        <v>346.71753746727143</v>
      </c>
      <c r="R26">
        <f t="shared" ca="1" si="11"/>
        <v>2.1763258488800119E-2</v>
      </c>
      <c r="AA26" s="2">
        <f ca="1">K6</f>
        <v>46112</v>
      </c>
      <c r="AB26" s="2">
        <f t="shared" ca="1" si="14"/>
        <v>46082</v>
      </c>
      <c r="AC26" s="2">
        <f ca="1">EDATE(AB26,D$14)</f>
        <v>46174</v>
      </c>
      <c r="AD26">
        <f ca="1">L6</f>
        <v>330.21300000000002</v>
      </c>
      <c r="AE26">
        <f t="shared" ref="AE26:AE27" ca="1" si="16">AC25-AC26</f>
        <v>30</v>
      </c>
    </row>
    <row r="27" spans="1:33" x14ac:dyDescent="0.25">
      <c r="A27" s="9">
        <f t="shared" ca="1" si="10"/>
        <v>259</v>
      </c>
      <c r="B27" s="33">
        <f t="shared" si="8"/>
        <v>46371</v>
      </c>
      <c r="C27" s="24">
        <f t="shared" si="9"/>
        <v>46478</v>
      </c>
      <c r="D27" s="35">
        <f t="shared" si="12"/>
        <v>336.42005</v>
      </c>
      <c r="E27" s="4"/>
      <c r="G27" s="20">
        <v>46183</v>
      </c>
      <c r="H27">
        <v>331.05509999999998</v>
      </c>
      <c r="I27" s="26">
        <f t="shared" ca="1" si="4"/>
        <v>0</v>
      </c>
      <c r="J27" s="26"/>
      <c r="K27" s="5"/>
      <c r="L27" s="4"/>
      <c r="M27" s="4"/>
      <c r="N27" s="3">
        <f t="shared" si="13"/>
        <v>700</v>
      </c>
      <c r="O27" s="2">
        <f t="shared" ca="1" si="6"/>
        <v>46919</v>
      </c>
      <c r="P27" cm="1">
        <f t="array" aca="1" ref="P27" ca="1">_xll.qwDataInterp(N27,$A$20:$A$44,$D$20:$D$44,4)</f>
        <v>348.79380795042294</v>
      </c>
      <c r="Q27" s="3">
        <f t="shared" ca="1" si="7"/>
        <v>349.84018937427419</v>
      </c>
      <c r="R27">
        <f t="shared" ca="1" si="11"/>
        <v>2.2334247377854055E-2</v>
      </c>
      <c r="AA27" s="2">
        <f ca="1">K7</f>
        <v>46081</v>
      </c>
      <c r="AB27" s="2">
        <f t="shared" ca="1" si="14"/>
        <v>46054</v>
      </c>
      <c r="AC27" s="2">
        <f ca="1">EDATE(AB27,D$14)</f>
        <v>46143</v>
      </c>
      <c r="AD27">
        <f ca="1">L7</f>
        <v>326.78500000000003</v>
      </c>
      <c r="AE27">
        <f t="shared" ca="1" si="16"/>
        <v>31</v>
      </c>
    </row>
    <row r="28" spans="1:33" x14ac:dyDescent="0.25">
      <c r="A28" s="9">
        <f t="shared" ca="1" si="10"/>
        <v>289</v>
      </c>
      <c r="B28" s="33">
        <f t="shared" si="8"/>
        <v>46402</v>
      </c>
      <c r="C28" s="24">
        <f t="shared" si="9"/>
        <v>46508</v>
      </c>
      <c r="D28" s="35">
        <f t="shared" si="12"/>
        <v>337.69</v>
      </c>
      <c r="E28" s="4"/>
      <c r="G28" s="20">
        <v>46182</v>
      </c>
      <c r="H28">
        <v>330.96152999999998</v>
      </c>
      <c r="I28" s="26">
        <f t="shared" ca="1" si="4"/>
        <v>0</v>
      </c>
      <c r="J28" s="26"/>
      <c r="K28" s="3"/>
      <c r="L28" s="4"/>
      <c r="M28" s="4"/>
      <c r="N28" s="3">
        <f t="shared" si="13"/>
        <v>800</v>
      </c>
      <c r="O28" s="2">
        <f t="shared" ca="1" si="6"/>
        <v>47019</v>
      </c>
      <c r="P28" cm="1">
        <f t="array" aca="1" ref="P28" ca="1">_xll.qwDataInterp(N28,$A$20:$A$44,$D$20:$D$44,4)</f>
        <v>351.22035705534313</v>
      </c>
      <c r="Q28" s="3">
        <f t="shared" ca="1" si="7"/>
        <v>351.92279776945384</v>
      </c>
      <c r="R28">
        <f t="shared" ca="1" si="11"/>
        <v>2.2745377323947213E-2</v>
      </c>
    </row>
    <row r="29" spans="1:33" x14ac:dyDescent="0.25">
      <c r="A29" s="9">
        <f t="shared" ca="1" si="10"/>
        <v>320</v>
      </c>
      <c r="B29" s="33">
        <f t="shared" si="8"/>
        <v>46433</v>
      </c>
      <c r="C29" s="24">
        <f>DATE(YEAR(V12), MONTH(V12),DAY(V12))</f>
        <v>46539</v>
      </c>
      <c r="D29" s="35">
        <f>W12</f>
        <v>339.05860000000001</v>
      </c>
      <c r="E29" s="4"/>
      <c r="G29" s="20">
        <v>46181</v>
      </c>
      <c r="H29">
        <v>330.86797000000001</v>
      </c>
      <c r="I29" s="26">
        <f t="shared" ca="1" si="4"/>
        <v>0</v>
      </c>
      <c r="J29" s="26"/>
      <c r="K29" s="3"/>
      <c r="L29" s="4"/>
      <c r="M29" s="4"/>
      <c r="N29" s="3">
        <f t="shared" si="13"/>
        <v>900</v>
      </c>
      <c r="O29" s="2">
        <f t="shared" ca="1" si="6"/>
        <v>47119</v>
      </c>
      <c r="P29" cm="1">
        <f t="array" aca="1" ref="P29" ca="1">_xll.qwDataInterp(N29,$A$20:$A$44,$D$20:$D$44,4)</f>
        <v>353.64901017474602</v>
      </c>
      <c r="Q29" s="3">
        <f t="shared" ca="1" si="7"/>
        <v>352.23441413404703</v>
      </c>
      <c r="R29">
        <f t="shared" ca="1" si="11"/>
        <v>2.304792263276112E-2</v>
      </c>
      <c r="AD29" t="s">
        <v>494</v>
      </c>
      <c r="AE29" s="15">
        <f>AF8</f>
        <v>2.4020000000000001</v>
      </c>
      <c r="AF29">
        <f>(1+AE29/100)^AG8</f>
        <v>1.1260098623004526</v>
      </c>
      <c r="AG29">
        <f ca="1">AF25*AF29</f>
        <v>376.8934807468595</v>
      </c>
    </row>
    <row r="30" spans="1:33" x14ac:dyDescent="0.25">
      <c r="A30" s="9">
        <f t="shared" ca="1" si="10"/>
        <v>350</v>
      </c>
      <c r="B30" s="33">
        <f t="shared" si="8"/>
        <v>46461</v>
      </c>
      <c r="C30" s="24">
        <f t="shared" si="9"/>
        <v>46569</v>
      </c>
      <c r="D30" s="35">
        <f>W13</f>
        <v>340.18405000000001</v>
      </c>
      <c r="E30" s="4"/>
      <c r="G30" s="20">
        <v>46178</v>
      </c>
      <c r="H30">
        <v>330.58726999999999</v>
      </c>
      <c r="I30" s="26">
        <f t="shared" ca="1" si="4"/>
        <v>0</v>
      </c>
      <c r="J30" s="26"/>
      <c r="K30" s="3"/>
      <c r="L30" s="4"/>
      <c r="M30" s="4"/>
      <c r="N30" s="3">
        <f t="shared" si="13"/>
        <v>1000</v>
      </c>
      <c r="O30" s="2">
        <f t="shared" ca="1" si="6"/>
        <v>47219</v>
      </c>
      <c r="P30" cm="1">
        <f t="array" aca="1" ref="P30" ca="1">_xll.qwDataInterp(N30,$A$20:$A$44,$D$20:$D$44,4)</f>
        <v>356.07766329414892</v>
      </c>
      <c r="Q30" s="3">
        <f t="shared" ca="1" si="7"/>
        <v>357.14589628403132</v>
      </c>
      <c r="R30">
        <f t="shared" ca="1" si="11"/>
        <v>2.3272408254412014E-2</v>
      </c>
      <c r="AD30" t="s">
        <v>493</v>
      </c>
      <c r="AE30">
        <v>2.32775</v>
      </c>
      <c r="AF30">
        <f>(1+AE30/100)^AG8</f>
        <v>1.1219335221334092</v>
      </c>
      <c r="AG30" s="18">
        <f ca="1">AF25*AF30</f>
        <v>375.52906460300221</v>
      </c>
    </row>
    <row r="31" spans="1:33" x14ac:dyDescent="0.25">
      <c r="A31" s="9">
        <f t="shared" ca="1" si="10"/>
        <v>381</v>
      </c>
      <c r="B31" s="33">
        <f t="shared" si="8"/>
        <v>46492</v>
      </c>
      <c r="C31" s="24">
        <f t="shared" si="9"/>
        <v>46600</v>
      </c>
      <c r="D31" s="35">
        <f t="shared" si="12"/>
        <v>341.22640000000001</v>
      </c>
      <c r="E31" s="4"/>
      <c r="G31" s="20">
        <v>46177</v>
      </c>
      <c r="H31">
        <v>330.49369999999999</v>
      </c>
      <c r="I31" s="26">
        <f t="shared" ca="1" si="4"/>
        <v>0</v>
      </c>
      <c r="J31" s="26"/>
      <c r="K31" s="3"/>
      <c r="L31" s="4"/>
      <c r="M31" s="4"/>
      <c r="N31" s="3">
        <f t="shared" si="13"/>
        <v>1100</v>
      </c>
      <c r="O31" s="2">
        <f t="shared" ca="1" si="6"/>
        <v>47319</v>
      </c>
      <c r="P31" cm="1">
        <f t="array" aca="1" ref="P31" ca="1">_xll.qwDataInterp(N31,$A$20:$A$44,$D$20:$D$44,4)</f>
        <v>358.50631641355182</v>
      </c>
      <c r="Q31" s="3">
        <f t="shared" ca="1" si="7"/>
        <v>359.22332904637892</v>
      </c>
      <c r="R31">
        <f t="shared" ca="1" si="11"/>
        <v>2.3440316380464621E-2</v>
      </c>
    </row>
    <row r="32" spans="1:33" x14ac:dyDescent="0.25">
      <c r="A32" s="9">
        <f t="shared" ca="1" si="10"/>
        <v>412</v>
      </c>
      <c r="B32" s="33">
        <f t="shared" si="8"/>
        <v>46522</v>
      </c>
      <c r="C32" s="24">
        <f>DATE(YEAR(V15), MONTH(V15),DAY(V15))</f>
        <v>46631</v>
      </c>
      <c r="D32" s="35">
        <f>W15</f>
        <v>341.81659999999999</v>
      </c>
      <c r="E32" s="4"/>
      <c r="G32" s="20">
        <v>46176</v>
      </c>
      <c r="H32">
        <v>330.40012999999999</v>
      </c>
      <c r="I32" s="26">
        <f t="shared" ca="1" si="4"/>
        <v>0</v>
      </c>
      <c r="J32" s="26"/>
      <c r="K32" s="3"/>
      <c r="L32" s="4"/>
      <c r="M32" s="4"/>
      <c r="N32" s="3">
        <f t="shared" si="13"/>
        <v>1200</v>
      </c>
      <c r="O32" s="2">
        <f t="shared" ca="1" si="6"/>
        <v>47419</v>
      </c>
      <c r="P32" cm="1">
        <f t="array" aca="1" ref="P32" ca="1">_xll.qwDataInterp(N32,$A$20:$A$44,$D$20:$D$44,4)</f>
        <v>360.94805006134737</v>
      </c>
      <c r="Q32" s="3">
        <f t="shared" ca="1" si="7"/>
        <v>360.94805006134737</v>
      </c>
      <c r="R32">
        <f t="shared" ca="1" si="11"/>
        <v>2.357725549259837E-2</v>
      </c>
    </row>
    <row r="33" spans="1:18" x14ac:dyDescent="0.25">
      <c r="A33" s="10">
        <f t="shared" ca="1" si="10"/>
        <v>735</v>
      </c>
      <c r="B33" s="25">
        <f>DATE(YEAR(AE5), MONTH(AE5)-3,DAY(AE5))</f>
        <v>46863</v>
      </c>
      <c r="C33" s="25">
        <f t="shared" ref="C33:C44" si="17">DATE(YEAR(AE5), MONTH(AE5),DAY(AE5))</f>
        <v>46954</v>
      </c>
      <c r="D33" s="37">
        <f ca="1">$D$20*(1+AF5/100)^AG5</f>
        <v>349.64173252773128</v>
      </c>
      <c r="E33" s="4"/>
      <c r="G33" s="21">
        <v>46175</v>
      </c>
      <c r="H33" s="22">
        <v>330.30657000000002</v>
      </c>
      <c r="I33" s="26">
        <f t="shared" ca="1" si="4"/>
        <v>0</v>
      </c>
      <c r="J33" s="26"/>
      <c r="K33" s="3"/>
      <c r="L33" s="4"/>
      <c r="M33" s="4"/>
      <c r="N33" s="3">
        <f t="shared" si="13"/>
        <v>1300</v>
      </c>
      <c r="O33" s="2">
        <f t="shared" ca="1" si="6"/>
        <v>47519</v>
      </c>
      <c r="P33" cm="1">
        <f t="array" aca="1" ref="P33" ca="1">_xll.qwDataInterp(N33,$A$20:$A$44,$D$20:$D$44,4)</f>
        <v>363.38978370914293</v>
      </c>
      <c r="Q33" s="3">
        <f t="shared" ca="1" si="7"/>
        <v>362.66300414172463</v>
      </c>
      <c r="R33">
        <f t="shared" ca="1" si="11"/>
        <v>2.3679988093457727E-2</v>
      </c>
    </row>
    <row r="34" spans="1:18" x14ac:dyDescent="0.25">
      <c r="A34" s="10">
        <f t="shared" ca="1" si="10"/>
        <v>1100</v>
      </c>
      <c r="B34" s="25">
        <f t="shared" ref="B34:B44" si="18">DATE(YEAR(AE6), MONTH(AE6)-3,DAY(AE6))</f>
        <v>47228</v>
      </c>
      <c r="C34" s="25">
        <f t="shared" si="17"/>
        <v>47319</v>
      </c>
      <c r="D34" s="37">
        <f t="shared" ref="D34:D44" ca="1" si="19">$D$20*(1+AF6/100)^AG6</f>
        <v>358.50631641355182</v>
      </c>
      <c r="E34" s="4"/>
      <c r="G34" s="21">
        <v>46174</v>
      </c>
      <c r="H34" s="29">
        <v>330.21300000000002</v>
      </c>
      <c r="I34" s="26">
        <f t="shared" ca="1" si="4"/>
        <v>0</v>
      </c>
      <c r="J34" s="26"/>
      <c r="K34" s="3"/>
      <c r="L34" s="4"/>
      <c r="M34" s="4"/>
      <c r="N34" s="3">
        <f t="shared" si="13"/>
        <v>1400</v>
      </c>
      <c r="O34" s="2">
        <f t="shared" ca="1" si="6"/>
        <v>47619</v>
      </c>
      <c r="P34" cm="1">
        <f t="array" aca="1" ref="P34" ca="1">_xll.qwDataInterp(N34,$A$20:$A$44,$D$20:$D$44,4)</f>
        <v>365.83151735693849</v>
      </c>
      <c r="Q34" s="3">
        <f t="shared" ca="1" si="7"/>
        <v>366.92901190900926</v>
      </c>
      <c r="R34">
        <f t="shared" ca="1" si="11"/>
        <v>2.3756001767544221E-2</v>
      </c>
    </row>
    <row r="35" spans="1:18" x14ac:dyDescent="0.25">
      <c r="A35" s="10">
        <f t="shared" ca="1" si="10"/>
        <v>1465</v>
      </c>
      <c r="B35" s="25">
        <f t="shared" si="18"/>
        <v>47593</v>
      </c>
      <c r="C35" s="25">
        <f t="shared" si="17"/>
        <v>47684</v>
      </c>
      <c r="D35" s="37">
        <f t="shared" ca="1" si="19"/>
        <v>367.41864422800563</v>
      </c>
      <c r="E35" s="4"/>
      <c r="G35" s="20">
        <v>46171</v>
      </c>
      <c r="H35">
        <v>329.88126</v>
      </c>
      <c r="I35" s="26">
        <f t="shared" ca="1" si="4"/>
        <v>0</v>
      </c>
      <c r="J35" s="26"/>
      <c r="K35" s="3"/>
      <c r="L35" s="4"/>
      <c r="M35" s="4"/>
      <c r="N35" s="3">
        <f t="shared" si="13"/>
        <v>1500</v>
      </c>
      <c r="O35" s="2">
        <f t="shared" ca="1" si="6"/>
        <v>47719</v>
      </c>
      <c r="P35" cm="1">
        <f t="array" aca="1" ref="P35" ca="1">_xll.qwDataInterp(N35,$A$20:$A$44,$D$20:$D$44,4)</f>
        <v>368.28324147833428</v>
      </c>
      <c r="Q35" s="3">
        <f t="shared" ca="1" si="7"/>
        <v>369.01980796129095</v>
      </c>
      <c r="R35">
        <f t="shared" ca="1" si="11"/>
        <v>2.3817544490837284E-2</v>
      </c>
    </row>
    <row r="36" spans="1:18" x14ac:dyDescent="0.25">
      <c r="A36" s="10">
        <f t="shared" ca="1" si="10"/>
        <v>1830</v>
      </c>
      <c r="B36" s="25">
        <f t="shared" si="18"/>
        <v>47958</v>
      </c>
      <c r="C36" s="25">
        <f t="shared" si="17"/>
        <v>48049</v>
      </c>
      <c r="D36" s="37">
        <f t="shared" ca="1" si="19"/>
        <v>376.43515841000448</v>
      </c>
      <c r="E36" s="4"/>
      <c r="G36" s="20">
        <v>46170</v>
      </c>
      <c r="H36">
        <v>329.77068000000003</v>
      </c>
      <c r="I36" s="26">
        <f t="shared" ca="1" si="4"/>
        <v>0</v>
      </c>
      <c r="J36" s="26"/>
      <c r="K36" s="3"/>
      <c r="L36" s="4"/>
      <c r="M36" s="4"/>
      <c r="N36" s="3">
        <f t="shared" si="13"/>
        <v>1600</v>
      </c>
      <c r="O36" s="2">
        <f t="shared" ca="1" si="6"/>
        <v>47819</v>
      </c>
      <c r="P36" cm="1">
        <f t="array" aca="1" ref="P36" ca="1">_xll.qwDataInterp(N36,$A$20:$A$44,$D$20:$D$44,4)</f>
        <v>370.75351933641616</v>
      </c>
      <c r="Q36" s="3">
        <f t="shared" ca="1" si="7"/>
        <v>368.89975173973409</v>
      </c>
      <c r="R36">
        <f t="shared" ca="1" si="11"/>
        <v>2.3872734759779135E-2</v>
      </c>
    </row>
    <row r="37" spans="1:18" x14ac:dyDescent="0.25">
      <c r="A37" s="10">
        <f t="shared" ca="1" si="10"/>
        <v>2196</v>
      </c>
      <c r="B37" s="25">
        <f t="shared" si="18"/>
        <v>48324</v>
      </c>
      <c r="C37" s="25">
        <f t="shared" si="17"/>
        <v>48415</v>
      </c>
      <c r="D37" s="37">
        <f t="shared" ca="1" si="19"/>
        <v>385.49971757593244</v>
      </c>
      <c r="E37" s="4"/>
      <c r="G37" s="20">
        <v>46169</v>
      </c>
      <c r="H37">
        <v>329.6601</v>
      </c>
      <c r="I37" s="26">
        <f t="shared" ca="1" si="4"/>
        <v>0</v>
      </c>
      <c r="J37" s="26"/>
      <c r="K37" s="3"/>
      <c r="L37" s="4"/>
      <c r="M37" s="4"/>
      <c r="N37" s="3">
        <f t="shared" si="13"/>
        <v>1700</v>
      </c>
      <c r="O37" s="2">
        <f t="shared" ca="1" si="6"/>
        <v>47919</v>
      </c>
      <c r="P37" cm="1">
        <f t="array" aca="1" ref="P37" ca="1">_xll.qwDataInterp(N37,$A$20:$A$44,$D$20:$D$44,4)</f>
        <v>373.22379719449805</v>
      </c>
      <c r="Q37" s="3">
        <f t="shared" ca="1" si="7"/>
        <v>373.59702099169249</v>
      </c>
      <c r="R37">
        <f t="shared" ca="1" si="11"/>
        <v>2.3911674765301871E-2</v>
      </c>
    </row>
    <row r="38" spans="1:18" x14ac:dyDescent="0.25">
      <c r="A38" s="10">
        <f t="shared" ca="1" si="10"/>
        <v>2561</v>
      </c>
      <c r="B38" s="25">
        <f t="shared" si="18"/>
        <v>48689</v>
      </c>
      <c r="C38" s="25">
        <f t="shared" si="17"/>
        <v>48780</v>
      </c>
      <c r="D38" s="37">
        <f t="shared" ca="1" si="19"/>
        <v>394.62567295066941</v>
      </c>
      <c r="E38" s="4"/>
      <c r="G38" s="20">
        <v>46168</v>
      </c>
      <c r="H38">
        <v>329.54951999999997</v>
      </c>
      <c r="I38" s="26">
        <f t="shared" ca="1" si="4"/>
        <v>0</v>
      </c>
      <c r="J38" s="26"/>
      <c r="K38" s="3"/>
      <c r="L38" s="4"/>
      <c r="M38" s="4"/>
      <c r="N38" s="3">
        <f t="shared" si="13"/>
        <v>1800</v>
      </c>
      <c r="O38" s="2">
        <f t="shared" ca="1" si="6"/>
        <v>48019</v>
      </c>
      <c r="P38" cm="1">
        <f t="array" aca="1" ref="P38" ca="1">_xll.qwDataInterp(N38,$A$20:$A$44,$D$20:$D$44,4)</f>
        <v>375.69407505257993</v>
      </c>
      <c r="Q38" s="3">
        <f t="shared" ca="1" si="7"/>
        <v>376.82115727773765</v>
      </c>
      <c r="R38">
        <f t="shared" ca="1" si="11"/>
        <v>2.3937193187117956E-2</v>
      </c>
    </row>
    <row r="39" spans="1:18" x14ac:dyDescent="0.25">
      <c r="A39" s="10">
        <f t="shared" ca="1" si="10"/>
        <v>2926</v>
      </c>
      <c r="B39" s="25">
        <f t="shared" si="18"/>
        <v>49054</v>
      </c>
      <c r="C39" s="25">
        <f t="shared" si="17"/>
        <v>49145</v>
      </c>
      <c r="D39" s="37">
        <f t="shared" ca="1" si="19"/>
        <v>403.91795513419714</v>
      </c>
      <c r="E39" s="4"/>
      <c r="G39" s="20">
        <v>46164</v>
      </c>
      <c r="H39">
        <v>329.10719</v>
      </c>
      <c r="I39" s="26">
        <f t="shared" ca="1" si="4"/>
        <v>0</v>
      </c>
      <c r="J39" s="26"/>
      <c r="K39" s="3"/>
      <c r="L39" s="4"/>
      <c r="M39" s="4"/>
      <c r="N39" s="3">
        <f t="shared" si="13"/>
        <v>1900</v>
      </c>
      <c r="O39" s="2">
        <f t="shared" ca="1" si="6"/>
        <v>48119</v>
      </c>
      <c r="P39" cm="1">
        <f t="array" aca="1" ref="P39" ca="1">_xll.qwDataInterp(N39,$A$20:$A$44,$D$20:$D$44,4)</f>
        <v>378.16881726687592</v>
      </c>
      <c r="Q39" s="3">
        <f t="shared" ca="1" si="7"/>
        <v>378.92515490140966</v>
      </c>
      <c r="R39">
        <f t="shared" ca="1" si="11"/>
        <v>2.3953843594760826E-2</v>
      </c>
    </row>
    <row r="40" spans="1:18" x14ac:dyDescent="0.25">
      <c r="A40" s="10">
        <f t="shared" ca="1" si="10"/>
        <v>3291</v>
      </c>
      <c r="B40" s="25">
        <f t="shared" si="18"/>
        <v>49419</v>
      </c>
      <c r="C40" s="25">
        <f t="shared" si="17"/>
        <v>49510</v>
      </c>
      <c r="D40" s="37">
        <f t="shared" ca="1" si="19"/>
        <v>413.48355049978176</v>
      </c>
      <c r="E40" s="4"/>
      <c r="G40" s="20">
        <v>46163</v>
      </c>
      <c r="H40">
        <v>328.99660999999998</v>
      </c>
      <c r="I40" s="26">
        <f t="shared" ca="1" si="4"/>
        <v>0</v>
      </c>
      <c r="J40" s="26"/>
      <c r="K40" s="3"/>
      <c r="L40" s="4"/>
      <c r="M40" s="4"/>
      <c r="N40" s="3">
        <f t="shared" si="13"/>
        <v>2000</v>
      </c>
      <c r="O40" s="2">
        <f t="shared" ca="1" si="6"/>
        <v>48219</v>
      </c>
      <c r="P40" cm="1">
        <f t="array" aca="1" ref="P40" ca="1">_xll.qwDataInterp(N40,$A$20:$A$44,$D$20:$D$44,4)</f>
        <v>380.64547277669232</v>
      </c>
      <c r="Q40" s="3">
        <f t="shared" ca="1" si="7"/>
        <v>379.12289088558555</v>
      </c>
      <c r="R40">
        <f t="shared" ca="1" si="11"/>
        <v>2.3961765633969678E-2</v>
      </c>
    </row>
    <row r="41" spans="1:18" x14ac:dyDescent="0.25">
      <c r="A41" s="10">
        <f t="shared" ca="1" si="10"/>
        <v>3657</v>
      </c>
      <c r="B41" s="25">
        <f t="shared" si="18"/>
        <v>49785</v>
      </c>
      <c r="C41" s="25">
        <f t="shared" si="17"/>
        <v>49876</v>
      </c>
      <c r="D41" s="37">
        <f t="shared" ca="1" si="19"/>
        <v>423.47663419692583</v>
      </c>
      <c r="E41" s="4"/>
      <c r="G41" s="20">
        <v>46162</v>
      </c>
      <c r="H41">
        <v>328.88603000000001</v>
      </c>
      <c r="I41" s="26">
        <f t="shared" ca="1" si="4"/>
        <v>0</v>
      </c>
      <c r="J41" s="26"/>
      <c r="K41" s="3"/>
      <c r="L41" s="4"/>
      <c r="M41" s="4"/>
      <c r="N41" s="3">
        <f t="shared" si="13"/>
        <v>2100</v>
      </c>
      <c r="O41" s="2">
        <f t="shared" ca="1" si="6"/>
        <v>48319</v>
      </c>
      <c r="P41" cm="1">
        <f t="array" aca="1" ref="P41" ca="1">_xll.qwDataInterp(N41,$A$20:$A$44,$D$20:$D$44,4)</f>
        <v>383.12212828650871</v>
      </c>
      <c r="Q41" s="3">
        <f t="shared" ca="1" si="7"/>
        <v>384.2714946713682</v>
      </c>
      <c r="R41">
        <f t="shared" ca="1" si="11"/>
        <v>2.3961398687502689E-2</v>
      </c>
    </row>
    <row r="42" spans="1:18" x14ac:dyDescent="0.25">
      <c r="A42" s="10">
        <f t="shared" ca="1" si="10"/>
        <v>5483</v>
      </c>
      <c r="B42" s="25">
        <f t="shared" si="18"/>
        <v>51611</v>
      </c>
      <c r="C42" s="25">
        <f t="shared" si="17"/>
        <v>51702</v>
      </c>
      <c r="D42" s="37">
        <f t="shared" ca="1" si="19"/>
        <v>476.09432420413157</v>
      </c>
      <c r="E42" s="4"/>
      <c r="G42" s="20">
        <v>46161</v>
      </c>
      <c r="H42">
        <v>328.75450000000001</v>
      </c>
      <c r="I42" s="26">
        <f t="shared" ca="1" si="4"/>
        <v>0</v>
      </c>
      <c r="J42" s="26"/>
      <c r="K42" s="3"/>
      <c r="L42" s="4"/>
      <c r="M42" s="4"/>
      <c r="N42" s="3">
        <f t="shared" si="13"/>
        <v>2200</v>
      </c>
      <c r="O42" s="2">
        <f t="shared" ca="1" si="6"/>
        <v>48419</v>
      </c>
      <c r="P42" cm="1">
        <f t="array" aca="1" ref="P42" ca="1">_xll.qwDataInterp(N42,$A$20:$A$44,$D$20:$D$44,4)</f>
        <v>385.59972804579257</v>
      </c>
      <c r="Q42" s="3">
        <f t="shared" ca="1" si="7"/>
        <v>386.37092750188418</v>
      </c>
      <c r="R42">
        <f t="shared" ca="1" si="11"/>
        <v>2.3954381768301447E-2</v>
      </c>
    </row>
    <row r="43" spans="1:18" x14ac:dyDescent="0.25">
      <c r="A43" s="10">
        <f t="shared" ca="1" si="10"/>
        <v>7309</v>
      </c>
      <c r="B43" s="25">
        <f t="shared" si="18"/>
        <v>53437</v>
      </c>
      <c r="C43" s="25">
        <f t="shared" si="17"/>
        <v>53528</v>
      </c>
      <c r="D43" s="37">
        <f t="shared" ca="1" si="19"/>
        <v>533.24063864107029</v>
      </c>
      <c r="E43" s="4"/>
      <c r="G43" s="20">
        <v>46160</v>
      </c>
      <c r="H43" s="27">
        <v>328.66487000000001</v>
      </c>
      <c r="I43" s="26">
        <f t="shared" ca="1" si="4"/>
        <v>0</v>
      </c>
      <c r="J43" s="26"/>
      <c r="K43" s="3"/>
      <c r="L43" s="4"/>
      <c r="M43" s="4"/>
      <c r="N43" s="3">
        <f t="shared" si="13"/>
        <v>2300</v>
      </c>
      <c r="O43" s="2">
        <f t="shared" ca="1" si="6"/>
        <v>48519</v>
      </c>
      <c r="P43" cm="1">
        <f t="array" aca="1" ref="P43" ca="1">_xll.qwDataInterp(N43,$A$20:$A$44,$D$20:$D$44,4)</f>
        <v>388.09998979229584</v>
      </c>
      <c r="Q43" s="3">
        <f t="shared" ca="1" si="7"/>
        <v>386.93568982291896</v>
      </c>
      <c r="R43">
        <f t="shared" ca="1" si="11"/>
        <v>2.3950755095908827E-2</v>
      </c>
    </row>
    <row r="44" spans="1:18" x14ac:dyDescent="0.25">
      <c r="A44" s="10">
        <f t="shared" ca="1" si="10"/>
        <v>9135</v>
      </c>
      <c r="B44" s="25">
        <f t="shared" si="18"/>
        <v>55263</v>
      </c>
      <c r="C44" s="25">
        <f t="shared" si="17"/>
        <v>55354</v>
      </c>
      <c r="D44" s="37">
        <f t="shared" ca="1" si="19"/>
        <v>595.0324321790356</v>
      </c>
      <c r="E44" s="4"/>
      <c r="G44" s="20">
        <v>46157</v>
      </c>
      <c r="H44">
        <v>328.33312999999998</v>
      </c>
      <c r="I44" s="26">
        <f t="shared" ca="1" si="4"/>
        <v>0</v>
      </c>
      <c r="J44" s="26"/>
      <c r="K44" s="3"/>
      <c r="L44" s="4"/>
      <c r="M44" s="4"/>
      <c r="N44" s="3">
        <f t="shared" si="13"/>
        <v>2400</v>
      </c>
      <c r="O44" s="2">
        <f t="shared" ca="1" si="6"/>
        <v>48619</v>
      </c>
      <c r="P44" cm="1">
        <f t="array" aca="1" ref="P44" ca="1">_xll.qwDataInterp(N44,$A$20:$A$44,$D$20:$D$44,4)</f>
        <v>390.60025153879911</v>
      </c>
      <c r="Q44" s="3">
        <f t="shared" ca="1" si="7"/>
        <v>389.81905103572154</v>
      </c>
      <c r="R44">
        <f t="shared" ca="1" si="11"/>
        <v>2.3940967412554803E-2</v>
      </c>
    </row>
    <row r="45" spans="1:18" x14ac:dyDescent="0.25">
      <c r="E45" s="4"/>
      <c r="G45" s="20">
        <v>46156</v>
      </c>
      <c r="H45">
        <v>328.22255000000001</v>
      </c>
      <c r="I45" s="26">
        <f t="shared" ca="1" si="4"/>
        <v>0</v>
      </c>
      <c r="J45" s="26"/>
      <c r="K45" s="3"/>
      <c r="L45" s="4"/>
      <c r="M45" s="4"/>
      <c r="N45" s="3">
        <f t="shared" si="13"/>
        <v>2500</v>
      </c>
      <c r="O45" s="2">
        <f t="shared" ca="1" si="6"/>
        <v>48719</v>
      </c>
      <c r="P45" cm="1">
        <f t="array" aca="1" ref="P45" ca="1">_xll.qwDataInterp(N45,$A$20:$A$44,$D$20:$D$44,4)</f>
        <v>393.10051328530238</v>
      </c>
      <c r="Q45" s="3">
        <f t="shared" ca="1" si="7"/>
        <v>394.27981482515827</v>
      </c>
      <c r="R45">
        <f t="shared" ca="1" si="11"/>
        <v>2.3925837383968362E-2</v>
      </c>
    </row>
    <row r="46" spans="1:18" x14ac:dyDescent="0.25">
      <c r="E46" s="4"/>
      <c r="G46" s="20">
        <v>46155</v>
      </c>
      <c r="H46">
        <v>328.11196999999999</v>
      </c>
      <c r="I46" s="26">
        <f t="shared" ca="1" si="4"/>
        <v>0</v>
      </c>
      <c r="J46" s="26"/>
      <c r="K46" s="3"/>
      <c r="L46" s="4"/>
      <c r="M46" s="4"/>
      <c r="N46" s="3">
        <f t="shared" si="13"/>
        <v>2600</v>
      </c>
      <c r="O46" s="2">
        <f t="shared" ca="1" si="6"/>
        <v>48819</v>
      </c>
      <c r="P46" cm="1">
        <f t="array" aca="1" ref="P46" ca="1">_xll.qwDataInterp(N46,$A$20:$A$44,$D$20:$D$44,4)</f>
        <v>395.61854693740253</v>
      </c>
      <c r="Q46" s="3">
        <f t="shared" ca="1" si="7"/>
        <v>396.40978403127735</v>
      </c>
      <c r="R46">
        <f t="shared" ca="1" si="11"/>
        <v>2.3912513610706343E-2</v>
      </c>
    </row>
    <row r="47" spans="1:18" x14ac:dyDescent="0.25">
      <c r="E47" s="4"/>
      <c r="G47" s="20">
        <v>46154</v>
      </c>
      <c r="H47">
        <v>328.00139000000001</v>
      </c>
      <c r="I47" s="26">
        <f t="shared" ca="1" si="4"/>
        <v>0</v>
      </c>
      <c r="J47" s="26"/>
      <c r="K47" s="3"/>
      <c r="L47" s="4"/>
      <c r="M47" s="4"/>
      <c r="N47" s="3">
        <f t="shared" si="13"/>
        <v>2700</v>
      </c>
      <c r="O47" s="2">
        <f t="shared" ca="1" si="6"/>
        <v>48919</v>
      </c>
      <c r="P47" cm="1">
        <f t="array" aca="1" ref="P47" ca="1">_xll.qwDataInterp(N47,$A$20:$A$44,$D$20:$D$44,4)</f>
        <v>398.16437767261561</v>
      </c>
      <c r="Q47" s="3">
        <f t="shared" ca="1" si="7"/>
        <v>396.17355578425253</v>
      </c>
      <c r="R47">
        <f t="shared" ca="1" si="11"/>
        <v>2.3904233092381766E-2</v>
      </c>
    </row>
    <row r="48" spans="1:18" x14ac:dyDescent="0.25">
      <c r="G48" s="20">
        <v>46153</v>
      </c>
      <c r="H48">
        <v>327.89080999999999</v>
      </c>
      <c r="I48" s="26">
        <f t="shared" ca="1" si="4"/>
        <v>0</v>
      </c>
      <c r="J48" s="26"/>
      <c r="K48" s="3"/>
      <c r="L48" s="4"/>
      <c r="M48" s="4"/>
      <c r="N48" s="3">
        <f t="shared" si="13"/>
        <v>2800</v>
      </c>
      <c r="O48" s="2">
        <f t="shared" ca="1" si="6"/>
        <v>49019</v>
      </c>
      <c r="P48" cm="1">
        <f t="array" aca="1" ref="P48" ca="1">_xll.qwDataInterp(N48,$A$20:$A$44,$D$20:$D$44,4)</f>
        <v>400.71020840782865</v>
      </c>
      <c r="Q48" s="3">
        <f t="shared" ca="1" si="7"/>
        <v>401.1109186162364</v>
      </c>
      <c r="R48">
        <f t="shared" ca="1" si="11"/>
        <v>2.3891087364454666E-2</v>
      </c>
    </row>
    <row r="49" spans="3:18" x14ac:dyDescent="0.25">
      <c r="C49" s="2"/>
      <c r="G49" s="20">
        <v>46150</v>
      </c>
      <c r="H49">
        <v>327.55905999999999</v>
      </c>
      <c r="I49" s="26">
        <f t="shared" ca="1" si="4"/>
        <v>0</v>
      </c>
      <c r="J49" s="26"/>
      <c r="K49" s="3"/>
      <c r="L49" s="4"/>
      <c r="M49" s="4"/>
      <c r="N49" s="3">
        <f t="shared" si="13"/>
        <v>2900</v>
      </c>
      <c r="O49" s="2">
        <f t="shared" ca="1" si="6"/>
        <v>49119</v>
      </c>
      <c r="P49" cm="1">
        <f t="array" aca="1" ref="P49" ca="1">_xll.qwDataInterp(N49,$A$20:$A$44,$D$20:$D$44,4)</f>
        <v>403.25603914304173</v>
      </c>
      <c r="Q49" s="3">
        <f t="shared" ca="1" si="7"/>
        <v>404.4658072604708</v>
      </c>
      <c r="R49">
        <f t="shared" ca="1" si="11"/>
        <v>2.3873646641830559E-2</v>
      </c>
    </row>
    <row r="50" spans="3:18" x14ac:dyDescent="0.25">
      <c r="C50" s="2"/>
      <c r="G50" s="20">
        <v>46149</v>
      </c>
      <c r="H50">
        <v>327.44848000000002</v>
      </c>
      <c r="I50" s="26">
        <f t="shared" ca="1" si="4"/>
        <v>0</v>
      </c>
      <c r="J50" s="26"/>
      <c r="K50" s="3"/>
      <c r="L50" s="4"/>
      <c r="M50" s="4"/>
      <c r="N50" s="3">
        <f t="shared" si="13"/>
        <v>3000</v>
      </c>
      <c r="O50" s="2">
        <f t="shared" ca="1" si="6"/>
        <v>49219</v>
      </c>
      <c r="P50" cm="1">
        <f t="array" aca="1" ref="P50" ca="1">_xll.qwDataInterp(N50,$A$20:$A$44,$D$20:$D$44,4)</f>
        <v>405.85728131790472</v>
      </c>
      <c r="Q50" s="3">
        <f t="shared" ca="1" si="7"/>
        <v>405.85728131790472</v>
      </c>
      <c r="R50">
        <f t="shared" ca="1" si="11"/>
        <v>2.3869412529679224E-2</v>
      </c>
    </row>
    <row r="51" spans="3:18" x14ac:dyDescent="0.25">
      <c r="C51" s="2"/>
      <c r="G51" s="20">
        <v>46148</v>
      </c>
      <c r="H51">
        <v>327.33789999999999</v>
      </c>
      <c r="I51" s="26">
        <f t="shared" ca="1" si="4"/>
        <v>0</v>
      </c>
      <c r="J51" s="26"/>
      <c r="K51" s="3"/>
      <c r="L51" s="4"/>
      <c r="M51" s="4"/>
      <c r="N51" s="3">
        <f t="shared" si="13"/>
        <v>3100</v>
      </c>
      <c r="O51" s="2">
        <f t="shared" ca="1" si="6"/>
        <v>49319</v>
      </c>
      <c r="P51" cm="1">
        <f t="array" aca="1" ref="P51" ca="1">_xll.qwDataInterp(N51,$A$20:$A$44,$D$20:$D$44,4)</f>
        <v>408.47799237696898</v>
      </c>
      <c r="Q51" s="3">
        <f t="shared" ca="1" si="7"/>
        <v>406.84408040746109</v>
      </c>
      <c r="R51">
        <f t="shared" ca="1" si="11"/>
        <v>2.3866245289101862E-2</v>
      </c>
    </row>
    <row r="52" spans="3:18" x14ac:dyDescent="0.25">
      <c r="C52" s="2"/>
      <c r="G52" s="20">
        <v>46147</v>
      </c>
      <c r="H52">
        <v>327.22732000000002</v>
      </c>
      <c r="I52" s="26">
        <f t="shared" ca="1" si="4"/>
        <v>0</v>
      </c>
      <c r="J52" s="26"/>
      <c r="K52" s="3"/>
      <c r="L52" s="4"/>
      <c r="M52" s="4"/>
      <c r="N52" s="3">
        <f t="shared" si="13"/>
        <v>3200</v>
      </c>
      <c r="O52" s="2">
        <f t="shared" ref="O52:O83" ca="1" si="20">N52+$D$10</f>
        <v>49419</v>
      </c>
      <c r="P52" cm="1">
        <f t="array" aca="1" ref="P52" ca="1">_xll.qwDataInterp(N52,$A$20:$A$44,$D$20:$D$44,4)</f>
        <v>411.09870343603325</v>
      </c>
      <c r="Q52" s="3">
        <f t="shared" ref="Q52:Q83" ca="1" si="21">VLOOKUP(MONTH(O52),$AI$4:$AK$15,3,0)*P52</f>
        <v>412.33199954634131</v>
      </c>
      <c r="R52">
        <f t="shared" ca="1" si="11"/>
        <v>2.3858468792947507E-2</v>
      </c>
    </row>
    <row r="53" spans="3:18" x14ac:dyDescent="0.25">
      <c r="C53" s="2"/>
      <c r="G53" s="21">
        <v>46146</v>
      </c>
      <c r="H53" s="22">
        <v>327.11673999999999</v>
      </c>
      <c r="I53" s="26">
        <f t="shared" ca="1" si="4"/>
        <v>0</v>
      </c>
      <c r="J53" s="26"/>
      <c r="K53" s="3"/>
      <c r="L53" s="4"/>
      <c r="M53" s="4"/>
      <c r="N53" s="3">
        <f t="shared" si="13"/>
        <v>3300</v>
      </c>
      <c r="O53" s="2">
        <f t="shared" ca="1" si="20"/>
        <v>49519</v>
      </c>
      <c r="P53" cm="1">
        <f t="array" aca="1" ref="P53" ca="1">_xll.qwDataInterp(N53,$A$20:$A$44,$D$20:$D$44,4)</f>
        <v>413.72928206610499</v>
      </c>
      <c r="Q53" s="3">
        <f t="shared" ca="1" si="21"/>
        <v>414.55674063023719</v>
      </c>
      <c r="R53">
        <f t="shared" ref="R53:R84" ca="1" si="22">EXP(LN(P53/$P$20)*1/((O53-$O$20)/365))-1</f>
        <v>2.3849262340472244E-2</v>
      </c>
    </row>
    <row r="54" spans="3:18" x14ac:dyDescent="0.25">
      <c r="C54" s="2"/>
      <c r="G54" s="21">
        <v>46143</v>
      </c>
      <c r="H54" s="22">
        <v>326.78500000000003</v>
      </c>
      <c r="I54" s="26">
        <f t="shared" ca="1" si="4"/>
        <v>0</v>
      </c>
      <c r="J54" s="26"/>
      <c r="K54" s="3"/>
      <c r="L54" s="4"/>
      <c r="M54" s="4"/>
      <c r="N54" s="3">
        <f t="shared" si="13"/>
        <v>3400</v>
      </c>
      <c r="O54" s="2">
        <f t="shared" ca="1" si="20"/>
        <v>49619</v>
      </c>
      <c r="P54" cm="1">
        <f t="array" aca="1" ref="P54" ca="1">_xll.qwDataInterp(N54,$A$20:$A$44,$D$20:$D$44,4)</f>
        <v>416.45963280302959</v>
      </c>
      <c r="Q54" s="3">
        <f t="shared" ca="1" si="21"/>
        <v>415.21025390462052</v>
      </c>
      <c r="R54">
        <f t="shared" ca="1" si="22"/>
        <v>2.3862489328840608E-2</v>
      </c>
    </row>
    <row r="55" spans="3:18" x14ac:dyDescent="0.25">
      <c r="C55" s="2"/>
      <c r="G55" s="20">
        <v>46142</v>
      </c>
      <c r="H55">
        <v>326.73390000000001</v>
      </c>
      <c r="I55" s="26">
        <f t="shared" ca="1" si="4"/>
        <v>0</v>
      </c>
      <c r="J55" s="26"/>
      <c r="K55" s="3"/>
      <c r="L55" s="4"/>
      <c r="M55" s="4"/>
      <c r="N55" s="3">
        <f t="shared" si="13"/>
        <v>3500</v>
      </c>
      <c r="O55" s="2">
        <f t="shared" ca="1" si="20"/>
        <v>49719</v>
      </c>
      <c r="P55" cm="1">
        <f t="array" aca="1" ref="P55" ca="1">_xll.qwDataInterp(N55,$A$20:$A$44,$D$20:$D$44,4)</f>
        <v>419.1899835399542</v>
      </c>
      <c r="Q55" s="3">
        <f t="shared" ca="1" si="21"/>
        <v>418.3516035728743</v>
      </c>
      <c r="R55">
        <f t="shared" ca="1" si="22"/>
        <v>2.3870371084691699E-2</v>
      </c>
    </row>
    <row r="56" spans="3:18" x14ac:dyDescent="0.25">
      <c r="C56" s="2"/>
      <c r="G56" s="20">
        <v>46141</v>
      </c>
      <c r="H56">
        <v>326.68279999999999</v>
      </c>
      <c r="I56" s="26">
        <f t="shared" ca="1" si="4"/>
        <v>0</v>
      </c>
      <c r="J56" s="26"/>
      <c r="K56" s="3"/>
      <c r="L56" s="4"/>
      <c r="M56" s="4"/>
      <c r="N56" s="3">
        <f t="shared" si="13"/>
        <v>3600</v>
      </c>
      <c r="O56" s="2">
        <f t="shared" ca="1" si="20"/>
        <v>49819</v>
      </c>
      <c r="P56" cm="1">
        <f t="array" aca="1" ref="P56" ca="1">_xll.qwDataInterp(N56,$A$20:$A$44,$D$20:$D$44,4)</f>
        <v>421.9203342768788</v>
      </c>
      <c r="Q56" s="3">
        <f t="shared" ca="1" si="21"/>
        <v>423.18609527970938</v>
      </c>
      <c r="R56">
        <f t="shared" ca="1" si="22"/>
        <v>2.3873410873378242E-2</v>
      </c>
    </row>
    <row r="57" spans="3:18" x14ac:dyDescent="0.25">
      <c r="C57" s="2"/>
      <c r="G57" s="20">
        <v>46140</v>
      </c>
      <c r="H57">
        <v>326.63170000000002</v>
      </c>
      <c r="I57" s="26">
        <f t="shared" ca="1" si="4"/>
        <v>0</v>
      </c>
      <c r="J57" s="26"/>
      <c r="K57" s="3"/>
      <c r="L57" s="4"/>
      <c r="M57" s="4"/>
      <c r="N57" s="3">
        <f t="shared" si="13"/>
        <v>3700</v>
      </c>
      <c r="O57" s="2">
        <f t="shared" ca="1" si="20"/>
        <v>49919</v>
      </c>
      <c r="P57" cm="1">
        <f t="array" aca="1" ref="P57" ca="1">_xll.qwDataInterp(N57,$A$20:$A$44,$D$20:$D$44,4)</f>
        <v>424.71571452020612</v>
      </c>
      <c r="Q57" s="3">
        <f t="shared" ca="1" si="21"/>
        <v>425.56514594924653</v>
      </c>
      <c r="R57">
        <f t="shared" ca="1" si="22"/>
        <v>2.3887522795165594E-2</v>
      </c>
    </row>
    <row r="58" spans="3:18" x14ac:dyDescent="0.25">
      <c r="C58" s="2"/>
      <c r="G58" s="20">
        <v>46139</v>
      </c>
      <c r="H58">
        <v>326.5806</v>
      </c>
      <c r="I58" s="26">
        <f t="shared" ca="1" si="4"/>
        <v>0</v>
      </c>
      <c r="J58" s="26"/>
      <c r="K58" s="3"/>
      <c r="L58" s="4"/>
      <c r="M58" s="4"/>
      <c r="N58" s="3">
        <f t="shared" si="13"/>
        <v>3800</v>
      </c>
      <c r="O58" s="2">
        <f t="shared" ca="1" si="20"/>
        <v>50019</v>
      </c>
      <c r="P58" cm="1">
        <f t="array" aca="1" ref="P58" ca="1">_xll.qwDataInterp(N58,$A$20:$A$44,$D$20:$D$44,4)</f>
        <v>427.59729666736968</v>
      </c>
      <c r="Q58" s="3">
        <f t="shared" ca="1" si="21"/>
        <v>425.4593101840328</v>
      </c>
      <c r="R58">
        <f t="shared" ca="1" si="22"/>
        <v>2.3916460408342832E-2</v>
      </c>
    </row>
    <row r="59" spans="3:18" x14ac:dyDescent="0.25">
      <c r="C59" s="2"/>
      <c r="G59" s="20">
        <v>46136</v>
      </c>
      <c r="H59">
        <v>326.4273</v>
      </c>
      <c r="I59" s="26">
        <f t="shared" ca="1" si="4"/>
        <v>0</v>
      </c>
      <c r="J59" s="26"/>
      <c r="K59" s="3"/>
      <c r="L59" s="4"/>
      <c r="M59" s="4"/>
      <c r="N59" s="3">
        <f t="shared" si="13"/>
        <v>3900</v>
      </c>
      <c r="O59" s="2">
        <f t="shared" ca="1" si="20"/>
        <v>50119</v>
      </c>
      <c r="P59" cm="1">
        <f t="array" aca="1" ref="P59" ca="1">_xll.qwDataInterp(N59,$A$20:$A$44,$D$20:$D$44,4)</f>
        <v>430.47887881453318</v>
      </c>
      <c r="Q59" s="3">
        <f t="shared" ca="1" si="21"/>
        <v>430.90935769334766</v>
      </c>
      <c r="R59">
        <f t="shared" ca="1" si="22"/>
        <v>2.3939562631152711E-2</v>
      </c>
    </row>
    <row r="60" spans="3:18" x14ac:dyDescent="0.25">
      <c r="C60" s="2"/>
      <c r="G60" s="20">
        <v>46135</v>
      </c>
      <c r="H60" s="26">
        <v>326.37619999999998</v>
      </c>
      <c r="I60" s="26">
        <f t="shared" ca="1" si="4"/>
        <v>0</v>
      </c>
      <c r="J60" s="26"/>
      <c r="K60" s="3"/>
      <c r="L60" s="4"/>
      <c r="M60" s="4"/>
      <c r="N60" s="3">
        <f t="shared" si="13"/>
        <v>4000</v>
      </c>
      <c r="O60" s="2">
        <f t="shared" ca="1" si="20"/>
        <v>50219</v>
      </c>
      <c r="P60" cm="1">
        <f t="array" aca="1" ref="P60" ca="1">_xll.qwDataInterp(N60,$A$20:$A$44,$D$20:$D$44,4)</f>
        <v>433.36046096169667</v>
      </c>
      <c r="Q60" s="3">
        <f t="shared" ca="1" si="21"/>
        <v>434.6605423445817</v>
      </c>
      <c r="R60">
        <f t="shared" ca="1" si="22"/>
        <v>2.3957323411686771E-2</v>
      </c>
    </row>
    <row r="61" spans="3:18" x14ac:dyDescent="0.25">
      <c r="C61" s="2"/>
      <c r="G61" s="20">
        <v>46134</v>
      </c>
      <c r="H61">
        <v>326.32510000000002</v>
      </c>
      <c r="I61" s="26">
        <f t="shared" ca="1" si="4"/>
        <v>0</v>
      </c>
      <c r="J61" s="26"/>
      <c r="K61" s="3"/>
      <c r="L61" s="4"/>
      <c r="M61" s="4"/>
      <c r="N61" s="3">
        <f t="shared" si="13"/>
        <v>4100</v>
      </c>
      <c r="O61" s="2">
        <f t="shared" ca="1" si="20"/>
        <v>50319</v>
      </c>
      <c r="P61" cm="1">
        <f t="array" aca="1" ref="P61" ca="1">_xll.qwDataInterp(N61,$A$20:$A$44,$D$20:$D$44,4)</f>
        <v>436.24204310886017</v>
      </c>
      <c r="Q61" s="3">
        <f t="shared" ca="1" si="21"/>
        <v>436.24204310886017</v>
      </c>
      <c r="R61">
        <f t="shared" ca="1" si="22"/>
        <v>2.3970187493786765E-2</v>
      </c>
    </row>
    <row r="62" spans="3:18" x14ac:dyDescent="0.25">
      <c r="C62" s="2"/>
      <c r="G62" s="20">
        <v>46133</v>
      </c>
      <c r="H62">
        <v>326.274</v>
      </c>
      <c r="I62" s="26">
        <f t="shared" ca="1" si="4"/>
        <v>0</v>
      </c>
      <c r="J62" s="26"/>
      <c r="K62" s="3"/>
      <c r="L62" s="4"/>
      <c r="M62" s="4"/>
      <c r="N62" s="3">
        <f t="shared" si="13"/>
        <v>4200</v>
      </c>
      <c r="O62" s="2">
        <f t="shared" ca="1" si="20"/>
        <v>50419</v>
      </c>
      <c r="P62" cm="1">
        <f t="array" aca="1" ref="P62" ca="1">_xll.qwDataInterp(N62,$A$20:$A$44,$D$20:$D$44,4)</f>
        <v>439.12362525602373</v>
      </c>
      <c r="Q62" s="3">
        <f t="shared" ca="1" si="21"/>
        <v>437.36713075499961</v>
      </c>
      <c r="R62">
        <f t="shared" ca="1" si="22"/>
        <v>2.3978556291029074E-2</v>
      </c>
    </row>
    <row r="63" spans="3:18" x14ac:dyDescent="0.25">
      <c r="C63" s="2"/>
      <c r="G63" s="20">
        <v>46132</v>
      </c>
      <c r="H63">
        <v>326.22289999999998</v>
      </c>
      <c r="I63" s="26">
        <f t="shared" ca="1" si="4"/>
        <v>0</v>
      </c>
      <c r="J63" s="26"/>
      <c r="K63" s="3"/>
      <c r="L63" s="4"/>
      <c r="M63" s="4"/>
      <c r="N63" s="3">
        <f t="shared" si="13"/>
        <v>4300</v>
      </c>
      <c r="O63" s="2">
        <f t="shared" ca="1" si="20"/>
        <v>50519</v>
      </c>
      <c r="P63" cm="1">
        <f t="array" aca="1" ref="P63" ca="1">_xll.qwDataInterp(N63,$A$20:$A$44,$D$20:$D$44,4)</f>
        <v>442.00520740318723</v>
      </c>
      <c r="Q63" s="3">
        <f t="shared" ca="1" si="21"/>
        <v>443.33122302539675</v>
      </c>
      <c r="R63">
        <f t="shared" ca="1" si="22"/>
        <v>2.3982792941884989E-2</v>
      </c>
    </row>
    <row r="64" spans="3:18" x14ac:dyDescent="0.25">
      <c r="C64" s="2"/>
      <c r="G64" s="20">
        <v>46129</v>
      </c>
      <c r="H64">
        <v>326.06959999999998</v>
      </c>
      <c r="I64" s="26">
        <f t="shared" ca="1" si="4"/>
        <v>0</v>
      </c>
      <c r="J64" s="26"/>
      <c r="K64" s="3"/>
      <c r="L64" s="4"/>
      <c r="M64" s="4"/>
      <c r="N64" s="3">
        <f t="shared" si="13"/>
        <v>4400</v>
      </c>
      <c r="O64" s="2">
        <f t="shared" ca="1" si="20"/>
        <v>50619</v>
      </c>
      <c r="P64" cm="1">
        <f t="array" aca="1" ref="P64" ca="1">_xll.qwDataInterp(N64,$A$20:$A$44,$D$20:$D$44,4)</f>
        <v>444.88678955035073</v>
      </c>
      <c r="Q64" s="3">
        <f t="shared" ca="1" si="21"/>
        <v>445.7765631294514</v>
      </c>
      <c r="R64">
        <f t="shared" ca="1" si="22"/>
        <v>2.3983226676094649E-2</v>
      </c>
    </row>
    <row r="65" spans="3:18" x14ac:dyDescent="0.25">
      <c r="C65" s="2"/>
      <c r="G65" s="20">
        <v>46128</v>
      </c>
      <c r="H65" s="26">
        <v>326.01850000000002</v>
      </c>
      <c r="I65" s="26">
        <f t="shared" ca="1" si="4"/>
        <v>0</v>
      </c>
      <c r="J65" s="26"/>
      <c r="K65" s="3"/>
      <c r="L65" s="4"/>
      <c r="M65" s="4"/>
      <c r="N65" s="3">
        <f t="shared" si="13"/>
        <v>4500</v>
      </c>
      <c r="O65" s="2">
        <f t="shared" ca="1" si="20"/>
        <v>50719</v>
      </c>
      <c r="P65" cm="1">
        <f t="array" aca="1" ref="P65" ca="1">_xll.qwDataInterp(N65,$A$20:$A$44,$D$20:$D$44,4)</f>
        <v>447.76837169751423</v>
      </c>
      <c r="Q65" s="3">
        <f t="shared" ca="1" si="21"/>
        <v>446.42506658242166</v>
      </c>
      <c r="R65">
        <f t="shared" ca="1" si="22"/>
        <v>2.3980156599211044E-2</v>
      </c>
    </row>
    <row r="66" spans="3:18" x14ac:dyDescent="0.25">
      <c r="C66" s="2"/>
      <c r="G66" s="20">
        <v>46127</v>
      </c>
      <c r="H66">
        <v>325.9674</v>
      </c>
      <c r="I66" s="26">
        <f t="shared" ca="1" si="4"/>
        <v>0</v>
      </c>
      <c r="J66" s="26"/>
      <c r="K66" s="3"/>
      <c r="L66" s="4"/>
      <c r="M66" s="4"/>
      <c r="N66" s="3">
        <f t="shared" si="13"/>
        <v>4600</v>
      </c>
      <c r="O66" s="2">
        <f t="shared" ca="1" si="20"/>
        <v>50819</v>
      </c>
      <c r="P66" cm="1">
        <f t="array" aca="1" ref="P66" ca="1">_xll.qwDataInterp(N66,$A$20:$A$44,$D$20:$D$44,4)</f>
        <v>450.64995384467773</v>
      </c>
      <c r="Q66" s="3">
        <f t="shared" ca="1" si="21"/>
        <v>449.74865393698838</v>
      </c>
      <c r="R66">
        <f t="shared" ca="1" si="22"/>
        <v>2.3973854983711851E-2</v>
      </c>
    </row>
    <row r="67" spans="3:18" x14ac:dyDescent="0.25">
      <c r="C67" s="2"/>
      <c r="G67" s="20">
        <v>46126</v>
      </c>
      <c r="H67">
        <v>325.91629999999998</v>
      </c>
      <c r="I67" s="26">
        <f t="shared" ca="1" si="4"/>
        <v>0</v>
      </c>
      <c r="J67" s="26"/>
      <c r="K67" s="3"/>
      <c r="L67" s="4"/>
      <c r="M67" s="4"/>
      <c r="N67" s="3">
        <f t="shared" si="13"/>
        <v>4700</v>
      </c>
      <c r="O67" s="2">
        <f t="shared" ca="1" si="20"/>
        <v>50919</v>
      </c>
      <c r="P67" cm="1">
        <f t="array" aca="1" ref="P67" ca="1">_xll.qwDataInterp(N67,$A$20:$A$44,$D$20:$D$44,4)</f>
        <v>453.53153599184128</v>
      </c>
      <c r="Q67" s="3">
        <f t="shared" ca="1" si="21"/>
        <v>454.89213059981677</v>
      </c>
      <c r="R67">
        <f t="shared" ca="1" si="22"/>
        <v>2.3964570140053487E-2</v>
      </c>
    </row>
    <row r="68" spans="3:18" x14ac:dyDescent="0.25">
      <c r="C68" s="2"/>
      <c r="G68" s="20">
        <v>46125</v>
      </c>
      <c r="H68">
        <v>325.66079999999999</v>
      </c>
      <c r="I68" s="26">
        <f t="shared" ca="1" si="4"/>
        <v>0</v>
      </c>
      <c r="J68" s="26"/>
      <c r="K68" s="3"/>
      <c r="L68" s="4"/>
      <c r="M68" s="4"/>
      <c r="N68" s="3">
        <f t="shared" si="13"/>
        <v>4800</v>
      </c>
      <c r="O68" s="2">
        <f t="shared" ca="1" si="20"/>
        <v>51019</v>
      </c>
      <c r="P68" cm="1">
        <f t="array" aca="1" ref="P68" ca="1">_xll.qwDataInterp(N68,$A$20:$A$44,$D$20:$D$44,4)</f>
        <v>456.41311813900478</v>
      </c>
      <c r="Q68" s="3">
        <f t="shared" ca="1" si="21"/>
        <v>457.3259443752828</v>
      </c>
      <c r="R68">
        <f t="shared" ca="1" si="22"/>
        <v>2.3952528928840255E-2</v>
      </c>
    </row>
    <row r="69" spans="3:18" x14ac:dyDescent="0.25">
      <c r="C69" s="2"/>
      <c r="G69" s="20">
        <v>46121</v>
      </c>
      <c r="H69">
        <v>325.66079999999999</v>
      </c>
      <c r="I69" s="26">
        <f t="shared" ca="1" si="4"/>
        <v>0</v>
      </c>
      <c r="J69" s="26"/>
      <c r="K69" s="3"/>
      <c r="L69" s="4"/>
      <c r="M69" s="4"/>
      <c r="N69" s="3">
        <f t="shared" si="13"/>
        <v>4900</v>
      </c>
      <c r="O69" s="2">
        <f t="shared" ca="1" si="20"/>
        <v>51119</v>
      </c>
      <c r="P69" cm="1">
        <f t="array" aca="1" ref="P69" ca="1">_xll.qwDataInterp(N69,$A$20:$A$44,$D$20:$D$44,4)</f>
        <v>459.29470028616828</v>
      </c>
      <c r="Q69" s="3">
        <f t="shared" ca="1" si="21"/>
        <v>456.99822678473743</v>
      </c>
      <c r="R69">
        <f t="shared" ca="1" si="22"/>
        <v>2.3937938965303829E-2</v>
      </c>
    </row>
    <row r="70" spans="3:18" x14ac:dyDescent="0.25">
      <c r="C70" s="2"/>
      <c r="G70" s="20">
        <v>46120</v>
      </c>
      <c r="H70">
        <v>325.60969999999998</v>
      </c>
      <c r="I70" s="26">
        <f t="shared" ref="I70:I75" ca="1" si="23">IF((G70=$C$20),$D$20,0)</f>
        <v>0</v>
      </c>
      <c r="J70" s="26"/>
      <c r="K70" s="3"/>
      <c r="L70" s="4"/>
      <c r="M70" s="4"/>
      <c r="N70" s="3">
        <f t="shared" si="13"/>
        <v>5000</v>
      </c>
      <c r="O70" s="2">
        <f t="shared" ca="1" si="20"/>
        <v>51219</v>
      </c>
      <c r="P70" cm="1">
        <f t="array" aca="1" ref="P70" ca="1">_xll.qwDataInterp(N70,$A$20:$A$44,$D$20:$D$44,4)</f>
        <v>462.17628243333178</v>
      </c>
      <c r="Q70" s="3">
        <f t="shared" ca="1" si="21"/>
        <v>462.63845871576507</v>
      </c>
      <c r="R70">
        <f t="shared" ca="1" si="22"/>
        <v>2.3920990559116895E-2</v>
      </c>
    </row>
    <row r="71" spans="3:18" x14ac:dyDescent="0.25">
      <c r="C71" s="2"/>
      <c r="F71" s="26"/>
      <c r="G71" s="20">
        <v>46119</v>
      </c>
      <c r="H71">
        <v>325.55860000000001</v>
      </c>
      <c r="I71" s="26">
        <f t="shared" ca="1" si="23"/>
        <v>0</v>
      </c>
      <c r="J71" s="26"/>
      <c r="K71" s="3"/>
      <c r="L71" s="4"/>
      <c r="M71" s="4"/>
      <c r="N71" s="3">
        <f t="shared" si="13"/>
        <v>5100</v>
      </c>
      <c r="O71" s="2">
        <f t="shared" ca="1" si="20"/>
        <v>51319</v>
      </c>
      <c r="P71" cm="1">
        <f t="array" aca="1" ref="P71" ca="1">_xll.qwDataInterp(N71,$A$20:$A$44,$D$20:$D$44,4)</f>
        <v>465.05786458049533</v>
      </c>
      <c r="Q71" s="3">
        <f t="shared" ca="1" si="21"/>
        <v>465.98798030965634</v>
      </c>
      <c r="R71">
        <f t="shared" ca="1" si="22"/>
        <v>2.3901858425827482E-2</v>
      </c>
    </row>
    <row r="72" spans="3:18" x14ac:dyDescent="0.25">
      <c r="C72" s="2"/>
      <c r="F72" s="26"/>
      <c r="G72" s="20">
        <v>46118</v>
      </c>
      <c r="H72">
        <v>325.50749999999999</v>
      </c>
      <c r="I72" s="26">
        <f t="shared" ca="1" si="23"/>
        <v>0</v>
      </c>
      <c r="J72" s="26"/>
      <c r="K72" s="3"/>
      <c r="L72" s="4"/>
      <c r="M72" s="4"/>
      <c r="N72" s="3">
        <f t="shared" si="13"/>
        <v>5200</v>
      </c>
      <c r="O72" s="2">
        <f t="shared" ca="1" si="20"/>
        <v>51419</v>
      </c>
      <c r="P72" cm="1">
        <f t="array" aca="1" ref="P72" ca="1">_xll.qwDataInterp(N72,$A$20:$A$44,$D$20:$D$44,4)</f>
        <v>467.93944672765883</v>
      </c>
      <c r="Q72" s="3">
        <f t="shared" ca="1" si="21"/>
        <v>467.93944672765883</v>
      </c>
      <c r="R72">
        <f t="shared" ca="1" si="22"/>
        <v>2.3880703200619413E-2</v>
      </c>
    </row>
    <row r="73" spans="3:18" x14ac:dyDescent="0.25">
      <c r="C73" s="2"/>
      <c r="F73" s="26"/>
      <c r="G73" s="21">
        <v>46114</v>
      </c>
      <c r="H73" s="22">
        <v>325.30309999999997</v>
      </c>
      <c r="I73" s="26">
        <f t="shared" ca="1" si="23"/>
        <v>0</v>
      </c>
      <c r="J73" s="26"/>
      <c r="K73" s="3"/>
      <c r="L73" s="4"/>
      <c r="M73" s="4"/>
      <c r="N73" s="3">
        <f t="shared" si="13"/>
        <v>5300</v>
      </c>
      <c r="O73" s="2">
        <f t="shared" ca="1" si="20"/>
        <v>51519</v>
      </c>
      <c r="P73" cm="1">
        <f t="array" aca="1" ref="P73" ca="1">_xll.qwDataInterp(N73,$A$20:$A$44,$D$20:$D$44,4)</f>
        <v>470.82102887482233</v>
      </c>
      <c r="Q73" s="3">
        <f t="shared" ca="1" si="21"/>
        <v>468.93774475932304</v>
      </c>
      <c r="R73">
        <f t="shared" ca="1" si="22"/>
        <v>2.3857672780486006E-2</v>
      </c>
    </row>
    <row r="74" spans="3:18" x14ac:dyDescent="0.25">
      <c r="C74" s="2"/>
      <c r="F74" s="26"/>
      <c r="G74" s="21">
        <v>46113</v>
      </c>
      <c r="H74" s="28">
        <v>325.25200000000001</v>
      </c>
      <c r="I74" s="26">
        <f t="shared" ca="1" si="23"/>
        <v>0</v>
      </c>
      <c r="J74" s="26"/>
      <c r="K74" s="3"/>
      <c r="L74" s="4"/>
      <c r="M74" s="4"/>
      <c r="N74" s="3">
        <f t="shared" si="13"/>
        <v>5400</v>
      </c>
      <c r="O74" s="2">
        <f t="shared" ca="1" si="20"/>
        <v>51619</v>
      </c>
      <c r="P74" cm="1">
        <f t="array" aca="1" ref="P74" ca="1">_xll.qwDataInterp(N74,$A$20:$A$44,$D$20:$D$44,4)</f>
        <v>473.70261102198583</v>
      </c>
      <c r="Q74" s="3">
        <f t="shared" ca="1" si="21"/>
        <v>475.12371885505172</v>
      </c>
      <c r="R74">
        <f t="shared" ca="1" si="22"/>
        <v>2.3832903517039705E-2</v>
      </c>
    </row>
    <row r="75" spans="3:18" x14ac:dyDescent="0.25">
      <c r="C75" s="2"/>
      <c r="F75" s="26"/>
      <c r="G75" s="20">
        <v>46112</v>
      </c>
      <c r="H75" s="26">
        <v>325.21334999999999</v>
      </c>
      <c r="I75" s="26">
        <f t="shared" ca="1" si="23"/>
        <v>0</v>
      </c>
      <c r="J75" s="26"/>
      <c r="K75" s="3"/>
      <c r="L75" s="4"/>
      <c r="M75" s="4"/>
      <c r="N75" s="3">
        <f t="shared" si="13"/>
        <v>5500</v>
      </c>
      <c r="O75" s="2">
        <f t="shared" ca="1" si="20"/>
        <v>51719</v>
      </c>
      <c r="P75" cm="1">
        <f t="array" aca="1" ref="P75" ca="1">_xll.qwDataInterp(N75,$A$20:$A$44,$D$20:$D$44,4)</f>
        <v>476.62635451378543</v>
      </c>
      <c r="Q75" s="3">
        <f t="shared" ca="1" si="21"/>
        <v>477.57960722281302</v>
      </c>
      <c r="R75">
        <f t="shared" ca="1" si="22"/>
        <v>2.3812531700752482E-2</v>
      </c>
    </row>
    <row r="76" spans="3:18" x14ac:dyDescent="0.25">
      <c r="C76" s="2"/>
      <c r="F76" s="26"/>
      <c r="G76" s="26"/>
      <c r="H76" s="26"/>
      <c r="I76" s="26"/>
      <c r="J76" s="26"/>
      <c r="K76" s="3"/>
      <c r="L76" s="4"/>
      <c r="M76" s="4"/>
      <c r="N76" s="3">
        <f t="shared" si="13"/>
        <v>5600</v>
      </c>
      <c r="O76" s="2">
        <f t="shared" ca="1" si="20"/>
        <v>51819</v>
      </c>
      <c r="P76" cm="1">
        <f t="array" aca="1" ref="P76" ca="1">_xll.qwDataInterp(N76,$A$20:$A$44,$D$20:$D$44,4)</f>
        <v>479.75594457057286</v>
      </c>
      <c r="Q76" s="3">
        <f t="shared" ca="1" si="21"/>
        <v>478.31667673686115</v>
      </c>
      <c r="R76">
        <f t="shared" ca="1" si="22"/>
        <v>2.381901454900226E-2</v>
      </c>
    </row>
    <row r="77" spans="3:18" x14ac:dyDescent="0.25">
      <c r="C77" s="2"/>
      <c r="F77" s="26"/>
      <c r="G77" s="26"/>
      <c r="H77" s="26"/>
      <c r="I77" s="26"/>
      <c r="J77" s="26"/>
      <c r="K77" s="3"/>
      <c r="L77" s="4"/>
      <c r="M77" s="4"/>
      <c r="N77" s="3">
        <f t="shared" si="13"/>
        <v>5700</v>
      </c>
      <c r="O77" s="2">
        <f t="shared" ca="1" si="20"/>
        <v>51919</v>
      </c>
      <c r="P77" cm="1">
        <f t="array" aca="1" ref="P77" ca="1">_xll.qwDataInterp(N77,$A$20:$A$44,$D$20:$D$44,4)</f>
        <v>482.8855346273603</v>
      </c>
      <c r="Q77" s="3">
        <f t="shared" ca="1" si="21"/>
        <v>481.91976355810556</v>
      </c>
      <c r="R77">
        <f t="shared" ca="1" si="22"/>
        <v>2.3822480080382347E-2</v>
      </c>
    </row>
    <row r="78" spans="3:18" x14ac:dyDescent="0.25">
      <c r="C78" s="2"/>
      <c r="F78" s="26"/>
      <c r="G78" s="26"/>
      <c r="H78" s="26"/>
      <c r="I78" s="26"/>
      <c r="J78" s="26"/>
      <c r="K78" s="3"/>
      <c r="L78" s="4"/>
      <c r="M78" s="4"/>
      <c r="N78" s="3">
        <f t="shared" si="13"/>
        <v>5800</v>
      </c>
      <c r="O78" s="2">
        <f t="shared" ca="1" si="20"/>
        <v>52019</v>
      </c>
      <c r="P78" cm="1">
        <f t="array" aca="1" ref="P78" ca="1">_xll.qwDataInterp(N78,$A$20:$A$44,$D$20:$D$44,4)</f>
        <v>486.01512468414774</v>
      </c>
      <c r="Q78" s="3">
        <f t="shared" ca="1" si="21"/>
        <v>487.47317005820014</v>
      </c>
      <c r="R78">
        <f t="shared" ca="1" si="22"/>
        <v>2.3823119759022848E-2</v>
      </c>
    </row>
    <row r="79" spans="3:18" x14ac:dyDescent="0.25">
      <c r="C79" s="2"/>
      <c r="F79" s="26"/>
      <c r="G79" s="26"/>
      <c r="H79" s="26"/>
      <c r="I79" s="26"/>
      <c r="J79" s="26"/>
      <c r="K79" s="3"/>
      <c r="L79" s="4"/>
      <c r="M79" s="4"/>
      <c r="N79" s="3">
        <f t="shared" si="13"/>
        <v>5900</v>
      </c>
      <c r="O79" s="2">
        <f t="shared" ca="1" si="20"/>
        <v>52119</v>
      </c>
      <c r="P79" cm="1">
        <f t="array" aca="1" ref="P79" ca="1">_xll.qwDataInterp(N79,$A$20:$A$44,$D$20:$D$44,4)</f>
        <v>489.14471474093523</v>
      </c>
      <c r="Q79" s="3">
        <f t="shared" ca="1" si="21"/>
        <v>490.12300417041712</v>
      </c>
      <c r="R79">
        <f t="shared" ca="1" si="22"/>
        <v>2.3821111420772256E-2</v>
      </c>
    </row>
    <row r="80" spans="3:18" x14ac:dyDescent="0.25">
      <c r="C80" s="2"/>
      <c r="F80" s="26"/>
      <c r="G80" s="26"/>
      <c r="H80" s="26"/>
      <c r="I80" s="26"/>
      <c r="J80" s="26"/>
      <c r="K80" s="3"/>
      <c r="L80" s="4"/>
      <c r="M80" s="4"/>
      <c r="N80" s="3">
        <f t="shared" si="13"/>
        <v>6000</v>
      </c>
      <c r="O80" s="2">
        <f t="shared" ca="1" si="20"/>
        <v>52219</v>
      </c>
      <c r="P80" cm="1">
        <f t="array" aca="1" ref="P80" ca="1">_xll.qwDataInterp(N80,$A$20:$A$44,$D$20:$D$44,4)</f>
        <v>492.27430479772266</v>
      </c>
      <c r="Q80" s="3">
        <f t="shared" ca="1" si="21"/>
        <v>489.81293327373407</v>
      </c>
      <c r="R80">
        <f t="shared" ca="1" si="22"/>
        <v>2.3816620422978607E-2</v>
      </c>
    </row>
    <row r="81" spans="3:18" x14ac:dyDescent="0.25">
      <c r="C81" s="2"/>
      <c r="F81" s="26"/>
      <c r="G81" s="26"/>
      <c r="H81" s="26"/>
      <c r="I81" s="26"/>
      <c r="J81" s="26"/>
      <c r="K81" s="3"/>
      <c r="L81" s="4"/>
      <c r="M81" s="4"/>
      <c r="N81" s="3">
        <f t="shared" si="13"/>
        <v>6100</v>
      </c>
      <c r="O81" s="2">
        <f t="shared" ca="1" si="20"/>
        <v>52319</v>
      </c>
      <c r="P81" cm="1">
        <f t="array" aca="1" ref="P81" ca="1">_xll.qwDataInterp(N81,$A$20:$A$44,$D$20:$D$44,4)</f>
        <v>495.4038948545101</v>
      </c>
      <c r="Q81" s="3">
        <f t="shared" ca="1" si="21"/>
        <v>495.89929874936456</v>
      </c>
      <c r="R81">
        <f t="shared" ca="1" si="22"/>
        <v>2.3809800680947735E-2</v>
      </c>
    </row>
    <row r="82" spans="3:18" x14ac:dyDescent="0.25">
      <c r="C82" s="2"/>
      <c r="F82" s="26"/>
      <c r="G82" s="26"/>
      <c r="H82" s="26"/>
      <c r="I82" s="26"/>
      <c r="J82" s="26"/>
      <c r="K82" s="3"/>
      <c r="L82" s="4"/>
      <c r="M82" s="4"/>
      <c r="N82" s="3">
        <f t="shared" si="13"/>
        <v>6200</v>
      </c>
      <c r="O82" s="2">
        <f t="shared" ca="1" si="20"/>
        <v>52419</v>
      </c>
      <c r="P82" cm="1">
        <f t="array" aca="1" ref="P82" ca="1">_xll.qwDataInterp(N82,$A$20:$A$44,$D$20:$D$44,4)</f>
        <v>498.53348491129753</v>
      </c>
      <c r="Q82" s="3">
        <f t="shared" ca="1" si="21"/>
        <v>499.53055188112012</v>
      </c>
      <c r="R82">
        <f t="shared" ca="1" si="22"/>
        <v>2.3800795603865055E-2</v>
      </c>
    </row>
    <row r="83" spans="3:18" x14ac:dyDescent="0.25">
      <c r="C83" s="2"/>
      <c r="F83" s="26"/>
      <c r="G83" s="26"/>
      <c r="H83" s="26"/>
      <c r="I83" s="26"/>
      <c r="J83" s="26"/>
      <c r="K83" s="3"/>
      <c r="L83" s="4"/>
      <c r="M83" s="4"/>
      <c r="N83" s="3">
        <f t="shared" si="13"/>
        <v>6300</v>
      </c>
      <c r="O83" s="2">
        <f t="shared" ca="1" si="20"/>
        <v>52519</v>
      </c>
      <c r="P83" cm="1">
        <f t="array" aca="1" ref="P83" ca="1">_xll.qwDataInterp(N83,$A$20:$A$44,$D$20:$D$44,4)</f>
        <v>501.66307496808497</v>
      </c>
      <c r="Q83" s="3">
        <f t="shared" ca="1" si="21"/>
        <v>501.66307496808497</v>
      </c>
      <c r="R83">
        <f t="shared" ca="1" si="22"/>
        <v>2.3789738941333294E-2</v>
      </c>
    </row>
    <row r="84" spans="3:18" x14ac:dyDescent="0.25">
      <c r="C84" s="2"/>
      <c r="F84" s="26"/>
      <c r="G84" s="26"/>
      <c r="H84" s="26"/>
      <c r="I84" s="26"/>
      <c r="J84" s="26"/>
      <c r="K84" s="3"/>
      <c r="L84" s="4"/>
      <c r="M84" s="4"/>
      <c r="N84" s="3">
        <f t="shared" si="13"/>
        <v>6400</v>
      </c>
      <c r="O84" s="2">
        <f t="shared" ref="O84:O93" ca="1" si="24">N84+$D$10</f>
        <v>52619</v>
      </c>
      <c r="P84" cm="1">
        <f t="array" aca="1" ref="P84" ca="1">_xll.qwDataInterp(N84,$A$20:$A$44,$D$20:$D$44,4)</f>
        <v>504.79266502487241</v>
      </c>
      <c r="Q84" s="3">
        <f t="shared" ref="Q84:Q93" ca="1" si="25">VLOOKUP(MONTH(O84),$AI$4:$AK$15,3,0)*P84</f>
        <v>502.77349436477289</v>
      </c>
      <c r="R84">
        <f t="shared" ca="1" si="22"/>
        <v>2.3776755550301232E-2</v>
      </c>
    </row>
    <row r="85" spans="3:18" x14ac:dyDescent="0.25">
      <c r="C85" s="2"/>
      <c r="F85" s="26"/>
      <c r="G85" s="26"/>
      <c r="H85" s="26"/>
      <c r="I85" s="26"/>
      <c r="J85" s="26"/>
      <c r="K85" s="3"/>
      <c r="L85" s="4"/>
      <c r="M85" s="4"/>
      <c r="N85" s="3">
        <f t="shared" si="13"/>
        <v>6500</v>
      </c>
      <c r="O85" s="2">
        <f t="shared" ca="1" si="24"/>
        <v>52719</v>
      </c>
      <c r="P85" cm="1">
        <f t="array" aca="1" ref="P85" ca="1">_xll.qwDataInterp(N85,$A$20:$A$44,$D$20:$D$44,4)</f>
        <v>507.92225508165984</v>
      </c>
      <c r="Q85" s="3">
        <f t="shared" ca="1" si="25"/>
        <v>509.44602184690478</v>
      </c>
      <c r="R85">
        <f t="shared" ref="R85:R93" ca="1" si="26">EXP(LN(P85/$P$20)*1/((O85-$O$20)/365))-1</f>
        <v>2.3761962090945055E-2</v>
      </c>
    </row>
    <row r="86" spans="3:18" x14ac:dyDescent="0.25">
      <c r="C86" s="2"/>
      <c r="F86" s="26"/>
      <c r="G86" s="26"/>
      <c r="H86" s="26"/>
      <c r="I86" s="26"/>
      <c r="J86" s="26"/>
      <c r="K86" s="3"/>
      <c r="L86" s="4"/>
      <c r="M86" s="4"/>
      <c r="N86" s="3">
        <f t="shared" ref="N86:N93" si="27">N85+100</f>
        <v>6600</v>
      </c>
      <c r="O86" s="2">
        <f t="shared" ca="1" si="24"/>
        <v>52819</v>
      </c>
      <c r="P86" cm="1">
        <f t="array" aca="1" ref="P86" ca="1">_xll.qwDataInterp(N86,$A$20:$A$44,$D$20:$D$44,4)</f>
        <v>511.05184513844733</v>
      </c>
      <c r="Q86" s="3">
        <f t="shared" ca="1" si="25"/>
        <v>512.07394882872427</v>
      </c>
      <c r="R86">
        <f t="shared" ca="1" si="26"/>
        <v>2.3745467659038733E-2</v>
      </c>
    </row>
    <row r="87" spans="3:18" x14ac:dyDescent="0.25">
      <c r="C87" s="2"/>
      <c r="F87" s="26"/>
      <c r="G87" s="26"/>
      <c r="H87" s="26"/>
      <c r="I87" s="26"/>
      <c r="J87" s="26"/>
      <c r="K87" s="3"/>
      <c r="L87" s="4"/>
      <c r="M87" s="4"/>
      <c r="N87" s="3">
        <f t="shared" si="27"/>
        <v>6700</v>
      </c>
      <c r="O87" s="2">
        <f t="shared" ca="1" si="24"/>
        <v>52919</v>
      </c>
      <c r="P87" cm="1">
        <f t="array" aca="1" ref="P87" ca="1">_xll.qwDataInterp(N87,$A$20:$A$44,$D$20:$D$44,4)</f>
        <v>514.18143519523471</v>
      </c>
      <c r="Q87" s="3">
        <f t="shared" ca="1" si="25"/>
        <v>512.63889088964902</v>
      </c>
      <c r="R87">
        <f t="shared" ca="1" si="26"/>
        <v>2.3727374361443454E-2</v>
      </c>
    </row>
    <row r="88" spans="3:18" x14ac:dyDescent="0.25">
      <c r="C88" s="2"/>
      <c r="F88" s="26"/>
      <c r="G88" s="26"/>
      <c r="H88" s="26"/>
      <c r="I88" s="26"/>
      <c r="J88" s="26"/>
      <c r="K88" s="3"/>
      <c r="L88" s="4"/>
      <c r="M88" s="4"/>
      <c r="N88" s="3">
        <f t="shared" si="27"/>
        <v>6800</v>
      </c>
      <c r="O88" s="2">
        <f t="shared" ca="1" si="24"/>
        <v>53019</v>
      </c>
      <c r="P88" cm="1">
        <f t="array" aca="1" ref="P88" ca="1">_xll.qwDataInterp(N88,$A$20:$A$44,$D$20:$D$44,4)</f>
        <v>517.3110252520222</v>
      </c>
      <c r="Q88" s="3">
        <f t="shared" ca="1" si="25"/>
        <v>516.27640320151818</v>
      </c>
      <c r="R88">
        <f t="shared" ca="1" si="26"/>
        <v>2.370777784057343E-2</v>
      </c>
    </row>
    <row r="89" spans="3:18" x14ac:dyDescent="0.25">
      <c r="C89" s="2"/>
      <c r="F89" s="26"/>
      <c r="G89" s="26"/>
      <c r="H89" s="26"/>
      <c r="I89" s="26"/>
      <c r="J89" s="26"/>
      <c r="K89" s="3"/>
      <c r="L89" s="4"/>
      <c r="M89" s="4"/>
      <c r="N89" s="3">
        <f t="shared" si="27"/>
        <v>6900</v>
      </c>
      <c r="O89" s="2">
        <f t="shared" ca="1" si="24"/>
        <v>53119</v>
      </c>
      <c r="P89" cm="1">
        <f t="array" aca="1" ref="P89" ca="1">_xll.qwDataInterp(N89,$A$20:$A$44,$D$20:$D$44,4)</f>
        <v>520.44061530880958</v>
      </c>
      <c r="Q89" s="3">
        <f t="shared" ca="1" si="25"/>
        <v>522.00193715473597</v>
      </c>
      <c r="R89">
        <f t="shared" ca="1" si="26"/>
        <v>2.3686767753013704E-2</v>
      </c>
    </row>
    <row r="90" spans="3:18" x14ac:dyDescent="0.25">
      <c r="C90" s="2"/>
      <c r="F90" s="26"/>
      <c r="G90" s="26"/>
      <c r="H90" s="26"/>
      <c r="I90" s="26"/>
      <c r="J90" s="26"/>
      <c r="K90" s="3"/>
      <c r="L90" s="4"/>
      <c r="M90" s="4"/>
      <c r="N90" s="3">
        <f t="shared" si="27"/>
        <v>7000</v>
      </c>
      <c r="O90" s="2">
        <f t="shared" ca="1" si="24"/>
        <v>53219</v>
      </c>
      <c r="P90" cm="1">
        <f t="array" aca="1" ref="P90" ca="1">_xll.qwDataInterp(N90,$A$20:$A$44,$D$20:$D$44,4)</f>
        <v>523.57020536559708</v>
      </c>
      <c r="Q90" s="3">
        <f t="shared" ca="1" si="25"/>
        <v>524.61734577632831</v>
      </c>
      <c r="R90">
        <f t="shared" ca="1" si="26"/>
        <v>2.3664428206877197E-2</v>
      </c>
    </row>
    <row r="91" spans="3:18" x14ac:dyDescent="0.25">
      <c r="C91" s="2"/>
      <c r="F91" s="26"/>
      <c r="G91" s="26"/>
      <c r="H91" s="26"/>
      <c r="I91" s="26"/>
      <c r="J91" s="26"/>
      <c r="K91" s="3"/>
      <c r="L91" s="4"/>
      <c r="M91" s="4"/>
      <c r="N91" s="3">
        <f t="shared" si="27"/>
        <v>7100</v>
      </c>
      <c r="O91" s="2">
        <f t="shared" ca="1" si="24"/>
        <v>53319</v>
      </c>
      <c r="P91" cm="1">
        <f t="array" aca="1" ref="P91" ca="1">_xll.qwDataInterp(N91,$A$20:$A$44,$D$20:$D$44,4)</f>
        <v>526.69979542238457</v>
      </c>
      <c r="Q91" s="3">
        <f t="shared" ca="1" si="25"/>
        <v>524.06629644527266</v>
      </c>
      <c r="R91">
        <f t="shared" ca="1" si="26"/>
        <v>2.3640838161969047E-2</v>
      </c>
    </row>
    <row r="92" spans="3:18" x14ac:dyDescent="0.25">
      <c r="C92" s="2"/>
      <c r="F92" s="26"/>
      <c r="G92" s="26"/>
      <c r="H92" s="26"/>
      <c r="I92" s="26"/>
      <c r="J92" s="26"/>
      <c r="K92" s="3"/>
      <c r="L92" s="4"/>
      <c r="M92" s="4"/>
      <c r="N92" s="3">
        <f t="shared" si="27"/>
        <v>7200</v>
      </c>
      <c r="O92" s="2">
        <f t="shared" ca="1" si="24"/>
        <v>53419</v>
      </c>
      <c r="P92" cm="1">
        <f t="array" aca="1" ref="P92" ca="1">_xll.qwDataInterp(N92,$A$20:$A$44,$D$20:$D$44,4)</f>
        <v>529.82938547917195</v>
      </c>
      <c r="Q92" s="3">
        <f t="shared" ca="1" si="25"/>
        <v>531.41887363560943</v>
      </c>
      <c r="R92">
        <f t="shared" ca="1" si="26"/>
        <v>2.3616071796380034E-2</v>
      </c>
    </row>
    <row r="93" spans="3:18" x14ac:dyDescent="0.25">
      <c r="C93" s="20"/>
      <c r="E93" s="26"/>
      <c r="F93" s="26"/>
      <c r="G93" s="26"/>
      <c r="H93" s="26"/>
      <c r="I93" s="26"/>
      <c r="J93" s="26"/>
      <c r="K93" s="3"/>
      <c r="L93" s="4"/>
      <c r="M93" s="4"/>
      <c r="N93" s="3">
        <f t="shared" si="27"/>
        <v>7300</v>
      </c>
      <c r="O93" s="2">
        <f t="shared" ca="1" si="24"/>
        <v>53519</v>
      </c>
      <c r="P93" cm="1">
        <f t="array" aca="1" ref="P93" ca="1">_xll.qwDataInterp(N93,$A$20:$A$44,$D$20:$D$44,4)</f>
        <v>532.95897553595944</v>
      </c>
      <c r="Q93" s="3">
        <f t="shared" ca="1" si="25"/>
        <v>534.02489348703136</v>
      </c>
      <c r="R93">
        <f t="shared" ca="1" si="26"/>
        <v>2.3590198842727839E-2</v>
      </c>
    </row>
    <row r="94" spans="3:18" x14ac:dyDescent="0.25">
      <c r="C94" s="20"/>
      <c r="E94" s="26"/>
      <c r="F94" s="26"/>
      <c r="G94" s="26"/>
      <c r="H94" s="26"/>
      <c r="I94" s="26"/>
      <c r="J94" s="26"/>
      <c r="K94" s="26"/>
    </row>
    <row r="95" spans="3:18" x14ac:dyDescent="0.25">
      <c r="C95" s="20"/>
      <c r="E95" s="26"/>
      <c r="F95" s="26"/>
      <c r="G95" s="26"/>
      <c r="H95" s="26"/>
      <c r="I95" s="26"/>
      <c r="J95" s="26"/>
      <c r="K95" s="26"/>
    </row>
    <row r="96" spans="3:18" x14ac:dyDescent="0.25">
      <c r="C96" s="2"/>
      <c r="E96" s="26"/>
      <c r="F96" s="26"/>
      <c r="G96" s="26"/>
      <c r="H96" s="26"/>
      <c r="I96" s="26"/>
      <c r="J96" s="26"/>
      <c r="K96" s="26"/>
    </row>
    <row r="97" spans="3:11" x14ac:dyDescent="0.25">
      <c r="C97" s="2"/>
      <c r="E97" s="26"/>
      <c r="F97" s="26"/>
      <c r="G97" s="26"/>
      <c r="H97" s="26"/>
      <c r="I97" s="26"/>
      <c r="J97" s="26"/>
      <c r="K97" s="26"/>
    </row>
    <row r="98" spans="3:11" x14ac:dyDescent="0.25">
      <c r="C98" s="2"/>
      <c r="E98" s="26"/>
      <c r="F98" s="26"/>
      <c r="G98" s="26"/>
      <c r="H98" s="26"/>
      <c r="I98" s="26"/>
      <c r="J98" s="26"/>
      <c r="K98" s="26"/>
    </row>
    <row r="99" spans="3:11" x14ac:dyDescent="0.25">
      <c r="C99" s="2"/>
      <c r="E99" s="26"/>
      <c r="F99" s="26"/>
      <c r="G99" s="26"/>
      <c r="H99" s="26"/>
      <c r="I99" s="26"/>
      <c r="J99" s="26"/>
      <c r="K99" s="26"/>
    </row>
    <row r="100" spans="3:11" x14ac:dyDescent="0.25">
      <c r="C100" s="2"/>
      <c r="E100" s="26"/>
      <c r="F100" s="26"/>
      <c r="G100" s="26"/>
      <c r="H100" s="26"/>
      <c r="I100" s="26"/>
      <c r="J100" s="26"/>
      <c r="K100" s="26"/>
    </row>
    <row r="101" spans="3:11" x14ac:dyDescent="0.25">
      <c r="C101" s="30"/>
      <c r="E101" s="26"/>
      <c r="F101" s="26"/>
      <c r="G101" s="26"/>
      <c r="H101" s="26"/>
      <c r="I101" s="26"/>
      <c r="J101" s="26"/>
      <c r="K101" s="26"/>
    </row>
    <row r="102" spans="3:11" x14ac:dyDescent="0.25">
      <c r="C102" s="2"/>
      <c r="E102" s="26"/>
      <c r="F102" s="26"/>
      <c r="G102" s="26"/>
      <c r="H102" s="26"/>
      <c r="I102" s="26"/>
      <c r="J102" s="26"/>
      <c r="K102" s="26"/>
    </row>
    <row r="103" spans="3:11" x14ac:dyDescent="0.25">
      <c r="C103" s="2"/>
      <c r="E103" s="26"/>
      <c r="F103" s="26"/>
      <c r="G103" s="26"/>
      <c r="H103" s="26"/>
      <c r="I103" s="26"/>
      <c r="J103" s="26"/>
      <c r="K103" s="26"/>
    </row>
    <row r="104" spans="3:11" x14ac:dyDescent="0.25">
      <c r="C104" s="2"/>
      <c r="E104" s="26"/>
      <c r="F104" s="26"/>
      <c r="G104" s="26"/>
      <c r="H104" s="26"/>
      <c r="I104" s="26"/>
      <c r="J104" s="26"/>
      <c r="K104" s="26"/>
    </row>
    <row r="105" spans="3:11" x14ac:dyDescent="0.25">
      <c r="C105" s="2"/>
      <c r="E105" s="26"/>
      <c r="F105" s="26"/>
      <c r="G105" s="26"/>
      <c r="H105" s="26"/>
      <c r="I105" s="26"/>
      <c r="J105" s="26"/>
      <c r="K105" s="26"/>
    </row>
    <row r="106" spans="3:11" x14ac:dyDescent="0.25">
      <c r="C106" s="2"/>
      <c r="E106" s="26"/>
      <c r="F106" s="26"/>
      <c r="G106" s="26"/>
      <c r="H106" s="26"/>
      <c r="I106" s="26"/>
      <c r="J106" s="26"/>
      <c r="K106" s="26"/>
    </row>
    <row r="107" spans="3:11" x14ac:dyDescent="0.25">
      <c r="C107" s="2"/>
      <c r="E107" s="26"/>
      <c r="F107" s="26"/>
      <c r="G107" s="26"/>
      <c r="H107" s="26"/>
      <c r="I107" s="26"/>
      <c r="J107" s="26"/>
      <c r="K107" s="26"/>
    </row>
    <row r="108" spans="3:11" x14ac:dyDescent="0.25">
      <c r="C108" s="2"/>
      <c r="E108" s="26"/>
      <c r="F108" s="26"/>
      <c r="G108" s="26"/>
      <c r="H108" s="26"/>
      <c r="I108" s="26"/>
      <c r="J108" s="26"/>
      <c r="K108" s="26"/>
    </row>
    <row r="109" spans="3:11" x14ac:dyDescent="0.25">
      <c r="C109" s="2"/>
      <c r="E109" s="26"/>
      <c r="F109" s="26"/>
      <c r="G109" s="26"/>
      <c r="H109" s="26"/>
      <c r="I109" s="26"/>
      <c r="J109" s="26"/>
      <c r="K109" s="26"/>
    </row>
    <row r="110" spans="3:11" x14ac:dyDescent="0.25">
      <c r="C110" s="2"/>
      <c r="E110" s="26"/>
      <c r="F110" s="26"/>
      <c r="G110" s="26"/>
      <c r="H110" s="26"/>
      <c r="I110" s="26"/>
      <c r="J110" s="26"/>
      <c r="K110" s="26"/>
    </row>
    <row r="111" spans="3:11" x14ac:dyDescent="0.25">
      <c r="C111" s="2"/>
      <c r="E111" s="26"/>
      <c r="F111" s="26"/>
      <c r="G111" s="26"/>
      <c r="H111" s="26"/>
      <c r="I111" s="26"/>
      <c r="J111" s="26"/>
      <c r="K111" s="26"/>
    </row>
    <row r="112" spans="3:11" x14ac:dyDescent="0.25">
      <c r="C112" s="2"/>
      <c r="E112" s="26"/>
      <c r="F112" s="26"/>
      <c r="G112" s="26"/>
      <c r="H112" s="26"/>
      <c r="I112" s="26"/>
      <c r="J112" s="26"/>
      <c r="K112" s="26"/>
    </row>
    <row r="113" spans="3:11" x14ac:dyDescent="0.25">
      <c r="C113" s="2"/>
      <c r="E113" s="26"/>
      <c r="F113" s="26"/>
      <c r="G113" s="26"/>
      <c r="H113" s="26"/>
      <c r="I113" s="26"/>
      <c r="J113" s="26"/>
      <c r="K113" s="26"/>
    </row>
    <row r="114" spans="3:11" x14ac:dyDescent="0.25">
      <c r="C114" s="2"/>
      <c r="E114" s="26"/>
      <c r="F114" s="26"/>
      <c r="G114" s="26"/>
      <c r="H114" s="26"/>
      <c r="I114" s="26"/>
      <c r="J114" s="26"/>
      <c r="K114" s="26"/>
    </row>
    <row r="115" spans="3:11" x14ac:dyDescent="0.25">
      <c r="C115" s="2"/>
      <c r="E115" s="26"/>
      <c r="F115" s="26"/>
      <c r="G115" s="26"/>
      <c r="H115" s="26"/>
      <c r="I115" s="26"/>
      <c r="J115" s="26"/>
      <c r="K115" s="26"/>
    </row>
    <row r="116" spans="3:11" x14ac:dyDescent="0.25">
      <c r="C116" s="2"/>
      <c r="E116" s="26"/>
      <c r="F116" s="26"/>
      <c r="G116" s="26"/>
      <c r="H116" s="26"/>
      <c r="I116" s="26"/>
      <c r="J116" s="26"/>
      <c r="K116" s="26"/>
    </row>
    <row r="117" spans="3:11" x14ac:dyDescent="0.25">
      <c r="C117" s="2"/>
      <c r="E117" s="26"/>
      <c r="F117" s="26"/>
      <c r="G117" s="26"/>
      <c r="H117" s="26"/>
      <c r="I117" s="26"/>
      <c r="J117" s="26"/>
      <c r="K117" s="26"/>
    </row>
    <row r="118" spans="3:11" x14ac:dyDescent="0.25">
      <c r="C118" s="2"/>
      <c r="E118" s="26"/>
      <c r="F118" s="26"/>
      <c r="G118" s="26"/>
      <c r="H118" s="26"/>
      <c r="I118" s="26"/>
      <c r="J118" s="26"/>
      <c r="K118" s="26"/>
    </row>
    <row r="119" spans="3:11" x14ac:dyDescent="0.25">
      <c r="C119" s="2"/>
      <c r="E119" s="26"/>
      <c r="F119" s="26"/>
      <c r="G119" s="26"/>
      <c r="H119" s="26"/>
      <c r="I119" s="26"/>
      <c r="J119" s="26"/>
      <c r="K119" s="26"/>
    </row>
    <row r="120" spans="3:11" x14ac:dyDescent="0.25">
      <c r="C120" s="2"/>
      <c r="E120" s="26"/>
      <c r="F120" s="26"/>
      <c r="G120" s="26"/>
      <c r="H120" s="26"/>
      <c r="I120" s="26"/>
      <c r="J120" s="26"/>
      <c r="K120" s="26"/>
    </row>
    <row r="121" spans="3:11" x14ac:dyDescent="0.25">
      <c r="C121" s="2"/>
      <c r="E121" s="26"/>
      <c r="F121" s="26"/>
      <c r="G121" s="26"/>
      <c r="H121" s="26"/>
      <c r="I121" s="26"/>
      <c r="J121" s="26"/>
      <c r="K121" s="26"/>
    </row>
    <row r="122" spans="3:11" x14ac:dyDescent="0.25">
      <c r="C122" s="2"/>
      <c r="E122" s="26"/>
      <c r="F122" s="26"/>
      <c r="G122" s="26"/>
      <c r="H122" s="26"/>
      <c r="I122" s="26"/>
      <c r="J122" s="26"/>
      <c r="K122" s="26"/>
    </row>
    <row r="123" spans="3:11" x14ac:dyDescent="0.25">
      <c r="C123" s="2"/>
      <c r="E123" s="26"/>
      <c r="F123" s="26"/>
      <c r="G123" s="26"/>
      <c r="H123" s="26"/>
      <c r="I123" s="26"/>
      <c r="J123" s="26"/>
      <c r="K123" s="26"/>
    </row>
    <row r="124" spans="3:11" x14ac:dyDescent="0.25">
      <c r="C124" s="2"/>
      <c r="E124" s="26"/>
      <c r="F124" s="26"/>
      <c r="G124" s="26"/>
      <c r="H124" s="26"/>
      <c r="I124" s="26"/>
      <c r="J124" s="26"/>
      <c r="K124" s="26"/>
    </row>
    <row r="125" spans="3:11" x14ac:dyDescent="0.25">
      <c r="C125" s="2"/>
      <c r="E125" s="26"/>
      <c r="F125" s="26"/>
      <c r="G125" s="26"/>
      <c r="H125" s="26"/>
      <c r="I125" s="26"/>
      <c r="J125" s="26"/>
      <c r="K125" s="26"/>
    </row>
    <row r="126" spans="3:11" x14ac:dyDescent="0.25">
      <c r="C126" s="2"/>
      <c r="E126" s="26"/>
      <c r="F126" s="26"/>
      <c r="G126" s="26"/>
      <c r="H126" s="26"/>
      <c r="I126" s="26"/>
      <c r="J126" s="26"/>
      <c r="K126" s="26"/>
    </row>
    <row r="127" spans="3:11" x14ac:dyDescent="0.25">
      <c r="C127" s="2"/>
      <c r="E127" s="26"/>
      <c r="F127" s="26"/>
      <c r="G127" s="26"/>
      <c r="H127" s="26"/>
      <c r="I127" s="26"/>
      <c r="J127" s="26"/>
      <c r="K127" s="26"/>
    </row>
    <row r="128" spans="3:11" x14ac:dyDescent="0.25">
      <c r="C128" s="2"/>
      <c r="E128" s="26"/>
      <c r="F128" s="26"/>
      <c r="G128" s="26"/>
      <c r="H128" s="26"/>
      <c r="I128" s="26"/>
      <c r="J128" s="26"/>
      <c r="K128" s="26"/>
    </row>
    <row r="129" spans="3:11" x14ac:dyDescent="0.25">
      <c r="C129" s="2"/>
      <c r="E129" s="26"/>
      <c r="F129" s="26"/>
      <c r="G129" s="26"/>
      <c r="H129" s="26"/>
      <c r="I129" s="26"/>
      <c r="J129" s="26"/>
      <c r="K129" s="26"/>
    </row>
    <row r="130" spans="3:11" x14ac:dyDescent="0.25">
      <c r="C130" s="2"/>
      <c r="E130" s="26"/>
      <c r="F130" s="26"/>
      <c r="G130" s="26"/>
      <c r="H130" s="26"/>
      <c r="I130" s="26"/>
      <c r="J130" s="26"/>
      <c r="K130" s="26"/>
    </row>
    <row r="131" spans="3:11" x14ac:dyDescent="0.25">
      <c r="C131" s="2"/>
      <c r="E131" s="26"/>
      <c r="F131" s="26"/>
      <c r="G131" s="26"/>
      <c r="H131" s="26"/>
      <c r="I131" s="26"/>
      <c r="J131" s="26"/>
      <c r="K131" s="26"/>
    </row>
    <row r="132" spans="3:11" x14ac:dyDescent="0.25">
      <c r="C132" s="2"/>
      <c r="E132" s="26"/>
      <c r="F132" s="26"/>
      <c r="G132" s="26"/>
      <c r="H132" s="26"/>
      <c r="I132" s="26"/>
      <c r="J132" s="26"/>
      <c r="K132" s="26"/>
    </row>
    <row r="133" spans="3:11" x14ac:dyDescent="0.25">
      <c r="C133" s="2"/>
      <c r="E133" s="26"/>
      <c r="F133" s="26"/>
      <c r="G133" s="26"/>
      <c r="H133" s="26"/>
      <c r="I133" s="26"/>
      <c r="J133" s="26"/>
      <c r="K133" s="26"/>
    </row>
    <row r="134" spans="3:11" x14ac:dyDescent="0.25">
      <c r="C134" s="2"/>
      <c r="E134" s="26"/>
      <c r="F134" s="26"/>
      <c r="G134" s="26"/>
      <c r="H134" s="26"/>
      <c r="I134" s="26"/>
      <c r="J134" s="26"/>
      <c r="K134" s="26"/>
    </row>
    <row r="135" spans="3:11" x14ac:dyDescent="0.25">
      <c r="C135" s="2"/>
      <c r="E135" s="26"/>
      <c r="F135" s="26"/>
      <c r="G135" s="26"/>
      <c r="H135" s="26"/>
      <c r="I135" s="26"/>
      <c r="J135" s="26"/>
      <c r="K135" s="26"/>
    </row>
    <row r="136" spans="3:11" x14ac:dyDescent="0.25">
      <c r="C136" s="2"/>
      <c r="E136" s="26"/>
      <c r="F136" s="26"/>
      <c r="G136" s="26"/>
      <c r="H136" s="26"/>
      <c r="I136" s="26"/>
      <c r="J136" s="26"/>
      <c r="K136" s="26"/>
    </row>
    <row r="137" spans="3:11" x14ac:dyDescent="0.25">
      <c r="C137" s="2"/>
      <c r="E137" s="26"/>
      <c r="F137" s="26"/>
      <c r="G137" s="26"/>
      <c r="H137" s="26"/>
      <c r="I137" s="26"/>
      <c r="J137" s="26"/>
      <c r="K137" s="26"/>
    </row>
    <row r="138" spans="3:11" x14ac:dyDescent="0.25">
      <c r="C138" s="2"/>
      <c r="E138" s="26"/>
      <c r="F138" s="26"/>
      <c r="G138" s="26"/>
      <c r="H138" s="26"/>
      <c r="I138" s="26"/>
      <c r="J138" s="26"/>
      <c r="K138" s="26"/>
    </row>
    <row r="139" spans="3:11" x14ac:dyDescent="0.25">
      <c r="C139" s="2"/>
      <c r="E139" s="26"/>
      <c r="F139" s="26"/>
      <c r="G139" s="26"/>
      <c r="H139" s="26"/>
      <c r="I139" s="26"/>
      <c r="J139" s="26"/>
      <c r="K139" s="26"/>
    </row>
    <row r="140" spans="3:11" x14ac:dyDescent="0.25">
      <c r="C140" s="2"/>
      <c r="E140" s="26"/>
      <c r="F140" s="26"/>
      <c r="G140" s="26"/>
      <c r="H140" s="26"/>
      <c r="I140" s="26"/>
      <c r="J140" s="26"/>
      <c r="K140" s="26"/>
    </row>
    <row r="141" spans="3:11" x14ac:dyDescent="0.25">
      <c r="C141" s="2"/>
      <c r="E141" s="26"/>
      <c r="F141" s="26"/>
      <c r="G141" s="26"/>
      <c r="H141" s="26"/>
      <c r="I141" s="26"/>
      <c r="J141" s="26"/>
      <c r="K141" s="26"/>
    </row>
    <row r="142" spans="3:11" x14ac:dyDescent="0.25">
      <c r="C142" s="2"/>
      <c r="E142" s="26"/>
      <c r="F142" s="26"/>
      <c r="G142" s="26"/>
      <c r="H142" s="26"/>
      <c r="I142" s="26"/>
      <c r="J142" s="26"/>
      <c r="K142" s="26"/>
    </row>
    <row r="143" spans="3:11" x14ac:dyDescent="0.25">
      <c r="C143" s="2"/>
      <c r="E143" s="26"/>
      <c r="F143" s="26"/>
      <c r="G143" s="26"/>
      <c r="H143" s="26"/>
      <c r="I143" s="26"/>
      <c r="J143" s="26"/>
      <c r="K143" s="26"/>
    </row>
    <row r="144" spans="3:11" x14ac:dyDescent="0.25">
      <c r="C144" s="2"/>
      <c r="E144" s="26"/>
      <c r="F144" s="26"/>
      <c r="G144" s="26"/>
      <c r="H144" s="26"/>
      <c r="I144" s="26"/>
      <c r="J144" s="26"/>
      <c r="K144" s="26"/>
    </row>
    <row r="145" spans="3:11" x14ac:dyDescent="0.25">
      <c r="C145" s="2"/>
      <c r="E145" s="26"/>
      <c r="F145" s="26"/>
      <c r="G145" s="26"/>
      <c r="H145" s="26"/>
      <c r="I145" s="26"/>
      <c r="J145" s="26"/>
      <c r="K145" s="26"/>
    </row>
    <row r="146" spans="3:11" x14ac:dyDescent="0.25">
      <c r="C146" s="2"/>
      <c r="E146" s="26"/>
      <c r="F146" s="26"/>
      <c r="G146" s="26"/>
      <c r="H146" s="26"/>
      <c r="I146" s="26"/>
      <c r="J146" s="26"/>
      <c r="K146" s="26"/>
    </row>
    <row r="147" spans="3:11" x14ac:dyDescent="0.25">
      <c r="C147" s="2"/>
      <c r="E147" s="26"/>
      <c r="F147" s="26"/>
      <c r="G147" s="26"/>
      <c r="H147" s="26"/>
      <c r="I147" s="26"/>
      <c r="J147" s="26"/>
      <c r="K147" s="26"/>
    </row>
    <row r="148" spans="3:11" x14ac:dyDescent="0.25">
      <c r="C148" s="2"/>
      <c r="E148" s="26"/>
      <c r="F148" s="26"/>
      <c r="G148" s="26"/>
      <c r="H148" s="26"/>
      <c r="I148" s="26"/>
      <c r="J148" s="26"/>
      <c r="K148" s="26"/>
    </row>
    <row r="149" spans="3:11" x14ac:dyDescent="0.25">
      <c r="C149" s="2"/>
      <c r="E149" s="26"/>
      <c r="F149" s="26"/>
      <c r="G149" s="26"/>
      <c r="H149" s="26"/>
      <c r="I149" s="26"/>
      <c r="J149" s="26"/>
      <c r="K149" s="26"/>
    </row>
    <row r="150" spans="3:11" x14ac:dyDescent="0.25">
      <c r="C150" s="2"/>
      <c r="E150" s="26"/>
      <c r="F150" s="26"/>
      <c r="G150" s="26"/>
      <c r="H150" s="26"/>
      <c r="I150" s="26"/>
      <c r="J150" s="26"/>
      <c r="K150" s="26"/>
    </row>
    <row r="151" spans="3:11" x14ac:dyDescent="0.25">
      <c r="C151" s="2"/>
      <c r="E151" s="26"/>
      <c r="F151" s="26"/>
      <c r="G151" s="26"/>
      <c r="H151" s="26"/>
      <c r="I151" s="26"/>
      <c r="J151" s="26"/>
      <c r="K151" s="26"/>
    </row>
    <row r="152" spans="3:11" x14ac:dyDescent="0.25">
      <c r="C152" s="2"/>
      <c r="E152" s="26"/>
      <c r="F152" s="26"/>
      <c r="G152" s="26"/>
      <c r="H152" s="26"/>
      <c r="I152" s="26"/>
      <c r="J152" s="26"/>
      <c r="K152" s="26"/>
    </row>
    <row r="153" spans="3:11" x14ac:dyDescent="0.25">
      <c r="C153" s="2"/>
      <c r="E153" s="26"/>
      <c r="F153" s="26"/>
      <c r="G153" s="26"/>
      <c r="H153" s="26"/>
      <c r="I153" s="26"/>
      <c r="J153" s="26"/>
      <c r="K153" s="26"/>
    </row>
    <row r="154" spans="3:11" x14ac:dyDescent="0.25">
      <c r="C154" s="2"/>
      <c r="E154" s="26"/>
      <c r="F154" s="26"/>
      <c r="G154" s="26"/>
      <c r="H154" s="26"/>
      <c r="I154" s="26"/>
      <c r="J154" s="26"/>
      <c r="K154" s="26"/>
    </row>
    <row r="155" spans="3:11" x14ac:dyDescent="0.25">
      <c r="C155" s="2"/>
      <c r="E155" s="26"/>
      <c r="F155" s="26"/>
      <c r="G155" s="26"/>
      <c r="H155" s="26"/>
      <c r="I155" s="26"/>
      <c r="J155" s="26"/>
      <c r="K155" s="26"/>
    </row>
    <row r="156" spans="3:11" x14ac:dyDescent="0.25">
      <c r="C156" s="2"/>
      <c r="E156" s="26"/>
      <c r="F156" s="26"/>
      <c r="G156" s="26"/>
      <c r="H156" s="26"/>
      <c r="I156" s="26"/>
      <c r="J156" s="26"/>
      <c r="K156" s="26"/>
    </row>
    <row r="157" spans="3:11" x14ac:dyDescent="0.25">
      <c r="C157" s="2"/>
      <c r="E157" s="26"/>
      <c r="F157" s="26"/>
      <c r="G157" s="26"/>
      <c r="H157" s="26"/>
      <c r="I157" s="26"/>
      <c r="J157" s="26"/>
      <c r="K157" s="26"/>
    </row>
    <row r="158" spans="3:11" x14ac:dyDescent="0.25">
      <c r="C158" s="30"/>
      <c r="E158" s="26"/>
      <c r="F158" s="26"/>
      <c r="G158" s="26"/>
      <c r="H158" s="26"/>
      <c r="I158" s="26"/>
      <c r="J158" s="26"/>
      <c r="K158" s="26"/>
    </row>
    <row r="159" spans="3:11" x14ac:dyDescent="0.25">
      <c r="E159" s="26"/>
      <c r="F159" s="26"/>
      <c r="G159" s="26"/>
      <c r="H159" s="26"/>
      <c r="I159" s="26"/>
      <c r="J159" s="26"/>
      <c r="K159" s="26"/>
    </row>
    <row r="160" spans="3:11" x14ac:dyDescent="0.25">
      <c r="E160" s="26"/>
      <c r="F160" s="26"/>
      <c r="G160" s="26"/>
      <c r="H160" s="26"/>
      <c r="I160" s="26"/>
      <c r="J160" s="26"/>
      <c r="K160" s="26"/>
    </row>
    <row r="161" spans="5:11" x14ac:dyDescent="0.25">
      <c r="E161" s="26"/>
      <c r="F161" s="26"/>
      <c r="G161" s="26"/>
      <c r="H161" s="26"/>
      <c r="I161" s="26"/>
      <c r="J161" s="26"/>
      <c r="K161" s="26"/>
    </row>
    <row r="162" spans="5:11" x14ac:dyDescent="0.25">
      <c r="E162" s="26"/>
      <c r="F162" s="26"/>
      <c r="G162" s="26"/>
      <c r="H162" s="26"/>
      <c r="I162" s="26"/>
      <c r="J162" s="26"/>
      <c r="K162" s="26"/>
    </row>
    <row r="163" spans="5:11" x14ac:dyDescent="0.25">
      <c r="E163" s="26"/>
      <c r="F163" s="26"/>
      <c r="G163" s="26"/>
      <c r="H163" s="26"/>
      <c r="I163" s="26"/>
      <c r="J163" s="26"/>
      <c r="K163" s="26"/>
    </row>
    <row r="164" spans="5:11" x14ac:dyDescent="0.25">
      <c r="E164" s="26"/>
      <c r="F164" s="26"/>
      <c r="G164" s="26"/>
      <c r="H164" s="26"/>
      <c r="I164" s="26"/>
      <c r="J164" s="26"/>
      <c r="K164" s="26"/>
    </row>
    <row r="165" spans="5:11" x14ac:dyDescent="0.25">
      <c r="E165" s="26"/>
      <c r="F165" s="26"/>
      <c r="G165" s="26"/>
      <c r="H165" s="26"/>
      <c r="I165" s="26"/>
      <c r="J165" s="26"/>
      <c r="K165" s="26"/>
    </row>
    <row r="166" spans="5:11" x14ac:dyDescent="0.25">
      <c r="E166" s="26"/>
      <c r="F166" s="26"/>
      <c r="G166" s="26"/>
      <c r="H166" s="26"/>
      <c r="I166" s="26"/>
      <c r="J166" s="26"/>
      <c r="K166" s="26"/>
    </row>
    <row r="167" spans="5:11" x14ac:dyDescent="0.25">
      <c r="E167" s="26"/>
      <c r="F167" s="26"/>
      <c r="G167" s="26"/>
      <c r="H167" s="26"/>
      <c r="I167" s="26"/>
      <c r="J167" s="26"/>
      <c r="K167" s="26"/>
    </row>
    <row r="168" spans="5:11" x14ac:dyDescent="0.25">
      <c r="E168" s="26"/>
      <c r="F168" s="26"/>
      <c r="G168" s="26"/>
      <c r="H168" s="26"/>
      <c r="I168" s="26"/>
      <c r="J168" s="26"/>
      <c r="K168" s="26"/>
    </row>
    <row r="169" spans="5:11" x14ac:dyDescent="0.25">
      <c r="E169" s="26"/>
      <c r="F169" s="26"/>
      <c r="G169" s="26"/>
      <c r="H169" s="26"/>
      <c r="I169" s="26"/>
      <c r="J169" s="26"/>
      <c r="K169" s="26"/>
    </row>
    <row r="170" spans="5:11" x14ac:dyDescent="0.25">
      <c r="E170" s="26"/>
      <c r="F170" s="26"/>
      <c r="G170" s="26"/>
      <c r="H170" s="26"/>
      <c r="I170" s="26"/>
      <c r="J170" s="26"/>
      <c r="K170" s="26"/>
    </row>
    <row r="171" spans="5:11" x14ac:dyDescent="0.25">
      <c r="E171" s="26"/>
      <c r="F171" s="26"/>
      <c r="G171" s="26"/>
      <c r="H171" s="26"/>
      <c r="I171" s="26"/>
      <c r="J171" s="26"/>
      <c r="K171" s="26"/>
    </row>
    <row r="172" spans="5:11" x14ac:dyDescent="0.25">
      <c r="E172" s="26"/>
      <c r="F172" s="26"/>
      <c r="G172" s="26"/>
      <c r="H172" s="26"/>
      <c r="I172" s="26"/>
      <c r="J172" s="26"/>
      <c r="K172" s="26"/>
    </row>
    <row r="173" spans="5:11" x14ac:dyDescent="0.25">
      <c r="E173" s="26"/>
      <c r="F173" s="26"/>
      <c r="G173" s="26"/>
      <c r="H173" s="26"/>
      <c r="I173" s="26"/>
      <c r="J173" s="26"/>
      <c r="K173" s="26"/>
    </row>
    <row r="174" spans="5:11" x14ac:dyDescent="0.25">
      <c r="E174" s="26"/>
      <c r="F174" s="26"/>
      <c r="G174" s="26"/>
      <c r="H174" s="26"/>
      <c r="I174" s="26"/>
      <c r="J174" s="26"/>
      <c r="K174" s="26"/>
    </row>
    <row r="175" spans="5:11" x14ac:dyDescent="0.25">
      <c r="E175" s="26"/>
      <c r="F175" s="26"/>
      <c r="G175" s="26"/>
      <c r="H175" s="26"/>
      <c r="I175" s="26"/>
      <c r="J175" s="26"/>
      <c r="K175" s="26"/>
    </row>
    <row r="176" spans="5:11" x14ac:dyDescent="0.25">
      <c r="E176" s="26"/>
      <c r="F176" s="26"/>
      <c r="G176" s="26"/>
      <c r="H176" s="26"/>
      <c r="I176" s="26"/>
      <c r="J176" s="26"/>
      <c r="K176" s="26"/>
    </row>
    <row r="177" spans="5:11" x14ac:dyDescent="0.25">
      <c r="E177" s="26"/>
      <c r="F177" s="26"/>
      <c r="G177" s="26"/>
      <c r="H177" s="26"/>
      <c r="I177" s="26"/>
      <c r="J177" s="26"/>
      <c r="K177" s="26"/>
    </row>
    <row r="178" spans="5:11" x14ac:dyDescent="0.25">
      <c r="E178" s="26"/>
      <c r="F178" s="26"/>
      <c r="G178" s="26"/>
      <c r="H178" s="26"/>
      <c r="I178" s="26"/>
      <c r="J178" s="26"/>
      <c r="K178" s="26"/>
    </row>
    <row r="179" spans="5:11" x14ac:dyDescent="0.25">
      <c r="E179" s="26"/>
      <c r="F179" s="26"/>
      <c r="G179" s="26"/>
      <c r="H179" s="26"/>
      <c r="I179" s="26"/>
      <c r="J179" s="26"/>
      <c r="K179" s="26"/>
    </row>
    <row r="180" spans="5:11" x14ac:dyDescent="0.25">
      <c r="E180" s="26"/>
      <c r="F180" s="26"/>
      <c r="G180" s="26"/>
      <c r="H180" s="26"/>
      <c r="I180" s="26"/>
      <c r="J180" s="26"/>
      <c r="K180" s="26"/>
    </row>
    <row r="181" spans="5:11" x14ac:dyDescent="0.25">
      <c r="E181" s="26"/>
      <c r="F181" s="26"/>
      <c r="G181" s="26"/>
      <c r="H181" s="26"/>
      <c r="I181" s="26"/>
      <c r="J181" s="26"/>
      <c r="K181" s="26"/>
    </row>
    <row r="182" spans="5:11" x14ac:dyDescent="0.25">
      <c r="E182" s="26"/>
      <c r="F182" s="26"/>
      <c r="G182" s="26"/>
      <c r="H182" s="26"/>
      <c r="I182" s="26"/>
      <c r="J182" s="26"/>
      <c r="K182" s="26"/>
    </row>
    <row r="183" spans="5:11" x14ac:dyDescent="0.25">
      <c r="E183" s="26"/>
      <c r="F183" s="26"/>
      <c r="G183" s="26"/>
      <c r="H183" s="26"/>
      <c r="I183" s="26"/>
      <c r="J183" s="26"/>
      <c r="K183" s="26"/>
    </row>
    <row r="184" spans="5:11" x14ac:dyDescent="0.25">
      <c r="E184" s="26"/>
      <c r="F184" s="26"/>
      <c r="G184" s="26"/>
      <c r="H184" s="26"/>
      <c r="I184" s="26"/>
      <c r="J184" s="26"/>
      <c r="K184" s="26"/>
    </row>
    <row r="185" spans="5:11" x14ac:dyDescent="0.25">
      <c r="E185" s="26"/>
      <c r="F185" s="26"/>
      <c r="G185" s="26"/>
      <c r="H185" s="26"/>
      <c r="I185" s="26"/>
      <c r="J185" s="26"/>
      <c r="K185" s="26"/>
    </row>
    <row r="186" spans="5:11" x14ac:dyDescent="0.25">
      <c r="E186" s="26"/>
      <c r="F186" s="26"/>
      <c r="G186" s="26"/>
      <c r="H186" s="26"/>
      <c r="I186" s="26"/>
      <c r="J186" s="26"/>
      <c r="K186" s="26"/>
    </row>
    <row r="187" spans="5:11" x14ac:dyDescent="0.25">
      <c r="E187" s="26"/>
      <c r="F187" s="26"/>
      <c r="G187" s="26"/>
      <c r="H187" s="26"/>
      <c r="I187" s="26"/>
      <c r="J187" s="26"/>
      <c r="K187" s="26"/>
    </row>
    <row r="188" spans="5:11" x14ac:dyDescent="0.25">
      <c r="E188" s="26"/>
      <c r="F188" s="26"/>
      <c r="G188" s="26"/>
      <c r="H188" s="26"/>
      <c r="I188" s="26"/>
      <c r="J188" s="26"/>
      <c r="K188" s="26"/>
    </row>
    <row r="189" spans="5:11" x14ac:dyDescent="0.25">
      <c r="E189" s="26"/>
      <c r="F189" s="26"/>
      <c r="G189" s="26"/>
      <c r="H189" s="26"/>
      <c r="I189" s="26"/>
      <c r="J189" s="26"/>
      <c r="K189" s="26"/>
    </row>
    <row r="190" spans="5:11" x14ac:dyDescent="0.25">
      <c r="E190" s="26"/>
      <c r="F190" s="26"/>
      <c r="G190" s="26"/>
      <c r="H190" s="26"/>
      <c r="I190" s="26"/>
      <c r="J190" s="26"/>
      <c r="K190" s="26"/>
    </row>
    <row r="191" spans="5:11" x14ac:dyDescent="0.25">
      <c r="E191" s="26"/>
      <c r="F191" s="26"/>
      <c r="G191" s="26"/>
      <c r="H191" s="26"/>
      <c r="I191" s="26"/>
      <c r="J191" s="26"/>
      <c r="K191" s="26"/>
    </row>
    <row r="192" spans="5:11" x14ac:dyDescent="0.25">
      <c r="E192" s="26"/>
      <c r="F192" s="26"/>
      <c r="G192" s="26"/>
      <c r="H192" s="26"/>
      <c r="I192" s="26"/>
      <c r="J192" s="26"/>
      <c r="K192" s="26"/>
    </row>
    <row r="193" spans="5:11" x14ac:dyDescent="0.25">
      <c r="E193" s="26"/>
      <c r="F193" s="26"/>
      <c r="G193" s="26"/>
      <c r="H193" s="26"/>
      <c r="I193" s="26"/>
      <c r="J193" s="26"/>
      <c r="K193" s="26"/>
    </row>
    <row r="194" spans="5:11" x14ac:dyDescent="0.25">
      <c r="E194" s="26"/>
      <c r="F194" s="26"/>
      <c r="G194" s="26"/>
      <c r="H194" s="26"/>
      <c r="I194" s="26"/>
      <c r="J194" s="26"/>
      <c r="K194" s="26"/>
    </row>
    <row r="195" spans="5:11" x14ac:dyDescent="0.25">
      <c r="E195" s="26"/>
      <c r="F195" s="26"/>
      <c r="G195" s="26"/>
      <c r="H195" s="26"/>
      <c r="I195" s="26"/>
      <c r="J195" s="26"/>
      <c r="K195" s="26"/>
    </row>
    <row r="196" spans="5:11" x14ac:dyDescent="0.25">
      <c r="E196" s="26"/>
      <c r="F196" s="26"/>
      <c r="G196" s="26"/>
      <c r="H196" s="26"/>
      <c r="I196" s="26"/>
      <c r="J196" s="26"/>
      <c r="K196" s="26"/>
    </row>
    <row r="197" spans="5:11" x14ac:dyDescent="0.25">
      <c r="E197" s="26"/>
      <c r="F197" s="26"/>
      <c r="G197" s="26"/>
      <c r="H197" s="26"/>
      <c r="I197" s="26"/>
      <c r="J197" s="26"/>
      <c r="K197" s="26"/>
    </row>
    <row r="198" spans="5:11" x14ac:dyDescent="0.25">
      <c r="E198" s="26"/>
      <c r="F198" s="26"/>
      <c r="G198" s="26"/>
      <c r="H198" s="26"/>
      <c r="I198" s="26"/>
      <c r="J198" s="26"/>
      <c r="K198" s="26"/>
    </row>
    <row r="199" spans="5:11" x14ac:dyDescent="0.25">
      <c r="E199" s="26"/>
      <c r="F199" s="26"/>
      <c r="G199" s="26"/>
      <c r="H199" s="26"/>
      <c r="I199" s="26"/>
      <c r="J199" s="26"/>
      <c r="K199" s="26"/>
    </row>
    <row r="200" spans="5:11" x14ac:dyDescent="0.25">
      <c r="E200" s="26"/>
      <c r="F200" s="26"/>
      <c r="G200" s="26"/>
      <c r="H200" s="26"/>
      <c r="I200" s="26"/>
      <c r="J200" s="26"/>
      <c r="K200" s="26"/>
    </row>
    <row r="201" spans="5:11" x14ac:dyDescent="0.25">
      <c r="E201" s="26"/>
      <c r="F201" s="26"/>
      <c r="G201" s="26"/>
      <c r="H201" s="26"/>
      <c r="I201" s="26"/>
      <c r="J201" s="26"/>
      <c r="K201" s="26"/>
    </row>
    <row r="202" spans="5:11" x14ac:dyDescent="0.25">
      <c r="E202" s="26"/>
      <c r="F202" s="26"/>
      <c r="G202" s="26"/>
      <c r="H202" s="26"/>
      <c r="I202" s="26"/>
      <c r="J202" s="26"/>
      <c r="K202" s="26"/>
    </row>
    <row r="203" spans="5:11" x14ac:dyDescent="0.25">
      <c r="E203" s="26"/>
      <c r="F203" s="26"/>
      <c r="G203" s="26"/>
      <c r="H203" s="26"/>
      <c r="I203" s="26"/>
      <c r="J203" s="26"/>
      <c r="K203" s="26"/>
    </row>
    <row r="204" spans="5:11" x14ac:dyDescent="0.25">
      <c r="E204" s="26"/>
      <c r="F204" s="26"/>
      <c r="G204" s="26"/>
      <c r="H204" s="26"/>
      <c r="I204" s="26"/>
      <c r="J204" s="26"/>
      <c r="K204" s="26"/>
    </row>
    <row r="205" spans="5:11" x14ac:dyDescent="0.25">
      <c r="E205" s="26"/>
      <c r="F205" s="26"/>
      <c r="G205" s="26"/>
      <c r="H205" s="26"/>
      <c r="I205" s="26"/>
      <c r="J205" s="26"/>
      <c r="K205" s="26"/>
    </row>
    <row r="206" spans="5:11" x14ac:dyDescent="0.25">
      <c r="E206" s="26"/>
      <c r="F206" s="26"/>
      <c r="G206" s="26"/>
      <c r="H206" s="26"/>
      <c r="I206" s="26"/>
      <c r="J206" s="26"/>
      <c r="K206" s="26"/>
    </row>
    <row r="207" spans="5:11" x14ac:dyDescent="0.25">
      <c r="E207" s="26"/>
      <c r="F207" s="26"/>
      <c r="G207" s="26"/>
      <c r="H207" s="26"/>
      <c r="I207" s="26"/>
      <c r="J207" s="26"/>
      <c r="K207" s="26"/>
    </row>
    <row r="208" spans="5:11" x14ac:dyDescent="0.25">
      <c r="E208" s="26"/>
      <c r="F208" s="26"/>
      <c r="G208" s="26"/>
      <c r="H208" s="26"/>
      <c r="I208" s="26"/>
      <c r="J208" s="26"/>
      <c r="K208" s="26"/>
    </row>
    <row r="209" spans="5:11" x14ac:dyDescent="0.25">
      <c r="E209" s="26"/>
      <c r="F209" s="26"/>
      <c r="G209" s="26"/>
      <c r="H209" s="26"/>
      <c r="I209" s="26"/>
      <c r="J209" s="26"/>
      <c r="K209" s="26"/>
    </row>
    <row r="210" spans="5:11" x14ac:dyDescent="0.25">
      <c r="E210" s="26"/>
      <c r="F210" s="26"/>
      <c r="G210" s="26"/>
      <c r="H210" s="26"/>
      <c r="I210" s="26"/>
      <c r="J210" s="26"/>
      <c r="K210" s="26"/>
    </row>
  </sheetData>
  <phoneticPr fontId="4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Scroll Bar 8">
              <controlPr defaultSize="0" autoPict="0">
                <anchor moveWithCells="1">
                  <from>
                    <xdr:col>4</xdr:col>
                    <xdr:colOff>457200</xdr:colOff>
                    <xdr:row>2</xdr:row>
                    <xdr:rowOff>28575</xdr:rowOff>
                  </from>
                  <to>
                    <xdr:col>4</xdr:col>
                    <xdr:colOff>733425</xdr:colOff>
                    <xdr:row>16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94FC-453F-4115-A5CD-96A2F7AEDCB6}">
  <dimension ref="A1:I162"/>
  <sheetViews>
    <sheetView zoomScaleNormal="100" workbookViewId="0">
      <selection activeCell="M11" sqref="M11"/>
    </sheetView>
  </sheetViews>
  <sheetFormatPr defaultRowHeight="15" x14ac:dyDescent="0.25"/>
  <cols>
    <col min="1" max="1" width="17.5703125" bestFit="1" customWidth="1"/>
    <col min="2" max="2" width="34.85546875" bestFit="1" customWidth="1"/>
    <col min="5" max="5" width="16.140625" bestFit="1" customWidth="1"/>
    <col min="6" max="6" width="25.28515625" bestFit="1" customWidth="1"/>
    <col min="7" max="7" width="22.42578125" bestFit="1" customWidth="1"/>
    <col min="8" max="8" width="42.5703125" bestFit="1" customWidth="1"/>
    <col min="9" max="9" width="9" bestFit="1" customWidth="1"/>
    <col min="10" max="10" width="16.28515625" bestFit="1" customWidth="1"/>
    <col min="11" max="11" width="25.5703125" bestFit="1" customWidth="1"/>
    <col min="12" max="12" width="16.5703125" bestFit="1" customWidth="1"/>
    <col min="13" max="13" width="34.42578125" bestFit="1" customWidth="1"/>
    <col min="14" max="14" width="26.140625" bestFit="1" customWidth="1"/>
    <col min="16" max="16" width="23" customWidth="1"/>
    <col min="17" max="17" width="15.140625" bestFit="1" customWidth="1"/>
    <col min="18" max="18" width="18.7109375" bestFit="1" customWidth="1"/>
  </cols>
  <sheetData>
    <row r="1" spans="1:9" x14ac:dyDescent="0.25">
      <c r="A1" s="7" t="s">
        <v>52</v>
      </c>
      <c r="B1" s="7" t="s">
        <v>53</v>
      </c>
    </row>
    <row r="2" spans="1:9" x14ac:dyDescent="0.25">
      <c r="A2" s="9" t="s">
        <v>54</v>
      </c>
      <c r="B2" s="9" t="s">
        <v>55</v>
      </c>
      <c r="C2" t="str">
        <f>_xll.BDP(A2, "PX_LAST")</f>
        <v>#N/A N/A</v>
      </c>
      <c r="G2" s="11" t="s">
        <v>14</v>
      </c>
      <c r="H2" s="11" t="s">
        <v>56</v>
      </c>
      <c r="I2">
        <f>_xll.BDP(G2, "PX_LAST")</f>
        <v>333.97989999999999</v>
      </c>
    </row>
    <row r="3" spans="1:9" x14ac:dyDescent="0.25">
      <c r="A3" s="9" t="s">
        <v>57</v>
      </c>
      <c r="B3" s="9" t="s">
        <v>58</v>
      </c>
      <c r="C3" t="str">
        <f>_xll.BDP(A3, "PX_LAST")</f>
        <v>#N/A N/A</v>
      </c>
      <c r="G3" s="11" t="s">
        <v>20</v>
      </c>
      <c r="H3" s="11" t="s">
        <v>59</v>
      </c>
      <c r="I3">
        <f>_xll.BDP(G3, "PX_LAST")</f>
        <v>335.64</v>
      </c>
    </row>
    <row r="4" spans="1:9" x14ac:dyDescent="0.25">
      <c r="A4" s="9" t="s">
        <v>60</v>
      </c>
      <c r="B4" s="9" t="s">
        <v>61</v>
      </c>
      <c r="C4" t="str">
        <f>_xll.BDP(A4, "PX_LAST")</f>
        <v>#N/A N/A</v>
      </c>
      <c r="G4" s="11" t="s">
        <v>29</v>
      </c>
      <c r="H4" s="11" t="s">
        <v>62</v>
      </c>
      <c r="I4">
        <f>_xll.BDP(G4, "PX_LAST")</f>
        <v>335.06990000000002</v>
      </c>
    </row>
    <row r="5" spans="1:9" x14ac:dyDescent="0.25">
      <c r="A5" s="9" t="s">
        <v>63</v>
      </c>
      <c r="B5" s="9" t="s">
        <v>64</v>
      </c>
      <c r="C5" t="str">
        <f>_xll.BDP(A5, "PX_LAST")</f>
        <v>#N/A N/A</v>
      </c>
      <c r="G5" s="11" t="s">
        <v>44</v>
      </c>
      <c r="H5" s="11" t="s">
        <v>65</v>
      </c>
      <c r="I5">
        <f>_xll.BDP(G5, "PX_LAST")</f>
        <v>340.1841</v>
      </c>
    </row>
    <row r="6" spans="1:9" x14ac:dyDescent="0.25">
      <c r="A6" s="9" t="s">
        <v>66</v>
      </c>
      <c r="B6" s="9" t="s">
        <v>67</v>
      </c>
      <c r="C6" t="str">
        <f>_xll.BDP(A6, "PX_LAST")</f>
        <v>#N/A N/A</v>
      </c>
      <c r="G6" s="11" t="s">
        <v>34</v>
      </c>
      <c r="H6" s="11" t="s">
        <v>68</v>
      </c>
      <c r="I6">
        <f>_xll.BDP(G6, "PX_LAST")</f>
        <v>336.42</v>
      </c>
    </row>
    <row r="7" spans="1:9" x14ac:dyDescent="0.25">
      <c r="A7" s="9" t="s">
        <v>69</v>
      </c>
      <c r="B7" s="9" t="s">
        <v>70</v>
      </c>
      <c r="C7" t="str">
        <f>_xll.BDP(A7, "PX_LAST")</f>
        <v>#N/A N/A</v>
      </c>
      <c r="G7" s="11" t="s">
        <v>11</v>
      </c>
      <c r="H7" s="11" t="s">
        <v>71</v>
      </c>
      <c r="I7">
        <f>_xll.BDP(G7, "PX_LAST")</f>
        <v>341.81659999999999</v>
      </c>
    </row>
    <row r="8" spans="1:9" x14ac:dyDescent="0.25">
      <c r="A8" s="10" t="s">
        <v>72</v>
      </c>
      <c r="B8" s="10" t="s">
        <v>73</v>
      </c>
      <c r="C8" t="str">
        <f>_xll.BDP(A8, "PX_LAST")</f>
        <v>#N/A N/A</v>
      </c>
      <c r="G8" s="11" t="s">
        <v>41</v>
      </c>
      <c r="H8" s="11" t="s">
        <v>74</v>
      </c>
      <c r="I8">
        <f>_xll.BDP(G8, "PX_LAST")</f>
        <v>339.05860000000001</v>
      </c>
    </row>
    <row r="9" spans="1:9" x14ac:dyDescent="0.25">
      <c r="A9" s="10" t="s">
        <v>75</v>
      </c>
      <c r="B9" s="10" t="s">
        <v>76</v>
      </c>
      <c r="C9" t="str">
        <f>_xll.BDP(A9, "PX_LAST")</f>
        <v>#N/A N/A</v>
      </c>
      <c r="G9" s="11" t="s">
        <v>47</v>
      </c>
      <c r="H9" s="11" t="s">
        <v>77</v>
      </c>
      <c r="I9">
        <f>_xll.BDP(G9, "PX_LAST")</f>
        <v>341.22640000000001</v>
      </c>
    </row>
    <row r="10" spans="1:9" x14ac:dyDescent="0.25">
      <c r="A10" s="10" t="s">
        <v>78</v>
      </c>
      <c r="B10" s="10" t="s">
        <v>79</v>
      </c>
      <c r="C10" t="str">
        <f>_xll.BDP(A10, "PX_LAST")</f>
        <v>#N/A N/A</v>
      </c>
      <c r="G10" s="11" t="s">
        <v>23</v>
      </c>
      <c r="H10" s="11" t="s">
        <v>80</v>
      </c>
      <c r="I10">
        <f>_xll.BDP(G10, "PX_LAST")</f>
        <v>335.51</v>
      </c>
    </row>
    <row r="11" spans="1:9" x14ac:dyDescent="0.25">
      <c r="A11" s="10" t="s">
        <v>81</v>
      </c>
      <c r="B11" s="10" t="s">
        <v>82</v>
      </c>
      <c r="C11" t="str">
        <f>_xll.BDP(A11, "PX_LAST")</f>
        <v>#N/A N/A</v>
      </c>
      <c r="G11" s="11" t="s">
        <v>38</v>
      </c>
      <c r="H11" s="11" t="s">
        <v>83</v>
      </c>
      <c r="I11">
        <f>_xll.BDP(G11, "PX_LAST")</f>
        <v>337.69</v>
      </c>
    </row>
    <row r="12" spans="1:9" x14ac:dyDescent="0.25">
      <c r="A12" s="10" t="s">
        <v>84</v>
      </c>
      <c r="B12" s="10" t="s">
        <v>85</v>
      </c>
      <c r="C12" t="str">
        <f>_xll.BDP(A12, "PX_LAST")</f>
        <v>#N/A N/A</v>
      </c>
      <c r="G12" s="11" t="s">
        <v>17</v>
      </c>
      <c r="H12" s="11" t="s">
        <v>86</v>
      </c>
      <c r="I12">
        <f>_xll.BDP(G12, "PX_LAST")</f>
        <v>335.11</v>
      </c>
    </row>
    <row r="13" spans="1:9" x14ac:dyDescent="0.25">
      <c r="A13" s="10" t="s">
        <v>87</v>
      </c>
      <c r="B13" s="10" t="s">
        <v>88</v>
      </c>
      <c r="C13" t="str">
        <f>_xll.BDP(A13, "PX_LAST")</f>
        <v>#N/A N/A</v>
      </c>
      <c r="G13" s="11" t="s">
        <v>26</v>
      </c>
      <c r="H13" s="11" t="s">
        <v>89</v>
      </c>
      <c r="I13">
        <f>_xll.BDP(G13, "PX_LAST")</f>
        <v>335.09</v>
      </c>
    </row>
    <row r="14" spans="1:9" x14ac:dyDescent="0.25">
      <c r="A14" s="10" t="s">
        <v>90</v>
      </c>
      <c r="B14" s="10" t="s">
        <v>91</v>
      </c>
      <c r="C14" t="str">
        <f>_xll.BDP(A14, "PX_LAST")</f>
        <v>#N/A N/A</v>
      </c>
      <c r="G14" t="s">
        <v>92</v>
      </c>
      <c r="H14" t="s">
        <v>93</v>
      </c>
      <c r="I14" t="str">
        <f>_xll.BDP(G14, "PX_LAST")</f>
        <v>#N/A N/A</v>
      </c>
    </row>
    <row r="15" spans="1:9" x14ac:dyDescent="0.25">
      <c r="A15" s="10" t="s">
        <v>94</v>
      </c>
      <c r="B15" s="10" t="s">
        <v>95</v>
      </c>
      <c r="C15" t="str">
        <f>_xll.BDP(A15, "PX_LAST")</f>
        <v>#N/A N/A</v>
      </c>
      <c r="G15" t="s">
        <v>96</v>
      </c>
      <c r="H15" t="s">
        <v>97</v>
      </c>
      <c r="I15" t="str">
        <f>_xll.BDP(G15, "PX_LAST")</f>
        <v>#N/A N/A</v>
      </c>
    </row>
    <row r="16" spans="1:9" x14ac:dyDescent="0.25">
      <c r="A16" s="10" t="s">
        <v>98</v>
      </c>
      <c r="B16" s="10" t="s">
        <v>99</v>
      </c>
      <c r="C16" t="str">
        <f>_xll.BDP(A16, "PX_LAST")</f>
        <v>#N/A N/A</v>
      </c>
      <c r="G16" t="s">
        <v>100</v>
      </c>
      <c r="H16" t="s">
        <v>101</v>
      </c>
      <c r="I16" t="str">
        <f>_xll.BDP(G16, "PX_LAST")</f>
        <v>#N/A N/A</v>
      </c>
    </row>
    <row r="17" spans="1:9" x14ac:dyDescent="0.25">
      <c r="A17" s="10" t="s">
        <v>102</v>
      </c>
      <c r="B17" s="10" t="s">
        <v>103</v>
      </c>
      <c r="C17" t="str">
        <f>_xll.BDP(A17, "PX_LAST")</f>
        <v>#N/A N/A</v>
      </c>
      <c r="G17" t="s">
        <v>104</v>
      </c>
      <c r="H17" t="s">
        <v>105</v>
      </c>
      <c r="I17" t="str">
        <f>_xll.BDP(G17, "PX_LAST")</f>
        <v>#N/A N/A</v>
      </c>
    </row>
    <row r="18" spans="1:9" x14ac:dyDescent="0.25">
      <c r="A18" s="10" t="s">
        <v>106</v>
      </c>
      <c r="B18" s="10" t="s">
        <v>107</v>
      </c>
      <c r="C18" t="str">
        <f>_xll.BDP(A18, "PX_LAST")</f>
        <v>#N/A N/A</v>
      </c>
      <c r="G18" t="s">
        <v>108</v>
      </c>
      <c r="H18" t="s">
        <v>109</v>
      </c>
      <c r="I18" t="str">
        <f>_xll.BDP(G18, "PX_LAST")</f>
        <v>#N/A N/A</v>
      </c>
    </row>
    <row r="19" spans="1:9" x14ac:dyDescent="0.25">
      <c r="A19" s="10" t="s">
        <v>110</v>
      </c>
      <c r="B19" s="10" t="s">
        <v>111</v>
      </c>
      <c r="C19" t="str">
        <f>_xll.BDP(A19, "PX_LAST")</f>
        <v>#N/A N/A</v>
      </c>
      <c r="G19" t="s">
        <v>112</v>
      </c>
      <c r="H19" t="s">
        <v>113</v>
      </c>
      <c r="I19" t="str">
        <f>_xll.BDP(G19, "PX_LAST")</f>
        <v>#N/A N/A</v>
      </c>
    </row>
    <row r="20" spans="1:9" x14ac:dyDescent="0.25">
      <c r="A20" s="9" t="s">
        <v>114</v>
      </c>
      <c r="B20" s="9" t="s">
        <v>115</v>
      </c>
      <c r="C20" t="str">
        <f>_xll.BDP(A20, "PX_LAST")</f>
        <v>#N/A N/A</v>
      </c>
      <c r="G20" t="s">
        <v>116</v>
      </c>
      <c r="H20" t="s">
        <v>117</v>
      </c>
      <c r="I20" t="str">
        <f>_xll.BDP(G20, "PX_LAST")</f>
        <v>#N/A N/A</v>
      </c>
    </row>
    <row r="21" spans="1:9" x14ac:dyDescent="0.25">
      <c r="A21" s="9" t="s">
        <v>118</v>
      </c>
      <c r="B21" s="9" t="s">
        <v>119</v>
      </c>
      <c r="C21" t="str">
        <f>_xll.BDP(A21, "PX_LAST")</f>
        <v>#N/A N/A</v>
      </c>
      <c r="G21" t="s">
        <v>120</v>
      </c>
      <c r="H21" t="s">
        <v>121</v>
      </c>
      <c r="I21" t="str">
        <f>_xll.BDP(G21, "PX_LAST")</f>
        <v>#N/A N/A</v>
      </c>
    </row>
    <row r="22" spans="1:9" x14ac:dyDescent="0.25">
      <c r="A22" s="9" t="s">
        <v>122</v>
      </c>
      <c r="B22" s="9" t="s">
        <v>123</v>
      </c>
      <c r="C22" t="str">
        <f>_xll.BDP(A22, "PX_LAST")</f>
        <v>#N/A N/A</v>
      </c>
      <c r="G22" t="s">
        <v>124</v>
      </c>
      <c r="H22" t="s">
        <v>125</v>
      </c>
      <c r="I22" t="str">
        <f>_xll.BDP(G22, "PX_LAST")</f>
        <v>#N/A N/A</v>
      </c>
    </row>
    <row r="23" spans="1:9" x14ac:dyDescent="0.25">
      <c r="A23" s="9" t="s">
        <v>126</v>
      </c>
      <c r="B23" s="9" t="s">
        <v>127</v>
      </c>
      <c r="C23" t="str">
        <f>_xll.BDP(A23, "PX_LAST")</f>
        <v>#N/A N/A</v>
      </c>
      <c r="G23" t="s">
        <v>128</v>
      </c>
      <c r="H23" t="s">
        <v>129</v>
      </c>
      <c r="I23" t="str">
        <f>_xll.BDP(G23, "PX_LAST")</f>
        <v>#N/A N/A</v>
      </c>
    </row>
    <row r="24" spans="1:9" x14ac:dyDescent="0.25">
      <c r="A24" s="9" t="s">
        <v>130</v>
      </c>
      <c r="B24" s="9" t="s">
        <v>131</v>
      </c>
      <c r="C24" t="str">
        <f>_xll.BDP(A24, "PX_LAST")</f>
        <v>#N/A N/A</v>
      </c>
      <c r="G24" t="s">
        <v>132</v>
      </c>
      <c r="H24" t="s">
        <v>133</v>
      </c>
      <c r="I24" t="str">
        <f>_xll.BDP(G24, "PX_LAST")</f>
        <v>#N/A N/A</v>
      </c>
    </row>
    <row r="25" spans="1:9" x14ac:dyDescent="0.25">
      <c r="A25" s="9" t="s">
        <v>134</v>
      </c>
      <c r="B25" s="9" t="s">
        <v>135</v>
      </c>
      <c r="C25" t="str">
        <f>_xll.BDP(A25, "PX_LAST")</f>
        <v>#N/A N/A</v>
      </c>
      <c r="G25" t="s">
        <v>136</v>
      </c>
      <c r="H25" t="s">
        <v>137</v>
      </c>
      <c r="I25" t="str">
        <f>_xll.BDP(G25, "PX_LAST")</f>
        <v>#N/A N/A</v>
      </c>
    </row>
    <row r="26" spans="1:9" x14ac:dyDescent="0.25">
      <c r="A26" s="9" t="s">
        <v>138</v>
      </c>
      <c r="B26" s="9" t="s">
        <v>139</v>
      </c>
      <c r="C26" t="str">
        <f>_xll.BDP(A26, "PX_LAST")</f>
        <v>#N/A N/A</v>
      </c>
      <c r="G26" t="s">
        <v>140</v>
      </c>
      <c r="H26" t="s">
        <v>141</v>
      </c>
      <c r="I26" t="str">
        <f>_xll.BDP(G26, "PX_LAST")</f>
        <v>#N/A N/A</v>
      </c>
    </row>
    <row r="27" spans="1:9" x14ac:dyDescent="0.25">
      <c r="A27" s="9" t="s">
        <v>142</v>
      </c>
      <c r="B27" s="9" t="s">
        <v>143</v>
      </c>
      <c r="C27" t="str">
        <f>_xll.BDP(A27, "PX_LAST")</f>
        <v>#N/A N/A</v>
      </c>
      <c r="G27" t="s">
        <v>144</v>
      </c>
      <c r="H27" t="s">
        <v>145</v>
      </c>
      <c r="I27" t="str">
        <f>_xll.BDP(G27, "PX_LAST")</f>
        <v>#N/A N/A</v>
      </c>
    </row>
    <row r="28" spans="1:9" x14ac:dyDescent="0.25">
      <c r="A28" s="9" t="s">
        <v>146</v>
      </c>
      <c r="B28" s="9" t="s">
        <v>147</v>
      </c>
      <c r="C28" t="str">
        <f>_xll.BDP(A28, "PX_LAST")</f>
        <v>#N/A N/A</v>
      </c>
      <c r="G28" t="s">
        <v>148</v>
      </c>
      <c r="H28" t="s">
        <v>149</v>
      </c>
      <c r="I28" t="str">
        <f>_xll.BDP(G28, "PX_LAST")</f>
        <v>#N/A N/A</v>
      </c>
    </row>
    <row r="29" spans="1:9" x14ac:dyDescent="0.25">
      <c r="A29" s="9" t="s">
        <v>150</v>
      </c>
      <c r="B29" s="9" t="s">
        <v>151</v>
      </c>
      <c r="C29" t="str">
        <f>_xll.BDP(A29, "PX_LAST")</f>
        <v>#N/A N/A</v>
      </c>
      <c r="G29" t="s">
        <v>152</v>
      </c>
      <c r="H29" t="s">
        <v>153</v>
      </c>
      <c r="I29" t="str">
        <f>_xll.BDP(G29, "PX_LAST")</f>
        <v>#N/A N/A</v>
      </c>
    </row>
    <row r="30" spans="1:9" x14ac:dyDescent="0.25">
      <c r="A30" s="9" t="s">
        <v>154</v>
      </c>
      <c r="B30" s="9" t="s">
        <v>155</v>
      </c>
      <c r="C30" t="str">
        <f>_xll.BDP(A30, "PX_LAST")</f>
        <v>#N/A N/A</v>
      </c>
      <c r="G30" t="s">
        <v>156</v>
      </c>
      <c r="H30" t="s">
        <v>157</v>
      </c>
      <c r="I30" t="str">
        <f>_xll.BDP(G30, "PX_LAST")</f>
        <v>#N/A N/A</v>
      </c>
    </row>
    <row r="31" spans="1:9" x14ac:dyDescent="0.25">
      <c r="A31" s="9" t="s">
        <v>158</v>
      </c>
      <c r="B31" s="9" t="s">
        <v>159</v>
      </c>
      <c r="C31" t="str">
        <f>_xll.BDP(A31, "PX_LAST")</f>
        <v>#N/A N/A</v>
      </c>
      <c r="G31" t="s">
        <v>160</v>
      </c>
      <c r="H31" t="s">
        <v>161</v>
      </c>
      <c r="I31" t="str">
        <f>_xll.BDP(G31, "PX_LAST")</f>
        <v>#N/A N/A</v>
      </c>
    </row>
    <row r="32" spans="1:9" x14ac:dyDescent="0.25">
      <c r="A32" s="9" t="s">
        <v>162</v>
      </c>
      <c r="B32" s="9" t="s">
        <v>163</v>
      </c>
      <c r="C32" t="str">
        <f>_xll.BDP(A32, "PX_LAST")</f>
        <v>#N/A N/A</v>
      </c>
      <c r="G32" t="s">
        <v>164</v>
      </c>
      <c r="H32" t="s">
        <v>165</v>
      </c>
      <c r="I32" t="str">
        <f>_xll.BDP(G32, "PX_LAST")</f>
        <v>#N/A N/A</v>
      </c>
    </row>
    <row r="33" spans="1:9" x14ac:dyDescent="0.25">
      <c r="A33" s="9" t="s">
        <v>166</v>
      </c>
      <c r="B33" s="9" t="s">
        <v>167</v>
      </c>
      <c r="C33" t="str">
        <f>_xll.BDP(A33, "PX_LAST")</f>
        <v>#N/A N/A</v>
      </c>
      <c r="G33" t="s">
        <v>168</v>
      </c>
      <c r="H33" t="s">
        <v>169</v>
      </c>
      <c r="I33" t="str">
        <f>_xll.BDP(G33, "PX_LAST")</f>
        <v>#N/A N/A</v>
      </c>
    </row>
    <row r="34" spans="1:9" x14ac:dyDescent="0.25">
      <c r="A34" s="9" t="s">
        <v>170</v>
      </c>
      <c r="B34" s="9" t="s">
        <v>171</v>
      </c>
      <c r="C34" t="str">
        <f>_xll.BDP(A34, "PX_LAST")</f>
        <v>#N/A N/A</v>
      </c>
      <c r="G34" t="s">
        <v>172</v>
      </c>
      <c r="H34" t="s">
        <v>173</v>
      </c>
      <c r="I34" t="str">
        <f>_xll.BDP(G34, "PX_LAST")</f>
        <v>#N/A N/A</v>
      </c>
    </row>
    <row r="35" spans="1:9" x14ac:dyDescent="0.25">
      <c r="A35" s="9" t="s">
        <v>174</v>
      </c>
      <c r="B35" s="9" t="s">
        <v>175</v>
      </c>
      <c r="C35" t="str">
        <f>_xll.BDP(A35, "PX_LAST")</f>
        <v>#N/A N/A</v>
      </c>
      <c r="G35" t="s">
        <v>176</v>
      </c>
      <c r="H35" t="s">
        <v>177</v>
      </c>
      <c r="I35" t="str">
        <f>_xll.BDP(G35, "PX_LAST")</f>
        <v>#N/A N/A</v>
      </c>
    </row>
    <row r="36" spans="1:9" x14ac:dyDescent="0.25">
      <c r="A36" s="10" t="s">
        <v>178</v>
      </c>
      <c r="B36" s="10" t="s">
        <v>179</v>
      </c>
      <c r="C36" t="str">
        <f>_xll.BDP(A36, "PX_LAST")</f>
        <v>#N/A N/A</v>
      </c>
      <c r="G36" t="s">
        <v>180</v>
      </c>
      <c r="H36" t="s">
        <v>181</v>
      </c>
      <c r="I36" t="str">
        <f>_xll.BDP(G36, "PX_LAST")</f>
        <v>#N/A N/A</v>
      </c>
    </row>
    <row r="37" spans="1:9" x14ac:dyDescent="0.25">
      <c r="A37" s="10" t="s">
        <v>182</v>
      </c>
      <c r="B37" s="10" t="s">
        <v>183</v>
      </c>
      <c r="C37" t="str">
        <f>_xll.BDP(A37, "PX_LAST")</f>
        <v>#N/A N/A</v>
      </c>
      <c r="G37" t="s">
        <v>184</v>
      </c>
      <c r="H37" t="s">
        <v>185</v>
      </c>
      <c r="I37" t="str">
        <f>_xll.BDP(G37, "PX_LAST")</f>
        <v>#N/A N/A</v>
      </c>
    </row>
    <row r="38" spans="1:9" x14ac:dyDescent="0.25">
      <c r="A38" s="10" t="s">
        <v>186</v>
      </c>
      <c r="B38" s="10" t="s">
        <v>187</v>
      </c>
      <c r="C38" t="str">
        <f>_xll.BDP(A38, "PX_LAST")</f>
        <v>#N/A N/A</v>
      </c>
      <c r="G38" t="s">
        <v>188</v>
      </c>
      <c r="H38" t="s">
        <v>189</v>
      </c>
      <c r="I38" t="str">
        <f>_xll.BDP(G38, "PX_LAST")</f>
        <v>#N/A N/A</v>
      </c>
    </row>
    <row r="39" spans="1:9" x14ac:dyDescent="0.25">
      <c r="A39" s="10" t="s">
        <v>190</v>
      </c>
      <c r="B39" s="10" t="s">
        <v>191</v>
      </c>
      <c r="C39" t="str">
        <f>_xll.BDP(A39, "PX_LAST")</f>
        <v>#N/A N/A</v>
      </c>
      <c r="G39" t="s">
        <v>192</v>
      </c>
      <c r="H39" t="s">
        <v>193</v>
      </c>
      <c r="I39" t="str">
        <f>_xll.BDP(G39, "PX_LAST")</f>
        <v>#N/A N/A</v>
      </c>
    </row>
    <row r="40" spans="1:9" x14ac:dyDescent="0.25">
      <c r="A40" s="10" t="s">
        <v>194</v>
      </c>
      <c r="B40" s="10" t="s">
        <v>195</v>
      </c>
      <c r="C40" t="str">
        <f>_xll.BDP(A40, "PX_LAST")</f>
        <v>#N/A N/A</v>
      </c>
      <c r="G40" t="s">
        <v>196</v>
      </c>
      <c r="H40" t="s">
        <v>197</v>
      </c>
      <c r="I40" t="str">
        <f>_xll.BDP(G40, "PX_LAST")</f>
        <v>#N/A N/A</v>
      </c>
    </row>
    <row r="41" spans="1:9" x14ac:dyDescent="0.25">
      <c r="A41" s="9" t="s">
        <v>198</v>
      </c>
      <c r="B41" s="9" t="s">
        <v>199</v>
      </c>
      <c r="C41" t="str">
        <f>_xll.BDP(A41, "PX_LAST")</f>
        <v>#N/A N/A</v>
      </c>
      <c r="G41" t="s">
        <v>200</v>
      </c>
      <c r="H41" t="s">
        <v>201</v>
      </c>
      <c r="I41" t="str">
        <f>_xll.BDP(G41, "PX_LAST")</f>
        <v>#N/A N/A</v>
      </c>
    </row>
    <row r="42" spans="1:9" x14ac:dyDescent="0.25">
      <c r="A42" s="9" t="s">
        <v>202</v>
      </c>
      <c r="B42" s="9" t="s">
        <v>203</v>
      </c>
      <c r="C42" t="str">
        <f>_xll.BDP(A42, "PX_LAST")</f>
        <v>#N/A N/A</v>
      </c>
      <c r="G42" t="s">
        <v>204</v>
      </c>
      <c r="H42" t="s">
        <v>201</v>
      </c>
      <c r="I42" t="str">
        <f>_xll.BDP(G42, "PX_LAST")</f>
        <v>#N/A N/A</v>
      </c>
    </row>
    <row r="43" spans="1:9" x14ac:dyDescent="0.25">
      <c r="A43" s="9" t="s">
        <v>205</v>
      </c>
      <c r="B43" s="9" t="s">
        <v>206</v>
      </c>
      <c r="C43" t="str">
        <f>_xll.BDP(A43, "PX_LAST")</f>
        <v>#N/A N/A</v>
      </c>
      <c r="G43" t="s">
        <v>207</v>
      </c>
      <c r="H43" t="s">
        <v>201</v>
      </c>
      <c r="I43" t="str">
        <f>_xll.BDP(G43, "PX_LAST")</f>
        <v>#N/A N/A</v>
      </c>
    </row>
    <row r="44" spans="1:9" x14ac:dyDescent="0.25">
      <c r="A44" s="9" t="s">
        <v>208</v>
      </c>
      <c r="B44" s="9" t="s">
        <v>209</v>
      </c>
      <c r="C44" t="str">
        <f>_xll.BDP(A44, "PX_LAST")</f>
        <v>#N/A N/A</v>
      </c>
      <c r="G44" t="s">
        <v>210</v>
      </c>
      <c r="H44" t="s">
        <v>201</v>
      </c>
      <c r="I44" t="str">
        <f>_xll.BDP(G44, "PX_LAST")</f>
        <v>#N/A N/A</v>
      </c>
    </row>
    <row r="45" spans="1:9" x14ac:dyDescent="0.25">
      <c r="A45" s="9" t="s">
        <v>211</v>
      </c>
      <c r="B45" s="9" t="s">
        <v>212</v>
      </c>
      <c r="C45" t="str">
        <f>_xll.BDP(A45, "PX_LAST")</f>
        <v>#N/A N/A</v>
      </c>
      <c r="G45" t="s">
        <v>213</v>
      </c>
      <c r="H45" t="s">
        <v>201</v>
      </c>
      <c r="I45" t="str">
        <f>_xll.BDP(G45, "PX_LAST")</f>
        <v>#N/A N/A</v>
      </c>
    </row>
    <row r="46" spans="1:9" x14ac:dyDescent="0.25">
      <c r="A46" s="9" t="s">
        <v>214</v>
      </c>
      <c r="B46" s="9" t="s">
        <v>215</v>
      </c>
      <c r="C46" t="str">
        <f>_xll.BDP(A46, "PX_LAST")</f>
        <v>#N/A N/A</v>
      </c>
      <c r="G46" t="s">
        <v>216</v>
      </c>
      <c r="H46" t="s">
        <v>201</v>
      </c>
      <c r="I46" t="str">
        <f>_xll.BDP(G46, "PX_LAST")</f>
        <v>#N/A N/A</v>
      </c>
    </row>
    <row r="47" spans="1:9" x14ac:dyDescent="0.25">
      <c r="A47" s="9" t="s">
        <v>217</v>
      </c>
      <c r="B47" s="9" t="s">
        <v>218</v>
      </c>
      <c r="C47" t="str">
        <f>_xll.BDP(A47, "PX_LAST")</f>
        <v>#N/A N/A</v>
      </c>
      <c r="G47" t="s">
        <v>219</v>
      </c>
      <c r="H47" t="s">
        <v>220</v>
      </c>
      <c r="I47" t="str">
        <f>_xll.BDP(G47, "PX_LAST")</f>
        <v>#N/A N/A</v>
      </c>
    </row>
    <row r="48" spans="1:9" x14ac:dyDescent="0.25">
      <c r="A48" s="9" t="s">
        <v>221</v>
      </c>
      <c r="B48" s="9" t="s">
        <v>222</v>
      </c>
      <c r="C48" t="str">
        <f>_xll.BDP(A48, "PX_LAST")</f>
        <v>#N/A N/A</v>
      </c>
      <c r="G48" t="s">
        <v>223</v>
      </c>
      <c r="H48" t="s">
        <v>220</v>
      </c>
      <c r="I48" t="str">
        <f>_xll.BDP(G48, "PX_LAST")</f>
        <v>#N/A N/A</v>
      </c>
    </row>
    <row r="49" spans="1:9" x14ac:dyDescent="0.25">
      <c r="A49" s="9" t="s">
        <v>224</v>
      </c>
      <c r="B49" s="9" t="s">
        <v>225</v>
      </c>
      <c r="C49" t="str">
        <f>_xll.BDP(A49, "PX_LAST")</f>
        <v>#N/A N/A</v>
      </c>
      <c r="G49" t="s">
        <v>226</v>
      </c>
      <c r="H49" t="s">
        <v>220</v>
      </c>
      <c r="I49" t="str">
        <f>_xll.BDP(G49, "PX_LAST")</f>
        <v>#N/A N/A</v>
      </c>
    </row>
    <row r="50" spans="1:9" x14ac:dyDescent="0.25">
      <c r="A50" s="9" t="s">
        <v>227</v>
      </c>
      <c r="B50" s="9" t="s">
        <v>228</v>
      </c>
      <c r="C50" t="str">
        <f>_xll.BDP(A50, "PX_LAST")</f>
        <v>#N/A N/A</v>
      </c>
      <c r="G50" t="s">
        <v>229</v>
      </c>
      <c r="H50" t="s">
        <v>220</v>
      </c>
      <c r="I50" t="str">
        <f>_xll.BDP(G50, "PX_LAST")</f>
        <v>#N/A N/A</v>
      </c>
    </row>
    <row r="51" spans="1:9" x14ac:dyDescent="0.25">
      <c r="A51" s="9" t="s">
        <v>230</v>
      </c>
      <c r="B51" s="9" t="s">
        <v>231</v>
      </c>
      <c r="C51" t="str">
        <f>_xll.BDP(A51, "PX_LAST")</f>
        <v>#N/A N/A</v>
      </c>
      <c r="G51" t="s">
        <v>232</v>
      </c>
      <c r="H51" t="s">
        <v>233</v>
      </c>
      <c r="I51" t="str">
        <f>_xll.BDP(G51, "PX_LAST")</f>
        <v>#N/A N/A</v>
      </c>
    </row>
    <row r="52" spans="1:9" x14ac:dyDescent="0.25">
      <c r="A52" s="9" t="s">
        <v>234</v>
      </c>
      <c r="B52" s="9" t="s">
        <v>235</v>
      </c>
      <c r="C52" t="str">
        <f>_xll.BDP(A52, "PX_LAST")</f>
        <v>#N/A N/A</v>
      </c>
      <c r="G52" t="s">
        <v>236</v>
      </c>
      <c r="H52" t="s">
        <v>220</v>
      </c>
      <c r="I52" t="str">
        <f>_xll.BDP(G52, "PX_LAST")</f>
        <v>#N/A N/A</v>
      </c>
    </row>
    <row r="53" spans="1:9" x14ac:dyDescent="0.25">
      <c r="A53" s="9" t="s">
        <v>237</v>
      </c>
      <c r="B53" s="9" t="s">
        <v>238</v>
      </c>
      <c r="C53" t="str">
        <f>_xll.BDP(A53, "PX_LAST")</f>
        <v>#N/A N/A</v>
      </c>
      <c r="G53" t="s">
        <v>239</v>
      </c>
      <c r="H53" t="s">
        <v>240</v>
      </c>
      <c r="I53" t="str">
        <f>_xll.BDP(G53, "PX_LAST")</f>
        <v>#N/A N/A</v>
      </c>
    </row>
    <row r="54" spans="1:9" x14ac:dyDescent="0.25">
      <c r="A54" s="9" t="s">
        <v>241</v>
      </c>
      <c r="B54" s="9" t="s">
        <v>242</v>
      </c>
      <c r="C54" t="str">
        <f>_xll.BDP(A54, "PX_LAST")</f>
        <v>#N/A N/A</v>
      </c>
      <c r="G54" t="s">
        <v>243</v>
      </c>
      <c r="H54" t="s">
        <v>233</v>
      </c>
      <c r="I54" t="str">
        <f>_xll.BDP(G54, "PX_LAST")</f>
        <v>#N/A N/A</v>
      </c>
    </row>
    <row r="55" spans="1:9" x14ac:dyDescent="0.25">
      <c r="A55" s="9" t="s">
        <v>244</v>
      </c>
      <c r="B55" s="9" t="s">
        <v>245</v>
      </c>
      <c r="C55" t="str">
        <f>_xll.BDP(A55, "PX_LAST")</f>
        <v>#N/A N/A</v>
      </c>
      <c r="G55" t="s">
        <v>246</v>
      </c>
      <c r="H55" t="s">
        <v>247</v>
      </c>
      <c r="I55" t="str">
        <f>_xll.BDP(G55, "PX_LAST")</f>
        <v>#N/A N/A</v>
      </c>
    </row>
    <row r="56" spans="1:9" x14ac:dyDescent="0.25">
      <c r="A56" s="9" t="s">
        <v>248</v>
      </c>
      <c r="B56" s="9" t="s">
        <v>249</v>
      </c>
      <c r="C56" t="str">
        <f>_xll.BDP(A56, "PX_LAST")</f>
        <v>#N/A N/A</v>
      </c>
      <c r="G56" t="s">
        <v>250</v>
      </c>
      <c r="H56" t="s">
        <v>251</v>
      </c>
      <c r="I56" t="str">
        <f>_xll.BDP(G56, "PX_LAST")</f>
        <v>#N/A N/A</v>
      </c>
    </row>
    <row r="57" spans="1:9" x14ac:dyDescent="0.25">
      <c r="A57" s="9" t="s">
        <v>252</v>
      </c>
      <c r="B57" s="9" t="s">
        <v>253</v>
      </c>
      <c r="C57" t="str">
        <f>_xll.BDP(A57, "PX_LAST")</f>
        <v>#N/A N/A</v>
      </c>
      <c r="G57" t="s">
        <v>254</v>
      </c>
      <c r="H57" t="s">
        <v>255</v>
      </c>
      <c r="I57" t="str">
        <f>_xll.BDP(G57, "PX_LAST")</f>
        <v>#N/A N/A</v>
      </c>
    </row>
    <row r="58" spans="1:9" x14ac:dyDescent="0.25">
      <c r="A58" s="9" t="s">
        <v>256</v>
      </c>
      <c r="B58" s="9" t="s">
        <v>257</v>
      </c>
      <c r="C58" t="str">
        <f>_xll.BDP(A58, "PX_LAST")</f>
        <v>#N/A N/A</v>
      </c>
      <c r="G58" t="s">
        <v>258</v>
      </c>
      <c r="H58" t="s">
        <v>259</v>
      </c>
      <c r="I58" t="str">
        <f>_xll.BDP(G58, "PX_LAST")</f>
        <v>#N/A N/A</v>
      </c>
    </row>
    <row r="59" spans="1:9" x14ac:dyDescent="0.25">
      <c r="A59" s="9" t="s">
        <v>260</v>
      </c>
      <c r="B59" s="9" t="s">
        <v>261</v>
      </c>
      <c r="C59" t="str">
        <f>_xll.BDP(A59, "PX_LAST")</f>
        <v>#N/A N/A</v>
      </c>
      <c r="G59" t="s">
        <v>262</v>
      </c>
      <c r="H59" t="s">
        <v>263</v>
      </c>
      <c r="I59" t="str">
        <f>_xll.BDP(G59, "PX_LAST")</f>
        <v>#N/A N/A</v>
      </c>
    </row>
    <row r="60" spans="1:9" x14ac:dyDescent="0.25">
      <c r="A60" s="9" t="s">
        <v>264</v>
      </c>
      <c r="B60" s="9" t="s">
        <v>265</v>
      </c>
      <c r="C60" t="str">
        <f>_xll.BDP(A60, "PX_LAST")</f>
        <v>#N/A N/A</v>
      </c>
      <c r="G60" t="s">
        <v>266</v>
      </c>
      <c r="H60" t="s">
        <v>201</v>
      </c>
      <c r="I60" t="str">
        <f>_xll.BDP(G60, "PX_LAST")</f>
        <v>#N/A N/A</v>
      </c>
    </row>
    <row r="61" spans="1:9" x14ac:dyDescent="0.25">
      <c r="A61" s="9" t="s">
        <v>267</v>
      </c>
      <c r="B61" s="9" t="s">
        <v>268</v>
      </c>
      <c r="C61" t="str">
        <f>_xll.BDP(A61, "PX_LAST")</f>
        <v>#N/A N/A</v>
      </c>
      <c r="G61" t="s">
        <v>269</v>
      </c>
      <c r="H61" t="s">
        <v>201</v>
      </c>
      <c r="I61" t="str">
        <f>_xll.BDP(G61, "PX_LAST")</f>
        <v>#N/A N/A</v>
      </c>
    </row>
    <row r="62" spans="1:9" x14ac:dyDescent="0.25">
      <c r="A62" s="9" t="s">
        <v>270</v>
      </c>
      <c r="B62" s="9" t="s">
        <v>271</v>
      </c>
      <c r="C62" t="str">
        <f>_xll.BDP(A62, "PX_LAST")</f>
        <v>#N/A N/A</v>
      </c>
      <c r="G62" t="s">
        <v>272</v>
      </c>
      <c r="H62" t="s">
        <v>201</v>
      </c>
      <c r="I62" t="str">
        <f>_xll.BDP(G62, "PX_LAST")</f>
        <v>#N/A N/A</v>
      </c>
    </row>
    <row r="63" spans="1:9" x14ac:dyDescent="0.25">
      <c r="A63" s="9" t="s">
        <v>273</v>
      </c>
      <c r="B63" s="9" t="s">
        <v>274</v>
      </c>
      <c r="C63" t="str">
        <f>_xll.BDP(A63, "PX_LAST")</f>
        <v>#N/A N/A</v>
      </c>
      <c r="G63" t="s">
        <v>275</v>
      </c>
      <c r="H63" t="s">
        <v>201</v>
      </c>
      <c r="I63" t="str">
        <f>_xll.BDP(G63, "PX_LAST")</f>
        <v>#N/A N/A</v>
      </c>
    </row>
    <row r="64" spans="1:9" x14ac:dyDescent="0.25">
      <c r="A64" s="9" t="s">
        <v>276</v>
      </c>
      <c r="B64" s="9" t="s">
        <v>277</v>
      </c>
      <c r="C64" t="str">
        <f>_xll.BDP(A64, "PX_LAST")</f>
        <v>#N/A N/A</v>
      </c>
      <c r="G64" t="s">
        <v>278</v>
      </c>
      <c r="H64" t="s">
        <v>201</v>
      </c>
      <c r="I64" t="str">
        <f>_xll.BDP(G64, "PX_LAST")</f>
        <v>#N/A N/A</v>
      </c>
    </row>
    <row r="65" spans="1:9" x14ac:dyDescent="0.25">
      <c r="A65" s="9" t="s">
        <v>279</v>
      </c>
      <c r="B65" s="9" t="s">
        <v>280</v>
      </c>
      <c r="C65" t="str">
        <f>_xll.BDP(A65, "PX_LAST")</f>
        <v>#N/A N/A</v>
      </c>
      <c r="G65" t="s">
        <v>281</v>
      </c>
      <c r="H65" t="s">
        <v>220</v>
      </c>
      <c r="I65" t="str">
        <f>_xll.BDP(G65, "PX_LAST")</f>
        <v>#N/A N/A</v>
      </c>
    </row>
    <row r="66" spans="1:9" x14ac:dyDescent="0.25">
      <c r="A66" s="9" t="s">
        <v>282</v>
      </c>
      <c r="B66" s="9" t="s">
        <v>283</v>
      </c>
      <c r="C66" t="str">
        <f>_xll.BDP(A66, "PX_LAST")</f>
        <v>#N/A N/A</v>
      </c>
      <c r="G66" t="s">
        <v>284</v>
      </c>
      <c r="H66" t="s">
        <v>285</v>
      </c>
      <c r="I66" t="str">
        <f>_xll.BDP(G66, "PX_LAST")</f>
        <v>#N/A N/A</v>
      </c>
    </row>
    <row r="67" spans="1:9" x14ac:dyDescent="0.25">
      <c r="A67" s="9" t="s">
        <v>286</v>
      </c>
      <c r="B67" s="9" t="s">
        <v>287</v>
      </c>
      <c r="C67" t="str">
        <f>_xll.BDP(A67, "PX_LAST")</f>
        <v>#N/A N/A</v>
      </c>
      <c r="G67" t="s">
        <v>288</v>
      </c>
      <c r="H67" t="s">
        <v>289</v>
      </c>
      <c r="I67" t="str">
        <f>_xll.BDP(G67, "PX_LAST")</f>
        <v>#N/A N/A</v>
      </c>
    </row>
    <row r="68" spans="1:9" x14ac:dyDescent="0.25">
      <c r="A68" s="9" t="s">
        <v>290</v>
      </c>
      <c r="B68" s="9" t="s">
        <v>291</v>
      </c>
      <c r="C68" t="str">
        <f>_xll.BDP(A68, "PX_LAST")</f>
        <v>#N/A N/A</v>
      </c>
      <c r="G68" t="s">
        <v>292</v>
      </c>
      <c r="H68" t="s">
        <v>293</v>
      </c>
      <c r="I68" t="str">
        <f>_xll.BDP(G68, "PX_LAST")</f>
        <v>#N/A N/A</v>
      </c>
    </row>
    <row r="69" spans="1:9" x14ac:dyDescent="0.25">
      <c r="A69" s="9" t="s">
        <v>294</v>
      </c>
      <c r="B69" s="9" t="s">
        <v>295</v>
      </c>
      <c r="C69" t="str">
        <f>_xll.BDP(A69, "PX_LAST")</f>
        <v>#N/A N/A</v>
      </c>
      <c r="G69" t="s">
        <v>296</v>
      </c>
      <c r="H69" t="s">
        <v>297</v>
      </c>
      <c r="I69" t="str">
        <f>_xll.BDP(G69, "PX_LAST")</f>
        <v>#N/A N/A</v>
      </c>
    </row>
    <row r="70" spans="1:9" x14ac:dyDescent="0.25">
      <c r="A70" s="9" t="s">
        <v>298</v>
      </c>
      <c r="B70" s="9" t="s">
        <v>299</v>
      </c>
      <c r="C70" t="str">
        <f>_xll.BDP(A70, "PX_LAST")</f>
        <v>#N/A N/A</v>
      </c>
      <c r="G70" t="s">
        <v>300</v>
      </c>
      <c r="H70" t="s">
        <v>301</v>
      </c>
      <c r="I70" t="str">
        <f>_xll.BDP(G70, "PX_LAST")</f>
        <v>#N/A N/A</v>
      </c>
    </row>
    <row r="71" spans="1:9" x14ac:dyDescent="0.25">
      <c r="A71" s="9" t="s">
        <v>302</v>
      </c>
      <c r="B71" s="9" t="s">
        <v>303</v>
      </c>
      <c r="C71" t="str">
        <f>_xll.BDP(A71, "PX_LAST")</f>
        <v>#N/A N/A</v>
      </c>
      <c r="G71" t="s">
        <v>304</v>
      </c>
      <c r="H71" t="s">
        <v>305</v>
      </c>
      <c r="I71" t="str">
        <f>_xll.BDP(G71, "PX_LAST")</f>
        <v>#N/A N/A</v>
      </c>
    </row>
    <row r="72" spans="1:9" x14ac:dyDescent="0.25">
      <c r="A72" s="9" t="s">
        <v>306</v>
      </c>
      <c r="B72" s="9" t="s">
        <v>307</v>
      </c>
      <c r="C72" t="str">
        <f>_xll.BDP(A72, "PX_LAST")</f>
        <v>#N/A N/A</v>
      </c>
      <c r="G72" t="s">
        <v>308</v>
      </c>
      <c r="H72" t="s">
        <v>309</v>
      </c>
      <c r="I72" t="str">
        <f>_xll.BDP(G72, "PX_LAST")</f>
        <v>#N/A N/A</v>
      </c>
    </row>
    <row r="73" spans="1:9" x14ac:dyDescent="0.25">
      <c r="A73" s="11" t="s">
        <v>12</v>
      </c>
      <c r="B73" s="11" t="s">
        <v>310</v>
      </c>
      <c r="C73">
        <f>_xll.BDP(A73, "PX_LAST")</f>
        <v>1.9449000000000001</v>
      </c>
      <c r="G73" t="s">
        <v>311</v>
      </c>
      <c r="H73" t="s">
        <v>312</v>
      </c>
      <c r="I73" t="str">
        <f>_xll.BDP(G73, "PX_LAST")</f>
        <v>#N/A N/A</v>
      </c>
    </row>
    <row r="74" spans="1:9" x14ac:dyDescent="0.25">
      <c r="A74" s="11" t="s">
        <v>15</v>
      </c>
      <c r="B74" s="11" t="s">
        <v>313</v>
      </c>
      <c r="C74">
        <f>_xll.BDP(A74, "PX_LAST")</f>
        <v>2.2675000000000001</v>
      </c>
      <c r="G74" t="s">
        <v>314</v>
      </c>
      <c r="H74" t="s">
        <v>315</v>
      </c>
      <c r="I74" t="str">
        <f>_xll.BDP(G74, "PX_LAST")</f>
        <v>#N/A N/A</v>
      </c>
    </row>
    <row r="75" spans="1:9" x14ac:dyDescent="0.25">
      <c r="A75" s="11" t="s">
        <v>18</v>
      </c>
      <c r="B75" s="11" t="s">
        <v>316</v>
      </c>
      <c r="C75">
        <f>_xll.BDP(A75, "PX_LAST")</f>
        <v>2.3567</v>
      </c>
      <c r="G75" t="s">
        <v>317</v>
      </c>
      <c r="H75" t="s">
        <v>318</v>
      </c>
      <c r="I75" t="str">
        <f>_xll.BDP(G75, "PX_LAST")</f>
        <v>#N/A N/A</v>
      </c>
    </row>
    <row r="76" spans="1:9" x14ac:dyDescent="0.25">
      <c r="A76" s="11" t="s">
        <v>21</v>
      </c>
      <c r="B76" s="11" t="s">
        <v>319</v>
      </c>
      <c r="C76">
        <f>_xll.BDP(A76, "PX_LAST")</f>
        <v>2.3889999999999998</v>
      </c>
      <c r="G76" t="s">
        <v>320</v>
      </c>
      <c r="H76" t="s">
        <v>321</v>
      </c>
      <c r="I76" t="str">
        <f>_xll.BDP(G76, "PX_LAST")</f>
        <v>#N/A N/A</v>
      </c>
    </row>
    <row r="77" spans="1:9" x14ac:dyDescent="0.25">
      <c r="A77" s="11" t="s">
        <v>24</v>
      </c>
      <c r="B77" s="11" t="s">
        <v>322</v>
      </c>
      <c r="C77">
        <f>_xll.BDP(A77, "PX_LAST")</f>
        <v>2.4020000000000001</v>
      </c>
      <c r="G77" t="s">
        <v>323</v>
      </c>
      <c r="H77" t="s">
        <v>324</v>
      </c>
      <c r="I77" t="str">
        <f>_xll.BDP(G77, "PX_LAST")</f>
        <v>#N/A N/A</v>
      </c>
    </row>
    <row r="78" spans="1:9" x14ac:dyDescent="0.25">
      <c r="A78" s="11" t="s">
        <v>27</v>
      </c>
      <c r="B78" s="11" t="s">
        <v>325</v>
      </c>
      <c r="C78">
        <f>_xll.BDP(A78, "PX_LAST")</f>
        <v>2.403</v>
      </c>
      <c r="G78" t="s">
        <v>326</v>
      </c>
      <c r="H78" t="s">
        <v>327</v>
      </c>
      <c r="I78" t="str">
        <f>_xll.BDP(G78, "PX_LAST")</f>
        <v>#N/A N/A</v>
      </c>
    </row>
    <row r="79" spans="1:9" x14ac:dyDescent="0.25">
      <c r="A79" s="11" t="s">
        <v>30</v>
      </c>
      <c r="B79" s="11" t="s">
        <v>328</v>
      </c>
      <c r="C79">
        <f>_xll.BDP(A79, "PX_LAST")</f>
        <v>2.3978999999999999</v>
      </c>
      <c r="G79" t="s">
        <v>329</v>
      </c>
      <c r="H79" t="s">
        <v>330</v>
      </c>
      <c r="I79" t="str">
        <f>_xll.BDP(G79, "PX_LAST")</f>
        <v>#N/A N/A</v>
      </c>
    </row>
    <row r="80" spans="1:9" x14ac:dyDescent="0.25">
      <c r="A80" s="11" t="s">
        <v>35</v>
      </c>
      <c r="B80" s="11" t="s">
        <v>331</v>
      </c>
      <c r="C80">
        <f>_xll.BDP(A80, "PX_LAST")</f>
        <v>2.3925000000000001</v>
      </c>
    </row>
    <row r="81" spans="1:3" x14ac:dyDescent="0.25">
      <c r="A81" s="11" t="s">
        <v>39</v>
      </c>
      <c r="B81" s="11" t="s">
        <v>332</v>
      </c>
      <c r="C81">
        <f>_xll.BDP(A81, "PX_LAST")</f>
        <v>2.3898000000000001</v>
      </c>
    </row>
    <row r="82" spans="1:3" x14ac:dyDescent="0.25">
      <c r="A82" s="11" t="s">
        <v>42</v>
      </c>
      <c r="B82" s="11" t="s">
        <v>333</v>
      </c>
      <c r="C82">
        <f>_xll.BDP(A82, "PX_LAST")</f>
        <v>2.3925000000000001</v>
      </c>
    </row>
    <row r="83" spans="1:3" x14ac:dyDescent="0.25">
      <c r="A83" s="11" t="s">
        <v>334</v>
      </c>
      <c r="B83" s="11" t="s">
        <v>335</v>
      </c>
      <c r="C83">
        <f>_xll.BDP(A83, "PX_LAST")</f>
        <v>2.3938000000000001</v>
      </c>
    </row>
    <row r="84" spans="1:3" x14ac:dyDescent="0.25">
      <c r="A84" s="11" t="s">
        <v>45</v>
      </c>
      <c r="B84" s="11" t="s">
        <v>336</v>
      </c>
      <c r="C84">
        <f>_xll.BDP(A84, "PX_LAST")</f>
        <v>2.3849999999999998</v>
      </c>
    </row>
    <row r="85" spans="1:3" x14ac:dyDescent="0.25">
      <c r="A85" s="11" t="s">
        <v>48</v>
      </c>
      <c r="B85" s="11" t="s">
        <v>337</v>
      </c>
      <c r="C85">
        <f>_xll.BDP(A85, "PX_LAST")</f>
        <v>2.3620000000000001</v>
      </c>
    </row>
    <row r="86" spans="1:3" x14ac:dyDescent="0.25">
      <c r="A86" s="11" t="s">
        <v>50</v>
      </c>
      <c r="B86" s="11" t="s">
        <v>338</v>
      </c>
      <c r="C86">
        <f>_xll.BDP(A86, "PX_LAST")</f>
        <v>2.3330000000000002</v>
      </c>
    </row>
    <row r="87" spans="1:3" x14ac:dyDescent="0.25">
      <c r="A87" s="11" t="s">
        <v>51</v>
      </c>
      <c r="B87" s="11" t="s">
        <v>339</v>
      </c>
      <c r="C87">
        <f>_xll.BDP(A87, "PX_LAST")</f>
        <v>2.3340000000000001</v>
      </c>
    </row>
    <row r="88" spans="1:3" x14ac:dyDescent="0.25">
      <c r="A88" s="8" t="s">
        <v>340</v>
      </c>
      <c r="B88" s="8" t="s">
        <v>341</v>
      </c>
      <c r="C88" t="str">
        <f>_xll.BDP(A88, "PX_LAST")</f>
        <v>#N/A N/A</v>
      </c>
    </row>
    <row r="89" spans="1:3" x14ac:dyDescent="0.25">
      <c r="A89" s="8" t="s">
        <v>342</v>
      </c>
      <c r="B89" s="8" t="s">
        <v>343</v>
      </c>
      <c r="C89" t="str">
        <f>_xll.BDP(A89, "PX_LAST")</f>
        <v>#N/A N/A</v>
      </c>
    </row>
    <row r="90" spans="1:3" x14ac:dyDescent="0.25">
      <c r="A90" s="8" t="s">
        <v>344</v>
      </c>
      <c r="B90" s="8" t="s">
        <v>345</v>
      </c>
      <c r="C90" t="str">
        <f>_xll.BDP(A90, "PX_LAST")</f>
        <v>#N/A N/A</v>
      </c>
    </row>
    <row r="91" spans="1:3" x14ac:dyDescent="0.25">
      <c r="A91" s="8" t="s">
        <v>346</v>
      </c>
      <c r="B91" s="8" t="s">
        <v>347</v>
      </c>
      <c r="C91" t="str">
        <f>_xll.BDP(A91, "PX_LAST")</f>
        <v>#N/A N/A</v>
      </c>
    </row>
    <row r="92" spans="1:3" x14ac:dyDescent="0.25">
      <c r="A92" s="8" t="s">
        <v>348</v>
      </c>
      <c r="B92" s="8" t="s">
        <v>349</v>
      </c>
      <c r="C92" t="str">
        <f>_xll.BDP(A92, "PX_LAST")</f>
        <v>#N/A N/A</v>
      </c>
    </row>
    <row r="93" spans="1:3" x14ac:dyDescent="0.25">
      <c r="A93" s="8" t="s">
        <v>350</v>
      </c>
      <c r="B93" s="8" t="s">
        <v>351</v>
      </c>
      <c r="C93" t="str">
        <f>_xll.BDP(A93, "PX_LAST")</f>
        <v>#N/A N/A</v>
      </c>
    </row>
    <row r="94" spans="1:3" x14ac:dyDescent="0.25">
      <c r="A94" s="8" t="s">
        <v>352</v>
      </c>
      <c r="B94" s="8" t="s">
        <v>353</v>
      </c>
      <c r="C94" t="str">
        <f>_xll.BDP(A94, "PX_LAST")</f>
        <v>#N/A N/A</v>
      </c>
    </row>
    <row r="95" spans="1:3" x14ac:dyDescent="0.25">
      <c r="A95" s="8" t="s">
        <v>354</v>
      </c>
      <c r="B95" s="8" t="s">
        <v>355</v>
      </c>
      <c r="C95" t="str">
        <f>_xll.BDP(A95, "PX_LAST")</f>
        <v>#N/A N/A</v>
      </c>
    </row>
    <row r="96" spans="1:3" x14ac:dyDescent="0.25">
      <c r="A96" s="8" t="s">
        <v>356</v>
      </c>
      <c r="B96" s="8" t="s">
        <v>357</v>
      </c>
      <c r="C96" t="str">
        <f>_xll.BDP(A96, "PX_LAST")</f>
        <v>#N/A N/A</v>
      </c>
    </row>
    <row r="97" spans="1:3" x14ac:dyDescent="0.25">
      <c r="A97" s="8" t="s">
        <v>358</v>
      </c>
      <c r="B97" s="8" t="s">
        <v>359</v>
      </c>
      <c r="C97" t="str">
        <f>_xll.BDP(A97, "PX_LAST")</f>
        <v>#N/A N/A</v>
      </c>
    </row>
    <row r="98" spans="1:3" x14ac:dyDescent="0.25">
      <c r="A98" s="8" t="s">
        <v>360</v>
      </c>
      <c r="B98" s="8" t="s">
        <v>361</v>
      </c>
      <c r="C98" t="str">
        <f>_xll.BDP(A98, "PX_LAST")</f>
        <v>#N/A N/A</v>
      </c>
    </row>
    <row r="99" spans="1:3" x14ac:dyDescent="0.25">
      <c r="A99" s="8" t="s">
        <v>362</v>
      </c>
      <c r="B99" s="8" t="s">
        <v>363</v>
      </c>
      <c r="C99" t="str">
        <f>_xll.BDP(A99, "PX_LAST")</f>
        <v>#N/A N/A</v>
      </c>
    </row>
    <row r="100" spans="1:3" x14ac:dyDescent="0.25">
      <c r="A100" s="8" t="s">
        <v>364</v>
      </c>
      <c r="B100" s="8" t="s">
        <v>365</v>
      </c>
      <c r="C100" t="str">
        <f>_xll.BDP(A100, "PX_LAST")</f>
        <v>#N/A N/A</v>
      </c>
    </row>
    <row r="101" spans="1:3" x14ac:dyDescent="0.25">
      <c r="A101" s="8" t="s">
        <v>366</v>
      </c>
      <c r="B101" s="8" t="s">
        <v>367</v>
      </c>
      <c r="C101" t="str">
        <f>_xll.BDP(A101, "PX_LAST")</f>
        <v>#N/A N/A</v>
      </c>
    </row>
    <row r="102" spans="1:3" x14ac:dyDescent="0.25">
      <c r="A102" s="8" t="s">
        <v>368</v>
      </c>
      <c r="B102" s="8" t="s">
        <v>369</v>
      </c>
      <c r="C102" t="str">
        <f>_xll.BDP(A102, "PX_LAST")</f>
        <v>#N/A N/A</v>
      </c>
    </row>
    <row r="103" spans="1:3" x14ac:dyDescent="0.25">
      <c r="A103" s="8" t="s">
        <v>370</v>
      </c>
      <c r="B103" s="8" t="s">
        <v>371</v>
      </c>
      <c r="C103" t="str">
        <f>_xll.BDP(A103, "PX_LAST")</f>
        <v>#N/A N/A</v>
      </c>
    </row>
    <row r="104" spans="1:3" x14ac:dyDescent="0.25">
      <c r="A104" s="8" t="s">
        <v>372</v>
      </c>
      <c r="B104" s="8" t="s">
        <v>373</v>
      </c>
      <c r="C104" t="str">
        <f>_xll.BDP(A104, "PX_LAST")</f>
        <v>#N/A N/A</v>
      </c>
    </row>
    <row r="105" spans="1:3" x14ac:dyDescent="0.25">
      <c r="A105" s="8" t="s">
        <v>374</v>
      </c>
      <c r="B105" s="8" t="s">
        <v>375</v>
      </c>
      <c r="C105" t="str">
        <f>_xll.BDP(A105, "PX_LAST")</f>
        <v>#N/A N/A</v>
      </c>
    </row>
    <row r="106" spans="1:3" x14ac:dyDescent="0.25">
      <c r="A106" s="8" t="s">
        <v>376</v>
      </c>
      <c r="B106" s="8" t="s">
        <v>377</v>
      </c>
      <c r="C106" t="str">
        <f>_xll.BDP(A106, "PX_LAST")</f>
        <v>#N/A N/A</v>
      </c>
    </row>
    <row r="107" spans="1:3" x14ac:dyDescent="0.25">
      <c r="A107" s="8" t="s">
        <v>378</v>
      </c>
      <c r="B107" s="8" t="s">
        <v>379</v>
      </c>
      <c r="C107" t="str">
        <f>_xll.BDP(A107, "PX_LAST")</f>
        <v>#N/A N/A</v>
      </c>
    </row>
    <row r="108" spans="1:3" x14ac:dyDescent="0.25">
      <c r="A108" s="8" t="s">
        <v>380</v>
      </c>
      <c r="B108" s="8" t="s">
        <v>381</v>
      </c>
      <c r="C108" t="str">
        <f>_xll.BDP(A108, "PX_LAST")</f>
        <v>#N/A N/A</v>
      </c>
    </row>
    <row r="109" spans="1:3" x14ac:dyDescent="0.25">
      <c r="A109" s="8" t="s">
        <v>382</v>
      </c>
      <c r="B109" s="8" t="s">
        <v>383</v>
      </c>
      <c r="C109" t="str">
        <f>_xll.BDP(A109, "PX_LAST")</f>
        <v>#N/A N/A</v>
      </c>
    </row>
    <row r="110" spans="1:3" x14ac:dyDescent="0.25">
      <c r="A110" s="8" t="s">
        <v>384</v>
      </c>
      <c r="B110" s="8" t="s">
        <v>385</v>
      </c>
      <c r="C110" t="str">
        <f>_xll.BDP(A110, "PX_LAST")</f>
        <v>#N/A N/A</v>
      </c>
    </row>
    <row r="111" spans="1:3" x14ac:dyDescent="0.25">
      <c r="A111" s="8" t="s">
        <v>386</v>
      </c>
      <c r="B111" s="8" t="s">
        <v>387</v>
      </c>
      <c r="C111" t="str">
        <f>_xll.BDP(A111, "PX_LAST")</f>
        <v>#N/A N/A</v>
      </c>
    </row>
    <row r="112" spans="1:3" x14ac:dyDescent="0.25">
      <c r="A112" s="8" t="s">
        <v>388</v>
      </c>
      <c r="B112" s="8" t="s">
        <v>389</v>
      </c>
      <c r="C112" t="str">
        <f>_xll.BDP(A112, "PX_LAST")</f>
        <v>#N/A N/A</v>
      </c>
    </row>
    <row r="113" spans="1:3" x14ac:dyDescent="0.25">
      <c r="A113" s="8" t="s">
        <v>390</v>
      </c>
      <c r="B113" s="8" t="s">
        <v>391</v>
      </c>
      <c r="C113" t="str">
        <f>_xll.BDP(A113, "PX_LAST")</f>
        <v>#N/A N/A</v>
      </c>
    </row>
    <row r="114" spans="1:3" x14ac:dyDescent="0.25">
      <c r="A114" s="8" t="s">
        <v>392</v>
      </c>
      <c r="B114" s="8" t="s">
        <v>393</v>
      </c>
      <c r="C114" t="str">
        <f>_xll.BDP(A114, "PX_LAST")</f>
        <v>#N/A N/A</v>
      </c>
    </row>
    <row r="115" spans="1:3" x14ac:dyDescent="0.25">
      <c r="A115" s="8" t="s">
        <v>394</v>
      </c>
      <c r="B115" s="8" t="s">
        <v>395</v>
      </c>
      <c r="C115" t="str">
        <f>_xll.BDP(A115, "PX_LAST")</f>
        <v>#N/A N/A</v>
      </c>
    </row>
    <row r="116" spans="1:3" x14ac:dyDescent="0.25">
      <c r="A116" s="8" t="s">
        <v>396</v>
      </c>
      <c r="B116" s="8" t="s">
        <v>397</v>
      </c>
      <c r="C116" t="str">
        <f>_xll.BDP(A116, "PX_LAST")</f>
        <v>#N/A N/A</v>
      </c>
    </row>
    <row r="117" spans="1:3" x14ac:dyDescent="0.25">
      <c r="A117" s="8" t="s">
        <v>398</v>
      </c>
      <c r="B117" s="8" t="s">
        <v>399</v>
      </c>
      <c r="C117" t="str">
        <f>_xll.BDP(A117, "PX_LAST")</f>
        <v>#N/A N/A</v>
      </c>
    </row>
    <row r="118" spans="1:3" x14ac:dyDescent="0.25">
      <c r="A118" s="8" t="s">
        <v>400</v>
      </c>
      <c r="B118" s="8" t="s">
        <v>401</v>
      </c>
      <c r="C118" t="str">
        <f>_xll.BDP(A118, "PX_LAST")</f>
        <v>#N/A N/A</v>
      </c>
    </row>
    <row r="119" spans="1:3" x14ac:dyDescent="0.25">
      <c r="A119" s="8" t="s">
        <v>402</v>
      </c>
      <c r="B119" s="8" t="s">
        <v>403</v>
      </c>
      <c r="C119" t="str">
        <f>_xll.BDP(A119, "PX_LAST")</f>
        <v>#N/A N/A</v>
      </c>
    </row>
    <row r="120" spans="1:3" x14ac:dyDescent="0.25">
      <c r="A120" s="8" t="s">
        <v>404</v>
      </c>
      <c r="B120" s="8" t="s">
        <v>405</v>
      </c>
      <c r="C120" t="str">
        <f>_xll.BDP(A120, "PX_LAST")</f>
        <v>#N/A N/A</v>
      </c>
    </row>
    <row r="121" spans="1:3" x14ac:dyDescent="0.25">
      <c r="A121" s="8" t="s">
        <v>406</v>
      </c>
      <c r="B121" s="8" t="s">
        <v>407</v>
      </c>
      <c r="C121" t="str">
        <f>_xll.BDP(A121, "PX_LAST")</f>
        <v>#N/A N/A</v>
      </c>
    </row>
    <row r="122" spans="1:3" x14ac:dyDescent="0.25">
      <c r="A122" s="8" t="s">
        <v>408</v>
      </c>
      <c r="B122" s="8" t="s">
        <v>409</v>
      </c>
      <c r="C122" t="str">
        <f>_xll.BDP(A122, "PX_LAST")</f>
        <v>#N/A N/A</v>
      </c>
    </row>
    <row r="123" spans="1:3" x14ac:dyDescent="0.25">
      <c r="A123" s="8" t="s">
        <v>410</v>
      </c>
      <c r="B123" s="8" t="s">
        <v>411</v>
      </c>
      <c r="C123" t="str">
        <f>_xll.BDP(A123, "PX_LAST")</f>
        <v>#N/A N/A</v>
      </c>
    </row>
    <row r="124" spans="1:3" x14ac:dyDescent="0.25">
      <c r="A124" s="8" t="s">
        <v>412</v>
      </c>
      <c r="B124" s="8" t="s">
        <v>413</v>
      </c>
      <c r="C124" t="str">
        <f>_xll.BDP(A124, "PX_LAST")</f>
        <v>#N/A N/A</v>
      </c>
    </row>
    <row r="125" spans="1:3" x14ac:dyDescent="0.25">
      <c r="A125" s="8" t="s">
        <v>414</v>
      </c>
      <c r="B125" s="8" t="s">
        <v>415</v>
      </c>
      <c r="C125" t="str">
        <f>_xll.BDP(A125, "PX_LAST")</f>
        <v>#N/A N/A</v>
      </c>
    </row>
    <row r="126" spans="1:3" x14ac:dyDescent="0.25">
      <c r="A126" s="8" t="s">
        <v>416</v>
      </c>
      <c r="B126" s="8" t="s">
        <v>417</v>
      </c>
      <c r="C126" t="str">
        <f>_xll.BDP(A126, "PX_LAST")</f>
        <v>#N/A N/A</v>
      </c>
    </row>
    <row r="127" spans="1:3" x14ac:dyDescent="0.25">
      <c r="A127" s="8" t="s">
        <v>418</v>
      </c>
      <c r="B127" s="8" t="s">
        <v>419</v>
      </c>
      <c r="C127" t="str">
        <f>_xll.BDP(A127, "PX_LAST")</f>
        <v>#N/A N/A</v>
      </c>
    </row>
    <row r="128" spans="1:3" x14ac:dyDescent="0.25">
      <c r="A128" s="8" t="s">
        <v>420</v>
      </c>
      <c r="B128" s="8" t="s">
        <v>421</v>
      </c>
      <c r="C128" t="str">
        <f>_xll.BDP(A128, "PX_LAST")</f>
        <v>#N/A N/A</v>
      </c>
    </row>
    <row r="129" spans="1:3" x14ac:dyDescent="0.25">
      <c r="A129" s="8" t="s">
        <v>422</v>
      </c>
      <c r="B129" s="8" t="s">
        <v>423</v>
      </c>
      <c r="C129" t="str">
        <f>_xll.BDP(A129, "PX_LAST")</f>
        <v>#N/A N/A</v>
      </c>
    </row>
    <row r="130" spans="1:3" x14ac:dyDescent="0.25">
      <c r="A130" s="8" t="s">
        <v>424</v>
      </c>
      <c r="B130" s="8" t="s">
        <v>425</v>
      </c>
      <c r="C130" t="str">
        <f>_xll.BDP(A130, "PX_LAST")</f>
        <v>#N/A N/A</v>
      </c>
    </row>
    <row r="131" spans="1:3" x14ac:dyDescent="0.25">
      <c r="A131" s="8" t="s">
        <v>426</v>
      </c>
      <c r="B131" s="8" t="s">
        <v>427</v>
      </c>
      <c r="C131" t="str">
        <f>_xll.BDP(A131, "PX_LAST")</f>
        <v>#N/A N/A</v>
      </c>
    </row>
    <row r="132" spans="1:3" x14ac:dyDescent="0.25">
      <c r="A132" s="8" t="s">
        <v>428</v>
      </c>
      <c r="B132" s="8" t="s">
        <v>429</v>
      </c>
      <c r="C132" t="str">
        <f>_xll.BDP(A132, "PX_LAST")</f>
        <v>#N/A N/A</v>
      </c>
    </row>
    <row r="133" spans="1:3" x14ac:dyDescent="0.25">
      <c r="A133" s="8" t="s">
        <v>430</v>
      </c>
      <c r="B133" s="8" t="s">
        <v>431</v>
      </c>
      <c r="C133" t="str">
        <f>_xll.BDP(A133, "PX_LAST")</f>
        <v>#N/A N/A</v>
      </c>
    </row>
    <row r="134" spans="1:3" x14ac:dyDescent="0.25">
      <c r="A134" s="8" t="s">
        <v>432</v>
      </c>
      <c r="B134" s="8" t="s">
        <v>433</v>
      </c>
      <c r="C134" t="str">
        <f>_xll.BDP(A134, "PX_LAST")</f>
        <v>#N/A N/A</v>
      </c>
    </row>
    <row r="135" spans="1:3" x14ac:dyDescent="0.25">
      <c r="A135" s="8" t="s">
        <v>434</v>
      </c>
      <c r="B135" s="8" t="s">
        <v>435</v>
      </c>
      <c r="C135" t="str">
        <f>_xll.BDP(A135, "PX_LAST")</f>
        <v>#N/A N/A</v>
      </c>
    </row>
    <row r="136" spans="1:3" x14ac:dyDescent="0.25">
      <c r="A136" s="8" t="s">
        <v>436</v>
      </c>
      <c r="B136" s="8" t="s">
        <v>437</v>
      </c>
      <c r="C136" t="str">
        <f>_xll.BDP(A136, "PX_LAST")</f>
        <v>#N/A N/A</v>
      </c>
    </row>
    <row r="137" spans="1:3" x14ac:dyDescent="0.25">
      <c r="A137" s="8" t="s">
        <v>438</v>
      </c>
      <c r="B137" s="8" t="s">
        <v>439</v>
      </c>
      <c r="C137" t="str">
        <f>_xll.BDP(A137, "PX_LAST")</f>
        <v>#N/A N/A</v>
      </c>
    </row>
    <row r="138" spans="1:3" x14ac:dyDescent="0.25">
      <c r="A138" s="8" t="s">
        <v>440</v>
      </c>
      <c r="B138" s="8" t="s">
        <v>441</v>
      </c>
      <c r="C138" t="str">
        <f>_xll.BDP(A138, "PX_LAST")</f>
        <v>#N/A N/A</v>
      </c>
    </row>
    <row r="139" spans="1:3" x14ac:dyDescent="0.25">
      <c r="A139" s="8" t="s">
        <v>442</v>
      </c>
      <c r="B139" s="8" t="s">
        <v>443</v>
      </c>
      <c r="C139" t="str">
        <f>_xll.BDP(A139, "PX_LAST")</f>
        <v>#N/A N/A</v>
      </c>
    </row>
    <row r="140" spans="1:3" x14ac:dyDescent="0.25">
      <c r="A140" s="8" t="s">
        <v>444</v>
      </c>
      <c r="B140" s="8" t="s">
        <v>445</v>
      </c>
      <c r="C140" t="str">
        <f>_xll.BDP(A140, "PX_LAST")</f>
        <v>#N/A N/A</v>
      </c>
    </row>
    <row r="141" spans="1:3" x14ac:dyDescent="0.25">
      <c r="A141" s="8" t="s">
        <v>446</v>
      </c>
      <c r="B141" s="8" t="s">
        <v>447</v>
      </c>
      <c r="C141" t="str">
        <f>_xll.BDP(A141, "PX_LAST")</f>
        <v>#N/A N/A</v>
      </c>
    </row>
    <row r="142" spans="1:3" x14ac:dyDescent="0.25">
      <c r="A142" s="8" t="s">
        <v>448</v>
      </c>
      <c r="B142" s="8" t="s">
        <v>449</v>
      </c>
      <c r="C142" t="str">
        <f>_xll.BDP(A142, "PX_LAST")</f>
        <v>#N/A N/A</v>
      </c>
    </row>
    <row r="143" spans="1:3" x14ac:dyDescent="0.25">
      <c r="A143" s="8" t="s">
        <v>450</v>
      </c>
      <c r="B143" s="8" t="s">
        <v>451</v>
      </c>
      <c r="C143" t="str">
        <f>_xll.BDP(A143, "PX_LAST")</f>
        <v>#N/A N/A</v>
      </c>
    </row>
    <row r="144" spans="1:3" x14ac:dyDescent="0.25">
      <c r="A144" s="8" t="s">
        <v>452</v>
      </c>
      <c r="B144" s="8" t="s">
        <v>453</v>
      </c>
      <c r="C144" t="str">
        <f>_xll.BDP(A144, "PX_LAST")</f>
        <v>#N/A N/A</v>
      </c>
    </row>
    <row r="145" spans="1:3" x14ac:dyDescent="0.25">
      <c r="A145" s="8" t="s">
        <v>454</v>
      </c>
      <c r="B145" s="8" t="s">
        <v>455</v>
      </c>
      <c r="C145" t="str">
        <f>_xll.BDP(A145, "PX_LAST")</f>
        <v>#N/A N/A</v>
      </c>
    </row>
    <row r="146" spans="1:3" x14ac:dyDescent="0.25">
      <c r="A146" s="8" t="s">
        <v>456</v>
      </c>
      <c r="B146" s="8" t="s">
        <v>457</v>
      </c>
      <c r="C146" t="str">
        <f>_xll.BDP(A146, "PX_LAST")</f>
        <v>#N/A N/A</v>
      </c>
    </row>
    <row r="147" spans="1:3" x14ac:dyDescent="0.25">
      <c r="A147" s="8" t="s">
        <v>458</v>
      </c>
      <c r="B147" s="8" t="s">
        <v>459</v>
      </c>
      <c r="C147" t="str">
        <f>_xll.BDP(A147, "PX_LAST")</f>
        <v>#N/A N/A</v>
      </c>
    </row>
    <row r="148" spans="1:3" x14ac:dyDescent="0.25">
      <c r="A148" s="8" t="s">
        <v>460</v>
      </c>
      <c r="B148" s="8" t="s">
        <v>461</v>
      </c>
      <c r="C148" t="str">
        <f>_xll.BDP(A148, "PX_LAST")</f>
        <v>#N/A N/A</v>
      </c>
    </row>
    <row r="149" spans="1:3" x14ac:dyDescent="0.25">
      <c r="A149" s="8" t="s">
        <v>462</v>
      </c>
      <c r="B149" s="8" t="s">
        <v>463</v>
      </c>
      <c r="C149" t="str">
        <f>_xll.BDP(A149, "PX_LAST")</f>
        <v>#N/A N/A</v>
      </c>
    </row>
    <row r="150" spans="1:3" x14ac:dyDescent="0.25">
      <c r="A150" s="8" t="s">
        <v>464</v>
      </c>
      <c r="B150" s="8" t="s">
        <v>465</v>
      </c>
      <c r="C150" t="str">
        <f>_xll.BDP(A150, "PX_LAST")</f>
        <v>#N/A N/A</v>
      </c>
    </row>
    <row r="151" spans="1:3" x14ac:dyDescent="0.25">
      <c r="A151" s="8" t="s">
        <v>466</v>
      </c>
      <c r="B151" s="8" t="s">
        <v>467</v>
      </c>
      <c r="C151" t="str">
        <f>_xll.BDP(A151, "PX_LAST")</f>
        <v>#N/A N/A</v>
      </c>
    </row>
    <row r="152" spans="1:3" x14ac:dyDescent="0.25">
      <c r="A152" s="8" t="s">
        <v>468</v>
      </c>
      <c r="B152" s="8" t="s">
        <v>469</v>
      </c>
      <c r="C152" t="str">
        <f>_xll.BDP(A152, "PX_LAST")</f>
        <v>#N/A N/A</v>
      </c>
    </row>
    <row r="153" spans="1:3" x14ac:dyDescent="0.25">
      <c r="A153" s="8" t="s">
        <v>470</v>
      </c>
      <c r="B153" s="8" t="s">
        <v>471</v>
      </c>
      <c r="C153" t="str">
        <f>_xll.BDP(A153, "PX_LAST")</f>
        <v>#N/A N/A</v>
      </c>
    </row>
    <row r="154" spans="1:3" x14ac:dyDescent="0.25">
      <c r="A154" s="8" t="s">
        <v>472</v>
      </c>
      <c r="B154" s="8" t="s">
        <v>473</v>
      </c>
      <c r="C154" t="str">
        <f>_xll.BDP(A154, "PX_LAST")</f>
        <v>#N/A N/A</v>
      </c>
    </row>
    <row r="155" spans="1:3" x14ac:dyDescent="0.25">
      <c r="A155" s="8" t="s">
        <v>474</v>
      </c>
      <c r="B155" s="8" t="s">
        <v>475</v>
      </c>
      <c r="C155" t="str">
        <f>_xll.BDP(A155, "PX_LAST")</f>
        <v>#N/A N/A</v>
      </c>
    </row>
    <row r="156" spans="1:3" x14ac:dyDescent="0.25">
      <c r="A156" s="8" t="s">
        <v>476</v>
      </c>
      <c r="B156" s="8" t="s">
        <v>477</v>
      </c>
      <c r="C156" t="str">
        <f>_xll.BDP(A156, "PX_LAST")</f>
        <v>#N/A N/A</v>
      </c>
    </row>
    <row r="157" spans="1:3" x14ac:dyDescent="0.25">
      <c r="A157" s="8" t="s">
        <v>478</v>
      </c>
      <c r="B157" s="8" t="s">
        <v>479</v>
      </c>
      <c r="C157" t="str">
        <f>_xll.BDP(A157, "PX_LAST")</f>
        <v>#N/A N/A</v>
      </c>
    </row>
    <row r="158" spans="1:3" x14ac:dyDescent="0.25">
      <c r="A158" s="8" t="s">
        <v>480</v>
      </c>
      <c r="B158" s="8" t="s">
        <v>481</v>
      </c>
      <c r="C158" t="str">
        <f>_xll.BDP(A158, "PX_LAST")</f>
        <v>#N/A N/A</v>
      </c>
    </row>
    <row r="159" spans="1:3" x14ac:dyDescent="0.25">
      <c r="A159" s="8" t="s">
        <v>482</v>
      </c>
      <c r="B159" s="8" t="s">
        <v>483</v>
      </c>
      <c r="C159" t="str">
        <f>_xll.BDP(A159, "PX_LAST")</f>
        <v>#N/A N/A</v>
      </c>
    </row>
    <row r="160" spans="1:3" x14ac:dyDescent="0.25">
      <c r="A160" s="8" t="s">
        <v>484</v>
      </c>
      <c r="B160" s="8" t="s">
        <v>485</v>
      </c>
      <c r="C160" t="str">
        <f>_xll.BDP(A160, "PX_LAST")</f>
        <v>#N/A N/A</v>
      </c>
    </row>
    <row r="161" spans="1:3" x14ac:dyDescent="0.25">
      <c r="A161" s="8" t="s">
        <v>486</v>
      </c>
      <c r="B161" s="8" t="s">
        <v>487</v>
      </c>
      <c r="C161" t="str">
        <f>_xll.BDP(A161, "PX_LAST")</f>
        <v>#N/A N/A</v>
      </c>
    </row>
    <row r="162" spans="1:3" x14ac:dyDescent="0.25">
      <c r="A162" s="8" t="s">
        <v>488</v>
      </c>
      <c r="B162" s="8" t="s">
        <v>489</v>
      </c>
      <c r="C162" t="str">
        <f>_xll.BDP(A162, "PX_LAST")</f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QuantWare</vt:lpstr>
      <vt:lpstr>Sheet1</vt:lpstr>
      <vt:lpstr>Sheet3</vt:lpstr>
      <vt:lpstr>LaggedEOM</vt:lpstr>
      <vt:lpstr>spotDate</vt:lpstr>
      <vt:lpstr>strippingDate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Gazzano, Pierre</dc:creator>
  <cp:keywords/>
  <dc:description/>
  <cp:lastModifiedBy>Gazzano, Pierre</cp:lastModifiedBy>
  <cp:revision/>
  <dcterms:created xsi:type="dcterms:W3CDTF">2026-06-22T15:32:48Z</dcterms:created>
  <dcterms:modified xsi:type="dcterms:W3CDTF">2026-07-16T17:13:43Z</dcterms:modified>
  <cp:category/>
  <cp:contentStatus/>
</cp:coreProperties>
</file>
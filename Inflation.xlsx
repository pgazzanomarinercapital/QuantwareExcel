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inercapital-my.sharepoint.com/personal/pgazzano_marinercapital_com/Documents/Attachments/"/>
    </mc:Choice>
  </mc:AlternateContent>
  <xr:revisionPtr revIDLastSave="3742" documentId="8_{5BC9BF22-D5E1-40C8-8EF5-84AC04A4E172}" xr6:coauthVersionLast="47" xr6:coauthVersionMax="47" xr10:uidLastSave="{A73D0352-5408-4A7C-9A0B-8006A1924C1C}"/>
  <bookViews>
    <workbookView xWindow="-120" yWindow="-120" windowWidth="38640" windowHeight="21840" activeTab="1" xr2:uid="{67299944-7FF9-49B4-A72F-BD4B4EE2DA64}"/>
  </bookViews>
  <sheets>
    <sheet name="QuantWare" sheetId="4" r:id="rId1"/>
    <sheet name="Sheet1" sheetId="1" r:id="rId2"/>
    <sheet name="Sheet3" sheetId="3" r:id="rId3"/>
  </sheets>
  <definedNames>
    <definedName name="LaggedEOM">Sheet1!$C$12</definedName>
    <definedName name="spotDate">Sheet1!$C$11</definedName>
    <definedName name="strippingDate">Sheet1!$C$10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J4" i="1" s="1" a="1"/>
  <c r="J4" i="1" s="1"/>
  <c r="C74" i="3"/>
  <c r="V5" i="1"/>
  <c r="C78" i="3"/>
  <c r="V9" i="1"/>
  <c r="U15" i="1"/>
  <c r="P10" i="1" a="1"/>
  <c r="P10" i="1"/>
  <c r="P4" i="1" a="1"/>
  <c r="P4" i="1"/>
  <c r="C28" i="3"/>
  <c r="U16" i="1"/>
  <c r="C85" i="3"/>
  <c r="V15" i="1"/>
  <c r="AA15" i="1"/>
  <c r="AA9" i="1"/>
  <c r="C77" i="3"/>
  <c r="V8" i="1"/>
  <c r="I77" i="3"/>
  <c r="I3" i="3"/>
  <c r="Q7" i="1"/>
  <c r="C62" i="3"/>
  <c r="I6" i="3"/>
  <c r="Q11" i="1"/>
  <c r="C3" i="3"/>
  <c r="I5" i="3"/>
  <c r="Q14" i="1"/>
  <c r="I55" i="3"/>
  <c r="I11" i="3"/>
  <c r="Q12" i="1"/>
  <c r="I68" i="3"/>
  <c r="U4" i="1"/>
  <c r="C67" i="3"/>
  <c r="C82" i="3"/>
  <c r="V13" i="1"/>
  <c r="I61" i="3"/>
  <c r="P6" i="1" a="1"/>
  <c r="P6" i="1"/>
  <c r="I26" i="3"/>
  <c r="U11" i="1"/>
  <c r="C6" i="3"/>
  <c r="U7" i="1"/>
  <c r="I71" i="3"/>
  <c r="C80" i="3"/>
  <c r="V11" i="1"/>
  <c r="C142" i="3"/>
  <c r="P11" i="1" a="1"/>
  <c r="P11" i="1"/>
  <c r="P14" i="1" a="1"/>
  <c r="P14" i="1"/>
  <c r="C153" i="3"/>
  <c r="P12" i="1" a="1"/>
  <c r="P12" i="1"/>
  <c r="I59" i="3"/>
  <c r="C87" i="3"/>
  <c r="V17" i="1"/>
  <c r="I22" i="3"/>
  <c r="I4" i="3"/>
  <c r="Q10" i="1"/>
  <c r="C147" i="3"/>
  <c r="P15" i="1" a="1"/>
  <c r="P15" i="1"/>
  <c r="C86" i="3"/>
  <c r="V16" i="1"/>
  <c r="C107" i="3"/>
  <c r="I9" i="3"/>
  <c r="Q15" i="1"/>
  <c r="U6" i="1"/>
  <c r="U14" i="1"/>
  <c r="I53" i="3"/>
  <c r="I17" i="3"/>
  <c r="P5" i="1" a="1"/>
  <c r="P5" i="1"/>
  <c r="I13" i="3"/>
  <c r="Q9" i="1"/>
  <c r="C138" i="3"/>
  <c r="U5" i="1"/>
  <c r="P7" i="1" a="1"/>
  <c r="P7" i="1"/>
  <c r="C47" i="3"/>
  <c r="C50" i="3"/>
  <c r="P13" i="1" a="1"/>
  <c r="P13" i="1"/>
  <c r="U17" i="1"/>
  <c r="C111" i="3"/>
  <c r="I12" i="3"/>
  <c r="Q6" i="1"/>
  <c r="C155" i="3"/>
  <c r="C75" i="3"/>
  <c r="V6" i="1"/>
  <c r="U9" i="1"/>
  <c r="I66" i="3"/>
  <c r="I30" i="3"/>
  <c r="U8" i="1"/>
  <c r="C116" i="3"/>
  <c r="I10" i="3"/>
  <c r="Q8" i="1"/>
  <c r="C140" i="3"/>
  <c r="I7" i="3"/>
  <c r="Q4" i="1"/>
  <c r="C36" i="3"/>
  <c r="I27" i="3"/>
  <c r="C132" i="3"/>
  <c r="C32" i="3"/>
  <c r="P8" i="1" a="1"/>
  <c r="P8" i="1"/>
  <c r="C33" i="3"/>
  <c r="I8" i="3"/>
  <c r="Q13" i="1"/>
  <c r="C12" i="3"/>
  <c r="C84" i="3"/>
  <c r="V14" i="1"/>
  <c r="C76" i="3"/>
  <c r="V7" i="1"/>
  <c r="I51" i="3"/>
  <c r="C94" i="3"/>
  <c r="C73" i="3"/>
  <c r="V4" i="1"/>
  <c r="C11" i="3"/>
  <c r="C139" i="3"/>
  <c r="C79" i="3"/>
  <c r="V10" i="1"/>
  <c r="U12" i="1"/>
  <c r="C39" i="3"/>
  <c r="C61" i="3"/>
  <c r="C81" i="3"/>
  <c r="V12" i="1"/>
  <c r="U10" i="1"/>
  <c r="P9" i="1" a="1"/>
  <c r="P9" i="1"/>
  <c r="C56" i="3"/>
  <c r="C10" i="3"/>
  <c r="U13" i="1"/>
  <c r="C31" i="3"/>
  <c r="I32" i="3"/>
  <c r="C157" i="3"/>
  <c r="C48" i="3"/>
  <c r="C7" i="3"/>
  <c r="I2" i="3"/>
  <c r="Q5" i="1"/>
  <c r="C137" i="3"/>
  <c r="C45" i="3"/>
  <c r="I76" i="3"/>
  <c r="C52" i="3"/>
  <c r="C120" i="3"/>
  <c r="C124" i="3"/>
  <c r="I23" i="3"/>
  <c r="C156" i="3"/>
  <c r="I48" i="3"/>
  <c r="I35" i="3"/>
  <c r="C150" i="3"/>
  <c r="C127" i="3"/>
  <c r="I25" i="3"/>
  <c r="I70" i="3"/>
  <c r="AA12" i="1"/>
  <c r="C25" i="3"/>
  <c r="C122" i="3"/>
  <c r="C148" i="3"/>
  <c r="C63" i="3"/>
  <c r="C13" i="3"/>
  <c r="AA4" i="1"/>
  <c r="C92" i="3"/>
  <c r="I49" i="3"/>
  <c r="I14" i="3"/>
  <c r="I29" i="3"/>
  <c r="C30" i="3"/>
  <c r="C93" i="3"/>
  <c r="C113" i="3"/>
  <c r="C118" i="3"/>
  <c r="I47" i="3"/>
  <c r="C125" i="3"/>
  <c r="I73" i="3"/>
  <c r="C71" i="3"/>
  <c r="C134" i="3"/>
  <c r="C46" i="3"/>
  <c r="I39" i="3"/>
  <c r="C70" i="3"/>
  <c r="C40" i="3"/>
  <c r="C88" i="3"/>
  <c r="C51" i="3"/>
  <c r="C154" i="3"/>
  <c r="AA10" i="1"/>
  <c r="C151" i="3"/>
  <c r="C136" i="3"/>
  <c r="C29" i="3"/>
  <c r="C123" i="3"/>
  <c r="C8" i="3"/>
  <c r="I37" i="3"/>
  <c r="I20" i="3"/>
  <c r="C54" i="3"/>
  <c r="C129" i="3"/>
  <c r="I54" i="3"/>
  <c r="I24" i="3"/>
  <c r="I44" i="3"/>
  <c r="C35" i="3"/>
  <c r="I78" i="3"/>
  <c r="I65" i="3"/>
  <c r="I16" i="3"/>
  <c r="I42" i="3"/>
  <c r="C141" i="3"/>
  <c r="C59" i="3"/>
  <c r="C128" i="3"/>
  <c r="C144" i="3"/>
  <c r="C146" i="3"/>
  <c r="AA6" i="1"/>
  <c r="C42" i="3"/>
  <c r="I28" i="3"/>
  <c r="C104" i="3"/>
  <c r="C102" i="3"/>
  <c r="C19" i="3"/>
  <c r="I57" i="3"/>
  <c r="C145" i="3"/>
  <c r="C66" i="3"/>
  <c r="I34" i="3"/>
  <c r="C2" i="3"/>
  <c r="I31" i="3"/>
  <c r="I18" i="3"/>
  <c r="C126" i="3"/>
  <c r="I43" i="3"/>
  <c r="C110" i="3"/>
  <c r="C53" i="3"/>
  <c r="C159" i="3"/>
  <c r="I79" i="3"/>
  <c r="C49" i="3"/>
  <c r="C27" i="3"/>
  <c r="C162" i="3"/>
  <c r="C15" i="3"/>
  <c r="C106" i="3"/>
  <c r="I33" i="3"/>
  <c r="C41" i="3"/>
  <c r="C37" i="3"/>
  <c r="C149" i="3"/>
  <c r="C98" i="3"/>
  <c r="I15" i="3"/>
  <c r="I45" i="3"/>
  <c r="I63" i="3"/>
  <c r="C100" i="3"/>
  <c r="C72" i="3"/>
  <c r="C160" i="3"/>
  <c r="C112" i="3"/>
  <c r="C91" i="3"/>
  <c r="C23" i="3"/>
  <c r="C34" i="3"/>
  <c r="C38" i="3"/>
  <c r="C117" i="3"/>
  <c r="C152" i="3"/>
  <c r="C90" i="3"/>
  <c r="C135" i="3"/>
  <c r="I69" i="3"/>
  <c r="C158" i="3"/>
  <c r="C83" i="3"/>
  <c r="C108" i="3"/>
  <c r="C161" i="3"/>
  <c r="C68" i="3"/>
  <c r="C143" i="3"/>
  <c r="C58" i="3"/>
  <c r="C20" i="3"/>
  <c r="I67" i="3"/>
  <c r="C9" i="3"/>
  <c r="C69" i="3"/>
  <c r="C109" i="3"/>
  <c r="C97" i="3"/>
  <c r="C60" i="3"/>
  <c r="I41" i="3"/>
  <c r="C103" i="3"/>
  <c r="C16" i="3"/>
  <c r="C17" i="3"/>
  <c r="C121" i="3"/>
  <c r="C22" i="3"/>
  <c r="C119" i="3"/>
  <c r="C105" i="3"/>
  <c r="C101" i="3"/>
  <c r="I72" i="3"/>
  <c r="C115" i="3"/>
  <c r="I38" i="3"/>
  <c r="C99" i="3"/>
  <c r="C26" i="3"/>
  <c r="I64" i="3"/>
  <c r="AA8" i="1"/>
  <c r="C5" i="3"/>
  <c r="C130" i="3"/>
  <c r="C44" i="3"/>
  <c r="AA5" i="1"/>
  <c r="C89" i="3"/>
  <c r="I36" i="3"/>
  <c r="AA7" i="1"/>
  <c r="C96" i="3"/>
  <c r="C43" i="3"/>
  <c r="I62" i="3"/>
  <c r="C21" i="3"/>
  <c r="I40" i="3"/>
  <c r="C24" i="3"/>
  <c r="I75" i="3"/>
  <c r="C57" i="3"/>
  <c r="C65" i="3"/>
  <c r="AA13" i="1"/>
  <c r="AA11" i="1"/>
  <c r="I50" i="3"/>
  <c r="C64" i="3"/>
  <c r="C55" i="3"/>
  <c r="I19" i="3"/>
  <c r="I58" i="3"/>
  <c r="I74" i="3"/>
  <c r="I21" i="3"/>
  <c r="AA14" i="1"/>
  <c r="C14" i="3"/>
  <c r="I60" i="3"/>
  <c r="C95" i="3"/>
  <c r="C131" i="3"/>
  <c r="C18" i="3"/>
  <c r="C114" i="3"/>
  <c r="C4" i="3"/>
  <c r="I56" i="3"/>
  <c r="C133" i="3"/>
  <c r="I46" i="3"/>
  <c r="I52" i="3"/>
  <c r="C11" i="1" l="1" a="1"/>
  <c r="C11" i="1" s="1"/>
  <c r="O9" i="1"/>
  <c r="O11" i="1"/>
  <c r="O5" i="1"/>
  <c r="O12" i="1"/>
  <c r="O8" i="1"/>
  <c r="O15" i="1"/>
  <c r="O7" i="1"/>
  <c r="O4" i="1"/>
  <c r="O14" i="1"/>
  <c r="O6" i="1"/>
  <c r="O13" i="1"/>
  <c r="O10" i="1"/>
  <c r="C12" i="1" l="1" a="1"/>
  <c r="C12" i="1" s="1"/>
  <c r="C20" i="1" a="1"/>
  <c r="C20" i="1" s="1"/>
  <c r="B20" i="1"/>
  <c r="H45" i="1"/>
  <c r="B35" i="1"/>
  <c r="B39" i="1"/>
  <c r="B28" i="1"/>
  <c r="B31" i="1"/>
  <c r="B29" i="1"/>
  <c r="B32" i="1"/>
  <c r="H57" i="1" l="1"/>
  <c r="H58" i="1"/>
  <c r="H59" i="1"/>
  <c r="H60" i="1"/>
  <c r="H61" i="1"/>
  <c r="H62" i="1"/>
  <c r="H63" i="1"/>
  <c r="H47" i="1"/>
  <c r="H48" i="1"/>
  <c r="H40" i="1"/>
  <c r="H46" i="1"/>
  <c r="H43" i="1"/>
  <c r="H44" i="1"/>
  <c r="H41" i="1"/>
  <c r="H42" i="1"/>
  <c r="H38" i="1"/>
  <c r="H39" i="1"/>
  <c r="H36" i="1"/>
  <c r="H37" i="1"/>
  <c r="H34" i="1"/>
  <c r="H35" i="1"/>
  <c r="H32" i="1"/>
  <c r="H33" i="1"/>
  <c r="H30" i="1"/>
  <c r="H31" i="1"/>
  <c r="H28" i="1"/>
  <c r="H29" i="1"/>
  <c r="H26" i="1"/>
  <c r="H27" i="1"/>
  <c r="H24" i="1"/>
  <c r="H25" i="1"/>
  <c r="H2" i="1"/>
  <c r="H23" i="1"/>
  <c r="H4" i="1"/>
  <c r="H3" i="1"/>
  <c r="H6" i="1"/>
  <c r="H5" i="1"/>
  <c r="H8" i="1"/>
  <c r="H7" i="1"/>
  <c r="H10" i="1"/>
  <c r="H9" i="1"/>
  <c r="H12" i="1"/>
  <c r="H11" i="1"/>
  <c r="H14" i="1"/>
  <c r="H13" i="1"/>
  <c r="H16" i="1"/>
  <c r="H15" i="1"/>
  <c r="H18" i="1"/>
  <c r="H17" i="1"/>
  <c r="H20" i="1"/>
  <c r="H19" i="1"/>
  <c r="H22" i="1"/>
  <c r="H21" i="1"/>
  <c r="B42" i="1"/>
  <c r="B34" i="1"/>
  <c r="B22" i="1"/>
  <c r="H55" i="1" l="1"/>
  <c r="H56" i="1"/>
  <c r="H49" i="1"/>
  <c r="H52" i="1"/>
  <c r="H51" i="1"/>
  <c r="H50" i="1"/>
  <c r="H53" i="1"/>
  <c r="H54" i="1"/>
  <c r="B33" i="1"/>
  <c r="B24" i="1"/>
  <c r="B30" i="1"/>
  <c r="B37" i="1" l="1"/>
  <c r="B25" i="1"/>
  <c r="B38" i="1" l="1"/>
  <c r="B40" i="1"/>
  <c r="B36" i="1"/>
  <c r="B26" i="1"/>
  <c r="B43" i="1" l="1"/>
  <c r="B41" i="1"/>
  <c r="B27" i="1"/>
  <c r="B44" i="1" l="1"/>
  <c r="B23" i="1"/>
  <c r="B21" i="1" l="1"/>
  <c r="C21" i="1" l="1"/>
  <c r="AA29" i="1"/>
  <c r="K21" i="1"/>
  <c r="A21" i="1" l="1"/>
  <c r="K22" i="1"/>
  <c r="L22" i="1" s="1"/>
  <c r="A43" i="1"/>
  <c r="A25" i="1"/>
  <c r="A40" i="1"/>
  <c r="C32" i="1"/>
  <c r="A39" i="1"/>
  <c r="C22" i="1"/>
  <c r="A29" i="1"/>
  <c r="C29" i="1"/>
  <c r="A27" i="1"/>
  <c r="A38" i="1"/>
  <c r="C30" i="1"/>
  <c r="C25" i="1"/>
  <c r="C23" i="1"/>
  <c r="C24" i="1"/>
  <c r="A44" i="1"/>
  <c r="A31" i="1"/>
  <c r="C31" i="1"/>
  <c r="A26" i="1"/>
  <c r="C26" i="1"/>
  <c r="A28" i="1"/>
  <c r="C28" i="1"/>
  <c r="A42" i="1"/>
  <c r="A36" i="1"/>
  <c r="A24" i="1"/>
  <c r="A34" i="1"/>
  <c r="A32" i="1"/>
  <c r="A23" i="1"/>
  <c r="C27" i="1"/>
  <c r="A30" i="1"/>
  <c r="A22" i="1"/>
  <c r="A35" i="1"/>
  <c r="L21" i="1"/>
  <c r="A33" i="1"/>
  <c r="A37" i="1"/>
  <c r="A41" i="1"/>
  <c r="L20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W5" i="1"/>
  <c r="W6" i="1" s="1"/>
  <c r="W7" i="1" s="1"/>
  <c r="W8" i="1" s="1"/>
  <c r="AB30" i="1" s="1"/>
  <c r="W23" i="1" l="1"/>
  <c r="X23" i="1" s="1"/>
  <c r="Y23" i="1" s="1"/>
  <c r="W27" i="1"/>
  <c r="X27" i="1" s="1"/>
  <c r="Y27" i="1" s="1"/>
  <c r="W25" i="1"/>
  <c r="X25" i="1" s="1"/>
  <c r="Y25" i="1" s="1"/>
  <c r="W24" i="1"/>
  <c r="X24" i="1" s="1"/>
  <c r="Y24" i="1" s="1"/>
  <c r="W26" i="1"/>
  <c r="X26" i="1" s="1"/>
  <c r="Y26" i="1" s="1"/>
  <c r="Z24" i="1"/>
  <c r="Z27" i="1"/>
  <c r="Z23" i="1"/>
  <c r="Z26" i="1"/>
  <c r="Z25" i="1"/>
  <c r="A20" i="1"/>
  <c r="K23" i="1"/>
  <c r="AA25" i="1"/>
  <c r="AB25" i="1" s="1"/>
  <c r="AC30" i="1" s="1"/>
  <c r="W9" i="1"/>
  <c r="W10" i="1" s="1"/>
  <c r="W11" i="1" s="1"/>
  <c r="W12" i="1" s="1"/>
  <c r="W13" i="1" s="1"/>
  <c r="AB29" i="1"/>
  <c r="AA24" i="1"/>
  <c r="AA26" i="1"/>
  <c r="AA27" i="1"/>
  <c r="K24" i="1" l="1"/>
  <c r="L23" i="1"/>
  <c r="AC29" i="1"/>
  <c r="K25" i="1" l="1"/>
  <c r="L24" i="1"/>
  <c r="K26" i="1" l="1"/>
  <c r="L25" i="1"/>
  <c r="K27" i="1" l="1"/>
  <c r="L26" i="1"/>
  <c r="K28" i="1" l="1"/>
  <c r="L27" i="1"/>
  <c r="K29" i="1" l="1"/>
  <c r="L28" i="1"/>
  <c r="K30" i="1" l="1"/>
  <c r="L29" i="1"/>
  <c r="K31" i="1" l="1"/>
  <c r="L30" i="1"/>
  <c r="K32" i="1" l="1"/>
  <c r="L31" i="1"/>
  <c r="K33" i="1" l="1"/>
  <c r="L32" i="1"/>
  <c r="K34" i="1" l="1"/>
  <c r="L33" i="1"/>
  <c r="K35" i="1" l="1"/>
  <c r="L34" i="1"/>
  <c r="K36" i="1" l="1"/>
  <c r="L35" i="1"/>
  <c r="K37" i="1" l="1"/>
  <c r="L36" i="1"/>
  <c r="K38" i="1" l="1"/>
  <c r="L37" i="1"/>
  <c r="K39" i="1" l="1"/>
  <c r="L38" i="1"/>
  <c r="K40" i="1" l="1"/>
  <c r="L39" i="1"/>
  <c r="K41" i="1" l="1"/>
  <c r="L40" i="1"/>
  <c r="K42" i="1" l="1"/>
  <c r="L41" i="1"/>
  <c r="K43" i="1" l="1"/>
  <c r="L42" i="1"/>
  <c r="K44" i="1" l="1"/>
  <c r="L43" i="1"/>
  <c r="K45" i="1" l="1"/>
  <c r="L44" i="1"/>
  <c r="K46" i="1" l="1"/>
  <c r="L45" i="1"/>
  <c r="K47" i="1" l="1"/>
  <c r="L46" i="1"/>
  <c r="K48" i="1" l="1"/>
  <c r="L47" i="1"/>
  <c r="K49" i="1" l="1"/>
  <c r="L48" i="1"/>
  <c r="K50" i="1" l="1"/>
  <c r="L49" i="1"/>
  <c r="K51" i="1" l="1"/>
  <c r="L50" i="1"/>
  <c r="K52" i="1" l="1"/>
  <c r="L51" i="1"/>
  <c r="K53" i="1" l="1"/>
  <c r="L52" i="1"/>
  <c r="K54" i="1" l="1"/>
  <c r="L53" i="1"/>
  <c r="K55" i="1" l="1"/>
  <c r="L54" i="1"/>
  <c r="K56" i="1" l="1"/>
  <c r="L55" i="1"/>
  <c r="K57" i="1" l="1"/>
  <c r="L56" i="1"/>
  <c r="K58" i="1" l="1"/>
  <c r="L57" i="1"/>
  <c r="K59" i="1" l="1"/>
  <c r="L58" i="1"/>
  <c r="K60" i="1" l="1"/>
  <c r="L59" i="1"/>
  <c r="K61" i="1" l="1"/>
  <c r="L60" i="1"/>
  <c r="K62" i="1" l="1"/>
  <c r="L61" i="1"/>
  <c r="K63" i="1" l="1"/>
  <c r="L62" i="1"/>
  <c r="K64" i="1" l="1"/>
  <c r="L63" i="1"/>
  <c r="K65" i="1" l="1"/>
  <c r="L64" i="1"/>
  <c r="K66" i="1" l="1"/>
  <c r="L65" i="1"/>
  <c r="K67" i="1" l="1"/>
  <c r="L66" i="1"/>
  <c r="K68" i="1" l="1"/>
  <c r="L67" i="1"/>
  <c r="K69" i="1" l="1"/>
  <c r="L68" i="1"/>
  <c r="K70" i="1" l="1"/>
  <c r="L69" i="1"/>
  <c r="K71" i="1" l="1"/>
  <c r="L70" i="1"/>
  <c r="K72" i="1" l="1"/>
  <c r="L71" i="1"/>
  <c r="K73" i="1" l="1"/>
  <c r="L72" i="1"/>
  <c r="K74" i="1" l="1"/>
  <c r="L73" i="1"/>
  <c r="K75" i="1" l="1"/>
  <c r="L74" i="1"/>
  <c r="K76" i="1" l="1"/>
  <c r="L75" i="1"/>
  <c r="K77" i="1" l="1"/>
  <c r="L76" i="1"/>
  <c r="K78" i="1" l="1"/>
  <c r="L77" i="1"/>
  <c r="K79" i="1" l="1"/>
  <c r="L78" i="1"/>
  <c r="K80" i="1" l="1"/>
  <c r="L79" i="1"/>
  <c r="K81" i="1" l="1"/>
  <c r="L80" i="1"/>
  <c r="K82" i="1" l="1"/>
  <c r="L81" i="1"/>
  <c r="K83" i="1" l="1"/>
  <c r="L82" i="1"/>
  <c r="K84" i="1" l="1"/>
  <c r="L83" i="1"/>
  <c r="K85" i="1" l="1"/>
  <c r="L84" i="1"/>
  <c r="K86" i="1" l="1"/>
  <c r="L85" i="1"/>
  <c r="K87" i="1" l="1"/>
  <c r="L86" i="1"/>
  <c r="K88" i="1" l="1"/>
  <c r="L87" i="1"/>
  <c r="K89" i="1" l="1"/>
  <c r="L88" i="1"/>
  <c r="K90" i="1" l="1"/>
  <c r="L89" i="1"/>
  <c r="K91" i="1" l="1"/>
  <c r="L90" i="1"/>
  <c r="K92" i="1" l="1"/>
  <c r="L91" i="1"/>
  <c r="K93" i="1" l="1"/>
  <c r="L92" i="1"/>
  <c r="L93" i="1" l="1"/>
  <c r="C35" i="1"/>
  <c r="C33" i="1"/>
  <c r="C34" i="1"/>
  <c r="C43" i="1"/>
  <c r="C40" i="1"/>
  <c r="C39" i="1"/>
  <c r="C44" i="1"/>
  <c r="C36" i="1"/>
  <c r="C42" i="1"/>
  <c r="C41" i="1"/>
  <c r="C38" i="1"/>
  <c r="C37" i="1"/>
  <c r="M93" i="1" l="1" a="1"/>
  <c r="M93" i="1" s="1"/>
  <c r="M92" i="1" a="1"/>
  <c r="M92" i="1" s="1"/>
  <c r="M91" i="1" a="1"/>
  <c r="M91" i="1" s="1"/>
  <c r="M90" i="1" a="1"/>
  <c r="M90" i="1" s="1"/>
  <c r="M89" i="1" a="1"/>
  <c r="M89" i="1" s="1"/>
  <c r="M88" i="1" a="1"/>
  <c r="M88" i="1" s="1"/>
  <c r="M87" i="1" a="1"/>
  <c r="M87" i="1" s="1"/>
  <c r="M86" i="1" a="1"/>
  <c r="M86" i="1" s="1"/>
  <c r="M85" i="1" a="1"/>
  <c r="M85" i="1" s="1"/>
  <c r="M84" i="1" a="1"/>
  <c r="M84" i="1" s="1"/>
  <c r="M83" i="1" a="1"/>
  <c r="M83" i="1" s="1"/>
  <c r="M82" i="1" a="1"/>
  <c r="M82" i="1" s="1"/>
  <c r="M81" i="1" a="1"/>
  <c r="M81" i="1" s="1"/>
  <c r="M80" i="1" a="1"/>
  <c r="M80" i="1" s="1"/>
  <c r="M79" i="1" a="1"/>
  <c r="M79" i="1" s="1"/>
  <c r="M78" i="1" a="1"/>
  <c r="M78" i="1" s="1"/>
  <c r="M77" i="1" a="1"/>
  <c r="M77" i="1" s="1"/>
  <c r="M76" i="1" a="1"/>
  <c r="M76" i="1" s="1"/>
  <c r="M75" i="1" a="1"/>
  <c r="M75" i="1" s="1"/>
  <c r="M74" i="1" a="1"/>
  <c r="M74" i="1" s="1"/>
  <c r="M73" i="1" a="1"/>
  <c r="M73" i="1" s="1"/>
  <c r="M72" i="1" a="1"/>
  <c r="M72" i="1" s="1"/>
  <c r="M71" i="1" a="1"/>
  <c r="M71" i="1" s="1"/>
  <c r="M70" i="1" a="1"/>
  <c r="M70" i="1" s="1"/>
  <c r="M69" i="1" a="1"/>
  <c r="M69" i="1" s="1"/>
  <c r="M68" i="1" a="1"/>
  <c r="M68" i="1" s="1"/>
  <c r="M67" i="1" a="1"/>
  <c r="M67" i="1" s="1"/>
  <c r="M66" i="1" a="1"/>
  <c r="M66" i="1" s="1"/>
  <c r="M65" i="1" a="1"/>
  <c r="M65" i="1" s="1"/>
  <c r="M64" i="1" a="1"/>
  <c r="M64" i="1" s="1"/>
  <c r="M63" i="1" a="1"/>
  <c r="M63" i="1" s="1"/>
  <c r="M62" i="1" a="1"/>
  <c r="M62" i="1" s="1"/>
  <c r="M61" i="1" a="1"/>
  <c r="M61" i="1" s="1"/>
  <c r="M60" i="1" a="1"/>
  <c r="M60" i="1" s="1"/>
  <c r="M59" i="1" a="1"/>
  <c r="M59" i="1" s="1"/>
  <c r="M58" i="1" a="1"/>
  <c r="M58" i="1" s="1"/>
  <c r="M57" i="1" a="1"/>
  <c r="M57" i="1" s="1"/>
  <c r="M56" i="1" a="1"/>
  <c r="M56" i="1" s="1"/>
  <c r="M55" i="1" a="1"/>
  <c r="M55" i="1" s="1"/>
  <c r="M54" i="1" a="1"/>
  <c r="M54" i="1" s="1"/>
  <c r="M53" i="1" a="1"/>
  <c r="M53" i="1" s="1"/>
  <c r="M52" i="1" a="1"/>
  <c r="M52" i="1" s="1"/>
  <c r="M51" i="1" a="1"/>
  <c r="M51" i="1" s="1"/>
  <c r="M50" i="1" a="1"/>
  <c r="M50" i="1" s="1"/>
  <c r="M49" i="1" a="1"/>
  <c r="M49" i="1" s="1"/>
  <c r="M48" i="1" a="1"/>
  <c r="M48" i="1" s="1"/>
  <c r="M47" i="1" a="1"/>
  <c r="M47" i="1" s="1"/>
  <c r="M46" i="1" a="1"/>
  <c r="M46" i="1" s="1"/>
  <c r="M45" i="1" a="1"/>
  <c r="M45" i="1" s="1"/>
  <c r="M44" i="1" a="1"/>
  <c r="M44" i="1" s="1"/>
  <c r="M43" i="1" a="1"/>
  <c r="M43" i="1" s="1"/>
  <c r="M42" i="1" a="1"/>
  <c r="M42" i="1" s="1"/>
  <c r="M41" i="1" a="1"/>
  <c r="M41" i="1" s="1"/>
  <c r="M40" i="1" a="1"/>
  <c r="M40" i="1" s="1"/>
  <c r="M39" i="1" a="1"/>
  <c r="M39" i="1" s="1"/>
  <c r="M38" i="1" a="1"/>
  <c r="M38" i="1" s="1"/>
  <c r="M37" i="1" a="1"/>
  <c r="M37" i="1" s="1"/>
  <c r="M36" i="1" a="1"/>
  <c r="M36" i="1" s="1"/>
  <c r="M35" i="1" a="1"/>
  <c r="M35" i="1" s="1"/>
  <c r="M34" i="1" a="1"/>
  <c r="M34" i="1" s="1"/>
  <c r="M33" i="1" a="1"/>
  <c r="M33" i="1" s="1"/>
  <c r="M32" i="1" a="1"/>
  <c r="M32" i="1" s="1"/>
  <c r="M31" i="1" a="1"/>
  <c r="M31" i="1" s="1"/>
  <c r="M30" i="1" a="1"/>
  <c r="M30" i="1" s="1"/>
  <c r="M29" i="1" a="1"/>
  <c r="M29" i="1" s="1"/>
  <c r="M28" i="1" a="1"/>
  <c r="M28" i="1" s="1"/>
  <c r="M27" i="1" a="1"/>
  <c r="M27" i="1" s="1"/>
  <c r="M26" i="1" a="1"/>
  <c r="M26" i="1" s="1"/>
  <c r="M25" i="1" a="1"/>
  <c r="M25" i="1" s="1"/>
  <c r="M22" i="1" a="1"/>
  <c r="M22" i="1" s="1"/>
  <c r="M21" i="1" a="1"/>
  <c r="M21" i="1" s="1"/>
  <c r="M23" i="1" a="1"/>
  <c r="M23" i="1" s="1"/>
  <c r="M24" i="1" a="1"/>
  <c r="M24" i="1" s="1"/>
  <c r="M20" i="1" a="1"/>
  <c r="M20" i="1" s="1"/>
  <c r="N20" i="1" s="1"/>
  <c r="N24" i="1" l="1"/>
  <c r="O24" i="1"/>
  <c r="O23" i="1"/>
  <c r="N23" i="1"/>
  <c r="N21" i="1"/>
  <c r="O21" i="1"/>
  <c r="N22" i="1"/>
  <c r="O22" i="1"/>
  <c r="N25" i="1"/>
  <c r="O25" i="1"/>
  <c r="N26" i="1"/>
  <c r="O26" i="1"/>
  <c r="N27" i="1"/>
  <c r="O27" i="1"/>
  <c r="N28" i="1"/>
  <c r="O28" i="1"/>
  <c r="N29" i="1"/>
  <c r="O29" i="1"/>
  <c r="N30" i="1"/>
  <c r="O30" i="1"/>
  <c r="N31" i="1"/>
  <c r="O31" i="1"/>
  <c r="O32" i="1"/>
  <c r="N32" i="1"/>
  <c r="N33" i="1"/>
  <c r="O33" i="1"/>
  <c r="N34" i="1"/>
  <c r="O34" i="1"/>
  <c r="N35" i="1"/>
  <c r="O35" i="1"/>
  <c r="N36" i="1"/>
  <c r="O36" i="1"/>
  <c r="N37" i="1"/>
  <c r="O37" i="1"/>
  <c r="N38" i="1"/>
  <c r="O38" i="1"/>
  <c r="N39" i="1"/>
  <c r="O39" i="1"/>
  <c r="N40" i="1"/>
  <c r="O40" i="1"/>
  <c r="N41" i="1"/>
  <c r="O41" i="1"/>
  <c r="N42" i="1"/>
  <c r="O42" i="1"/>
  <c r="N43" i="1"/>
  <c r="O43" i="1"/>
  <c r="N44" i="1"/>
  <c r="O44" i="1"/>
  <c r="N45" i="1"/>
  <c r="O45" i="1"/>
  <c r="N46" i="1"/>
  <c r="O46" i="1"/>
  <c r="N47" i="1"/>
  <c r="O47" i="1"/>
  <c r="N48" i="1"/>
  <c r="O48" i="1"/>
  <c r="N49" i="1"/>
  <c r="O49" i="1"/>
  <c r="N50" i="1"/>
  <c r="O50" i="1"/>
  <c r="N51" i="1"/>
  <c r="O51" i="1"/>
  <c r="N52" i="1"/>
  <c r="O52" i="1"/>
  <c r="N53" i="1"/>
  <c r="O53" i="1"/>
  <c r="O54" i="1"/>
  <c r="N54" i="1"/>
  <c r="N55" i="1"/>
  <c r="O55" i="1"/>
  <c r="O56" i="1"/>
  <c r="N56" i="1"/>
  <c r="N57" i="1"/>
  <c r="O57" i="1"/>
  <c r="N58" i="1"/>
  <c r="O58" i="1"/>
  <c r="N59" i="1"/>
  <c r="O59" i="1"/>
  <c r="N60" i="1"/>
  <c r="O60" i="1"/>
  <c r="N61" i="1"/>
  <c r="O61" i="1"/>
  <c r="N62" i="1"/>
  <c r="O62" i="1"/>
  <c r="N63" i="1"/>
  <c r="O63" i="1"/>
  <c r="N64" i="1"/>
  <c r="O64" i="1"/>
  <c r="N65" i="1"/>
  <c r="O65" i="1"/>
  <c r="N66" i="1"/>
  <c r="O66" i="1"/>
  <c r="N67" i="1"/>
  <c r="O67" i="1"/>
  <c r="N68" i="1"/>
  <c r="O68" i="1"/>
  <c r="N69" i="1"/>
  <c r="O69" i="1"/>
  <c r="N70" i="1"/>
  <c r="O70" i="1"/>
  <c r="N71" i="1"/>
  <c r="O71" i="1"/>
  <c r="N72" i="1"/>
  <c r="O72" i="1"/>
  <c r="N73" i="1"/>
  <c r="O73" i="1"/>
  <c r="N74" i="1"/>
  <c r="O74" i="1"/>
  <c r="N75" i="1"/>
  <c r="O75" i="1"/>
  <c r="N76" i="1"/>
  <c r="O76" i="1"/>
  <c r="N77" i="1"/>
  <c r="O77" i="1"/>
  <c r="N78" i="1"/>
  <c r="O78" i="1"/>
  <c r="N79" i="1"/>
  <c r="O79" i="1"/>
  <c r="N80" i="1"/>
  <c r="O80" i="1"/>
  <c r="N81" i="1"/>
  <c r="O81" i="1"/>
  <c r="N82" i="1"/>
  <c r="O82" i="1"/>
  <c r="N83" i="1"/>
  <c r="O83" i="1"/>
  <c r="N84" i="1"/>
  <c r="O84" i="1"/>
  <c r="N85" i="1"/>
  <c r="O85" i="1"/>
  <c r="N86" i="1"/>
  <c r="O86" i="1"/>
  <c r="N87" i="1"/>
  <c r="O87" i="1"/>
  <c r="N88" i="1"/>
  <c r="O88" i="1"/>
  <c r="N89" i="1"/>
  <c r="O89" i="1"/>
  <c r="N90" i="1"/>
  <c r="O90" i="1"/>
  <c r="N91" i="1"/>
  <c r="O91" i="1"/>
  <c r="N92" i="1"/>
  <c r="O92" i="1"/>
  <c r="N93" i="1"/>
  <c r="O9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<sst xmlns="http://schemas.openxmlformats.org/spreadsheetml/2006/main" count="618" uniqueCount="561">
  <si>
    <t>Date</t>
  </si>
  <si>
    <t>CPI:</t>
  </si>
  <si>
    <t>YOY Swap</t>
  </si>
  <si>
    <t xml:space="preserve">Start Date </t>
  </si>
  <si>
    <t>End Date</t>
  </si>
  <si>
    <t>Quote</t>
  </si>
  <si>
    <t>ZC Swap</t>
  </si>
  <si>
    <t>Start Date</t>
  </si>
  <si>
    <t>ZC Infla</t>
  </si>
  <si>
    <t>Month</t>
  </si>
  <si>
    <t>Seasonality</t>
  </si>
  <si>
    <t>Value</t>
  </si>
  <si>
    <t>USSWIF6 Curncy</t>
  </si>
  <si>
    <t>USSWIT1 Curncy</t>
  </si>
  <si>
    <t>USSWMJAN Curncy</t>
  </si>
  <si>
    <t>USSWIF7 Curncy</t>
  </si>
  <si>
    <t>USSWIT2 Curncy</t>
  </si>
  <si>
    <t>USSWMFEB Curncy</t>
  </si>
  <si>
    <t>USSWIF8 Curncy</t>
  </si>
  <si>
    <t>USSWIT3 Curncy</t>
  </si>
  <si>
    <t>USSWMMAR Curncy</t>
  </si>
  <si>
    <t>USSWIF9 Curncy</t>
  </si>
  <si>
    <t>USSWIT4 Curncy</t>
  </si>
  <si>
    <t>USSWMAPR Curncy</t>
  </si>
  <si>
    <t>USSWIF10 Curncy</t>
  </si>
  <si>
    <t>USSWIT5 Curncy</t>
  </si>
  <si>
    <t>USSWMMAY Curncy</t>
  </si>
  <si>
    <t>USSWIF11 Curncy</t>
  </si>
  <si>
    <t>USSWIT6 Curncy</t>
  </si>
  <si>
    <t>USSWMJUN Curncy</t>
  </si>
  <si>
    <t>USSWIF12 Curncy</t>
  </si>
  <si>
    <t>USSWIT7 Curncy</t>
  </si>
  <si>
    <t>USSWMJUL Curncy</t>
  </si>
  <si>
    <t>Period</t>
  </si>
  <si>
    <t>M</t>
  </si>
  <si>
    <t>USSWIF1 Curncy</t>
  </si>
  <si>
    <t>USSWIT8 Curncy</t>
  </si>
  <si>
    <t>USSWMAUG Curncy</t>
  </si>
  <si>
    <t>Lag</t>
  </si>
  <si>
    <t>USSWIF2 Curncy</t>
  </si>
  <si>
    <t>USSWIT9 Curncy</t>
  </si>
  <si>
    <t>USSWMSEP Curncy</t>
  </si>
  <si>
    <t>USSWIF3 Curncy</t>
  </si>
  <si>
    <t>USSWIT10 Curncy</t>
  </si>
  <si>
    <t>USSWMOCT Curncy</t>
  </si>
  <si>
    <t>USSWIF4 Curncy</t>
  </si>
  <si>
    <t>USSWIT15 Curncy</t>
  </si>
  <si>
    <t>USSWMNOV Curncy</t>
  </si>
  <si>
    <t>USSWIF5 Curncy</t>
  </si>
  <si>
    <t>USSWIT20 Curncy</t>
  </si>
  <si>
    <t>USSWMDEC Curncy</t>
  </si>
  <si>
    <t>USSWIT25 Curncy</t>
  </si>
  <si>
    <t>USSWIT30 Curncy</t>
  </si>
  <si>
    <t>Security</t>
  </si>
  <si>
    <t>Description</t>
  </si>
  <si>
    <t>USSWIC Curncy</t>
  </si>
  <si>
    <t>USD Swap CRV SA 9M3M</t>
  </si>
  <si>
    <t>USD Inflation CPI FIX Jul 1Y</t>
  </si>
  <si>
    <t>USSWIV3 Curncy</t>
  </si>
  <si>
    <t>USD Swap (vs 3M LIBOR ) 9MO</t>
  </si>
  <si>
    <t>USD Inflation CPI FIX Sep 1Y</t>
  </si>
  <si>
    <t>USSWIA Curncy</t>
  </si>
  <si>
    <t>USD Swap Annual (VS 1M) 9M</t>
  </si>
  <si>
    <t>USD Inflation CPI FIX Dec 1Y</t>
  </si>
  <si>
    <t>USSWI Curncy</t>
  </si>
  <si>
    <t>USD Swap Semi-Annual 30/360 9M</t>
  </si>
  <si>
    <t>USD Inflation CPI FIX Apr 1Y</t>
  </si>
  <si>
    <t>USSWIVA Curncy</t>
  </si>
  <si>
    <t>USD Swap v3M ACT/360 9MO</t>
  </si>
  <si>
    <t>USD Inflation CPI FIX Jan 1Y</t>
  </si>
  <si>
    <t>USSWIYL Curncy</t>
  </si>
  <si>
    <t>USD Swap SA (VS 12M) 9M</t>
  </si>
  <si>
    <t>USD Inflation CPI FIX Jun 1Y</t>
  </si>
  <si>
    <t>USSWIAPR Curncy</t>
  </si>
  <si>
    <t>USD Inflation SEASONAL HA Apr</t>
  </si>
  <si>
    <t>USD Inflation CPI FIX Mar 1Y</t>
  </si>
  <si>
    <t>USSWIAUG Curncy</t>
  </si>
  <si>
    <t>USD Inflation SEASONAL HA Aug</t>
  </si>
  <si>
    <t>USD Inflation CPI FIX May 1Y</t>
  </si>
  <si>
    <t>USSWIJAN Curncy</t>
  </si>
  <si>
    <t>USD Inflation SEASONAL HA Jan</t>
  </si>
  <si>
    <t>USD Inflation CPI FIX Oct 1Y</t>
  </si>
  <si>
    <t>USSWINOV Curncy</t>
  </si>
  <si>
    <t>USD Inflation SEASONAL HA Nov</t>
  </si>
  <si>
    <t>USD Inflation CPI FIX Feb 1Y</t>
  </si>
  <si>
    <t>USSWIFEB Curncy</t>
  </si>
  <si>
    <t>USD Inflation SEASONAL HA Feb</t>
  </si>
  <si>
    <t>USD Inflation CPI FIX Aug 1Y</t>
  </si>
  <si>
    <t>USSWISEP Curncy</t>
  </si>
  <si>
    <t>USD Inflation SEASONAL HA Sep</t>
  </si>
  <si>
    <t>USD Inflation CPI FIX Nov 1Y</t>
  </si>
  <si>
    <t>USSWIMAR Curncy</t>
  </si>
  <si>
    <t>USD Inflation SEASONAL HA Mar</t>
  </si>
  <si>
    <t>USSWIH11 Curncy</t>
  </si>
  <si>
    <t>USD Inflation CPI FIX Nov 2Y</t>
  </si>
  <si>
    <t>USSWIMAY Curncy</t>
  </si>
  <si>
    <t>USD Inflation SEASONAL HA May</t>
  </si>
  <si>
    <t>USSWIH6 Curncy</t>
  </si>
  <si>
    <t>USD Inflation CPI FIX Jun 2Y</t>
  </si>
  <si>
    <t>USSWIOCT Curncy</t>
  </si>
  <si>
    <t>USD Inflation SEASONAL HA Oct</t>
  </si>
  <si>
    <t>USSWIH7 Curncy</t>
  </si>
  <si>
    <t>USD Inflation CPI FIX Jul 2Y</t>
  </si>
  <si>
    <t>USSWIJUL Curncy</t>
  </si>
  <si>
    <t>USD Inflation SEASONAL HA Jul</t>
  </si>
  <si>
    <t>USSWIH8 Curncy</t>
  </si>
  <si>
    <t>USD Inflation CPI FIX Aug 2Y</t>
  </si>
  <si>
    <t>USSWIJUN Curncy</t>
  </si>
  <si>
    <t>USD Inflation SEASONAL HA Jun</t>
  </si>
  <si>
    <t>USSWIH9 Curncy</t>
  </si>
  <si>
    <t>USD Inflation CPI FIX Sep 2Y</t>
  </si>
  <si>
    <t>USSWIDEC Curncy</t>
  </si>
  <si>
    <t>USD Inflation SEASONAL HA Dec</t>
  </si>
  <si>
    <t>USSWIH1 Curncy</t>
  </si>
  <si>
    <t>USD Inflation CPI FIX Jan 2Y</t>
  </si>
  <si>
    <t>USSWIC10 Curncy</t>
  </si>
  <si>
    <t>USD Inflation Urban CONS 10Y</t>
  </si>
  <si>
    <t>USSWIH10 Curncy</t>
  </si>
  <si>
    <t>USD Inflation CPI FIX Oct 2Y</t>
  </si>
  <si>
    <t>USSWIC12 Curncy</t>
  </si>
  <si>
    <t>USD Inflation Urban CONS 12Y</t>
  </si>
  <si>
    <t>USSWIH12 Curncy</t>
  </si>
  <si>
    <t>USD Inflation CPI FIX Dec 2Y</t>
  </si>
  <si>
    <t>USSWIC15 Curncy</t>
  </si>
  <si>
    <t>USD Inflation Urban CONS 15Y</t>
  </si>
  <si>
    <t>USSWIH2 Curncy</t>
  </si>
  <si>
    <t>USD Inflation CPI FIX Feb 2Y</t>
  </si>
  <si>
    <t>USSWIC2 Curncy</t>
  </si>
  <si>
    <t>USD Inflation Urban CONS 2Y</t>
  </si>
  <si>
    <t>USSWIH3 Curncy</t>
  </si>
  <si>
    <t>USD Inflation CPI FIX Mar 2Y</t>
  </si>
  <si>
    <t>USSWIC20 Curncy</t>
  </si>
  <si>
    <t>USD Inflation Urban CONS 20Y</t>
  </si>
  <si>
    <t>USSWIH4 Curncy</t>
  </si>
  <si>
    <t>USD Inflation CPI FIX Apr 2Y</t>
  </si>
  <si>
    <t>USSWIC25 Curncy</t>
  </si>
  <si>
    <t>USD Inflation Urban CONS 25Y</t>
  </si>
  <si>
    <t>USSWIH5 Curncy</t>
  </si>
  <si>
    <t>USD Inflation CPI FIX May 2Y</t>
  </si>
  <si>
    <t>USSWIC3 Curncy</t>
  </si>
  <si>
    <t>USD Inflation Urban CONS 3Y</t>
  </si>
  <si>
    <t>USSWII1 Curncy</t>
  </si>
  <si>
    <t>USD Inflation Swap Zero Coupon BPS 1Y</t>
  </si>
  <si>
    <t>USSWIC30 Curncy</t>
  </si>
  <si>
    <t>USD Inflation Urban CONS 30Y</t>
  </si>
  <si>
    <t>USSWII10 Curncy</t>
  </si>
  <si>
    <t>USD Inflation Swap Zero Coupon BPS 10Y</t>
  </si>
  <si>
    <t>USSWIC4 Curncy</t>
  </si>
  <si>
    <t>USD Inflation Urban CONS 4Y</t>
  </si>
  <si>
    <t>USSWII2 Curncy</t>
  </si>
  <si>
    <t>USD Inflation Swap Zero Coupon BPS 2Y</t>
  </si>
  <si>
    <t>USSWIC40 Curncy</t>
  </si>
  <si>
    <t>USD Inflation Urban CONS 40Y</t>
  </si>
  <si>
    <t>USSWII20 Curncy</t>
  </si>
  <si>
    <t>USD Inflation Swap Zero Coupon BPS 20Y</t>
  </si>
  <si>
    <t>USSWIC5 Curncy</t>
  </si>
  <si>
    <t>USD Inflation Urban CONS 5Y</t>
  </si>
  <si>
    <t>USSWII3 Curncy</t>
  </si>
  <si>
    <t>USD Inflation Swap Zero Coupon BPS 3Y</t>
  </si>
  <si>
    <t>USSWIC6 Curncy</t>
  </si>
  <si>
    <t>USD Inflation Urban CONS 6Y</t>
  </si>
  <si>
    <t>USSWII5 Curncy</t>
  </si>
  <si>
    <t>USD Inflation Swap Zero Coupon BPS 5Y</t>
  </si>
  <si>
    <t>USSWIC7 Curncy</t>
  </si>
  <si>
    <t>USD Inflation Urban CONS 7Y</t>
  </si>
  <si>
    <t>USSWII6 Curncy</t>
  </si>
  <si>
    <t>USD Inflation Swap Zero Coupon BPS 6Y</t>
  </si>
  <si>
    <t>USSWIC8 Curncy</t>
  </si>
  <si>
    <t>USD Inflation Urban CONS 8Y</t>
  </si>
  <si>
    <t>USSWII7 Curncy</t>
  </si>
  <si>
    <t>USD Inflation Swap Zero Coupon BPS 7Y</t>
  </si>
  <si>
    <t>USSWIC9 Curncy</t>
  </si>
  <si>
    <t>USD Inflation Urban CONS 9Y</t>
  </si>
  <si>
    <t>USSWII12 Curncy</t>
  </si>
  <si>
    <t>USD Inflation Swap Zero Coupon BPS 12Y</t>
  </si>
  <si>
    <t>USSWIC1 Curncy</t>
  </si>
  <si>
    <t>USD Inflation Urban CONS 1Y</t>
  </si>
  <si>
    <t>USSWII15 Curncy</t>
  </si>
  <si>
    <t>USD Inflation Swap Zero Coupon BPS 15Y</t>
  </si>
  <si>
    <t>USSWIM1 Curncy</t>
  </si>
  <si>
    <t>USD Swap IMM 1ST YR 1CNT</t>
  </si>
  <si>
    <t>USSWII25 Curncy</t>
  </si>
  <si>
    <t>USD Inflation Swap Zero Coupon BPS 25Y</t>
  </si>
  <si>
    <t>USSWIM2 Curncy</t>
  </si>
  <si>
    <t>USD Swap IMM 1ST YR 2CNT</t>
  </si>
  <si>
    <t>USSWII30 Curncy</t>
  </si>
  <si>
    <t>USD Inflation Swap Zero Coupon BPS 30Y</t>
  </si>
  <si>
    <t>USSWIM3 Curncy</t>
  </si>
  <si>
    <t>USD Swap IMM 1ST YR 3CNT</t>
  </si>
  <si>
    <t>USSWII4 Curncy</t>
  </si>
  <si>
    <t>USD Inflation Swap Zero Coupon BPS 4Y</t>
  </si>
  <si>
    <t>USSWIM4 Curncy</t>
  </si>
  <si>
    <t>USD Swap IMM 1ST YR 4CNT</t>
  </si>
  <si>
    <t>USSWII8 Curncy</t>
  </si>
  <si>
    <t>USD Inflation Swap Zero Coupon BPS 8Y</t>
  </si>
  <si>
    <t>USSWIM5 Curncy</t>
  </si>
  <si>
    <t>USD Swap IMM 1ST YR 5CNT</t>
  </si>
  <si>
    <t>USSWII9 Curncy</t>
  </si>
  <si>
    <t>USD Inflation Swap Zero Coupon BPS 9Y</t>
  </si>
  <si>
    <t>USSWIY11 Curncy</t>
  </si>
  <si>
    <t>USD Inflation Swap YOY 11Y</t>
  </si>
  <si>
    <t>USSWIP1A Curncy</t>
  </si>
  <si>
    <t>USD Inflation Swap Zero Coupon PCSWS 1</t>
  </si>
  <si>
    <t>USSWIY12 Curncy</t>
  </si>
  <si>
    <t>USD Inflation Swap YOY 12Y</t>
  </si>
  <si>
    <t>USSWIP1B Curncy</t>
  </si>
  <si>
    <t>USSWIY13 Curncy</t>
  </si>
  <si>
    <t>USD Inflation Swap YOY 13Y</t>
  </si>
  <si>
    <t>USSWIP1C Curncy</t>
  </si>
  <si>
    <t>USSWIY14 Curncy</t>
  </si>
  <si>
    <t>USD Inflation Swap YOY 14Y</t>
  </si>
  <si>
    <t>USSWIP1D Curncy</t>
  </si>
  <si>
    <t>USSWIY15 Curncy</t>
  </si>
  <si>
    <t>USD Inflation Swap YOY 15Y</t>
  </si>
  <si>
    <t>USSWIP1E Curncy</t>
  </si>
  <si>
    <t>USSWIY16 Curncy</t>
  </si>
  <si>
    <t>USD Inflation Swap YOY 16Y</t>
  </si>
  <si>
    <t>USSWIP1G Curncy</t>
  </si>
  <si>
    <t>USSWIY17 Curncy</t>
  </si>
  <si>
    <t>USD Inflation Swap YOY 17Y</t>
  </si>
  <si>
    <t>USSWIP1H Curncy</t>
  </si>
  <si>
    <t>USD Inflation Swap Zero Coupon PCSWS 2</t>
  </si>
  <si>
    <t>USSWIY18 Curncy</t>
  </si>
  <si>
    <t>USD Inflation Swap YOY 18Y</t>
  </si>
  <si>
    <t>USSWIP1I Curncy</t>
  </si>
  <si>
    <t>USSWIY19 Curncy</t>
  </si>
  <si>
    <t>USD Inflation Swap YOY 19Y</t>
  </si>
  <si>
    <t>USSWIP1J Curncy</t>
  </si>
  <si>
    <t>USSWIY20 Curncy</t>
  </si>
  <si>
    <t>USD Inflation Swap YOY 20Y</t>
  </si>
  <si>
    <t>USSWIP1K Curncy</t>
  </si>
  <si>
    <t>USSWIY21 Curncy</t>
  </si>
  <si>
    <t>USD Inflation Swap YOY 21Y</t>
  </si>
  <si>
    <t>USSWIP4 Curncy</t>
  </si>
  <si>
    <t>USD Inflation Swap Zero Coupon PCSWS 4</t>
  </si>
  <si>
    <t>USSWIY22 Curncy</t>
  </si>
  <si>
    <t>USD Inflation Swap YOY 22Y</t>
  </si>
  <si>
    <t>USSWIPB Curncy</t>
  </si>
  <si>
    <t>USSWIY23 Curncy</t>
  </si>
  <si>
    <t>USD Inflation Swap YOY 23Y</t>
  </si>
  <si>
    <t>USSWIPC Curncy</t>
  </si>
  <si>
    <t>USD Inflation Swap Zero Coupon PCSWS 3</t>
  </si>
  <si>
    <t>USSWIY24 Curncy</t>
  </si>
  <si>
    <t>USD Inflation Swap YOY 24Y</t>
  </si>
  <si>
    <t>USSWIPD Curncy</t>
  </si>
  <si>
    <t>USSWIY25 Curncy</t>
  </si>
  <si>
    <t>USD Inflation Swap YOY 25Y</t>
  </si>
  <si>
    <t>USSWIPE Curncy</t>
  </si>
  <si>
    <t>USD Inflation Swap Zero Coupon PCSWS 5</t>
  </si>
  <si>
    <t>USSWIY26 Curncy</t>
  </si>
  <si>
    <t>USD Inflation Swap YOY 26Y</t>
  </si>
  <si>
    <t>USSWIPF Curncy</t>
  </si>
  <si>
    <t>USD Inflation Swap Zero Coupon PCSWS 6</t>
  </si>
  <si>
    <t>USSWIY27 Curncy</t>
  </si>
  <si>
    <t>USD Inflation Swap YOY 27Y</t>
  </si>
  <si>
    <t>USSWIPG Curncy</t>
  </si>
  <si>
    <t>USD Inflation Swap Zero Coupon PCSWS 7</t>
  </si>
  <si>
    <t>USSWIY28 Curncy</t>
  </si>
  <si>
    <t>USD Inflation Swap YOY 28Y</t>
  </si>
  <si>
    <t>USSWIPH Curncy</t>
  </si>
  <si>
    <t>USD Inflation Swap Zero Coupon PCSWS 8</t>
  </si>
  <si>
    <t>USSWIY29 Curncy</t>
  </si>
  <si>
    <t>USD Inflation Swap YOY 29Y</t>
  </si>
  <si>
    <t>USSWIPI Curncy</t>
  </si>
  <si>
    <t>USD Inflation Swap Zero Coupon PCSWS 9</t>
  </si>
  <si>
    <t>USSWIY30 Curncy</t>
  </si>
  <si>
    <t>USD Inflation Swap YOY 30Y</t>
  </si>
  <si>
    <t>USSWIPJ Curncy</t>
  </si>
  <si>
    <t>USSWIY4 Curncy</t>
  </si>
  <si>
    <t>USD Inflation Swap YOY 4Y</t>
  </si>
  <si>
    <t>USSWIPK Curncy</t>
  </si>
  <si>
    <t>USSWIY40 Curncy</t>
  </si>
  <si>
    <t>USD Inflation Swap YOY 40Y</t>
  </si>
  <si>
    <t>USSWIPA Curncy</t>
  </si>
  <si>
    <t>USSWIY50 Curncy</t>
  </si>
  <si>
    <t>USD Inflation Swap YOY 50Y</t>
  </si>
  <si>
    <t>USSWIP1 Curncy</t>
  </si>
  <si>
    <t>USSWIY6 Curncy</t>
  </si>
  <si>
    <t>USD Inflation Swap YOY 6Y</t>
  </si>
  <si>
    <t>USSWIP1F Curncy</t>
  </si>
  <si>
    <t>USSWIY7 Curncy</t>
  </si>
  <si>
    <t>USD Inflation Swap YOY 7Y</t>
  </si>
  <si>
    <t>USSWIP2 Curncy</t>
  </si>
  <si>
    <t>USSWIY8 Curncy</t>
  </si>
  <si>
    <t>USD Inflation Swap YOY 8Y</t>
  </si>
  <si>
    <t>USSWI10 Curncy</t>
  </si>
  <si>
    <t>USD Swap 9M vs 10Y</t>
  </si>
  <si>
    <t>USSWIY9 Curncy</t>
  </si>
  <si>
    <t>USD Inflation Swap YOY 9Y</t>
  </si>
  <si>
    <t>USSWI30 Curncy</t>
  </si>
  <si>
    <t>USD Swap 9M vs 30Y</t>
  </si>
  <si>
    <t>USSWIY3 Curncy</t>
  </si>
  <si>
    <t>USD Inflation Swap YOY 3Y</t>
  </si>
  <si>
    <t>USSWI01 Curncy</t>
  </si>
  <si>
    <t>USD Swap 9M vs 1Y</t>
  </si>
  <si>
    <t>USSWIY10 Curncy</t>
  </si>
  <si>
    <t>USD Inflation Swap YOY 10Y</t>
  </si>
  <si>
    <t>USSWI02 Curncy</t>
  </si>
  <si>
    <t>USD Swap 9M vs 2Y</t>
  </si>
  <si>
    <t>USSWIY1 Curncy</t>
  </si>
  <si>
    <t>USD Inflation Swap YOY 1Y</t>
  </si>
  <si>
    <t>USSWI03 Curncy</t>
  </si>
  <si>
    <t>USD Swap 9M vs 3Y</t>
  </si>
  <si>
    <t>USSWIY2 Curncy</t>
  </si>
  <si>
    <t>USD Inflation Swap YOY 2Y</t>
  </si>
  <si>
    <t>USSWI04 Curncy</t>
  </si>
  <si>
    <t>USD Swap 9M vs 4Y</t>
  </si>
  <si>
    <t>USSWIY5 Curncy</t>
  </si>
  <si>
    <t>USD Inflation Swap YOY 5Y</t>
  </si>
  <si>
    <t>USSWI05 Curncy</t>
  </si>
  <si>
    <t>USD Swap 9M vs 5Y</t>
  </si>
  <si>
    <t>USD Inflation Swap Zero Coupon 1Y</t>
  </si>
  <si>
    <t>USSWI06 Curncy</t>
  </si>
  <si>
    <t>USD Swap 9M vs 6Y</t>
  </si>
  <si>
    <t>USD Inflation Swap Zero Coupon 2Y</t>
  </si>
  <si>
    <t>USSWI07 Curncy</t>
  </si>
  <si>
    <t>USD Swap 9M vs 7Y</t>
  </si>
  <si>
    <t>USD Inflation Swap Zero Coupon 3Y</t>
  </si>
  <si>
    <t>USSWI08 Curncy</t>
  </si>
  <si>
    <t>USD Swap 9M vs 8Y</t>
  </si>
  <si>
    <t>USD Inflation Swap Zero Coupon 4Y</t>
  </si>
  <si>
    <t>USSWI09 Curncy</t>
  </si>
  <si>
    <t>USD Swap 9M vs 9Y</t>
  </si>
  <si>
    <t>USD Inflation Swap Zero Coupon 5Y</t>
  </si>
  <si>
    <t>USSWI15 Curncy</t>
  </si>
  <si>
    <t>USD Swap 9M vs 15Y</t>
  </si>
  <si>
    <t>USD Inflation Swap Zero Coupon 6Y</t>
  </si>
  <si>
    <t>USSWI20 Curncy</t>
  </si>
  <si>
    <t>USD Swap 9M vs 20Y</t>
  </si>
  <si>
    <t>USD Inflation Swap Zero Coupon 7Y</t>
  </si>
  <si>
    <t>USSWI25 Curncy</t>
  </si>
  <si>
    <t>USD Swap 9M vs 25Y</t>
  </si>
  <si>
    <t>USD Inflation Swap Zero Coupon 8Y</t>
  </si>
  <si>
    <t>USD Inflation Swap Zero Coupon 9Y</t>
  </si>
  <si>
    <t>USD Inflation Swap Zero Coupon 10Y</t>
  </si>
  <si>
    <t>USSWIT12 Curncy</t>
  </si>
  <si>
    <t>USD Inflation Swap Zero Coupon 12Y</t>
  </si>
  <si>
    <t>USD Inflation Swap Zero Coupon 15Y</t>
  </si>
  <si>
    <t>USD Inflation Swap Zero Coupon 20Y</t>
  </si>
  <si>
    <t>USD Inflation Swap Zero Coupon 25Y</t>
  </si>
  <si>
    <t>USD Inflation Swap Zero Coupon 30Y</t>
  </si>
  <si>
    <t>USSWITF Curncy</t>
  </si>
  <si>
    <t>USD Inflation Swap Zero Coupon 6M</t>
  </si>
  <si>
    <t>USSWITB Curncy</t>
  </si>
  <si>
    <t>USD Inflation Swap Zero Coupon 2M</t>
  </si>
  <si>
    <t>USSWIT2G Curncy</t>
  </si>
  <si>
    <t>USD Inflation Swap Zero Coupon 31M</t>
  </si>
  <si>
    <t>USSWITE Curncy</t>
  </si>
  <si>
    <t>USD Inflation Swap Zero Coupon 5M</t>
  </si>
  <si>
    <t>USSWITK Curncy</t>
  </si>
  <si>
    <t>USD Inflation Swap Zero Coupon 11M</t>
  </si>
  <si>
    <t>USSWIT1A Curncy</t>
  </si>
  <si>
    <t>USD Inflation Swap Zero Coupon 13M</t>
  </si>
  <si>
    <t>USSWIT1D Curncy</t>
  </si>
  <si>
    <t>USD Inflation Swap Zero Coupon 16M</t>
  </si>
  <si>
    <t>USSWIT1E Curncy</t>
  </si>
  <si>
    <t>USD Inflation Swap Zero Coupon 17M</t>
  </si>
  <si>
    <t>USSWIT1H Curncy</t>
  </si>
  <si>
    <t>USD Inflation Swap Zero Coupon 20M</t>
  </si>
  <si>
    <t>USSWIT1J Curncy</t>
  </si>
  <si>
    <t>USD Inflation Swap Zero Coupon 22M</t>
  </si>
  <si>
    <t>USSWIT1K Curncy</t>
  </si>
  <si>
    <t>USD Inflation Swap Zero Coupon 23M</t>
  </si>
  <si>
    <t>USSWIT22 Curncy</t>
  </si>
  <si>
    <t>USD Inflation Swap Zero Coupon 22Y</t>
  </si>
  <si>
    <t>USSWIT23 Curncy</t>
  </si>
  <si>
    <t>USD Inflation Swap Zero Coupon 23Y</t>
  </si>
  <si>
    <t>USSWIT24 Curncy</t>
  </si>
  <si>
    <t>USD Inflation Swap Zero Coupon 24Y</t>
  </si>
  <si>
    <t>USSWIT26 Curncy</t>
  </si>
  <si>
    <t>USD Inflation Swap Zero Coupon 26Y</t>
  </si>
  <si>
    <t>USSWIT27 Curncy</t>
  </si>
  <si>
    <t>USD Inflation Swap Zero Coupon 27Y</t>
  </si>
  <si>
    <t>USSWIT2A Curncy</t>
  </si>
  <si>
    <t>USD Inflation Swap Zero Coupon 25M</t>
  </si>
  <si>
    <t>USSWIT2B Curncy</t>
  </si>
  <si>
    <t>USD Inflation Swap Zero Coupon 26M</t>
  </si>
  <si>
    <t>USSWIT2C Curncy</t>
  </si>
  <si>
    <t>USD Inflation Swap Zero Coupon 27M</t>
  </si>
  <si>
    <t>USSWIT2D Curncy</t>
  </si>
  <si>
    <t>USD Inflation Swap Zero Coupon 28M</t>
  </si>
  <si>
    <t>USSWIT2E Curncy</t>
  </si>
  <si>
    <t>USD Inflation Swap Zero Coupon 29M</t>
  </si>
  <si>
    <t>USSWIT2F Curncy</t>
  </si>
  <si>
    <t>USD Inflation Swap Zero Coupon 30M</t>
  </si>
  <si>
    <t>USSWIT2H Curncy</t>
  </si>
  <si>
    <t>USD Inflation Swap Zero Coupon 32M</t>
  </si>
  <si>
    <t>USSWIT2I Curncy</t>
  </si>
  <si>
    <t>USD Inflation Swap Zero Coupon 33M</t>
  </si>
  <si>
    <t>USSWIT2J Curncy</t>
  </si>
  <si>
    <t>USD Inflation Swap Zero Coupon 34M</t>
  </si>
  <si>
    <t>USSWIT2K Curncy</t>
  </si>
  <si>
    <t>USD Inflation Swap Zero Coupon 35M</t>
  </si>
  <si>
    <t>USSWIT35 Curncy</t>
  </si>
  <si>
    <t>USD Inflation Swap Zero Coupon 35Y</t>
  </si>
  <si>
    <t>USSWIT3A Curncy</t>
  </si>
  <si>
    <t>USD Inflation Swap Zero Coupon 37M</t>
  </si>
  <si>
    <t>USSWIT3B Curncy</t>
  </si>
  <si>
    <t>USD Inflation Swap Zero Coupon 38M</t>
  </si>
  <si>
    <t>USSWIT3C Curncy</t>
  </si>
  <si>
    <t>USD Inflation Swap Zero Coupon 39M</t>
  </si>
  <si>
    <t>USSWIT3D Curncy</t>
  </si>
  <si>
    <t>USD Inflation Swap Zero Coupon 40M</t>
  </si>
  <si>
    <t>USSWIT3E Curncy</t>
  </si>
  <si>
    <t>USD Inflation Swap Zero Coupon 41M</t>
  </si>
  <si>
    <t>USSWIT3F Curncy</t>
  </si>
  <si>
    <t>USD Inflation Swap Zero Coupon 42M</t>
  </si>
  <si>
    <t>USSWIT3G Curncy</t>
  </si>
  <si>
    <t>USD Inflation Swap Zero Coupon 43M</t>
  </si>
  <si>
    <t>USSWIT3H Curncy</t>
  </si>
  <si>
    <t>USD Inflation Swap Zero Coupon 44M</t>
  </si>
  <si>
    <t>USSWIT3I Curncy</t>
  </si>
  <si>
    <t>USD Inflation Swap Zero Coupon 45M</t>
  </si>
  <si>
    <t>USSWIT3J Curncy</t>
  </si>
  <si>
    <t>USD Inflation Swap Zero Coupon 46M</t>
  </si>
  <si>
    <t>USSWIT3K Curncy</t>
  </si>
  <si>
    <t>USD Inflation Swap Zero Coupon 47M</t>
  </si>
  <si>
    <t>USSWIT4A Curncy</t>
  </si>
  <si>
    <t>USD Inflation Swap Zero Coupon 49M</t>
  </si>
  <si>
    <t>USSWIT4B Curncy</t>
  </si>
  <si>
    <t>USD Inflation Swap Zero Coupon 50M</t>
  </si>
  <si>
    <t>USSWIT4C Curncy</t>
  </si>
  <si>
    <t>USD Inflation Swap Zero Coupon 51M</t>
  </si>
  <si>
    <t>USSWIT4D Curncy</t>
  </si>
  <si>
    <t>USD Inflation Swap Zero Coupon 52M</t>
  </si>
  <si>
    <t>USSWIT4E Curncy</t>
  </si>
  <si>
    <t>USD Inflation Swap Zero Coupon 53M</t>
  </si>
  <si>
    <t>USSWIT4F Curncy</t>
  </si>
  <si>
    <t>USD Inflation Swap Zero Coupon 54M</t>
  </si>
  <si>
    <t>USSWIT4G Curncy</t>
  </si>
  <si>
    <t>USD Inflation Swap Zero Coupon 55M</t>
  </si>
  <si>
    <t>USSWIT4H Curncy</t>
  </si>
  <si>
    <t>USD Inflation Swap Zero Coupon 56M</t>
  </si>
  <si>
    <t>USSWIT4J Curncy</t>
  </si>
  <si>
    <t>USD Inflation Swap Zero Coupon 58M</t>
  </si>
  <si>
    <t>USSWIT4K Curncy</t>
  </si>
  <si>
    <t>USD Inflation Swap Zero Coupon 59M</t>
  </si>
  <si>
    <t>USSWITG Curncy</t>
  </si>
  <si>
    <t>USD Inflation Swap Zero Coupon 7M</t>
  </si>
  <si>
    <t>USSWIT11 Curncy</t>
  </si>
  <si>
    <t>USD Inflation Swap Zero Coupon 11Y</t>
  </si>
  <si>
    <t>USSWIT1C Curncy</t>
  </si>
  <si>
    <t>USD Inflation Swap Zero Coupon 15M</t>
  </si>
  <si>
    <t>USSWITI Curncy</t>
  </si>
  <si>
    <t>USD Inflation Swap Zero Coupon 9M</t>
  </si>
  <si>
    <t>USSWIT13 Curncy</t>
  </si>
  <si>
    <t>USD Inflation Swap Zero Coupon 13Y</t>
  </si>
  <si>
    <t>USSWIT14 Curncy</t>
  </si>
  <si>
    <t>USD Inflation Swap Zero Coupon 14Y</t>
  </si>
  <si>
    <t>USSWIT16 Curncy</t>
  </si>
  <si>
    <t>USD Inflation Swap Zero Coupon 16Y</t>
  </si>
  <si>
    <t>USSWIT17 Curncy</t>
  </si>
  <si>
    <t>USD Inflation Swap Zero Coupon 17Y</t>
  </si>
  <si>
    <t>USSWIT18 Curncy</t>
  </si>
  <si>
    <t>USD Inflation Swap Zero Coupon 18Y</t>
  </si>
  <si>
    <t>USSWIT19 Curncy</t>
  </si>
  <si>
    <t>USD Inflation Swap Zero Coupon 19Y</t>
  </si>
  <si>
    <t>USSWIT1B Curncy</t>
  </si>
  <si>
    <t>USD Inflation Swap Zero Coupon 14M</t>
  </si>
  <si>
    <t>USSWIT1F Curncy</t>
  </si>
  <si>
    <t>USD Inflation Swap Zero Coupon 18M</t>
  </si>
  <si>
    <t>USSWIT1G Curncy</t>
  </si>
  <si>
    <t>USD Inflation Swap Zero Coupon 19M</t>
  </si>
  <si>
    <t>USSWIT1I Curncy</t>
  </si>
  <si>
    <t>USD Inflation Swap Zero Coupon 21M</t>
  </si>
  <si>
    <t>USSWIT21 Curncy</t>
  </si>
  <si>
    <t>USD Inflation Swap Zero Coupon 21Y</t>
  </si>
  <si>
    <t>USSWIT28 Curncy</t>
  </si>
  <si>
    <t>USD Inflation Swap Zero Coupon 28Y</t>
  </si>
  <si>
    <t>USSWIT29 Curncy</t>
  </si>
  <si>
    <t>USD Inflation Swap Zero Coupon 29Y</t>
  </si>
  <si>
    <t>USSWIT40 Curncy</t>
  </si>
  <si>
    <t>USD Inflation Swap Zero Coupon 40Y</t>
  </si>
  <si>
    <t>USSWIT45 Curncy</t>
  </si>
  <si>
    <t>USD Inflation Swap Zero Coupon 45Y</t>
  </si>
  <si>
    <t>USSWIT4I Curncy</t>
  </si>
  <si>
    <t>USD Inflation Swap Zero Coupon 57M</t>
  </si>
  <si>
    <t>USSWIT50 Curncy</t>
  </si>
  <si>
    <t>USD Inflation Swap Zero Coupon 50Y</t>
  </si>
  <si>
    <t>USSWIT55 Curncy</t>
  </si>
  <si>
    <t>USD Inflation Swap Zero Coupon 55Y</t>
  </si>
  <si>
    <t>USSWITD Curncy</t>
  </si>
  <si>
    <t>USD Inflation Swap Zero Coupon 4M</t>
  </si>
  <si>
    <t>USSWITH Curncy</t>
  </si>
  <si>
    <t>USD Inflation Swap Zero Coupon 8M</t>
  </si>
  <si>
    <t>USSWITJ Curncy</t>
  </si>
  <si>
    <t>USD Inflation Swap Zero Coupon 10M</t>
  </si>
  <si>
    <t>USSWITA Curncy</t>
  </si>
  <si>
    <t>USD Inflation Swap Zero Coupon 1M</t>
  </si>
  <si>
    <t>USSWITC Curncy</t>
  </si>
  <si>
    <t>USD Inflation Swap Zero Coupon 3M</t>
  </si>
  <si>
    <t>Quot Date</t>
  </si>
  <si>
    <t>Frst of Month</t>
  </si>
  <si>
    <t>Lag Date</t>
  </si>
  <si>
    <t>curve rate from BBG Screen</t>
  </si>
  <si>
    <t>curve rate from excel</t>
  </si>
  <si>
    <t>SwapIndexPropertyMap</t>
  </si>
  <si>
    <t>Inflation Index</t>
  </si>
  <si>
    <t>Infla Curve</t>
  </si>
  <si>
    <t>QW.Security.Curve.CurveLoaderBms  (Ex: SOFRSWAP/ESTRONSWAP/CORRASWAP)</t>
  </si>
  <si>
    <t xml:space="preserve">SwapTerms in QW.Security.Curve.CurveLoaderBms </t>
  </si>
  <si>
    <t xml:space="preserve">Deposits in QW.Security.Curve.CurveLoaderBms </t>
  </si>
  <si>
    <t>RollDaysl, Lag</t>
  </si>
  <si>
    <t>CPI</t>
  </si>
  <si>
    <t xml:space="preserve">FutureRoot/NumFutures in QW.Security.Curve.CurveLoaderBms </t>
  </si>
  <si>
    <t>Stripping Methods</t>
  </si>
  <si>
    <t>&lt;lookup-method name="newCurve" object="CurveBootstrap"/&gt;</t>
  </si>
  <si>
    <t>Info/Static Data</t>
  </si>
  <si>
    <t>Equivalent for Rates</t>
  </si>
  <si>
    <t>CPURNSA Index</t>
  </si>
  <si>
    <t>Effective Date, End Date, Quote</t>
  </si>
  <si>
    <t>12 last Fixing</t>
  </si>
  <si>
    <t>Months and Fixing</t>
  </si>
  <si>
    <t>&lt;dictionary key-type="string" value-type="object"&gt;</t>
  </si>
  <si>
    <t>&lt;entry key="ResetFrequency" value="4"/&gt;</t>
  </si>
  <si>
    <t>&lt;entry key="FloatPayFrequency" value="4"/&gt;</t>
  </si>
  <si>
    <t>&lt;entry key="DiscountCurve" value="SofrSwap"/&gt;</t>
  </si>
  <si>
    <t>&lt;entry key="DV01Curve" value="NORMED"/&gt;</t>
  </si>
  <si>
    <t>&lt;/dictionary&gt;</t>
  </si>
  <si>
    <t>SwapPropertyMap</t>
  </si>
  <si>
    <t>&lt;!--CPURNSA--&gt;</t>
  </si>
  <si>
    <t>&lt;!--….USSWIT...--&gt;</t>
  </si>
  <si>
    <t>&lt;entry key="Currency" value="USD"/&gt;</t>
  </si>
  <si>
    <t>&lt;entry key="FloatIndex" value="CPURNSA"/&gt;</t>
  </si>
  <si>
    <t>&lt;entry key="FixedRateType"&gt;</t>
  </si>
  <si>
    <t>&lt;object type="QW.Security.Rate.RateTypeCompounded, QWSecurity"&gt;</t>
  </si>
  <si>
    <t>&lt;property name="Frequency" value="1"/&gt;</t>
  </si>
  <si>
    <t>&lt;property name="DayCount" value="ActActeom"/&gt;</t>
  </si>
  <si>
    <t>&lt;property name="DayCounter" ref="ActualActual"/&gt;</t>
  </si>
  <si>
    <t>&lt;!--&lt;property name="BusinessDayConvention" value="IMM"/&gt;--&gt;</t>
  </si>
  <si>
    <t>&lt;property name="BusinessDayConvention" value="Following"/&gt;</t>
  </si>
  <si>
    <t>&lt;/object&gt;</t>
  </si>
  <si>
    <t>&lt;/entry&gt;</t>
  </si>
  <si>
    <t>RateLoader</t>
  </si>
  <si>
    <t xml:space="preserve">	&lt;property name="ExpMap"</t>
  </si>
  <si>
    <t>&lt;property name="PropertyMap"&gt;</t>
  </si>
  <si>
    <t>&lt;property name="TermExtractorMap"&gt;</t>
  </si>
  <si>
    <t>&lt;entry key="Country" value="US"/&gt;</t>
  </si>
  <si>
    <t>&lt;entry key="SettleDays" value="2"/&gt;</t>
  </si>
  <si>
    <t>&lt;entry key="Term" value="1"/&gt;</t>
  </si>
  <si>
    <t>&lt;entry key="TermUnit" value="Month"/&gt;</t>
  </si>
  <si>
    <t>&lt;entry key="Type" value="MoneyMarket"/&gt;</t>
  </si>
  <si>
    <t>&lt;!--^CPURNSA--&gt;</t>
  </si>
  <si>
    <t>SecurityProvider</t>
  </si>
  <si>
    <t>&lt;object type="QW.Security.TypeLoaderFixed, QWSecurity"&gt;</t>
  </si>
  <si>
    <t>&lt;!--special rates--&gt;</t>
  </si>
  <si>
    <t>&lt;property name="IDPattern" value="^(GC\.|ZERO|FEDL|GCFR|EONIA|ESTRON|SONI|VIX$|V2X$|OISCAD|NZOCRS|RBACOR|TOISTOIS|CAONREPO|SOFR|CORRA|MUTKCALM|CPURNSA)"/&gt;</t>
  </si>
  <si>
    <t>&lt;!--anything--&gt;</t>
  </si>
  <si>
    <t>&lt;property name="IDPattern" value="USSWIT[0-9]"/&gt;</t>
  </si>
  <si>
    <t>…</t>
  </si>
  <si>
    <r>
      <t>&lt;property name="Type" value="</t>
    </r>
    <r>
      <rPr>
        <b/>
        <sz val="11"/>
        <color rgb="FFFF0000"/>
        <rFont val="Aptos Narrow"/>
        <family val="2"/>
        <scheme val="minor"/>
      </rPr>
      <t>SwapBM</t>
    </r>
    <r>
      <rPr>
        <sz val="11"/>
        <color theme="1"/>
        <rFont val="Aptos Narrow"/>
        <family val="2"/>
        <scheme val="minor"/>
      </rPr>
      <t>"/&gt;</t>
    </r>
  </si>
  <si>
    <r>
      <t>&lt;property name="Type" value="</t>
    </r>
    <r>
      <rPr>
        <b/>
        <sz val="11"/>
        <color rgb="FFFF0000"/>
        <rFont val="Aptos Narrow"/>
        <family val="2"/>
        <scheme val="minor"/>
      </rPr>
      <t>Rate</t>
    </r>
    <r>
      <rPr>
        <sz val="11"/>
        <color theme="1"/>
        <rFont val="Aptos Narrow"/>
        <family val="2"/>
        <scheme val="minor"/>
      </rPr>
      <t>"/&gt;</t>
    </r>
  </si>
  <si>
    <t>&lt;object type="QW.Security.Curve.CurveLoaderBms, QWSecurity"&gt;</t>
  </si>
  <si>
    <t>&lt;property name="IDPattern" value="^CPURNSA$"/&gt;</t>
  </si>
  <si>
    <t>&lt;property name="SwapRoot" value="USSWIT"/&gt;</t>
  </si>
  <si>
    <t>&lt;property name="SwapTerms" value="1,2,3,4,5,7"/&gt;</t>
  </si>
  <si>
    <t>&lt;lookup-method name="newCurve" object="Curve"/&gt;</t>
  </si>
  <si>
    <t>QW.Security.Curve.CurveLoaderBm</t>
  </si>
  <si>
    <t>Lagged EOM</t>
  </si>
  <si>
    <t>SpotDate</t>
  </si>
  <si>
    <t>Stripping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</si>
</sst>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[$-409]dd\-mmm\-yy;@"/>
    <numFmt numFmtId="165" formatCode="0.0000"/>
    <numFmt numFmtId="166" formatCode="0.00000"/>
    <numFmt numFmtId="167" formatCode="0.0000000"/>
    <numFmt numFmtId="168" formatCode="_(* #,##0.00000_);_(* \(#,##0.00000\);_(* &quot;-&quot;??_);_(@_)"/>
    <numFmt numFmtId="171" formatCode="[$-F800]dddd\,\ mmmm\ dd\,\ yyyy"/>
    <numFmt numFmtId="175" formatCode="_(* #,##0.0000_);_(* \(#,##0.0000\);_(* &quot;-&quot;??_);_(@_)"/>
    <numFmt numFmtId="177" formatCode="0.00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  <font>
      <b/>
      <sz val="11"/>
      <color indexed="9"/>
      <name val="Calibri"/>
      <family val="2"/>
    </font>
    <font>
      <b/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22" fontId="3" fillId="0" borderId="0"/>
    <xf numFmtId="0" fontId="5" fillId="3" borderId="0"/>
  </cellStyleXfs>
  <cellXfs count="35">
    <xf numFmtId="0" fontId="0" fillId="0" borderId="0" xfId="0"/>
    <xf numFmtId="22" fontId="3" fillId="0" borderId="0" xfId="2"/>
    <xf numFmtId="14" fontId="0" fillId="0" borderId="0" xfId="0" applyNumberFormat="1"/>
    <xf numFmtId="43" fontId="0" fillId="0" borderId="0" xfId="1" applyFont="1"/>
    <xf numFmtId="43" fontId="0" fillId="0" borderId="0" xfId="0" applyNumberFormat="1"/>
    <xf numFmtId="14" fontId="0" fillId="0" borderId="0" xfId="1" applyNumberFormat="1" applyFont="1"/>
    <xf numFmtId="0" fontId="0" fillId="2" borderId="0" xfId="0" applyFill="1"/>
    <xf numFmtId="0" fontId="5" fillId="3" borderId="0" xfId="3"/>
    <xf numFmtId="0" fontId="2" fillId="0" borderId="0" xfId="0" applyFont="1"/>
    <xf numFmtId="0" fontId="0" fillId="4" borderId="0" xfId="0" applyFill="1"/>
    <xf numFmtId="0" fontId="0" fillId="5" borderId="0" xfId="0" applyFill="1"/>
    <xf numFmtId="0" fontId="6" fillId="0" borderId="0" xfId="0" applyFont="1"/>
    <xf numFmtId="164" fontId="0" fillId="4" borderId="0" xfId="0" applyNumberFormat="1" applyFill="1"/>
    <xf numFmtId="14" fontId="0" fillId="5" borderId="0" xfId="0" applyNumberFormat="1" applyFill="1"/>
    <xf numFmtId="0" fontId="0" fillId="6" borderId="0" xfId="0" applyFill="1"/>
    <xf numFmtId="43" fontId="0" fillId="5" borderId="0" xfId="1" applyFont="1" applyFill="1"/>
    <xf numFmtId="165" fontId="0" fillId="0" borderId="0" xfId="0" applyNumberFormat="1"/>
    <xf numFmtId="166" fontId="6" fillId="2" borderId="0" xfId="0" applyNumberFormat="1" applyFont="1" applyFill="1"/>
    <xf numFmtId="165" fontId="0" fillId="5" borderId="0" xfId="0" applyNumberFormat="1" applyFill="1"/>
    <xf numFmtId="167" fontId="6" fillId="2" borderId="0" xfId="0" applyNumberFormat="1" applyFont="1" applyFill="1"/>
    <xf numFmtId="168" fontId="0" fillId="2" borderId="0" xfId="1" applyNumberFormat="1" applyFont="1" applyFill="1"/>
    <xf numFmtId="171" fontId="0" fillId="0" borderId="0" xfId="0" applyNumberFormat="1"/>
    <xf numFmtId="171" fontId="7" fillId="0" borderId="0" xfId="0" applyNumberFormat="1" applyFont="1"/>
    <xf numFmtId="0" fontId="7" fillId="0" borderId="0" xfId="0" applyFont="1"/>
    <xf numFmtId="171" fontId="0" fillId="2" borderId="0" xfId="0" applyNumberFormat="1" applyFill="1"/>
    <xf numFmtId="171" fontId="0" fillId="4" borderId="0" xfId="0" applyNumberFormat="1" applyFill="1"/>
    <xf numFmtId="171" fontId="0" fillId="5" borderId="0" xfId="0" applyNumberFormat="1" applyFill="1"/>
    <xf numFmtId="175" fontId="0" fillId="0" borderId="0" xfId="0" applyNumberFormat="1"/>
    <xf numFmtId="168" fontId="0" fillId="0" borderId="0" xfId="0" applyNumberFormat="1"/>
    <xf numFmtId="166" fontId="0" fillId="0" borderId="0" xfId="0" applyNumberFormat="1"/>
    <xf numFmtId="168" fontId="7" fillId="0" borderId="0" xfId="0" applyNumberFormat="1" applyFont="1"/>
    <xf numFmtId="171" fontId="0" fillId="0" borderId="0" xfId="0" applyNumberFormat="1" applyFont="1"/>
    <xf numFmtId="0" fontId="0" fillId="0" borderId="0" xfId="0" applyFont="1"/>
    <xf numFmtId="168" fontId="0" fillId="0" borderId="0" xfId="0" applyNumberFormat="1" applyFont="1"/>
    <xf numFmtId="177" fontId="7" fillId="0" borderId="0" xfId="0" applyNumberFormat="1" applyFont="1"/>
  </cellXfs>
  <cellStyles count="4">
    <cellStyle name="blp_column_header" xfId="3" xr:uid="{7E45C141-DC45-44C9-A945-11B318FEE6FC}"/>
    <cellStyle name="blp_datetime" xfId="2" xr:uid="{FBF863B6-B38E-4A5A-9EB5-7FA9B4DF5CDF}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Data...2638755257</v>
        <stp/>
        <stp>BDP|16992731541288536763</stp>
        <tr r="C47" s="3"/>
      </tp>
      <tp t="s">
        <v>#N/A Requesting Data...4249102894</v>
        <stp/>
        <stp>BDP|17441981385548469415</stp>
        <tr r="C147" s="3"/>
      </tp>
      <tp t="s">
        <v>#N/A Requesting Data...2895454411</v>
        <stp/>
        <stp>BDP|16823300664420383917</stp>
        <tr r="V15" s="1"/>
        <tr r="C85" s="3"/>
      </tp>
      <tp t="s">
        <v>#N/A Requesting Data...3082715016</v>
        <stp/>
        <stp>BDP|16104534607308324160</stp>
        <tr r="C94" s="3"/>
      </tp>
      <tp t="s">
        <v>#N/A Requesting Data...3707549310</v>
        <stp/>
        <stp>BDP|14000381530049220788</stp>
        <tr r="I25" s="3"/>
      </tp>
      <tp t="s">
        <v>#N/A Requesting Data...2878614796</v>
        <stp/>
        <stp>BDP|13618062996597023700</stp>
        <tr r="C133" s="3"/>
      </tp>
      <tp t="s">
        <v>#N/A Requesting Data...3250963865</v>
        <stp/>
        <stp>BDP|17796553259829473542</stp>
        <tr r="V5" s="1"/>
        <tr r="C74" s="3"/>
      </tp>
      <tp t="s">
        <v>#N/A Requesting Data...3829673039</v>
        <stp/>
        <stp>BDP|11686869327268789806</stp>
        <tr r="C93" s="3"/>
      </tp>
      <tp t="s">
        <v>#N/A Requesting Data...4029238881</v>
        <stp/>
        <stp>BDP|11254996630569760992</stp>
        <tr r="C125" s="3"/>
      </tp>
      <tp t="s">
        <v>#N/A Requesting Data...3625087192</v>
        <stp/>
        <stp>BDP|13612015264399033752</stp>
        <tr r="P11" s="1"/>
      </tp>
      <tp t="s">
        <v>#N/A Requesting Data...2909032128</v>
        <stp/>
        <stp>BDP|14079966014713726781</stp>
        <tr r="C127" s="3"/>
      </tp>
      <tp t="s">
        <v>#N/A Requesting Data...3687066684</v>
        <stp/>
        <stp>BDP|11610845028872276145</stp>
        <tr r="I29" s="3"/>
      </tp>
      <tp t="s">
        <v>#N/A Requesting Data...3663803896</v>
        <stp/>
        <stp>BDP|14672533486751855074</stp>
        <tr r="C124" s="3"/>
      </tp>
      <tp t="s">
        <v>#N/A Requesting Data...2938415715</v>
        <stp/>
        <stp>BDP|17211020683026650195</stp>
        <tr r="C138" s="3"/>
      </tp>
      <tp t="s">
        <v>#N/A Requesting Data...2668895333</v>
        <stp/>
        <stp>BDP|15922667237158126089</stp>
        <tr r="C39" s="3"/>
      </tp>
      <tp t="s">
        <v>#N/A Requesting Data...3420130419</v>
        <stp/>
        <stp>BDP|16094027085626196074</stp>
        <tr r="C11" s="3"/>
      </tp>
      <tp t="s">
        <v>#N/A Requesting Data...3781239384</v>
        <stp/>
        <stp>BDP|15407879862292613179</stp>
        <tr r="C137" s="3"/>
      </tp>
      <tp t="s">
        <v>#N/A Requesting Data...2664727543</v>
        <stp/>
        <stp>BDP|15985719489993665142</stp>
        <tr r="Q11" s="1"/>
        <tr r="I6" s="3"/>
      </tp>
      <tp t="s">
        <v>#N/A Requesting Data...4129035276</v>
        <stp/>
        <stp>BDP|12763602035166936982</stp>
        <tr r="C148" s="3"/>
      </tp>
      <tp t="s">
        <v>1/1/2026</v>
        <stp/>
        <stp>BDP|18024206404748167547|22</stp>
        <stp>USSWIF10 Curncy</stp>
        <stp>SWAP_EFFECTIVE_DATE_RT</stp>
        <tr r="O8" s="1"/>
      </tp>
      <tp t="s">
        <v>#N/A Requesting Data...2216097168</v>
        <stp/>
        <stp>BDP|16166135517967557952</stp>
        <tr r="C132" s="3"/>
      </tp>
      <tp t="s">
        <v>#N/A Requesting Data...1580303417</v>
        <stp/>
        <stp>BDP|17940409158619316760</stp>
        <tr r="C142" s="3"/>
      </tp>
      <tp t="s">
        <v>#N/A Requesting Data...1577026883</v>
        <stp/>
        <stp>BDP|17216665397240952135</stp>
        <tr r="I17" s="3"/>
      </tp>
      <tp t="s">
        <v>#N/A Requesting Data...2981181145</v>
        <stp/>
        <stp>BDP|18103056307516801704</stp>
        <tr r="I26" s="3"/>
      </tp>
      <tp t="s">
        <v>#N/A Requesting Data...2269938935</v>
        <stp/>
        <stp>BDP|10391992824295341769</stp>
        <tr r="I39" s="3"/>
      </tp>
      <tp t="s">
        <v>#N/A Requesting Data...3983803954</v>
        <stp/>
        <stp>BDP|16844649074268040624</stp>
        <tr r="U16" s="1"/>
      </tp>
      <tp t="s">
        <v>#N/A Requesting Data...2584104973</v>
        <stp/>
        <stp>BDP|10096235586877124490</stp>
        <tr r="Q9" s="1"/>
        <tr r="I13" s="3"/>
      </tp>
      <tp t="s">
        <v>#N/A Requesting Data...2978000306</v>
        <stp/>
        <stp>BDP|10266403270799696389</stp>
        <tr r="C40" s="3"/>
      </tp>
      <tp t="s">
        <v>#N/A Requesting Data...1920561790</v>
        <stp/>
        <stp>BDP|11425990669214060384</stp>
        <tr r="I47" s="3"/>
      </tp>
      <tp t="s">
        <v>#N/A Requesting Data...3251390840</v>
        <stp/>
        <stp>BDP|10949768593410598761</stp>
        <tr r="I73" s="3"/>
      </tp>
      <tp t="s">
        <v>#N/A Requesting Data...3180844440</v>
        <stp/>
        <stp>BDP|10439160437642326946</stp>
        <tr r="V16" s="1"/>
        <tr r="C86" s="3"/>
      </tp>
      <tp t="s">
        <v>#N/A Requesting Data...3510586122</v>
        <stp/>
        <stp>BDP|16882700591339832859</stp>
        <tr r="C111" s="3"/>
      </tp>
      <tp t="s">
        <v>#N/A Requesting Data...2616662514</v>
        <stp/>
        <stp>BDP|14170015680415757018</stp>
        <tr r="U7" s="1"/>
      </tp>
      <tp t="s">
        <v>#N/A Requesting Data...2146239114</v>
        <stp/>
        <stp>BDP|17611243686320531382</stp>
        <tr r="I59" s="3"/>
      </tp>
      <tp t="s">
        <v>#N/A Requesting Data...2203657457</v>
        <stp/>
        <stp>BDP|11918829406737250071</stp>
        <tr r="I14" s="3"/>
      </tp>
      <tp t="s">
        <v>#N/A Requesting Data...3805183042</v>
        <stp/>
        <stp>BDP|16854832033436138544</stp>
        <tr r="C155" s="3"/>
      </tp>
      <tp t="s">
        <v>#N/A Requesting Data...2166719265</v>
        <stp/>
        <stp>BDP|17277042607970816970</stp>
        <tr r="C107" s="3"/>
      </tp>
      <tp t="s">
        <v>#N/A Requesting Data...4288443300</v>
        <stp/>
        <stp>BDP|17998578082714402060</stp>
        <tr r="C6" s="3"/>
      </tp>
      <tp t="s">
        <v>#N/A Requesting Data...4086062737</v>
        <stp/>
        <stp>BDP|10193350955170613871</stp>
        <tr r="C88" s="3"/>
      </tp>
      <tp t="s">
        <v>#N/A Requesting Data...3571006315</v>
        <stp/>
        <stp>BDP|15409909570243670676</stp>
        <tr r="C7" s="3"/>
      </tp>
      <tp t="s">
        <v>#N/A Requesting Data...2361414970</v>
        <stp/>
        <stp>BDP|15569719439659786703</stp>
        <tr r="C31" s="3"/>
      </tp>
      <tp t="s">
        <v>#N/A Requesting Data...4267366240</v>
        <stp/>
        <stp>BDP|13008418403139983145</stp>
        <tr r="I46" s="3"/>
      </tp>
      <tp t="s">
        <v>#N/A Requesting Data...2338755492</v>
        <stp/>
        <stp>BDP|15405122576505065908</stp>
        <tr r="P6" s="1"/>
      </tp>
      <tp t="s">
        <v>#N/A Requesting Data...4230622688</v>
        <stp/>
        <stp>BDP|17170955494088651062</stp>
        <tr r="U15" s="1"/>
      </tp>
      <tp t="s">
        <v>#N/A Requesting Data...3147835469</v>
        <stp/>
        <stp>BDP|13376976025412533562</stp>
        <tr r="P14" s="1"/>
      </tp>
      <tp t="s">
        <v>#N/A Requesting Data...2286900214</v>
        <stp/>
        <stp>BDP|10161399052818535276</stp>
        <tr r="C51" s="3"/>
      </tp>
      <tp t="s">
        <v>#N/A Requesting Data...3093684472</v>
        <stp/>
        <stp>BDP|10201197039248094690</stp>
        <tr r="Q15" s="1"/>
        <tr r="I9" s="3"/>
      </tp>
      <tp t="s">
        <v>#N/A Requesting Data...2537720361</v>
        <stp/>
        <stp>BDP|10089418345044912817</stp>
        <tr r="C154" s="3"/>
      </tp>
      <tp t="s">
        <v>#N/A Requesting Data...1789705281</v>
        <stp/>
        <stp>BDP|17122786846908926017</stp>
        <tr r="P10" s="1"/>
      </tp>
      <tp t="s">
        <v>#N/A Requesting Data...2369982584</v>
        <stp/>
        <stp>BDP|16368593729568206565</stp>
        <tr r="I27" s="3"/>
      </tp>
      <tp t="s">
        <v>#N/A Requesting Data...2756090854</v>
        <stp/>
        <stp>BDP|12771767702650217891</stp>
        <tr r="C122" s="3"/>
      </tp>
      <tp t="s">
        <v>#N/A Requesting Data...3458363519</v>
        <stp/>
        <stp>BDP|15688574989692869788</stp>
        <tr r="U4" s="1"/>
      </tp>
      <tp t="s">
        <v>#N/A Requesting Data...2607288905</v>
        <stp/>
        <stp>BDP|10069874117551329525</stp>
        <tr r="AA10" s="1"/>
      </tp>
      <tp t="s">
        <v>#N/A Requesting Data...3903903022</v>
        <stp/>
        <stp>BDP|13723237952388691137</stp>
        <tr r="I60" s="3"/>
      </tp>
      <tp t="s">
        <v>#N/A Requesting Data...3685455268</v>
        <stp/>
        <stp>BDP|15792251865835196930</stp>
        <tr r="C61" s="3"/>
      </tp>
      <tp t="s">
        <v>#N/A Requesting Data...4154668864</v>
        <stp/>
        <stp>BDP|17348010560575754900</stp>
        <tr r="V9" s="1"/>
        <tr r="C78" s="3"/>
      </tp>
      <tp t="s">
        <v>#N/A Requesting Data...2246167833</v>
        <stp/>
        <stp>BDP|13850828028222234643</stp>
        <tr r="AA12" s="1"/>
      </tp>
      <tp t="s">
        <v>#N/A Requesting Data...3261169353</v>
        <stp/>
        <stp>BDP|11843315733840319306</stp>
        <tr r="C30" s="3"/>
      </tp>
      <tp t="s">
        <v>#N/A Requesting Data...3863941497</v>
        <stp/>
        <stp>BDP|12539778833923851723</stp>
        <tr r="Q10" s="1"/>
        <tr r="I4" s="3"/>
      </tp>
      <tp t="s">
        <v>#N/A Requesting Data...1682601216</v>
        <stp/>
        <stp>BDP|15948974743108575243</stp>
        <tr r="C139" s="3"/>
      </tp>
      <tp t="s">
        <v>#N/A Requesting Data...2390061541</v>
        <stp/>
        <stp>BDP|14510679863436763091</stp>
        <tr r="C120" s="3"/>
      </tp>
      <tp t="s">
        <v>#N/A Requesting Data...2227771892</v>
        <stp/>
        <stp>BDP|15423337468220010200</stp>
        <tr r="C48" s="3"/>
      </tp>
      <tp t="s">
        <v>#N/A Requesting Data...4014230872</v>
        <stp/>
        <stp>BDP|16554250964053323391</stp>
        <tr r="C140" s="3"/>
      </tp>
      <tp t="s">
        <v>#N/A Requesting Data...2702780981</v>
        <stp/>
        <stp>BDP|16592160652608667810</stp>
        <tr r="V8" s="1"/>
        <tr r="C77" s="3"/>
      </tp>
      <tp t="s">
        <v>#N/A Requesting Data...2567087938</v>
        <stp/>
        <stp>BDP|17581209526214633130</stp>
        <tr r="I22" s="3"/>
      </tp>
      <tp t="s">
        <v>#N/A Requesting Data...2553565532</v>
        <stp/>
        <stp>BDP|17790067849286391665</stp>
        <tr r="C153" s="3"/>
      </tp>
      <tp t="s">
        <v>#N/A Requesting Data...2667371347</v>
        <stp/>
        <stp>BDP|13848414330300524717</stp>
        <tr r="C25" s="3"/>
      </tp>
      <tp t="s">
        <v>#N/A Requesting Data...3263672666</v>
        <stp/>
        <stp>BDP|14414742449277677333</stp>
        <tr r="I48" s="3"/>
      </tp>
      <tp t="s">
        <v>#N/A Requesting Data...3454306938</v>
        <stp/>
        <stp>BDP|10431525984949135731</stp>
        <tr r="U6" s="1"/>
      </tp>
      <tp t="s">
        <v>#N/A Requesting Data...3894169782</v>
        <stp/>
        <stp>BDP|15245373431663059562</stp>
        <tr r="C45" s="3"/>
      </tp>
      <tp t="s">
        <v>#N/A Requesting Data...3366218406</v>
        <stp/>
        <stp>BDP|16400223992249703771</stp>
        <tr r="C36" s="3"/>
      </tp>
      <tp t="s">
        <v>#N/A Requesting Data...1860345470</v>
        <stp/>
        <stp>BDP|13306033102620776023</stp>
        <tr r="I56" s="3"/>
      </tp>
      <tp t="s">
        <v>#N/A Requesting Data...1714320313</v>
        <stp/>
        <stp>BDP|14212899810107505982</stp>
        <tr r="I35" s="3"/>
      </tp>
      <tp t="s">
        <v>#N/A Requesting Data...1996049385</v>
        <stp/>
        <stp>BDP|15868782608511683085</stp>
        <tr r="Q12" s="1"/>
        <tr r="I11" s="3"/>
      </tp>
      <tp t="s">
        <v>#N/A Requesting Data...3711256339</v>
        <stp/>
        <stp>BDP|17979515276474716106</stp>
        <tr r="I71" s="3"/>
      </tp>
      <tp t="s">
        <v>#N/A Requesting Data...1891894227</v>
        <stp/>
        <stp>BDP|10778957143819306480</stp>
        <tr r="C71" s="3"/>
      </tp>
      <tp t="s">
        <v>#N/A Requesting Data...2528798715</v>
        <stp/>
        <stp>BDP|12688448013157483092</stp>
        <tr r="C63" s="3"/>
      </tp>
      <tp t="s">
        <v>#N/A Requesting Data...2681151485</v>
        <stp/>
        <stp>BDP|12731169093339220353</stp>
        <tr r="V17" s="1"/>
        <tr r="C87" s="3"/>
      </tp>
      <tp t="s">
        <v>#N/A Requesting Data...3701588834</v>
        <stp/>
        <stp>BDP|12647196816636675482</stp>
        <tr r="C13" s="3"/>
      </tp>
      <tp t="s">
        <v>#N/A Requesting Data...2568780675</v>
        <stp/>
        <stp>BDP|11165722673805264442</stp>
        <tr r="P15" s="1"/>
      </tp>
      <tp t="s">
        <v>#N/A Requesting Data...1925038797</v>
        <stp/>
        <stp>BDP|15304390986719897723</stp>
        <tr r="I76" s="3"/>
      </tp>
      <tp t="s">
        <v>9/1/2025</v>
        <stp/>
        <stp>BDP|11495316686715134876|22</stp>
        <stp>USSWIF6 Curncy</stp>
        <stp>SWAP_EFFECTIVE_DATE_RT</stp>
        <tr r="O4" s="1"/>
      </tp>
      <tp t="s">
        <v>#N/A Requesting Data...3635814743</v>
        <stp/>
        <stp>BDP|17056094946115101730</stp>
        <tr r="C50" s="3"/>
      </tp>
      <tp t="s">
        <v>#N/A Requesting Data...2473184751</v>
        <stp/>
        <stp>BDP|12482341349384741022</stp>
        <tr r="C92" s="3"/>
      </tp>
      <tp t="s">
        <v>#N/A Requesting Data...1805035996</v>
        <stp/>
        <stp>BDP|10035372776576778398</stp>
        <tr r="C151" s="3"/>
      </tp>
      <tp t="s">
        <v>#N/A Requesting Data...2712041436</v>
        <stp/>
        <stp>BDP|10572518377996429593</stp>
        <tr r="C134" s="3"/>
      </tp>
      <tp t="s">
        <v>2/1/2026</v>
        <stp/>
        <stp>BDP|15053128436861195786|22</stp>
        <stp>USSWIF11 Curncy</stp>
        <stp>SWAP_EFFECTIVE_DATE_RT</stp>
        <tr r="O9" s="1"/>
      </tp>
      <tp t="s">
        <v>#N/A Requesting Data...3375411375</v>
        <stp/>
        <stp>BDP|14164033904596541345</stp>
        <tr r="C150" s="3"/>
      </tp>
      <tp t="s">
        <v>#N/A Requesting Data...2089575732</v>
        <stp/>
        <stp>BDP|10277563748234944425</stp>
        <tr r="C70" s="3"/>
      </tp>
      <tp t="s">
        <v>#N/A Requesting Data...2025571426</v>
        <stp/>
        <stp>BDP|15558992728378959052</stp>
        <tr r="C157" s="3"/>
      </tp>
      <tp t="s">
        <v>#N/A Requesting Data...3116536687</v>
        <stp/>
        <stp>BDP|16966155604549938892</stp>
        <tr r="P4" s="1"/>
      </tp>
      <tp t="s">
        <v>#N/A Requesting Data...2406273129</v>
        <stp/>
        <stp>BDP|16630171868172310578</stp>
        <tr r="C116" s="3"/>
      </tp>
      <tp t="s">
        <v>#N/A Requesting Data...4077407428</v>
        <stp/>
        <stp>BDP|14911167774876199256</stp>
        <tr r="U11" s="1"/>
      </tp>
      <tp t="s">
        <v>#N/A Requesting Data...2052267174</v>
        <stp/>
        <stp>BDP|14358713536591913732</stp>
        <tr r="C156" s="3"/>
      </tp>
      <tp t="s">
        <v>#N/A Requesting Data...1892198896</v>
        <stp/>
        <stp>BDP|16141034773411586653</stp>
        <tr r="C33" s="3"/>
      </tp>
      <tp t="s">
        <v>#N/A Requesting Data...2038500281</v>
        <stp/>
        <stp>BDP|10200710664763406425</stp>
        <tr r="U14" s="1"/>
      </tp>
      <tp t="s">
        <v>#N/A Requesting Data...2050168484</v>
        <stp/>
        <stp>BDP|12094558219224430496</stp>
        <tr r="I49" s="3"/>
      </tp>
      <tp t="s">
        <v>#N/A Requesting Data...3365800495</v>
        <stp/>
        <stp>BDP|16156359880729322243</stp>
        <tr r="C32" s="3"/>
      </tp>
      <tp t="s">
        <v>#N/A Requesting Data...1668847974</v>
        <stp/>
        <stp>BDP|15948321080311984908</stp>
        <tr r="Q14" s="1"/>
        <tr r="I5" s="3"/>
      </tp>
      <tp t="s">
        <v>#N/A Requesting Data...2370621571</v>
        <stp/>
        <stp>BDP|17218052059356947231</stp>
        <tr r="I53" s="3"/>
      </tp>
      <tp t="s">
        <v>#N/A Requesting Data...4135061910</v>
        <stp/>
        <stp>BDP|16811994797920872091</stp>
        <tr r="I30" s="3"/>
      </tp>
      <tp t="s">
        <v>#N/A Requesting Data...2144826703</v>
        <stp/>
        <stp>BDP|14453384572801610619</stp>
        <tr r="I23" s="3"/>
      </tp>
      <tp t="s">
        <v>#N/A Requesting Data...4231935707</v>
        <stp/>
        <stp>BDP|14133672355676181691</stp>
        <tr r="V11" s="1"/>
        <tr r="C80" s="3"/>
      </tp>
      <tp t="s">
        <v>#N/A Requesting Data...2568301730</v>
        <stp/>
        <stp>BDP|15170971991113066182</stp>
        <tr r="C52" s="3"/>
      </tp>
      <tp t="s">
        <v>#N/A Requesting Data...3525298945</v>
        <stp/>
        <stp>BDP|13697562200646106730</stp>
        <tr r="C95" s="3"/>
      </tp>
      <tp t="s">
        <v>#N/A Requesting Data...1988526810</v>
        <stp/>
        <stp>BDP|15636417672138478943</stp>
        <tr r="C10" s="3"/>
      </tp>
      <tp t="s">
        <v>#N/A Requesting Data...2999825624</v>
        <stp/>
        <stp>BDP|16484417675794106582</stp>
        <tr r="Q7" s="1"/>
        <tr r="I3" s="3"/>
      </tp>
      <tp t="s">
        <v>#N/A Requesting Data...4272751437</v>
        <stp/>
        <stp>BDP|12975895672638204195</stp>
        <tr r="C114" s="3"/>
      </tp>
      <tp t="s">
        <v>#N/A Requesting Data...4179102229</v>
        <stp/>
        <stp>BDP|11600197301772388656</stp>
        <tr r="C118" s="3"/>
      </tp>
      <tp t="s">
        <v>#N/A Requesting Data...4103113394</v>
        <stp/>
        <stp>BDP|13197414718614244628</stp>
        <tr r="I52" s="3"/>
      </tp>
      <tp t="s">
        <v>#N/A Requesting Data...2635758348</v>
        <stp/>
        <stp>BDP|16134319015750831018</stp>
        <tr r="C12" s="3"/>
      </tp>
      <tp t="s">
        <v>#N/A Requesting Data...2062572618</v>
        <stp/>
        <stp>BDP|13916844794424712219</stp>
        <tr r="I70" s="3"/>
      </tp>
      <tp t="s">
        <v>#N/A Requesting Data...2468295341</v>
        <stp/>
        <stp>BDP|13001255852371146195</stp>
        <tr r="C18" s="3"/>
      </tp>
      <tp t="s">
        <v>#N/A Requesting Data...3834905269</v>
        <stp/>
        <stp>BDP|10472707553534432264</stp>
        <tr r="C46" s="3"/>
      </tp>
      <tp t="s">
        <v>#N/A Requesting Data...3938563095</v>
        <stp/>
        <stp>BDP|13672224711066528251</stp>
        <tr r="C131" s="3"/>
      </tp>
      <tp t="s">
        <v>#N/A Requesting Data...2548835345</v>
        <stp/>
        <stp>BDP|12536746671673215567</stp>
        <tr r="AA4" s="1"/>
      </tp>
      <tp t="s">
        <v>4/1/2026</v>
        <stp/>
        <stp>BDP|12877192853191719630|22</stp>
        <stp>USSWIF1 Curncy</stp>
        <stp>SWAP_EFFECTIVE_DATE_RT</stp>
        <tr r="O11" s="1"/>
      </tp>
      <tp t="s">
        <v>#N/A Requesting Data...2463941130</v>
        <stp/>
        <stp>BDP|15629013929185250743</stp>
        <tr r="V13" s="1"/>
        <tr r="C82" s="3"/>
      </tp>
      <tp t="s">
        <v>#N/A Requesting Data...2169066552</v>
        <stp/>
        <stp>BDP|15561826719479490000</stp>
        <tr r="I32" s="3"/>
      </tp>
      <tp t="s">
        <v>#N/A Requesting Data...1957422716</v>
        <stp/>
        <stp>BDP|11603244106841953730</stp>
        <tr r="C113" s="3"/>
      </tp>
      <tp t="s">
        <v>#N/A Requesting Data...3185813030</v>
        <stp/>
        <stp>BDP|16846227505238851942</stp>
        <tr r="I66" s="3"/>
      </tp>
      <tp t="s">
        <v>#N/A Requesting Data...2948222416</v>
        <stp/>
        <stp>BDP|12955848023335935850</stp>
        <tr r="P12" s="1"/>
      </tp>
      <tp t="s">
        <v>#N/A Requesting Data...3002703637</v>
        <stp/>
        <stp>BDP|15789438722520061638</stp>
        <tr r="C56" s="3"/>
      </tp>
      <tp t="s">
        <v>#N/A Requesting Data...3079991322</v>
        <stp/>
        <stp>BDP|16132012335723119300</stp>
        <tr r="I51" s="3"/>
      </tp>
      <tp t="s">
        <v>#N/A Requesting Data...3401163279</v>
        <stp/>
        <stp>BDP|13223727566213658474</stp>
        <tr r="C4" s="3"/>
      </tp>
    </main>
    <main first="bofaddin.rtdserver">
      <tp t="s">
        <v>3/1/2026</v>
        <stp/>
        <stp>BDP|9129543431975639621|22</stp>
        <stp>USSWIF12 Curncy</stp>
        <stp>SWAP_EFFECTIVE_DATE_RT</stp>
        <tr r="O10" s="1"/>
      </tp>
      <tp t="s">
        <v>5/1/2026</v>
        <stp/>
        <stp>BDP|903597428535209691|22</stp>
        <stp>USSWIF2 Curncy</stp>
        <stp>SWAP_EFFECTIVE_DATE_RT</stp>
        <tr r="O12" s="1"/>
      </tp>
      <tp t="s">
        <v>#N/A Requesting Data...1849098059</v>
        <stp/>
        <stp>BDP|8883858632779658642</stp>
        <tr r="C35" s="3"/>
      </tp>
      <tp t="s">
        <v>#N/A Requesting Data...2399979413</v>
        <stp/>
        <stp>BDP|3086350895877252240</stp>
        <tr r="C16" s="3"/>
      </tp>
      <tp t="s">
        <v>#N/A Requesting Data...4157893018</v>
        <stp/>
        <stp>BDP|8438578538283438076</stp>
        <tr r="C141" s="3"/>
      </tp>
      <tp t="s">
        <v>#N/A Requesting Data...2086163291</v>
        <stp/>
        <stp>BDP|6588650681734761183</stp>
        <tr r="C27" s="3"/>
      </tp>
      <tp t="s">
        <v>#N/A Requesting Data...3180407979</v>
        <stp/>
        <stp>BDP|3444084880003121533</stp>
        <tr r="C60" s="3"/>
      </tp>
      <tp t="s">
        <v>#N/A Requesting Data...3974729990</v>
        <stp/>
        <stp>BDP|6909868581922049918</stp>
        <tr r="C110" s="3"/>
      </tp>
      <tp t="s">
        <v>#N/A Requesting Data...2038489241</v>
        <stp/>
        <stp>BDP|1445557879826346863</stp>
        <tr r="I40" s="3"/>
      </tp>
      <tp t="s">
        <v>#N/A Requesting Data...2320964126</v>
        <stp/>
        <stp>BDP|9950524043497247294</stp>
        <tr r="C136" s="3"/>
      </tp>
      <tp t="s">
        <v>#N/A Requesting Data...2194369268</v>
        <stp/>
        <stp>BDP|9710156432571566758</stp>
        <tr r="I37" s="3"/>
      </tp>
      <tp t="s">
        <v>#N/A Requesting Data...3423650246</v>
        <stp/>
        <stp>BDP|5663303020590277926</stp>
        <tr r="C98" s="3"/>
      </tp>
      <tp t="s">
        <v>#N/A Requesting Data...3547258140</v>
        <stp/>
        <stp>BDP|2199406980220213375</stp>
        <tr r="C5" s="3"/>
      </tp>
      <tp t="s">
        <v>#N/A Requesting Data...2191588106</v>
        <stp/>
        <stp>BDP|4217561534179612625</stp>
        <tr r="C58" s="3"/>
      </tp>
      <tp t="s">
        <v>#N/A Requesting Data...4249317270</v>
        <stp/>
        <stp>BDP|2180948075766112744</stp>
        <tr r="C130" s="3"/>
      </tp>
      <tp t="s">
        <v>#N/A Requesting Data...2380618835</v>
        <stp/>
        <stp>BDP|7901956006278721869</stp>
        <tr r="C104" s="3"/>
      </tp>
      <tp t="s">
        <v>#N/A Requesting Data...3922173897</v>
        <stp/>
        <stp>BDP|7411893423245165667</stp>
        <tr r="C2" s="3"/>
      </tp>
      <tp t="s">
        <v>#N/A Requesting Data...1940828082</v>
        <stp/>
        <stp>BDP|5391621699753663705</stp>
        <tr r="C100" s="3"/>
      </tp>
      <tp t="s">
        <v>#N/A Requesting Data...2539021797</v>
        <stp/>
        <stp>BDP|1569781952234888993</stp>
        <tr r="P9" s="1"/>
      </tp>
      <tp t="s">
        <v>#N/A Requesting Data...2946554149</v>
        <stp/>
        <stp>BDP|4672226517939820059</stp>
        <tr r="C117" s="3"/>
      </tp>
      <tp t="s">
        <v>#N/A Requesting Data...2080636378</v>
        <stp/>
        <stp>BDP|3800842490174647867</stp>
        <tr r="C109" s="3"/>
      </tp>
      <tp t="s">
        <v>#N/A Requesting Data...4050547089</v>
        <stp/>
        <stp>BDP|5709225380357404601</stp>
        <tr r="C149" s="3"/>
      </tp>
      <tp t="s">
        <v>#N/A Requesting Data...4043573494</v>
        <stp/>
        <stp>BDP|5085189328000745819</stp>
        <tr r="C112" s="3"/>
      </tp>
      <tp t="s">
        <v>#N/A Requesting Data...3906764050</v>
        <stp/>
        <stp>BDP|9382709674166745175</stp>
        <tr r="U5" s="1"/>
      </tp>
      <tp t="s">
        <v>#N/A Requesting Data...3513256654</v>
        <stp/>
        <stp>BDP|2340626784505790767</stp>
        <tr r="I64" s="3"/>
      </tp>
      <tp t="s">
        <v>#N/A Requesting Data...2373081483</v>
        <stp/>
        <stp>BDP|8152802095095796271</stp>
        <tr r="C146" s="3"/>
      </tp>
      <tp t="s">
        <v>#N/A Requesting Data...2776362646</v>
        <stp/>
        <stp>BDP|5586141029318235107</stp>
        <tr r="Q13" s="1"/>
        <tr r="I8" s="3"/>
      </tp>
      <tp t="s">
        <v>#N/A Requesting Data...2061174727</v>
        <stp/>
        <stp>BDP|3942884404210820458</stp>
        <tr r="I67" s="3"/>
      </tp>
      <tp t="s">
        <v>#N/A Requesting Data...3940461875</v>
        <stp/>
        <stp>BDP|3410021422558947640</stp>
        <tr r="I41" s="3"/>
      </tp>
      <tp t="s">
        <v>#N/A Requesting Data...2984964458</v>
        <stp/>
        <stp>BDP|7821635165939358110</stp>
        <tr r="V6" s="1"/>
        <tr r="C75" s="3"/>
      </tp>
      <tp t="s">
        <v>#N/A N/A</v>
        <stp/>
        <stp>BDH|2528565177728736711</stp>
        <tr r="J4" s="1"/>
      </tp>
      <tp t="s">
        <v>#N/A Requesting Data...2112759518</v>
        <stp/>
        <stp>BDP|8099192118667719026</stp>
        <tr r="C42" s="3"/>
      </tp>
      <tp t="s">
        <v>#N/A Requesting Data...4079247156</v>
        <stp/>
        <stp>BDP|7564342032061205950</stp>
        <tr r="C145" s="3"/>
      </tp>
      <tp t="s">
        <v>#N/A Requesting Data...3964954314</v>
        <stp/>
        <stp>BDP|6558427909622035868</stp>
        <tr r="C15" s="3"/>
      </tp>
      <tp t="s">
        <v>#N/A Requesting Data...1913857360</v>
        <stp/>
        <stp>BDP|9888060838461771394</stp>
        <tr r="P5" s="1"/>
      </tp>
      <tp t="s">
        <v>#N/A Requesting Data...1966546964</v>
        <stp/>
        <stp>BDP|8314771832905317181</stp>
        <tr r="C128" s="3"/>
      </tp>
      <tp t="s">
        <v>#N/A Requesting Data...3143882521</v>
        <stp/>
        <stp>BDP|1996573356248002191</stp>
        <tr r="AA5" s="1"/>
      </tp>
      <tp t="s">
        <v>#N/A Requesting Data...3564594618</v>
        <stp/>
        <stp>BDP|4081049616208229565</stp>
        <tr r="C20" s="3"/>
      </tp>
      <tp t="s">
        <v>#N/A Requesting Data...3530895076</v>
        <stp/>
        <stp>BDP|1377186698529462809</stp>
        <tr r="I75" s="3"/>
      </tp>
      <tp t="s">
        <v>#N/A Requesting Data...3089173083</v>
        <stp/>
        <stp>BDP|5083165645249889039</stp>
        <tr r="C91" s="3"/>
      </tp>
      <tp t="s">
        <v>#N/A Requesting Data...2605633900</v>
        <stp/>
        <stp>BDP|4536059193783666790</stp>
        <tr r="C135" s="3"/>
      </tp>
      <tp t="s">
        <v>#N/A Requesting Data...2131993573</v>
        <stp/>
        <stp>BDP|4749656183205678650</stp>
        <tr r="C38" s="3"/>
      </tp>
      <tp t="s">
        <v>#N/A Requesting Data...3522250857</v>
        <stp/>
        <stp>BDP|8594765946847731528</stp>
        <tr r="I16" s="3"/>
      </tp>
      <tp t="s">
        <v>#N/A Requesting Data...2035987229</v>
        <stp/>
        <stp>BDP|9272224747107497120</stp>
        <tr r="I54" s="3"/>
      </tp>
      <tp t="s">
        <v>#N/A Requesting Data...2137878285</v>
        <stp/>
        <stp>BDP|1041774784140013721</stp>
        <tr r="C64" s="3"/>
      </tp>
      <tp t="s">
        <v>#N/A Requesting Data...3612552552</v>
        <stp/>
        <stp>BDP|1031635446673217915</stp>
        <tr r="I50" s="3"/>
      </tp>
      <tp t="s">
        <v>#N/A Requesting Data...3487722038</v>
        <stp/>
        <stp>BDP|9518744973899580904</stp>
        <tr r="C54" s="3"/>
      </tp>
      <tp t="s">
        <v>#N/A Requesting Data...3932111920</v>
        <stp/>
        <stp>BDP|5406820151140268124</stp>
        <tr r="I63" s="3"/>
      </tp>
      <tp t="s">
        <v>#N/A Requesting Data...1918467232</v>
        <stp/>
        <stp>BDP|1694830350593957686</stp>
        <tr r="I62" s="3"/>
      </tp>
      <tp t="s">
        <v>#N/A Requesting Data...3750689715</v>
        <stp/>
        <stp>BDP|7500666667194702990</stp>
        <tr r="C66" s="3"/>
      </tp>
      <tp t="s">
        <v>#N/A Requesting Data...4003959039</v>
        <stp/>
        <stp>BDP|3833953673663160479</stp>
        <tr r="C69" s="3"/>
      </tp>
      <tp t="s">
        <v>#N/A Requesting Data...2380492012</v>
        <stp/>
        <stp>BDP|9567701714471945402</stp>
        <tr r="I20" s="3"/>
      </tp>
      <tp t="s">
        <v>#N/A Requesting Data...3499748902</v>
        <stp/>
        <stp>BDP|6985157280997075252</stp>
        <tr r="C53" s="3"/>
      </tp>
      <tp t="s">
        <v>#N/A Requesting Data...4008963832</v>
        <stp/>
        <stp>BDP|2456785810019057752</stp>
        <tr r="C99" s="3"/>
      </tp>
      <tp t="s">
        <v>#N/A Requesting Data...3830468627</v>
        <stp/>
        <stp>BDP|9838492126827038280</stp>
        <tr r="C8" s="3"/>
      </tp>
      <tp t="s">
        <v>#N/A Requesting Data...4086511057</v>
        <stp/>
        <stp>BDP|8937076405480531228</stp>
        <tr r="I44" s="3"/>
      </tp>
      <tp t="s">
        <v>#N/A Requesting Data...3223330450</v>
        <stp/>
        <stp>BDP|7712524477676613982</stp>
        <tr r="I57" s="3"/>
      </tp>
      <tp t="s">
        <v>#N/A Requesting Data...4294651930</v>
        <stp/>
        <stp>BDP|1719299799386153607</stp>
        <tr r="AA7" s="1"/>
      </tp>
      <tp t="s">
        <v>#N/A Requesting Data...2868246503</v>
        <stp/>
        <stp>BDP|1429354032568056352</stp>
        <tr r="C24" s="3"/>
      </tp>
      <tp t="s">
        <v>#N/A Requesting Data...2601868949</v>
        <stp/>
        <stp>BDP|8014457710991160601</stp>
        <tr r="I28" s="3"/>
      </tp>
      <tp t="s">
        <v>#N/A Requesting Data...4085791667</v>
        <stp/>
        <stp>BDP|3033880618804365593</stp>
        <tr r="C121" s="3"/>
      </tp>
      <tp t="s">
        <v>#N/A Requesting Data...3098883829</v>
        <stp/>
        <stp>BDP|1706011192993813054</stp>
        <tr r="C96" s="3"/>
      </tp>
      <tp t="s">
        <v>#N/A Requesting Data...2834542102</v>
        <stp/>
        <stp>BDP|4435771694765996413</stp>
        <tr r="C83" s="3"/>
      </tp>
      <tp t="s">
        <v>#N/A Requesting Data...3480444046</v>
        <stp/>
        <stp>BDP|8140233211939841992</stp>
        <tr r="AA6" s="1"/>
      </tp>
      <tp t="s">
        <v>#N/A Requesting Data...3415426710</v>
        <stp/>
        <stp>BDP|1861014768014580864</stp>
        <tr r="C89" s="3"/>
      </tp>
      <tp t="s">
        <v>#N/A Requesting Data...2660348058</v>
        <stp/>
        <stp>BDP|7491589793132824247</stp>
        <tr r="U9" s="1"/>
      </tp>
      <tp t="s">
        <v>#N/A Requesting Data...2577192507</v>
        <stp/>
        <stp>BDP|8239565527673146722</stp>
        <tr r="C144" s="3"/>
      </tp>
      <tp t="s">
        <v>#N/A Requesting Data...2167795507</v>
        <stp/>
        <stp>BDP|8403458650990508239</stp>
        <tr r="C59" s="3"/>
      </tp>
      <tp t="s">
        <v>#N/A Requesting Data...4031591180</v>
        <stp/>
        <stp>BDP|9839159273063333794</stp>
        <tr r="C29" s="3"/>
      </tp>
      <tp t="s">
        <v>#N/A Requesting Data...3740706973</v>
        <stp/>
        <stp>BDP|6567984001629018265</stp>
        <tr r="C162" s="3"/>
      </tp>
      <tp t="s">
        <v>#N/A Requesting Data...2876533519</v>
        <stp/>
        <stp>BDP|1818082544567658696</stp>
        <tr r="I36" s="3"/>
      </tp>
      <tp t="s">
        <v>#N/A Requesting Data...2587048245</v>
        <stp/>
        <stp>BDP|6993846849007577980</stp>
        <tr r="I43" s="3"/>
      </tp>
      <tp t="s">
        <v>#N/A Requesting Data...3053334690</v>
        <stp/>
        <stp>BDP|4351081083971715968</stp>
        <tr r="C68" s="3"/>
      </tp>
      <tp t="s">
        <v>#N/A Requesting Data...2589415709</v>
        <stp/>
        <stp>BDP|1704371763125928545</stp>
        <tr r="C43" s="3"/>
      </tp>
      <tp t="s">
        <v>#N/A Requesting Data...3016736430</v>
        <stp/>
        <stp>BDP|2814041733612431765</stp>
        <tr r="C105" s="3"/>
      </tp>
      <tp t="s">
        <v>#N/A Requesting Data...3587480935</v>
        <stp/>
        <stp>BDP|7829998593746821592</stp>
        <tr r="C102" s="3"/>
      </tp>
      <tp t="s">
        <v>#N/A Requesting Data...3457941857</v>
        <stp/>
        <stp>BDP|6258056741615792371</stp>
        <tr r="C106" s="3"/>
      </tp>
      <tp t="s">
        <v>#N/A Requesting Data...2042902231</v>
        <stp/>
        <stp>BDP|4617042838635235721</stp>
        <tr r="C152" s="3"/>
      </tp>
      <tp t="s">
        <v>#N/A Requesting Data...2871915351</v>
        <stp/>
        <stp>BDP|1240404019180728146</stp>
        <tr r="C65" s="3"/>
      </tp>
      <tp t="s">
        <v>#N/A Requesting Data...2238606762</v>
        <stp/>
        <stp>BDP|2330938495090261788</stp>
        <tr r="AA8" s="1"/>
      </tp>
      <tp t="s">
        <v>#N/A Requesting Data...3044238249</v>
        <stp/>
        <stp>BDP|8465946647526914636</stp>
        <tr r="I42" s="3"/>
      </tp>
      <tp t="s">
        <v>#N/A Requesting Data...2791017174</v>
        <stp/>
        <stp>BDP|9950496650399002439</stp>
        <tr r="C123" s="3"/>
      </tp>
      <tp t="s">
        <v>#N/A Requesting Data...3599497763</v>
        <stp/>
        <stp>BDP|2667683450453794790</stp>
        <tr r="C115" s="3"/>
      </tp>
      <tp t="s">
        <v>#N/A Requesting Data...2562758746</v>
        <stp/>
        <stp>BDP|7273482579447089634</stp>
        <tr r="Q8" s="1"/>
        <tr r="I10" s="3"/>
      </tp>
      <tp t="s">
        <v>#N/A Requesting Data...3799378230</v>
        <stp/>
        <stp>BDP|5025328525011211047</stp>
        <tr r="C34" s="3"/>
      </tp>
      <tp t="s">
        <v>#N/A Requesting Data...3574045054</v>
        <stp/>
        <stp>BDP|3834658410891383085</stp>
        <tr r="C9" s="3"/>
      </tp>
      <tp t="s">
        <v>#N/A Requesting Data...2994703263</v>
        <stp/>
        <stp>BDP|5204453854055475411</stp>
        <tr r="C72" s="3"/>
      </tp>
      <tp t="s">
        <v>#N/A Requesting Data...4199590774</v>
        <stp/>
        <stp>BDP|7184509443593036063</stp>
        <tr r="I18" s="3"/>
      </tp>
      <tp t="s">
        <v>#N/A Requesting Data...3519825588</v>
        <stp/>
        <stp>BDP|4409571100871585532</stp>
        <tr r="V4" s="1"/>
        <tr r="C73" s="3"/>
      </tp>
      <tp t="s">
        <v>#N/A Requesting Data...1875158281</v>
        <stp/>
        <stp>BDP|9147095673928589078</stp>
        <tr r="I24" s="3"/>
      </tp>
      <tp t="s">
        <v>#N/A Requesting Data...2353575678</v>
        <stp/>
        <stp>BDP|6751685416204293341</stp>
        <tr r="C159" s="3"/>
      </tp>
      <tp t="s">
        <v>#N/A Requesting Data...4056880920</v>
        <stp/>
        <stp>BDP|2646981305435776837</stp>
        <tr r="I38" s="3"/>
      </tp>
      <tp t="s">
        <v>#N/A Requesting Data...2158344893</v>
        <stp/>
        <stp>BDP|5538226760447497012</stp>
        <tr r="I15" s="3"/>
      </tp>
      <tp t="s">
        <v>#N/A Requesting Data...3819736513</v>
        <stp/>
        <stp>BDP|4410242283930284836</stp>
        <tr r="C108" s="3"/>
      </tp>
      <tp t="s">
        <v>#N/A Requesting Data...3814703043</v>
        <stp/>
        <stp>BDP|5599646844690725120</stp>
        <tr r="P8" s="1"/>
      </tp>
      <tp t="s">
        <v>#N/A Requesting Data...3242119001</v>
        <stp/>
        <stp>BDP|7323562495194409926</stp>
        <tr r="U8" s="1"/>
      </tp>
      <tp t="s">
        <v>#N/A Requesting Data...4037811219</v>
        <stp/>
        <stp>BDP|4433046404986412449</stp>
        <tr r="C158" s="3"/>
      </tp>
      <tp t="s">
        <v>#N/A Requesting Data...3409187831</v>
        <stp/>
        <stp>BDP|2382374971599643898</stp>
        <tr r="C26" s="3"/>
      </tp>
      <tp t="s">
        <v>#N/A Requesting Data...2338226687</v>
        <stp/>
        <stp>BDP|5510498631210704517</stp>
        <tr r="V14" s="1"/>
        <tr r="C84" s="3"/>
      </tp>
      <tp t="s">
        <v>#N/A Requesting Data...2587536759</v>
        <stp/>
        <stp>BDP|9026898305143148551</stp>
        <tr r="P7" s="1"/>
      </tp>
      <tp t="s">
        <v>#N/A Requesting Data...3779144162</v>
        <stp/>
        <stp>BDP|7449967289015704458</stp>
        <tr r="I34" s="3"/>
      </tp>
      <tp t="s">
        <v>#N/A Requesting Data...4276034792</v>
        <stp/>
        <stp>BDP|7128217049024788278</stp>
        <tr r="C126" s="3"/>
      </tp>
      <tp t="s">
        <v>#N/A Requesting Data...1996939094</v>
        <stp/>
        <stp>BDP|1225789237812079036</stp>
        <tr r="AA13" s="1"/>
      </tp>
      <tp t="s">
        <v>#N/A Requesting Data...2107001049</v>
        <stp/>
        <stp>BDP|2688398335815461032</stp>
        <tr r="I72" s="3"/>
      </tp>
      <tp t="s">
        <v>#N/A Requesting Data...2166920875</v>
        <stp/>
        <stp>BDP|5407744553420709092</stp>
        <tr r="I45" s="3"/>
      </tp>
      <tp t="s">
        <v>#N/A Requesting Data...1948172846</v>
        <stp/>
        <stp>BDP|3301994951851485995</stp>
        <tr r="C103" s="3"/>
      </tp>
      <tp t="s">
        <v>#N/A Requesting Data...2688966896</v>
        <stp/>
        <stp>BDP|1715692313415242487</stp>
        <tr r="U10" s="1"/>
      </tp>
      <tp t="s">
        <v>#N/A Requesting Data...3762064473</v>
        <stp/>
        <stp>BDP|7787511640980270100</stp>
        <tr r="C19" s="3"/>
      </tp>
      <tp t="s">
        <v>#N/A Requesting Data...4205684866</v>
        <stp/>
        <stp>BDP|5881769373931552438</stp>
        <tr r="C37" s="3"/>
      </tp>
      <tp t="s">
        <v>#N/A Requesting Data...2651108076</v>
        <stp/>
        <stp>BDP|8775887083928455015</stp>
        <tr r="I65" s="3"/>
      </tp>
      <tp t="s">
        <v>#N/A Requesting Data...3544560380</v>
        <stp/>
        <stp>BDP|2999354362923182419</stp>
        <tr r="C119" s="3"/>
      </tp>
      <tp t="s">
        <v>#N/A Requesting Data...3250510294</v>
        <stp/>
        <stp>BDP|7144957155592866969</stp>
        <tr r="Q4" s="1"/>
        <tr r="I7" s="3"/>
      </tp>
      <tp t="s">
        <v>#N/A Requesting Data...3930442909</v>
        <stp/>
        <stp>BDP|7376321538937352077</stp>
        <tr r="I31" s="3"/>
      </tp>
      <tp t="s">
        <v>#N/A Requesting Data...1980378993</v>
        <stp/>
        <stp>BDP|6067526931230468040</stp>
        <tr r="C41" s="3"/>
      </tp>
      <tp t="s">
        <v>#N/A Requesting Data...3551764584</v>
        <stp/>
        <stp>BDP|4583763296699195352</stp>
        <tr r="C90" s="3"/>
      </tp>
      <tp t="s">
        <v>#N/A Requesting Data...3894431433</v>
        <stp/>
        <stp>BDP|9013230294690428273</stp>
        <tr r="P13" s="1"/>
      </tp>
      <tp t="s">
        <v>#N/A Requesting Data...2818725272</v>
        <stp/>
        <stp>BDP|2884216262693648467</stp>
        <tr r="C101" s="3"/>
      </tp>
      <tp t="s">
        <v>#N/A Requesting Data...3066101335</v>
        <stp/>
        <stp>BDP|6653931085044954226</stp>
        <tr r="C49" s="3"/>
      </tp>
      <tp t="s">
        <v>#N/A Requesting Data...4175137788</v>
        <stp/>
        <stp>BDP|8816274015493202973</stp>
        <tr r="U17" s="1"/>
      </tp>
      <tp t="s">
        <v>#N/A Requesting Data...4200534985</v>
        <stp/>
        <stp>BDP|4442406327391170217</stp>
        <tr r="I69" s="3"/>
      </tp>
      <tp t="s">
        <v>#N/A Requesting Data...3323738490</v>
        <stp/>
        <stp>BDP|2160522543402219031</stp>
        <tr r="C44" s="3"/>
      </tp>
      <tp t="s">
        <v>#N/A Requesting Data...3412531183</v>
        <stp/>
        <stp>BDP|8134386539959622001</stp>
        <tr r="Q6" s="1"/>
        <tr r="I12" s="3"/>
      </tp>
      <tp t="s">
        <v>#N/A Requesting Data...3443261906</v>
        <stp/>
        <stp>BDP|5175596859875743108</stp>
        <tr r="C160" s="3"/>
      </tp>
      <tp t="s">
        <v>#N/A Requesting Data...4185257885</v>
        <stp/>
        <stp>BDP|6213448269441194717</stp>
        <tr r="I33" s="3"/>
      </tp>
      <tp t="s">
        <v>#N/A Requesting Data...2931293568</v>
        <stp/>
        <stp>BDP|1674630257287785748</stp>
        <tr r="C21" s="3"/>
      </tp>
      <tp t="s">
        <v>#N/A Requesting Data...2161061081</v>
        <stp/>
        <stp>BDP|6722538765332235541</stp>
        <tr r="I79" s="3"/>
      </tp>
      <tp t="s">
        <v>#N/A Requesting Data...3880603603</v>
        <stp/>
        <stp>BDP|4321930751773162948</stp>
        <tr r="C143" s="3"/>
      </tp>
      <tp t="s">
        <v>#N/A Requesting Data...3082098126</v>
        <stp/>
        <stp>BDP|2465770666370232132</stp>
        <tr r="V12" s="1"/>
        <tr r="C81" s="3"/>
      </tp>
      <tp t="s">
        <v>#N/A Requesting Data...4141056373</v>
        <stp/>
        <stp>BDP|3614236909801232351</stp>
        <tr r="V10" s="1"/>
        <tr r="C79" s="3"/>
      </tp>
      <tp t="s">
        <v>#N/A Requesting Data...3530238839</v>
        <stp/>
        <stp>BDP|9264525602047863819</stp>
        <tr r="C129" s="3"/>
      </tp>
      <tp t="s">
        <v>#N/A Requesting Data...2647495169</v>
        <stp/>
        <stp>BDP|3022564266265232698</stp>
        <tr r="C22" s="3"/>
      </tp>
      <tp t="s">
        <v>#N/A Requesting Data...2724319590</v>
        <stp/>
        <stp>BDP|3065289322003110341</stp>
        <tr r="C17" s="3"/>
      </tp>
      <tp t="s">
        <v>#N/A Requesting Data...4052556298</v>
        <stp/>
        <stp>BDP|3488562983458433575</stp>
        <tr r="C97" s="3"/>
      </tp>
      <tp t="s">
        <v>#N/A Requesting Data...2140969362</v>
        <stp/>
        <stp>BDP|8883686451619078120</stp>
        <tr r="I78" s="3"/>
      </tp>
      <tp t="s">
        <v>#N/A Requesting Data...3246587684</v>
        <stp/>
        <stp>BDP|3169607923705567144</stp>
        <tr r="U12" s="1"/>
      </tp>
      <tp t="s">
        <v>#N/A Requesting Data...4191939039</v>
        <stp/>
        <stp>BDP|5066211127374524238</stp>
        <tr r="C23" s="3"/>
      </tp>
      <tp t="s">
        <v>#N/A Requesting Data...3961747046</v>
        <stp/>
        <stp>BDP|4981558656002856539</stp>
        <tr r="V7" s="1"/>
        <tr r="C76" s="3"/>
      </tp>
      <tp t="s">
        <v>#N/A Requesting Data...2981902114</v>
        <stp/>
        <stp>BDP|1175608250980429144</stp>
        <tr r="AA11" s="1"/>
      </tp>
      <tp t="s">
        <v>#N/A Requesting Data...4230077019</v>
        <stp/>
        <stp>BDP|4365340775557570411</stp>
        <tr r="C161" s="3"/>
      </tp>
      <tp t="s">
        <v>#N/A Requesting Data...4068202960</v>
        <stp/>
        <stp>BDP|1345751232810291632</stp>
        <tr r="C57" s="3"/>
      </tp>
      <tp t="s">
        <v>11/1/2025</v>
        <stp/>
        <stp>BDP|4207405402146429574|22</stp>
        <stp>USSWIF8 Curncy</stp>
        <stp>SWAP_EFFECTIVE_DATE_RT</stp>
        <tr r="O6" s="1"/>
      </tp>
      <tp t="s">
        <v>#N/A Requesting Data...2108042643</v>
        <stp/>
        <stp>BDP|531173126430871456</stp>
        <tr r="U13" s="1"/>
      </tp>
      <tp t="s">
        <v>#N/A Requesting Data...2953251140</v>
        <stp/>
        <stp>BDP|437360509784535044</stp>
        <tr r="C28" s="3"/>
      </tp>
      <tp t="s">
        <v>#N/A Requesting Data...3909253194</v>
        <stp/>
        <stp>BDP|719920997835819372</stp>
        <tr r="I21" s="3"/>
      </tp>
      <tp t="s">
        <v>#N/A Requesting Data...3555034481</v>
        <stp/>
        <stp>BDP|220158664486763756</stp>
        <tr r="I68" s="3"/>
      </tp>
      <tp t="s">
        <v>#N/A Requesting Data...3366863667</v>
        <stp/>
        <stp>BDP|327790706290079409</stp>
        <tr r="C62" s="3"/>
      </tp>
      <tp t="s">
        <v>#N/A Requesting Data...3199710401</v>
        <stp/>
        <stp>BDP|598255408960214169</stp>
        <tr r="AA14" s="1"/>
      </tp>
      <tp t="s">
        <v>#N/A Requesting Data...3000372999</v>
        <stp/>
        <stp>BDP|752544571119749831</stp>
        <tr r="I74" s="3"/>
      </tp>
      <tp t="s">
        <v>#N/A Requesting Data...3425086423</v>
        <stp/>
        <stp>BDP|314325233504172733</stp>
        <tr r="C3" s="3"/>
      </tp>
      <tp t="s">
        <v>#N/A Requesting Data...2471230313</v>
        <stp/>
        <stp>BDP|535673656531239152</stp>
        <tr r="C14" s="3"/>
      </tp>
      <tp t="s">
        <v>#N/A Requesting Data...2123124371</v>
        <stp/>
        <stp>BDP|215538495568786816</stp>
        <tr r="C67" s="3"/>
      </tp>
      <tp t="s">
        <v>#N/A Requesting Data...3628112965</v>
        <stp/>
        <stp>BDP|165287045318738295</stp>
        <tr r="I61" s="3"/>
      </tp>
      <tp t="s">
        <v>#N/A Requesting Data...3805368149</v>
        <stp/>
        <stp>BDP|760657431968210265</stp>
        <tr r="I58" s="3"/>
      </tp>
      <tp t="s">
        <v>#N/A Requesting Data...2963228807</v>
        <stp/>
        <stp>BDP|379626236869393287</stp>
        <tr r="I77" s="3"/>
      </tp>
      <tp t="s">
        <v>#N/A Requesting Data...2147400369</v>
        <stp/>
        <stp>BDP|408866569944722468</stp>
        <tr r="AA15" s="1"/>
      </tp>
      <tp t="s">
        <v>#N/A Requesting Data...3477170206</v>
        <stp/>
        <stp>BDP|890144082077292780</stp>
        <tr r="I19" s="3"/>
      </tp>
      <tp t="s">
        <v>#N/A Requesting Data...3114791277</v>
        <stp/>
        <stp>BDP|390385784833233012</stp>
        <tr r="AA9" s="1"/>
      </tp>
      <tp t="s">
        <v>#N/A Requesting Data...4273164578</v>
        <stp/>
        <stp>BDP|487608147160746983</stp>
        <tr r="Q5" s="1"/>
        <tr r="I2" s="3"/>
      </tp>
      <tp t="s">
        <v>12/1/2025</v>
        <stp/>
        <stp>BDP|3701838488086202223|22</stp>
        <stp>USSWIF9 Curncy</stp>
        <stp>SWAP_EFFECTIVE_DATE_RT</stp>
        <tr r="O7" s="1"/>
      </tp>
      <tp t="s">
        <v>8/1/2026</v>
        <stp/>
        <stp>BDP|8239038693000518075|22</stp>
        <stp>USSWIF5 Curncy</stp>
        <stp>SWAP_EFFECTIVE_DATE_RT</stp>
        <tr r="O15" s="1"/>
      </tp>
      <tp t="s">
        <v>#N/A Requesting Data...2230645271</v>
        <stp/>
        <stp>BDP|930696567893770943</stp>
        <tr r="C55" s="3"/>
      </tp>
      <tp t="s">
        <v>#N/A Requesting Data...3385900488</v>
        <stp/>
        <stp>BDP|267021441459137755</stp>
        <tr r="I55" s="3"/>
      </tp>
      <tp t="s">
        <v>10/1/2025</v>
        <stp/>
        <stp>BDP|9561094173690841543|22</stp>
        <stp>USSWIF7 Curncy</stp>
        <stp>SWAP_EFFECTIVE_DATE_RT</stp>
        <tr r="O5" s="1"/>
      </tp>
      <tp t="s">
        <v>6/1/2026</v>
        <stp/>
        <stp>BDP|9158504087751232435|22</stp>
        <stp>USSWIF3 Curncy</stp>
        <stp>SWAP_EFFECTIVE_DATE_RT</stp>
        <tr r="O13" s="1"/>
      </tp>
      <tp t="s">
        <v>7/1/2026</v>
        <stp/>
        <stp>BDP|5771426158732892451|22</stp>
        <stp>USSWIF4 Curncy</stp>
        <stp>SWAP_EFFECTIVE_DATE_RT</stp>
        <tr r="O14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volatileDependencies" Target="volatileDependenci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Sheet1!$N$20:$N$52</c:f>
              <c:numCache>
                <c:formatCode>_(* #,##0.00_);_(* \(#,##0.00\);_(* "-"??_);_(@_)</c:formatCode>
                <c:ptCount val="33"/>
                <c:pt idx="0">
                  <c:v>331.00579070869566</c:v>
                </c:pt>
                <c:pt idx="1">
                  <c:v>335.45279980000004</c:v>
                </c:pt>
                <c:pt idx="2">
                  <c:v>334.55741662903228</c:v>
                </c:pt>
                <c:pt idx="3">
                  <c:v>337.1457411903225</c:v>
                </c:pt>
                <c:pt idx="4">
                  <c:v>341.73199656774193</c:v>
                </c:pt>
                <c:pt idx="5">
                  <c:v>342.86231179760335</c:v>
                </c:pt>
                <c:pt idx="6">
                  <c:v>342.78923647957424</c:v>
                </c:pt>
                <c:pt idx="7">
                  <c:v>346.50589682727093</c:v>
                </c:pt>
                <c:pt idx="8">
                  <c:v>347.71881942887137</c:v>
                </c:pt>
                <c:pt idx="9">
                  <c:v>348.37440859636712</c:v>
                </c:pt>
                <c:pt idx="10">
                  <c:v>351.11694219667169</c:v>
                </c:pt>
                <c:pt idx="11">
                  <c:v>355.28114557085274</c:v>
                </c:pt>
                <c:pt idx="12">
                  <c:v>357.34558818079751</c:v>
                </c:pt>
                <c:pt idx="13">
                  <c:v>357.26240164115956</c:v>
                </c:pt>
                <c:pt idx="14">
                  <c:v>361.84453970615471</c:v>
                </c:pt>
                <c:pt idx="15">
                  <c:v>364.63624005380757</c:v>
                </c:pt>
                <c:pt idx="16">
                  <c:v>366.34797815594885</c:v>
                </c:pt>
                <c:pt idx="17">
                  <c:v>367.31344664369709</c:v>
                </c:pt>
                <c:pt idx="18">
                  <c:v>372.34291161164776</c:v>
                </c:pt>
                <c:pt idx="19">
                  <c:v>374.42550666709269</c:v>
                </c:pt>
                <c:pt idx="20">
                  <c:v>375.0199834527678</c:v>
                </c:pt>
                <c:pt idx="21">
                  <c:v>377.86146969738644</c:v>
                </c:pt>
                <c:pt idx="22">
                  <c:v>382.23225244068709</c:v>
                </c:pt>
                <c:pt idx="23">
                  <c:v>384.31284898881353</c:v>
                </c:pt>
                <c:pt idx="24">
                  <c:v>384.06428010100245</c:v>
                </c:pt>
                <c:pt idx="25">
                  <c:v>389.60807347744219</c:v>
                </c:pt>
                <c:pt idx="26">
                  <c:v>391.67302160389403</c:v>
                </c:pt>
                <c:pt idx="27">
                  <c:v>393.4270479309198</c:v>
                </c:pt>
                <c:pt idx="28">
                  <c:v>394.38169496889117</c:v>
                </c:pt>
                <c:pt idx="29">
                  <c:v>399.69957866383737</c:v>
                </c:pt>
                <c:pt idx="30">
                  <c:v>401.86015417513613</c:v>
                </c:pt>
                <c:pt idx="31">
                  <c:v>402.43393266306867</c:v>
                </c:pt>
                <c:pt idx="32">
                  <c:v>406.63792812721891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AE-45F1-B075-74B26D9B7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6756000"/>
        <c:axId val="1396757440"/>
      </c:lineChart>
      <c:catAx>
        <c:axId val="13967560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757440"/>
        <c:crosses val="autoZero"/>
        <c:auto val="1"/>
        <c:lblAlgn val="ctr"/>
        <c:lblOffset val="100"/>
        <c:noMultiLvlLbl val="0"/>
      </c:catAx>
      <c:valAx>
        <c:axId val="139675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756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croll" dx="22" fmlaLink="$A$1" max="194" page="10" val="42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243053</xdr:colOff>
      <xdr:row>19</xdr:row>
      <xdr:rowOff>188528</xdr:rowOff>
    </xdr:from>
    <xdr:to>
      <xdr:col>20</xdr:col>
      <xdr:colOff>617483</xdr:colOff>
      <xdr:row>34</xdr:row>
      <xdr:rowOff>74228</xdr:rowOff>
    </xdr:to>
    <xdr:graphicFrame macro="">
      <xdr:nvGraphicFramePr>
        <xdr:cNvPr id="9" name="Chart 2">
          <a:extLst>
            <a:ext uri="{FF2B5EF4-FFF2-40B4-BE49-F238E27FC236}">
              <a16:creationId xmlns:a16="http://schemas.microsoft.com/office/drawing/2014/main" id="{D2B58D46-5858-CDD0-1D8E-78CE8A3E7E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306295</xdr:colOff>
      <xdr:row>35</xdr:row>
      <xdr:rowOff>123265</xdr:rowOff>
    </xdr:from>
    <xdr:to>
      <xdr:col>26</xdr:col>
      <xdr:colOff>659868</xdr:colOff>
      <xdr:row>69</xdr:row>
      <xdr:rowOff>41595</xdr:rowOff>
    </xdr:to>
    <xdr:pic>
      <xdr:nvPicPr>
        <xdr:cNvPr id="10" name="Picture 3">
          <a:extLst>
            <a:ext uri="{FF2B5EF4-FFF2-40B4-BE49-F238E27FC236}">
              <a16:creationId xmlns:a16="http://schemas.microsoft.com/office/drawing/2014/main" id="{C4FF4619-1263-39B2-F8C3-0B773CDC95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57883" y="6660030"/>
          <a:ext cx="9573773" cy="6395330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36</xdr:row>
      <xdr:rowOff>0</xdr:rowOff>
    </xdr:from>
    <xdr:to>
      <xdr:col>44</xdr:col>
      <xdr:colOff>480612</xdr:colOff>
      <xdr:row>49</xdr:row>
      <xdr:rowOff>181346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B618092-5903-2297-E71B-8FD741BF3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063882" y="6858000"/>
          <a:ext cx="11193437" cy="2657846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51</xdr:row>
      <xdr:rowOff>0</xdr:rowOff>
    </xdr:from>
    <xdr:to>
      <xdr:col>38</xdr:col>
      <xdr:colOff>91207</xdr:colOff>
      <xdr:row>76</xdr:row>
      <xdr:rowOff>153086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FBC2AB4-FBEA-6852-429E-93B22F1EA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8063882" y="9715500"/>
          <a:ext cx="7173326" cy="491558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456640</xdr:colOff>
          <xdr:row>2</xdr:row>
          <xdr:rowOff>29135</xdr:rowOff>
        </xdr:from>
        <xdr:to>
          <xdr:col>3</xdr:col>
          <xdr:colOff>732865</xdr:colOff>
          <xdr:row>16</xdr:row>
          <xdr:rowOff>114860</xdr:rowOff>
        </xdr:to>
        <xdr:sp macro="" textlink="">
          <xdr:nvSpPr>
            <xdr:cNvPr id="1032" name="Scroll Bar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DBF24F54-328E-F888-C3DB-F49F951E97A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FABAD-72DC-4B66-A259-28FB506CA9EA}">
  <dimension ref="B1:D68"/>
  <sheetViews>
    <sheetView topLeftCell="A19" workbookViewId="0">
      <selection activeCell="K34" sqref="K34"/>
    </sheetView>
  </sheetViews>
  <sheetFormatPr defaultRowHeight="15" x14ac:dyDescent="0.25"/>
  <cols>
    <col min="2" max="2" width="17" bestFit="1" customWidth="1"/>
    <col min="3" max="3" width="28.140625" bestFit="1" customWidth="1"/>
    <col min="4" max="4" width="73.5703125" bestFit="1" customWidth="1"/>
  </cols>
  <sheetData>
    <row r="1" spans="2:4" x14ac:dyDescent="0.25">
      <c r="C1" t="s">
        <v>507</v>
      </c>
      <c r="D1" t="s">
        <v>508</v>
      </c>
    </row>
    <row r="2" spans="2:4" x14ac:dyDescent="0.25">
      <c r="B2" t="s">
        <v>497</v>
      </c>
      <c r="C2" t="s">
        <v>502</v>
      </c>
      <c r="D2" t="s">
        <v>496</v>
      </c>
    </row>
    <row r="3" spans="2:4" x14ac:dyDescent="0.25">
      <c r="B3" t="s">
        <v>498</v>
      </c>
      <c r="C3" t="s">
        <v>509</v>
      </c>
      <c r="D3" t="s">
        <v>499</v>
      </c>
    </row>
    <row r="4" spans="2:4" x14ac:dyDescent="0.25">
      <c r="B4" t="s">
        <v>503</v>
      </c>
      <c r="C4" t="s">
        <v>511</v>
      </c>
      <c r="D4" t="s">
        <v>501</v>
      </c>
    </row>
    <row r="5" spans="2:4" x14ac:dyDescent="0.25">
      <c r="B5" t="s">
        <v>2</v>
      </c>
      <c r="C5" t="s">
        <v>510</v>
      </c>
      <c r="D5" t="s">
        <v>504</v>
      </c>
    </row>
    <row r="6" spans="2:4" x14ac:dyDescent="0.25">
      <c r="B6" t="s">
        <v>6</v>
      </c>
      <c r="C6" t="s">
        <v>510</v>
      </c>
      <c r="D6" t="s">
        <v>500</v>
      </c>
    </row>
    <row r="7" spans="2:4" x14ac:dyDescent="0.25">
      <c r="B7" t="s">
        <v>10</v>
      </c>
      <c r="C7" t="s">
        <v>512</v>
      </c>
    </row>
    <row r="8" spans="2:4" x14ac:dyDescent="0.25">
      <c r="B8" t="s">
        <v>505</v>
      </c>
      <c r="D8" t="s">
        <v>506</v>
      </c>
    </row>
    <row r="11" spans="2:4" x14ac:dyDescent="0.25">
      <c r="B11" s="8" t="s">
        <v>496</v>
      </c>
    </row>
    <row r="12" spans="2:4" x14ac:dyDescent="0.25">
      <c r="B12" s="11" t="s">
        <v>520</v>
      </c>
    </row>
    <row r="13" spans="2:4" x14ac:dyDescent="0.25">
      <c r="B13" t="s">
        <v>513</v>
      </c>
    </row>
    <row r="14" spans="2:4" x14ac:dyDescent="0.25">
      <c r="C14" t="s">
        <v>514</v>
      </c>
    </row>
    <row r="15" spans="2:4" x14ac:dyDescent="0.25">
      <c r="C15" t="s">
        <v>515</v>
      </c>
    </row>
    <row r="16" spans="2:4" x14ac:dyDescent="0.25">
      <c r="C16" t="s">
        <v>516</v>
      </c>
    </row>
    <row r="17" spans="2:3" x14ac:dyDescent="0.25">
      <c r="C17" t="s">
        <v>517</v>
      </c>
    </row>
    <row r="18" spans="2:3" x14ac:dyDescent="0.25">
      <c r="B18" t="s">
        <v>518</v>
      </c>
    </row>
    <row r="20" spans="2:3" x14ac:dyDescent="0.25">
      <c r="B20" s="8" t="s">
        <v>519</v>
      </c>
    </row>
    <row r="21" spans="2:3" x14ac:dyDescent="0.25">
      <c r="B21" s="11" t="s">
        <v>521</v>
      </c>
    </row>
    <row r="22" spans="2:3" x14ac:dyDescent="0.25">
      <c r="B22" t="s">
        <v>513</v>
      </c>
    </row>
    <row r="23" spans="2:3" x14ac:dyDescent="0.25">
      <c r="B23" t="s">
        <v>522</v>
      </c>
    </row>
    <row r="24" spans="2:3" x14ac:dyDescent="0.25">
      <c r="B24" t="s">
        <v>523</v>
      </c>
    </row>
    <row r="25" spans="2:3" x14ac:dyDescent="0.25">
      <c r="B25" t="s">
        <v>524</v>
      </c>
    </row>
    <row r="26" spans="2:3" x14ac:dyDescent="0.25">
      <c r="C26" t="s">
        <v>525</v>
      </c>
    </row>
    <row r="27" spans="2:3" x14ac:dyDescent="0.25">
      <c r="C27" t="s">
        <v>526</v>
      </c>
    </row>
    <row r="28" spans="2:3" x14ac:dyDescent="0.25">
      <c r="C28" t="s">
        <v>527</v>
      </c>
    </row>
    <row r="29" spans="2:3" x14ac:dyDescent="0.25">
      <c r="C29" t="s">
        <v>528</v>
      </c>
    </row>
    <row r="30" spans="2:3" x14ac:dyDescent="0.25">
      <c r="C30" t="s">
        <v>529</v>
      </c>
    </row>
    <row r="31" spans="2:3" x14ac:dyDescent="0.25">
      <c r="C31" t="s">
        <v>530</v>
      </c>
    </row>
    <row r="32" spans="2:3" x14ac:dyDescent="0.25">
      <c r="C32" t="s">
        <v>531</v>
      </c>
    </row>
    <row r="33" spans="2:3" x14ac:dyDescent="0.25">
      <c r="C33" t="s">
        <v>532</v>
      </c>
    </row>
    <row r="34" spans="2:3" x14ac:dyDescent="0.25">
      <c r="B34" t="s">
        <v>518</v>
      </c>
    </row>
    <row r="36" spans="2:3" x14ac:dyDescent="0.25">
      <c r="B36" s="8" t="s">
        <v>533</v>
      </c>
    </row>
    <row r="37" spans="2:3" x14ac:dyDescent="0.25">
      <c r="B37" t="s">
        <v>534</v>
      </c>
    </row>
    <row r="38" spans="2:3" x14ac:dyDescent="0.25">
      <c r="B38" t="s">
        <v>535</v>
      </c>
    </row>
    <row r="39" spans="2:3" x14ac:dyDescent="0.25">
      <c r="B39" s="11" t="s">
        <v>542</v>
      </c>
    </row>
    <row r="40" spans="2:3" x14ac:dyDescent="0.25">
      <c r="C40" t="s">
        <v>513</v>
      </c>
    </row>
    <row r="41" spans="2:3" x14ac:dyDescent="0.25">
      <c r="C41" t="s">
        <v>537</v>
      </c>
    </row>
    <row r="42" spans="2:3" x14ac:dyDescent="0.25">
      <c r="C42" t="s">
        <v>538</v>
      </c>
    </row>
    <row r="43" spans="2:3" x14ac:dyDescent="0.25">
      <c r="C43" t="s">
        <v>539</v>
      </c>
    </row>
    <row r="44" spans="2:3" x14ac:dyDescent="0.25">
      <c r="C44" t="s">
        <v>540</v>
      </c>
    </row>
    <row r="45" spans="2:3" x14ac:dyDescent="0.25">
      <c r="C45" t="s">
        <v>541</v>
      </c>
    </row>
    <row r="46" spans="2:3" x14ac:dyDescent="0.25">
      <c r="C46" t="s">
        <v>518</v>
      </c>
    </row>
    <row r="47" spans="2:3" x14ac:dyDescent="0.25">
      <c r="B47" t="s">
        <v>536</v>
      </c>
    </row>
    <row r="49" spans="2:3" x14ac:dyDescent="0.25">
      <c r="B49" s="8" t="s">
        <v>543</v>
      </c>
    </row>
    <row r="50" spans="2:3" x14ac:dyDescent="0.25">
      <c r="B50" t="s">
        <v>544</v>
      </c>
    </row>
    <row r="51" spans="2:3" x14ac:dyDescent="0.25">
      <c r="C51" t="s">
        <v>545</v>
      </c>
    </row>
    <row r="52" spans="2:3" x14ac:dyDescent="0.25">
      <c r="C52" t="s">
        <v>546</v>
      </c>
    </row>
    <row r="53" spans="2:3" x14ac:dyDescent="0.25">
      <c r="C53" t="s">
        <v>551</v>
      </c>
    </row>
    <row r="54" spans="2:3" x14ac:dyDescent="0.25">
      <c r="B54" t="s">
        <v>531</v>
      </c>
    </row>
    <row r="55" spans="2:3" x14ac:dyDescent="0.25">
      <c r="B55" t="s">
        <v>549</v>
      </c>
    </row>
    <row r="56" spans="2:3" x14ac:dyDescent="0.25">
      <c r="B56" t="s">
        <v>544</v>
      </c>
    </row>
    <row r="57" spans="2:3" x14ac:dyDescent="0.25">
      <c r="C57" t="s">
        <v>547</v>
      </c>
    </row>
    <row r="58" spans="2:3" x14ac:dyDescent="0.25">
      <c r="C58" t="s">
        <v>548</v>
      </c>
    </row>
    <row r="59" spans="2:3" x14ac:dyDescent="0.25">
      <c r="C59" t="s">
        <v>550</v>
      </c>
    </row>
    <row r="60" spans="2:3" x14ac:dyDescent="0.25">
      <c r="B60" t="s">
        <v>531</v>
      </c>
    </row>
    <row r="62" spans="2:3" x14ac:dyDescent="0.25">
      <c r="B62" s="8" t="s">
        <v>557</v>
      </c>
    </row>
    <row r="63" spans="2:3" x14ac:dyDescent="0.25">
      <c r="B63" t="s">
        <v>552</v>
      </c>
    </row>
    <row r="64" spans="2:3" x14ac:dyDescent="0.25">
      <c r="C64" t="s">
        <v>553</v>
      </c>
    </row>
    <row r="65" spans="2:3" x14ac:dyDescent="0.25">
      <c r="C65" t="s">
        <v>554</v>
      </c>
    </row>
    <row r="66" spans="2:3" x14ac:dyDescent="0.25">
      <c r="C66" t="s">
        <v>555</v>
      </c>
    </row>
    <row r="67" spans="2:3" x14ac:dyDescent="0.25">
      <c r="C67" t="s">
        <v>556</v>
      </c>
    </row>
    <row r="68" spans="2:3" x14ac:dyDescent="0.25">
      <c r="B68" t="s">
        <v>531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3DA2B-B009-413B-B470-30E482D4C08C}">
  <dimension ref="A1:AC210"/>
  <sheetViews>
    <sheetView tabSelected="1" zoomScaleNormal="100" workbookViewId="0">
      <selection activeCell="B15" sqref="B15:D18"/>
    </sheetView>
  </sheetViews>
  <sheetFormatPr defaultRowHeight="15" x14ac:dyDescent="0.25"/>
  <cols>
    <col min="1" max="1" width="9.5703125" bestFit="1" customWidth="1"/>
    <col min="2" max="3" width="29" bestFit="1" customWidth="1"/>
    <col min="4" max="5" width="16.42578125" customWidth="1"/>
    <col min="6" max="6" width="28.42578125" bestFit="1" customWidth="1"/>
    <col min="7" max="10" width="16.42578125" customWidth="1"/>
    <col min="11" max="11" width="11.5703125" style="3" bestFit="1" customWidth="1"/>
    <col min="12" max="12" width="10.7109375" style="2" bestFit="1" customWidth="1"/>
    <col min="14" max="15" width="16.140625" bestFit="1" customWidth="1"/>
    <col min="16" max="16" width="10" bestFit="1" customWidth="1"/>
    <col min="17" max="17" width="16.140625" bestFit="1" customWidth="1"/>
    <col min="18" max="18" width="9.85546875" bestFit="1" customWidth="1"/>
    <col min="19" max="19" width="16.140625" bestFit="1" customWidth="1"/>
    <col min="20" max="20" width="12.85546875" bestFit="1" customWidth="1"/>
    <col min="21" max="21" width="9.85546875" bestFit="1" customWidth="1"/>
    <col min="22" max="23" width="9.5703125" bestFit="1" customWidth="1"/>
    <col min="24" max="24" width="11.85546875" customWidth="1"/>
    <col min="26" max="26" width="23.28515625" customWidth="1"/>
    <col min="27" max="27" width="19.28515625" bestFit="1" customWidth="1"/>
    <col min="28" max="29" width="12.28515625" bestFit="1" customWidth="1"/>
  </cols>
  <sheetData>
    <row r="1" spans="1:27" x14ac:dyDescent="0.25">
      <c r="A1">
        <v>42</v>
      </c>
      <c r="F1" t="s">
        <v>559</v>
      </c>
      <c r="H1" s="4"/>
    </row>
    <row r="2" spans="1:27" x14ac:dyDescent="0.25">
      <c r="F2" s="21">
        <v>46203</v>
      </c>
      <c r="G2">
        <v>332.92642999999998</v>
      </c>
      <c r="H2" s="28">
        <f ca="1">IF((F2=$B$20),$C$20,0)</f>
        <v>0</v>
      </c>
    </row>
    <row r="3" spans="1:27" x14ac:dyDescent="0.25">
      <c r="C3" s="2"/>
      <c r="F3" s="21">
        <v>46202</v>
      </c>
      <c r="G3">
        <v>332.83287000000001</v>
      </c>
      <c r="H3" s="28">
        <f t="shared" ref="H3:H30" ca="1" si="0">IF((F3=$B$20),$C$20,0)</f>
        <v>0</v>
      </c>
      <c r="J3" t="s">
        <v>0</v>
      </c>
      <c r="K3" t="s">
        <v>1</v>
      </c>
      <c r="N3" s="9" t="s">
        <v>2</v>
      </c>
      <c r="O3" s="9" t="s">
        <v>3</v>
      </c>
      <c r="P3" s="9" t="s">
        <v>4</v>
      </c>
      <c r="Q3" s="9" t="s">
        <v>5</v>
      </c>
      <c r="S3" s="10" t="s">
        <v>6</v>
      </c>
      <c r="T3" s="10" t="s">
        <v>7</v>
      </c>
      <c r="U3" s="10" t="s">
        <v>4</v>
      </c>
      <c r="V3" s="10" t="s">
        <v>8</v>
      </c>
      <c r="Y3" s="14" t="s">
        <v>9</v>
      </c>
      <c r="Z3" s="14" t="s">
        <v>10</v>
      </c>
      <c r="AA3" s="14" t="s">
        <v>11</v>
      </c>
    </row>
    <row r="4" spans="1:27" x14ac:dyDescent="0.25">
      <c r="C4" s="2"/>
      <c r="F4" s="21">
        <v>46199</v>
      </c>
      <c r="G4">
        <v>332.55216999999999</v>
      </c>
      <c r="H4" s="28">
        <f t="shared" ca="1" si="0"/>
        <v>0</v>
      </c>
      <c r="J4" s="2" cm="1">
        <f t="array" aca="1" ref="J4:K15" ca="1">_xll.BDH("CPURNSA Index","PX_LAST",DATE(YEAR(C10),MONTH(C10)-12,DAY(C10)),C10,"Dir=V","Dts=S","Sort=D","Quote=C","QtTyp=P","Days=T",CONCATENATE("Per=c",C13),"DtFmt=D","UseDPDF=Y")</f>
        <v>46173</v>
      </c>
      <c r="K4">
        <f ca="1"/>
        <v>335.12299999999999</v>
      </c>
      <c r="N4" s="9" t="s">
        <v>12</v>
      </c>
      <c r="O4" s="9" t="str">
        <f>_xll.BDP(N4, "SWAP_EFFECTIVE_DATE_RT")</f>
        <v>9/1/2025</v>
      </c>
      <c r="P4" s="12" cm="1">
        <f t="array" ref="P4">DATEVALUE((_xll.BDP(N4,"MATURITY")))</f>
        <v>46266</v>
      </c>
      <c r="Q4" s="9">
        <f>_xll.BDP(N4, "PX_LAST")</f>
        <v>334.74990000000003</v>
      </c>
      <c r="S4" s="10" t="s">
        <v>13</v>
      </c>
      <c r="T4" s="13">
        <f t="shared" ref="T4:T17" ca="1" si="1">$C$10+2</f>
        <v>46172</v>
      </c>
      <c r="U4" s="10" t="str">
        <f>_xll.BDP(S4, "MATURITY")</f>
        <v>7/13/2027</v>
      </c>
      <c r="V4" s="10">
        <f>_xll.BDP(S4, "PX_LAST")</f>
        <v>2.25</v>
      </c>
      <c r="W4" s="10">
        <v>1</v>
      </c>
      <c r="Y4" s="14">
        <v>1</v>
      </c>
      <c r="Z4" s="14" t="s">
        <v>14</v>
      </c>
      <c r="AA4" s="14">
        <f>_xll.BDP(Z4, "PX_LAST")</f>
        <v>0.996</v>
      </c>
    </row>
    <row r="5" spans="1:27" x14ac:dyDescent="0.25">
      <c r="C5" s="2"/>
      <c r="F5" s="21">
        <v>46198</v>
      </c>
      <c r="G5">
        <v>332.45859999999999</v>
      </c>
      <c r="H5" s="28">
        <f t="shared" ca="1" si="0"/>
        <v>0</v>
      </c>
      <c r="J5" s="2">
        <f ca="1"/>
        <v>46142</v>
      </c>
      <c r="K5">
        <f ca="1"/>
        <v>333.02</v>
      </c>
      <c r="N5" s="9" t="s">
        <v>15</v>
      </c>
      <c r="O5" s="9" t="str">
        <f>_xll.BDP(N5, "SWAP_EFFECTIVE_DATE_RT")</f>
        <v>10/1/2025</v>
      </c>
      <c r="P5" s="12" cm="1">
        <f t="array" ref="P5">DATEVALUE((_xll.BDP(N5,"MATURITY")))</f>
        <v>46296</v>
      </c>
      <c r="Q5" s="9">
        <f>_xll.BDP(N5, "PX_LAST")</f>
        <v>334.99990000000003</v>
      </c>
      <c r="S5" s="10" t="s">
        <v>16</v>
      </c>
      <c r="T5" s="13">
        <f t="shared" ca="1" si="1"/>
        <v>46172</v>
      </c>
      <c r="U5" s="10" t="str">
        <f>_xll.BDP(S5, "MATURITY")</f>
        <v>7/13/2028</v>
      </c>
      <c r="V5" s="10">
        <f>_xll.BDP(S5, "PX_LAST")</f>
        <v>2.4325000000000001</v>
      </c>
      <c r="W5" s="10">
        <f>W4+1</f>
        <v>2</v>
      </c>
      <c r="Y5" s="14">
        <v>2</v>
      </c>
      <c r="Z5" s="14" t="s">
        <v>17</v>
      </c>
      <c r="AA5" s="14">
        <f>_xll.BDP(Z5, "PX_LAST")</f>
        <v>0.998</v>
      </c>
    </row>
    <row r="6" spans="1:27" x14ac:dyDescent="0.25">
      <c r="C6" s="21"/>
      <c r="F6" s="21">
        <v>46197</v>
      </c>
      <c r="G6">
        <v>332.36502999999999</v>
      </c>
      <c r="H6" s="28">
        <f t="shared" ca="1" si="0"/>
        <v>0</v>
      </c>
      <c r="J6" s="2">
        <f ca="1"/>
        <v>46112</v>
      </c>
      <c r="K6">
        <f ca="1"/>
        <v>330.21300000000002</v>
      </c>
      <c r="N6" s="9" t="s">
        <v>18</v>
      </c>
      <c r="O6" s="9" t="str">
        <f>_xll.BDP(N6, "SWAP_EFFECTIVE_DATE_RT")</f>
        <v>11/1/2025</v>
      </c>
      <c r="P6" s="12" cm="1">
        <f t="array" ref="P6">DATEVALUE((_xll.BDP(N6,"MATURITY")))</f>
        <v>46327</v>
      </c>
      <c r="Q6" s="9">
        <f>_xll.BDP(N6, "PX_LAST")</f>
        <v>335.73989999999998</v>
      </c>
      <c r="S6" s="10" t="s">
        <v>19</v>
      </c>
      <c r="T6" s="13">
        <f t="shared" ca="1" si="1"/>
        <v>46172</v>
      </c>
      <c r="U6" s="10" t="str">
        <f>_xll.BDP(S6, "MATURITY")</f>
        <v>7/13/2029</v>
      </c>
      <c r="V6" s="10">
        <f>_xll.BDP(S6, "PX_LAST")</f>
        <v>2.4636999999999998</v>
      </c>
      <c r="W6" s="10">
        <f t="shared" ref="W6:W13" si="2">W5+1</f>
        <v>3</v>
      </c>
      <c r="Y6" s="14">
        <v>3</v>
      </c>
      <c r="Z6" s="14" t="s">
        <v>20</v>
      </c>
      <c r="AA6" s="14">
        <f>_xll.BDP(Z6, "PX_LAST")</f>
        <v>1.0009999999999999</v>
      </c>
    </row>
    <row r="7" spans="1:27" x14ac:dyDescent="0.25">
      <c r="C7" s="21"/>
      <c r="F7" s="21">
        <v>46196</v>
      </c>
      <c r="G7">
        <v>332.27147000000002</v>
      </c>
      <c r="H7" s="28">
        <f t="shared" ca="1" si="0"/>
        <v>0</v>
      </c>
      <c r="J7" s="2">
        <f ca="1"/>
        <v>46081</v>
      </c>
      <c r="K7">
        <f ca="1"/>
        <v>326.78500000000003</v>
      </c>
      <c r="N7" s="9" t="s">
        <v>21</v>
      </c>
      <c r="O7" s="9" t="str">
        <f>_xll.BDP(N7, "SWAP_EFFECTIVE_DATE_RT")</f>
        <v>12/1/2025</v>
      </c>
      <c r="P7" s="12" cm="1">
        <f t="array" ref="P7">DATEVALUE((_xll.BDP(N7,"MATURITY")))</f>
        <v>46357</v>
      </c>
      <c r="Q7" s="9">
        <f>_xll.BDP(N7, "PX_LAST")</f>
        <v>336.30990000000003</v>
      </c>
      <c r="S7" s="10" t="s">
        <v>22</v>
      </c>
      <c r="T7" s="13">
        <f t="shared" ca="1" si="1"/>
        <v>46172</v>
      </c>
      <c r="U7" s="10" t="str">
        <f>_xll.BDP(S7, "MATURITY")</f>
        <v>7/13/2030</v>
      </c>
      <c r="V7" s="10">
        <f>_xll.BDP(S7, "PX_LAST")</f>
        <v>2.4708000000000001</v>
      </c>
      <c r="W7" s="10">
        <f t="shared" si="2"/>
        <v>4</v>
      </c>
      <c r="Y7" s="14">
        <v>4</v>
      </c>
      <c r="Z7" s="14" t="s">
        <v>23</v>
      </c>
      <c r="AA7" s="14">
        <f>_xll.BDP(Z7, "PX_LAST")</f>
        <v>1.0029999999999999</v>
      </c>
    </row>
    <row r="8" spans="1:27" x14ac:dyDescent="0.25">
      <c r="F8" s="21">
        <v>46195</v>
      </c>
      <c r="G8">
        <v>332.17790000000002</v>
      </c>
      <c r="H8" s="28">
        <f t="shared" ca="1" si="0"/>
        <v>0</v>
      </c>
      <c r="J8" s="2">
        <f ca="1"/>
        <v>46053</v>
      </c>
      <c r="K8">
        <f ca="1"/>
        <v>325.25200000000001</v>
      </c>
      <c r="N8" s="9" t="s">
        <v>24</v>
      </c>
      <c r="O8" s="9" t="str">
        <f>_xll.BDP(N8, "SWAP_EFFECTIVE_DATE_RT")</f>
        <v>1/1/2026</v>
      </c>
      <c r="P8" s="12" cm="1">
        <f t="array" ref="P8">DATEVALUE((_xll.BDP(N8,"MATURITY")))</f>
        <v>46388</v>
      </c>
      <c r="Q8" s="9">
        <f>_xll.BDP(N8, "PX_LAST")</f>
        <v>336.13990000000001</v>
      </c>
      <c r="S8" s="10" t="s">
        <v>25</v>
      </c>
      <c r="T8" s="13">
        <f t="shared" ca="1" si="1"/>
        <v>46172</v>
      </c>
      <c r="U8" s="10" t="str">
        <f>_xll.BDP(S8, "MATURITY")</f>
        <v>7/13/2031</v>
      </c>
      <c r="V8" s="18">
        <f>_xll.BDP(S8, "PX_LAST")</f>
        <v>2.4660000000000002</v>
      </c>
      <c r="W8" s="10">
        <f t="shared" si="2"/>
        <v>5</v>
      </c>
      <c r="Y8" s="14">
        <v>5</v>
      </c>
      <c r="Z8" s="14" t="s">
        <v>26</v>
      </c>
      <c r="AA8" s="14">
        <f>_xll.BDP(Z8, "PX_LAST")</f>
        <v>1.0029999999999999</v>
      </c>
    </row>
    <row r="9" spans="1:27" x14ac:dyDescent="0.25">
      <c r="C9" s="1"/>
      <c r="F9" s="21">
        <v>46191</v>
      </c>
      <c r="G9">
        <v>331.80363</v>
      </c>
      <c r="H9" s="28">
        <f t="shared" ca="1" si="0"/>
        <v>0</v>
      </c>
      <c r="J9" s="5">
        <f ca="1"/>
        <v>46022</v>
      </c>
      <c r="K9">
        <f ca="1"/>
        <v>324.05399999999997</v>
      </c>
      <c r="N9" s="9" t="s">
        <v>27</v>
      </c>
      <c r="O9" s="9" t="str">
        <f>_xll.BDP(N9, "SWAP_EFFECTIVE_DATE_RT")</f>
        <v>2/1/2026</v>
      </c>
      <c r="P9" s="12" cm="1">
        <f t="array" ref="P9">DATEVALUE((_xll.BDP(N9,"MATURITY")))</f>
        <v>46419</v>
      </c>
      <c r="Q9" s="9">
        <f>_xll.BDP(N9, "PX_LAST")</f>
        <v>335.74990000000003</v>
      </c>
      <c r="S9" s="10" t="s">
        <v>28</v>
      </c>
      <c r="T9" s="13">
        <f t="shared" ca="1" si="1"/>
        <v>46172</v>
      </c>
      <c r="U9" s="10" t="str">
        <f>_xll.BDP(S9, "MATURITY")</f>
        <v>7/13/2032</v>
      </c>
      <c r="V9" s="10">
        <f>_xll.BDP(S9, "PX_LAST")</f>
        <v>2.4590000000000001</v>
      </c>
      <c r="W9" s="10">
        <f t="shared" si="2"/>
        <v>6</v>
      </c>
      <c r="Y9" s="14">
        <v>6</v>
      </c>
      <c r="Z9" s="14" t="s">
        <v>29</v>
      </c>
      <c r="AA9" s="14">
        <f>_xll.BDP(Z9, "PX_LAST")</f>
        <v>1.0029999999999999</v>
      </c>
    </row>
    <row r="10" spans="1:27" x14ac:dyDescent="0.25">
      <c r="B10" t="s">
        <v>560</v>
      </c>
      <c r="C10" s="21">
        <f ca="1">TODAY()-A1</f>
        <v>46170</v>
      </c>
      <c r="F10" s="21">
        <v>46190</v>
      </c>
      <c r="G10">
        <v>331.71006999999997</v>
      </c>
      <c r="H10" s="28">
        <f t="shared" ca="1" si="0"/>
        <v>0</v>
      </c>
      <c r="J10" s="5">
        <f ca="1"/>
        <v>45991</v>
      </c>
      <c r="K10">
        <f ca="1"/>
        <v>324.12200000000001</v>
      </c>
      <c r="N10" s="9" t="s">
        <v>30</v>
      </c>
      <c r="O10" s="9" t="str">
        <f>_xll.BDP(N10, "SWAP_EFFECTIVE_DATE_RT")</f>
        <v>3/1/2026</v>
      </c>
      <c r="P10" s="12" cm="1">
        <f t="array" ref="P10">DATEVALUE((_xll.BDP(N10,"MATURITY")))</f>
        <v>46447</v>
      </c>
      <c r="Q10" s="9">
        <f>_xll.BDP(N10, "PX_LAST")</f>
        <v>335.79989999999998</v>
      </c>
      <c r="S10" s="10" t="s">
        <v>31</v>
      </c>
      <c r="T10" s="13">
        <f t="shared" ca="1" si="1"/>
        <v>46172</v>
      </c>
      <c r="U10" s="10" t="str">
        <f>_xll.BDP(S10, "MATURITY")</f>
        <v>7/13/2033</v>
      </c>
      <c r="V10" s="10">
        <f>_xll.BDP(S10, "PX_LAST")</f>
        <v>2.4419</v>
      </c>
      <c r="W10" s="10">
        <f t="shared" si="2"/>
        <v>7</v>
      </c>
      <c r="Y10" s="14">
        <v>7</v>
      </c>
      <c r="Z10" s="14" t="s">
        <v>32</v>
      </c>
      <c r="AA10" s="14">
        <f>_xll.BDP(Z10, "PX_LAST")</f>
        <v>1.002</v>
      </c>
    </row>
    <row r="11" spans="1:27" x14ac:dyDescent="0.25">
      <c r="B11" t="s">
        <v>559</v>
      </c>
      <c r="C11" s="21" cm="1">
        <f t="array" aca="1" ref="C11" ca="1">_xll.qwCalAddBusDays("US",strippingDate,2)</f>
        <v>46174</v>
      </c>
      <c r="F11" s="21">
        <v>46189</v>
      </c>
      <c r="G11">
        <v>331.61649999999997</v>
      </c>
      <c r="H11" s="28">
        <f t="shared" ca="1" si="0"/>
        <v>0</v>
      </c>
      <c r="J11" s="5">
        <f ca="1"/>
        <v>45930</v>
      </c>
      <c r="K11">
        <f ca="1"/>
        <v>324.8</v>
      </c>
      <c r="N11" s="9" t="s">
        <v>35</v>
      </c>
      <c r="O11" s="9" t="str">
        <f>_xll.BDP(N11, "SWAP_EFFECTIVE_DATE_RT")</f>
        <v>4/1/2026</v>
      </c>
      <c r="P11" s="12" cm="1">
        <f t="array" ref="P11">DATEVALUE((_xll.BDP(N11,"MATURITY")))</f>
        <v>46478</v>
      </c>
      <c r="Q11" s="9">
        <f>_xll.BDP(N11, "PX_LAST")</f>
        <v>337.15989999999999</v>
      </c>
      <c r="S11" s="10" t="s">
        <v>36</v>
      </c>
      <c r="T11" s="13">
        <f t="shared" ca="1" si="1"/>
        <v>46172</v>
      </c>
      <c r="U11" s="10" t="str">
        <f>_xll.BDP(S11, "MATURITY")</f>
        <v>7/13/2034</v>
      </c>
      <c r="V11" s="10">
        <f>_xll.BDP(S11, "PX_LAST")</f>
        <v>2.4329000000000001</v>
      </c>
      <c r="W11" s="10">
        <f t="shared" si="2"/>
        <v>8</v>
      </c>
      <c r="Y11" s="14">
        <v>8</v>
      </c>
      <c r="Z11" s="14" t="s">
        <v>37</v>
      </c>
      <c r="AA11" s="14">
        <f>_xll.BDP(Z11, "PX_LAST")</f>
        <v>1.002</v>
      </c>
    </row>
    <row r="12" spans="1:27" x14ac:dyDescent="0.25">
      <c r="B12" t="s">
        <v>558</v>
      </c>
      <c r="C12" s="21" cm="1">
        <f t="array" aca="1" ref="C12" ca="1">IF(MONTH(strippingDate)=MONTH(spotDate),EOMONTH(_xll.qwCalAddMonths("US",C10,-3),0),EOMONTH(_xll.qwCalAddMonths("US",C11,-3),0))</f>
        <v>46112</v>
      </c>
      <c r="F12" s="21">
        <v>46188</v>
      </c>
      <c r="G12">
        <v>331.52292999999997</v>
      </c>
      <c r="H12" s="28">
        <f t="shared" ca="1" si="0"/>
        <v>0</v>
      </c>
      <c r="J12" s="5">
        <f ca="1"/>
        <v>45900</v>
      </c>
      <c r="K12">
        <f ca="1"/>
        <v>323.976</v>
      </c>
      <c r="N12" s="9" t="s">
        <v>39</v>
      </c>
      <c r="O12" s="9" t="str">
        <f>_xll.BDP(N12, "SWAP_EFFECTIVE_DATE_RT")</f>
        <v>5/1/2026</v>
      </c>
      <c r="P12" s="12" cm="1">
        <f t="array" ref="P12">DATEVALUE((_xll.BDP(N12,"MATURITY")))</f>
        <v>46508</v>
      </c>
      <c r="Q12" s="9">
        <f>_xll.BDP(N12, "PX_LAST")</f>
        <v>338.4298</v>
      </c>
      <c r="S12" s="10" t="s">
        <v>40</v>
      </c>
      <c r="T12" s="13">
        <f t="shared" ca="1" si="1"/>
        <v>46172</v>
      </c>
      <c r="U12" s="10" t="str">
        <f>_xll.BDP(S12, "MATURITY")</f>
        <v>7/13/2035</v>
      </c>
      <c r="V12" s="10">
        <f>_xll.BDP(S12, "PX_LAST")</f>
        <v>2.4247000000000001</v>
      </c>
      <c r="W12" s="10">
        <f t="shared" si="2"/>
        <v>9</v>
      </c>
      <c r="Y12" s="14">
        <v>9</v>
      </c>
      <c r="Z12" s="14" t="s">
        <v>41</v>
      </c>
      <c r="AA12" s="14">
        <f>_xll.BDP(Z12, "PX_LAST")</f>
        <v>1.002</v>
      </c>
    </row>
    <row r="13" spans="1:27" x14ac:dyDescent="0.25">
      <c r="B13" t="s">
        <v>33</v>
      </c>
      <c r="C13" t="s">
        <v>34</v>
      </c>
      <c r="F13" s="21">
        <v>46185</v>
      </c>
      <c r="G13">
        <v>331.24223000000001</v>
      </c>
      <c r="H13" s="28">
        <f t="shared" ca="1" si="0"/>
        <v>0</v>
      </c>
      <c r="J13" s="5">
        <f ca="1"/>
        <v>45869</v>
      </c>
      <c r="K13">
        <f ca="1"/>
        <v>323.048</v>
      </c>
      <c r="N13" s="9" t="s">
        <v>42</v>
      </c>
      <c r="O13" s="9" t="str">
        <f>_xll.BDP(N13, "SWAP_EFFECTIVE_DATE_RT")</f>
        <v>6/1/2026</v>
      </c>
      <c r="P13" s="12" cm="1">
        <f t="array" ref="P13">DATEVALUE((_xll.BDP(N13,"MATURITY")))</f>
        <v>46539</v>
      </c>
      <c r="Q13" s="9">
        <f>_xll.BDP(N13, "PX_LAST")</f>
        <v>339.96980000000002</v>
      </c>
      <c r="S13" s="10" t="s">
        <v>43</v>
      </c>
      <c r="T13" s="13">
        <f t="shared" ca="1" si="1"/>
        <v>46172</v>
      </c>
      <c r="U13" s="10" t="str">
        <f>_xll.BDP(S13, "MATURITY")</f>
        <v>7/13/2036</v>
      </c>
      <c r="V13" s="10">
        <f>_xll.BDP(S13, "PX_LAST")</f>
        <v>2.4249999999999998</v>
      </c>
      <c r="W13" s="10">
        <f t="shared" si="2"/>
        <v>10</v>
      </c>
      <c r="Y13" s="14">
        <v>10</v>
      </c>
      <c r="Z13" s="14" t="s">
        <v>44</v>
      </c>
      <c r="AA13" s="14">
        <f>_xll.BDP(Z13, "PX_LAST")</f>
        <v>1</v>
      </c>
    </row>
    <row r="14" spans="1:27" x14ac:dyDescent="0.25">
      <c r="B14" t="s">
        <v>38</v>
      </c>
      <c r="C14">
        <v>3</v>
      </c>
      <c r="F14" s="21">
        <v>46184</v>
      </c>
      <c r="G14">
        <v>331.14866999999998</v>
      </c>
      <c r="H14" s="28">
        <f t="shared" ca="1" si="0"/>
        <v>0</v>
      </c>
      <c r="J14" s="5">
        <f ca="1"/>
        <v>45838</v>
      </c>
      <c r="K14">
        <f ca="1"/>
        <v>322.56099999999998</v>
      </c>
      <c r="N14" s="9" t="s">
        <v>45</v>
      </c>
      <c r="O14" s="9" t="str">
        <f>_xll.BDP(N14, "SWAP_EFFECTIVE_DATE_RT")</f>
        <v>7/1/2026</v>
      </c>
      <c r="P14" s="12" cm="1">
        <f t="array" ref="P14">DATEVALUE((_xll.BDP(N14,"MATURITY")))</f>
        <v>46569</v>
      </c>
      <c r="Q14" s="9">
        <f>_xll.BDP(N14, "PX_LAST")</f>
        <v>341.01990000000001</v>
      </c>
      <c r="S14" s="10" t="s">
        <v>46</v>
      </c>
      <c r="T14" s="13">
        <f t="shared" ca="1" si="1"/>
        <v>46172</v>
      </c>
      <c r="U14" s="10" t="str">
        <f>_xll.BDP(S14, "MATURITY")</f>
        <v>7/13/2041</v>
      </c>
      <c r="V14" s="10">
        <f>_xll.BDP(S14, "PX_LAST")</f>
        <v>2.41</v>
      </c>
      <c r="W14" s="10">
        <v>15</v>
      </c>
      <c r="Y14" s="14">
        <v>11</v>
      </c>
      <c r="Z14" s="14" t="s">
        <v>47</v>
      </c>
      <c r="AA14" s="14">
        <f>_xll.BDP(Z14, "PX_LAST")</f>
        <v>0.997</v>
      </c>
    </row>
    <row r="15" spans="1:27" x14ac:dyDescent="0.25">
      <c r="F15" s="21">
        <v>46183</v>
      </c>
      <c r="G15">
        <v>331.05509999999998</v>
      </c>
      <c r="H15" s="28">
        <f t="shared" ca="1" si="0"/>
        <v>0</v>
      </c>
      <c r="J15" s="5">
        <f ca="1"/>
        <v>45808</v>
      </c>
      <c r="K15">
        <f ca="1"/>
        <v>321.46499999999997</v>
      </c>
      <c r="N15" s="9" t="s">
        <v>48</v>
      </c>
      <c r="O15" s="9" t="str">
        <f>_xll.BDP(N15, "SWAP_EFFECTIVE_DATE_RT")</f>
        <v>8/1/2026</v>
      </c>
      <c r="P15" s="12" cm="1">
        <f t="array" ref="P15">DATEVALUE((_xll.BDP(N15,"MATURITY")))</f>
        <v>46600</v>
      </c>
      <c r="Q15" s="9">
        <f>_xll.BDP(N15, "PX_LAST")</f>
        <v>341.94979999999998</v>
      </c>
      <c r="S15" s="10" t="s">
        <v>49</v>
      </c>
      <c r="T15" s="13">
        <f t="shared" ca="1" si="1"/>
        <v>46172</v>
      </c>
      <c r="U15" s="10" t="str">
        <f>_xll.BDP(S15, "MATURITY")</f>
        <v>7/13/2046</v>
      </c>
      <c r="V15" s="10">
        <f>_xll.BDP(S15, "PX_LAST")</f>
        <v>2.3780000000000001</v>
      </c>
      <c r="W15" s="10">
        <v>20</v>
      </c>
      <c r="Y15" s="14">
        <v>12</v>
      </c>
      <c r="Z15" s="14" t="s">
        <v>50</v>
      </c>
      <c r="AA15" s="14">
        <f>_xll.BDP(Z15, "PX_LAST")</f>
        <v>0.995</v>
      </c>
    </row>
    <row r="16" spans="1:27" x14ac:dyDescent="0.25">
      <c r="A16" s="2"/>
      <c r="C16" s="3"/>
      <c r="F16" s="21">
        <v>46182</v>
      </c>
      <c r="G16">
        <v>330.96152999999998</v>
      </c>
      <c r="H16" s="28">
        <f t="shared" ca="1" si="0"/>
        <v>0</v>
      </c>
      <c r="K16" s="5"/>
      <c r="S16" s="10" t="s">
        <v>51</v>
      </c>
      <c r="T16" s="13">
        <f t="shared" ca="1" si="1"/>
        <v>46172</v>
      </c>
      <c r="U16" s="10" t="str">
        <f>_xll.BDP(S16, "MATURITY")</f>
        <v>7/13/2051</v>
      </c>
      <c r="V16" s="10">
        <f>_xll.BDP(S16, "PX_LAST")</f>
        <v>2.3445999999999998</v>
      </c>
      <c r="W16" s="10">
        <v>25</v>
      </c>
    </row>
    <row r="17" spans="1:29" x14ac:dyDescent="0.25">
      <c r="B17" s="3"/>
      <c r="C17" s="3"/>
      <c r="F17" s="21">
        <v>46181</v>
      </c>
      <c r="G17">
        <v>330.86797000000001</v>
      </c>
      <c r="H17" s="28">
        <f t="shared" ca="1" si="0"/>
        <v>0</v>
      </c>
      <c r="S17" s="10" t="s">
        <v>52</v>
      </c>
      <c r="T17" s="13">
        <f t="shared" ca="1" si="1"/>
        <v>46172</v>
      </c>
      <c r="U17" s="10" t="str">
        <f>_xll.BDP(S17, "MATURITY")</f>
        <v>7/13/2056</v>
      </c>
      <c r="V17" s="10">
        <f>_xll.BDP(S17, "PX_LAST")</f>
        <v>2.3380000000000001</v>
      </c>
      <c r="W17" s="10">
        <v>30</v>
      </c>
    </row>
    <row r="18" spans="1:29" x14ac:dyDescent="0.25">
      <c r="D18" s="28"/>
      <c r="E18" s="4"/>
      <c r="F18" s="21">
        <v>46178</v>
      </c>
      <c r="G18">
        <v>330.58726999999999</v>
      </c>
      <c r="H18" s="28">
        <f t="shared" ca="1" si="0"/>
        <v>0</v>
      </c>
      <c r="I18" s="4"/>
      <c r="J18" s="4"/>
    </row>
    <row r="19" spans="1:29" x14ac:dyDescent="0.25">
      <c r="F19" s="21">
        <v>46177</v>
      </c>
      <c r="G19">
        <v>330.49369999999999</v>
      </c>
      <c r="H19" s="28">
        <f t="shared" ca="1" si="0"/>
        <v>0</v>
      </c>
    </row>
    <row r="20" spans="1:29" x14ac:dyDescent="0.25">
      <c r="A20" s="6">
        <f t="shared" ref="A20:A44" ca="1" si="3">B20-$C$10</f>
        <v>4</v>
      </c>
      <c r="B20" s="24">
        <f ca="1">C11</f>
        <v>46174</v>
      </c>
      <c r="C20" s="20" cm="1">
        <f t="array" aca="1" ref="C20" ca="1">INDEX(_xlfn.ANCHORARRAY(J4),MATCH(LaggedEOM,J4:J14,0),2)+(DAY(spotDate)-1)/DAY(EOMONTH(spotDate,0))*(INDEX(_xlfn.ANCHORARRAY(J4),MATCH(LaggedEOM,J4:J14,0)-1,2)-INDEX(_xlfn.ANCHORARRAY(J4),MATCH(LaggedEOM,J4:J14,0),2))</f>
        <v>330.21300000000002</v>
      </c>
      <c r="F20" s="31">
        <v>46176</v>
      </c>
      <c r="G20" s="32">
        <v>330.40012999999999</v>
      </c>
      <c r="H20" s="33">
        <f t="shared" ca="1" si="0"/>
        <v>0</v>
      </c>
      <c r="K20" s="3">
        <v>0</v>
      </c>
      <c r="L20" s="2">
        <f t="shared" ref="L20:L51" ca="1" si="4">K20+$C$10</f>
        <v>46170</v>
      </c>
      <c r="M20" cm="1">
        <f t="array" aca="1" ref="M20" ca="1">_xll.qwDataInterp(K20,$A$20:$A$44,$C$20:$C$44,4)</f>
        <v>330.0157434782609</v>
      </c>
      <c r="N20" s="3">
        <f t="shared" ref="N20:N51" ca="1" si="5">VLOOKUP(MONTH(L20),$Y$4:$AA$15,3,0)*M20</f>
        <v>331.00579070869566</v>
      </c>
    </row>
    <row r="21" spans="1:29" x14ac:dyDescent="0.25">
      <c r="A21" s="9">
        <f t="shared" ca="1" si="3"/>
        <v>96</v>
      </c>
      <c r="B21" s="25">
        <f t="shared" ref="B21:B32" si="6">DATE(YEAR(P4), MONTH(P4),DAY(P4))</f>
        <v>46266</v>
      </c>
      <c r="C21" s="9">
        <f t="shared" ref="C21:C32" si="7">Q4</f>
        <v>334.74990000000003</v>
      </c>
      <c r="D21" s="4"/>
      <c r="E21" s="4"/>
      <c r="F21" s="22">
        <v>46175</v>
      </c>
      <c r="G21" s="23">
        <v>330.30657000000002</v>
      </c>
      <c r="H21" s="30">
        <f t="shared" ca="1" si="0"/>
        <v>0</v>
      </c>
      <c r="I21" s="4"/>
      <c r="J21" s="4"/>
      <c r="K21" s="3">
        <f>K20+100</f>
        <v>100</v>
      </c>
      <c r="L21" s="2">
        <f t="shared" ca="1" si="4"/>
        <v>46270</v>
      </c>
      <c r="M21" cm="1">
        <f t="array" aca="1" ref="M21" ca="1">_xll.qwDataInterp(K21,$A$20:$A$44,$C$20:$C$44,4)</f>
        <v>334.78323333333338</v>
      </c>
      <c r="N21" s="3">
        <f t="shared" ca="1" si="5"/>
        <v>335.45279980000004</v>
      </c>
      <c r="O21">
        <f t="shared" ref="O21:O52" ca="1" si="8">EXP(LN(M21/$M$20)*1/((L21-$L$20)/365))-1</f>
        <v>5.3746146733661071E-2</v>
      </c>
    </row>
    <row r="22" spans="1:29" x14ac:dyDescent="0.25">
      <c r="A22" s="9">
        <f t="shared" ca="1" si="3"/>
        <v>126</v>
      </c>
      <c r="B22" s="25">
        <f t="shared" si="6"/>
        <v>46296</v>
      </c>
      <c r="C22" s="9">
        <f t="shared" si="7"/>
        <v>334.99990000000003</v>
      </c>
      <c r="D22" s="4"/>
      <c r="E22" s="4"/>
      <c r="F22" s="22">
        <v>46174</v>
      </c>
      <c r="G22" s="34">
        <v>330.21300000000002</v>
      </c>
      <c r="H22" s="28">
        <f t="shared" ca="1" si="0"/>
        <v>330.21300000000002</v>
      </c>
      <c r="I22" s="4"/>
      <c r="J22" s="4"/>
      <c r="K22" s="3">
        <f>K21+100</f>
        <v>200</v>
      </c>
      <c r="L22" s="2">
        <f t="shared" ca="1" si="4"/>
        <v>46370</v>
      </c>
      <c r="M22" cm="1">
        <f t="array" aca="1" ref="M22" ca="1">_xll.qwDataInterp(K22,$A$20:$A$44,$C$20:$C$44,4)</f>
        <v>336.23860967741939</v>
      </c>
      <c r="N22" s="3">
        <f t="shared" ca="1" si="5"/>
        <v>334.55741662903228</v>
      </c>
      <c r="O22">
        <f t="shared" ca="1" si="8"/>
        <v>3.4680070467967283E-2</v>
      </c>
      <c r="W22" t="s">
        <v>491</v>
      </c>
      <c r="X22" t="s">
        <v>492</v>
      </c>
      <c r="Y22" t="s">
        <v>493</v>
      </c>
      <c r="AB22" s="2">
        <v>46199</v>
      </c>
    </row>
    <row r="23" spans="1:29" x14ac:dyDescent="0.25">
      <c r="A23" s="9">
        <f t="shared" ca="1" si="3"/>
        <v>157</v>
      </c>
      <c r="B23" s="25">
        <f t="shared" si="6"/>
        <v>46327</v>
      </c>
      <c r="C23" s="9">
        <f t="shared" si="7"/>
        <v>335.73989999999998</v>
      </c>
      <c r="D23" s="4"/>
      <c r="E23" s="4"/>
      <c r="F23" s="21">
        <v>46171</v>
      </c>
      <c r="G23">
        <v>329.88126</v>
      </c>
      <c r="H23" s="28">
        <f ca="1">IF((F23=$B$20),$C$20,0)</f>
        <v>0</v>
      </c>
      <c r="I23" s="4"/>
      <c r="J23" s="4"/>
      <c r="K23" s="3">
        <f>K22+100</f>
        <v>300</v>
      </c>
      <c r="L23" s="4">
        <f t="shared" ca="1" si="4"/>
        <v>46470</v>
      </c>
      <c r="M23" cm="1">
        <f t="array" aca="1" ref="M23" ca="1">_xll.qwDataInterp(K23,$A$20:$A$44,$C$20:$C$44,4)</f>
        <v>336.80893225806449</v>
      </c>
      <c r="N23" s="3">
        <f t="shared" ca="1" si="5"/>
        <v>337.1457411903225</v>
      </c>
      <c r="O23">
        <f t="shared" ca="1" si="8"/>
        <v>2.5099951270320719E-2</v>
      </c>
      <c r="W23" s="2">
        <f ca="1">J4</f>
        <v>46173</v>
      </c>
      <c r="X23" s="2">
        <f ca="1">DATE(YEAR(W23),MONTH(W23),1)</f>
        <v>46143</v>
      </c>
      <c r="Y23" s="2">
        <f ca="1">EDATE(X23,C$14)</f>
        <v>46235</v>
      </c>
      <c r="Z23">
        <f ca="1">K4</f>
        <v>335.12299999999999</v>
      </c>
    </row>
    <row r="24" spans="1:29" x14ac:dyDescent="0.25">
      <c r="A24" s="9">
        <f t="shared" ca="1" si="3"/>
        <v>187</v>
      </c>
      <c r="B24" s="25">
        <f t="shared" si="6"/>
        <v>46357</v>
      </c>
      <c r="C24" s="9">
        <f t="shared" si="7"/>
        <v>336.30990000000003</v>
      </c>
      <c r="D24" s="4"/>
      <c r="E24" s="4"/>
      <c r="F24" s="21">
        <v>46170</v>
      </c>
      <c r="G24">
        <v>329.77068000000003</v>
      </c>
      <c r="H24" s="28">
        <f ca="1">IF((F24=$B$20),$C$20,0)</f>
        <v>0</v>
      </c>
      <c r="I24" s="4"/>
      <c r="J24" s="4"/>
      <c r="K24" s="3">
        <f t="shared" ref="K24:K85" si="9">K23+100</f>
        <v>400</v>
      </c>
      <c r="L24" s="2">
        <f t="shared" ca="1" si="4"/>
        <v>46570</v>
      </c>
      <c r="M24" cm="1">
        <f t="array" aca="1" ref="M24" ca="1">_xll.qwDataInterp(K24,$A$20:$A$44,$C$20:$C$44,4)</f>
        <v>341.04989677419354</v>
      </c>
      <c r="N24" s="3">
        <f t="shared" ca="1" si="5"/>
        <v>341.73199656774193</v>
      </c>
      <c r="O24">
        <f t="shared" ca="1" si="8"/>
        <v>3.0465552580686284E-2</v>
      </c>
      <c r="W24" s="2">
        <f ca="1">J5</f>
        <v>46142</v>
      </c>
      <c r="X24" s="2">
        <f t="shared" ref="X24:X27" ca="1" si="10">DATE(YEAR(W24),MONTH(W24),1)</f>
        <v>46113</v>
      </c>
      <c r="Y24" s="2">
        <f ca="1">EDATE(X24,C$14)</f>
        <v>46204</v>
      </c>
      <c r="Z24" s="6">
        <f ca="1">K5</f>
        <v>333.02</v>
      </c>
      <c r="AA24">
        <f t="shared" ref="AA24" ca="1" si="11">Y23-Y24</f>
        <v>31</v>
      </c>
    </row>
    <row r="25" spans="1:29" x14ac:dyDescent="0.25">
      <c r="A25" s="9">
        <f t="shared" ca="1" si="3"/>
        <v>218</v>
      </c>
      <c r="B25" s="25">
        <f t="shared" si="6"/>
        <v>46388</v>
      </c>
      <c r="C25" s="9">
        <f t="shared" si="7"/>
        <v>336.13990000000001</v>
      </c>
      <c r="D25" s="4"/>
      <c r="E25" s="4"/>
      <c r="F25" s="21">
        <v>46169</v>
      </c>
      <c r="G25">
        <v>329.6601</v>
      </c>
      <c r="H25" s="28">
        <f ca="1">IF((F25=$B$20),$C$20,0)</f>
        <v>0</v>
      </c>
      <c r="I25" s="4"/>
      <c r="J25" s="4"/>
      <c r="K25" s="3">
        <f t="shared" si="9"/>
        <v>500</v>
      </c>
      <c r="L25" s="2">
        <f t="shared" ca="1" si="4"/>
        <v>46670</v>
      </c>
      <c r="M25" cm="1">
        <f t="array" aca="1" ref="M25" ca="1">_xll.qwDataInterp(K25,$A$20:$A$44,$C$20:$C$44,4)</f>
        <v>342.86231179760335</v>
      </c>
      <c r="N25" s="3">
        <f t="shared" ca="1" si="5"/>
        <v>342.86231179760335</v>
      </c>
      <c r="O25">
        <f t="shared" ca="1" si="8"/>
        <v>2.8269883495008141E-2</v>
      </c>
      <c r="W25" s="2">
        <f ca="1">J6</f>
        <v>46112</v>
      </c>
      <c r="X25" s="2">
        <f t="shared" ca="1" si="10"/>
        <v>46082</v>
      </c>
      <c r="Y25" s="2">
        <f ca="1">EDATE(X25,C$14)</f>
        <v>46174</v>
      </c>
      <c r="Z25" s="6">
        <f ca="1">K6</f>
        <v>330.21300000000002</v>
      </c>
      <c r="AA25" s="6">
        <f ca="1">Y24-Y25</f>
        <v>30</v>
      </c>
      <c r="AB25" s="17">
        <f ca="1">Z25+(DAY(AB22)-1)*(Z24-Z25)/AA25</f>
        <v>332.55216666666666</v>
      </c>
    </row>
    <row r="26" spans="1:29" x14ac:dyDescent="0.25">
      <c r="A26" s="9">
        <f t="shared" ca="1" si="3"/>
        <v>249</v>
      </c>
      <c r="B26" s="25">
        <f t="shared" si="6"/>
        <v>46419</v>
      </c>
      <c r="C26" s="9">
        <f t="shared" si="7"/>
        <v>335.74990000000003</v>
      </c>
      <c r="D26" s="4"/>
      <c r="E26" s="4"/>
      <c r="F26" s="21">
        <v>46168</v>
      </c>
      <c r="G26">
        <v>329.54951999999997</v>
      </c>
      <c r="H26" s="28">
        <f ca="1">IF((F26=$B$20),$C$20,0)</f>
        <v>0</v>
      </c>
      <c r="I26" s="4"/>
      <c r="J26" s="4"/>
      <c r="K26" s="3">
        <f t="shared" si="9"/>
        <v>600</v>
      </c>
      <c r="L26" s="2">
        <f t="shared" ca="1" si="4"/>
        <v>46770</v>
      </c>
      <c r="M26" cm="1">
        <f t="array" aca="1" ref="M26" ca="1">_xll.qwDataInterp(K26,$A$20:$A$44,$C$20:$C$44,4)</f>
        <v>344.16590007989385</v>
      </c>
      <c r="N26" s="3">
        <f t="shared" ca="1" si="5"/>
        <v>342.78923647957424</v>
      </c>
      <c r="O26">
        <f t="shared" ca="1" si="8"/>
        <v>2.5868869261535421E-2</v>
      </c>
      <c r="W26" s="2">
        <f ca="1">J7</f>
        <v>46081</v>
      </c>
      <c r="X26" s="2">
        <f t="shared" ca="1" si="10"/>
        <v>46054</v>
      </c>
      <c r="Y26" s="2">
        <f ca="1">EDATE(X26,C$14)</f>
        <v>46143</v>
      </c>
      <c r="Z26">
        <f ca="1">K7</f>
        <v>326.78500000000003</v>
      </c>
      <c r="AA26">
        <f t="shared" ref="AA26:AA27" ca="1" si="12">Y25-Y26</f>
        <v>31</v>
      </c>
    </row>
    <row r="27" spans="1:29" x14ac:dyDescent="0.25">
      <c r="A27" s="9">
        <f t="shared" ca="1" si="3"/>
        <v>277</v>
      </c>
      <c r="B27" s="25">
        <f t="shared" si="6"/>
        <v>46447</v>
      </c>
      <c r="C27" s="9">
        <f t="shared" si="7"/>
        <v>335.79989999999998</v>
      </c>
      <c r="D27" s="4"/>
      <c r="E27" s="4"/>
      <c r="F27" s="21">
        <v>46164</v>
      </c>
      <c r="G27">
        <v>329.10719</v>
      </c>
      <c r="H27" s="28">
        <f ca="1">IF((F27=$B$20),$C$20,0)</f>
        <v>0</v>
      </c>
      <c r="I27" s="4"/>
      <c r="J27" s="4"/>
      <c r="K27" s="3">
        <f t="shared" si="9"/>
        <v>700</v>
      </c>
      <c r="L27" s="2">
        <f t="shared" ca="1" si="4"/>
        <v>46870</v>
      </c>
      <c r="M27" cm="1">
        <f t="array" aca="1" ref="M27" ca="1">_xll.qwDataInterp(K27,$A$20:$A$44,$C$20:$C$44,4)</f>
        <v>345.46948836218439</v>
      </c>
      <c r="N27" s="3">
        <f t="shared" ca="1" si="5"/>
        <v>346.50589682727093</v>
      </c>
      <c r="O27">
        <f t="shared" ca="1" si="8"/>
        <v>2.4149630933763877E-2</v>
      </c>
      <c r="W27" s="2">
        <f ca="1">J8</f>
        <v>46053</v>
      </c>
      <c r="X27" s="2">
        <f t="shared" ca="1" si="10"/>
        <v>46023</v>
      </c>
      <c r="Y27" s="2">
        <f ca="1">EDATE(X27,C$14)</f>
        <v>46113</v>
      </c>
      <c r="Z27">
        <f ca="1">K8</f>
        <v>325.25200000000001</v>
      </c>
      <c r="AA27">
        <f t="shared" ca="1" si="12"/>
        <v>30</v>
      </c>
    </row>
    <row r="28" spans="1:29" x14ac:dyDescent="0.25">
      <c r="A28" s="9">
        <f t="shared" ca="1" si="3"/>
        <v>308</v>
      </c>
      <c r="B28" s="25">
        <f t="shared" si="6"/>
        <v>46478</v>
      </c>
      <c r="C28" s="9">
        <f t="shared" si="7"/>
        <v>337.15989999999999</v>
      </c>
      <c r="D28" s="4"/>
      <c r="E28" s="4"/>
      <c r="F28" s="21">
        <v>46163</v>
      </c>
      <c r="G28">
        <v>328.99660999999998</v>
      </c>
      <c r="H28" s="28">
        <f ca="1">IF((F28=$B$20),$C$20,0)</f>
        <v>0</v>
      </c>
      <c r="I28" s="4"/>
      <c r="J28" s="4"/>
      <c r="K28" s="3">
        <f t="shared" si="9"/>
        <v>800</v>
      </c>
      <c r="L28" s="2">
        <f t="shared" ca="1" si="4"/>
        <v>46970</v>
      </c>
      <c r="M28" cm="1">
        <f t="array" aca="1" ref="M28" ca="1">_xll.qwDataInterp(K28,$A$20:$A$44,$C$20:$C$44,4)</f>
        <v>347.02476988909319</v>
      </c>
      <c r="N28" s="3">
        <f t="shared" ca="1" si="5"/>
        <v>347.71881942887137</v>
      </c>
      <c r="O28">
        <f t="shared" ca="1" si="8"/>
        <v>2.3194103575477243E-2</v>
      </c>
    </row>
    <row r="29" spans="1:29" x14ac:dyDescent="0.25">
      <c r="A29" s="9">
        <f t="shared" ca="1" si="3"/>
        <v>338</v>
      </c>
      <c r="B29" s="25">
        <f t="shared" si="6"/>
        <v>46508</v>
      </c>
      <c r="C29" s="9">
        <f t="shared" si="7"/>
        <v>338.4298</v>
      </c>
      <c r="D29" s="4"/>
      <c r="E29" s="4"/>
      <c r="F29" s="21">
        <v>46162</v>
      </c>
      <c r="G29">
        <v>328.88603000000001</v>
      </c>
      <c r="H29" s="28">
        <f ca="1">IF((F29=$B$20),$C$20,0)</f>
        <v>0</v>
      </c>
      <c r="I29" s="4"/>
      <c r="J29" s="4"/>
      <c r="K29" s="3">
        <f t="shared" si="9"/>
        <v>900</v>
      </c>
      <c r="L29" s="2">
        <f t="shared" ca="1" si="4"/>
        <v>47070</v>
      </c>
      <c r="M29" cm="1">
        <f t="array" aca="1" ref="M29" ca="1">_xll.qwDataInterp(K29,$A$20:$A$44,$C$20:$C$44,4)</f>
        <v>349.42267662624585</v>
      </c>
      <c r="N29" s="3">
        <f t="shared" ca="1" si="5"/>
        <v>348.37440859636712</v>
      </c>
      <c r="O29">
        <f t="shared" ca="1" si="8"/>
        <v>2.3444838557718173E-2</v>
      </c>
      <c r="Z29" t="s">
        <v>495</v>
      </c>
      <c r="AA29" s="16">
        <f>V8</f>
        <v>2.4660000000000002</v>
      </c>
      <c r="AB29">
        <f>(1+AA29/100)^W8</f>
        <v>1.1295329754492553</v>
      </c>
      <c r="AC29">
        <f ca="1">AB25*AB29</f>
        <v>375.62863830709665</v>
      </c>
    </row>
    <row r="30" spans="1:29" x14ac:dyDescent="0.25">
      <c r="A30" s="9">
        <f t="shared" ca="1" si="3"/>
        <v>369</v>
      </c>
      <c r="B30" s="25">
        <f t="shared" si="6"/>
        <v>46539</v>
      </c>
      <c r="C30" s="9">
        <f t="shared" si="7"/>
        <v>339.96980000000002</v>
      </c>
      <c r="D30" s="4"/>
      <c r="E30" s="4"/>
      <c r="F30" s="21">
        <v>46161</v>
      </c>
      <c r="G30">
        <v>328.75450000000001</v>
      </c>
      <c r="H30" s="28">
        <f ca="1">IF((F30=$B$20),$C$20,0)</f>
        <v>0</v>
      </c>
      <c r="I30" s="4"/>
      <c r="J30" s="4"/>
      <c r="K30" s="3">
        <f t="shared" si="9"/>
        <v>1000</v>
      </c>
      <c r="L30" s="2">
        <f t="shared" ca="1" si="4"/>
        <v>47170</v>
      </c>
      <c r="M30" cm="1">
        <f t="array" aca="1" ref="M30" ca="1">_xll.qwDataInterp(K30,$A$20:$A$44,$C$20:$C$44,4)</f>
        <v>351.8205833633985</v>
      </c>
      <c r="N30" s="3">
        <f t="shared" ca="1" si="5"/>
        <v>351.11694219667169</v>
      </c>
      <c r="O30">
        <f t="shared" ca="1" si="8"/>
        <v>2.3627874887938383E-2</v>
      </c>
      <c r="Z30" t="s">
        <v>494</v>
      </c>
      <c r="AA30">
        <v>2.32775</v>
      </c>
      <c r="AB30">
        <f>(1+AA30/100)^W8</f>
        <v>1.1219335221334092</v>
      </c>
      <c r="AC30" s="19">
        <f ca="1">AB25*AB30</f>
        <v>373.10142364142985</v>
      </c>
    </row>
    <row r="31" spans="1:29" x14ac:dyDescent="0.25">
      <c r="A31" s="9">
        <f t="shared" ca="1" si="3"/>
        <v>399</v>
      </c>
      <c r="B31" s="25">
        <f t="shared" si="6"/>
        <v>46569</v>
      </c>
      <c r="C31" s="9">
        <f t="shared" si="7"/>
        <v>341.01990000000001</v>
      </c>
      <c r="D31" s="4"/>
      <c r="E31" s="4"/>
      <c r="F31" s="21">
        <v>46160</v>
      </c>
      <c r="G31" s="29">
        <v>328.66487000000001</v>
      </c>
      <c r="H31" s="28">
        <f ca="1">IF((F31=$B$20),$C$20,0)</f>
        <v>0</v>
      </c>
      <c r="I31" s="4"/>
      <c r="J31" s="4"/>
      <c r="K31" s="3">
        <f t="shared" si="9"/>
        <v>1100</v>
      </c>
      <c r="L31" s="2">
        <f t="shared" ca="1" si="4"/>
        <v>47270</v>
      </c>
      <c r="M31" cm="1">
        <f t="array" aca="1" ref="M31" ca="1">_xll.qwDataInterp(K31,$A$20:$A$44,$C$20:$C$44,4)</f>
        <v>354.21849010055115</v>
      </c>
      <c r="N31" s="3">
        <f t="shared" ca="1" si="5"/>
        <v>355.28114557085274</v>
      </c>
      <c r="O31">
        <f t="shared" ca="1" si="8"/>
        <v>2.3761875228494711E-2</v>
      </c>
    </row>
    <row r="32" spans="1:29" x14ac:dyDescent="0.25">
      <c r="A32" s="9">
        <f t="shared" ca="1" si="3"/>
        <v>430</v>
      </c>
      <c r="B32" s="25">
        <f t="shared" si="6"/>
        <v>46600</v>
      </c>
      <c r="C32" s="9">
        <f t="shared" si="7"/>
        <v>341.94979999999998</v>
      </c>
      <c r="D32" s="4"/>
      <c r="E32" s="4"/>
      <c r="F32" s="21">
        <v>46157</v>
      </c>
      <c r="G32">
        <v>328.33312999999998</v>
      </c>
      <c r="H32" s="28">
        <f ca="1">IF((F32=$B$20),$C$20,0)</f>
        <v>0</v>
      </c>
      <c r="I32" s="4"/>
      <c r="J32" s="4"/>
      <c r="K32" s="3">
        <f t="shared" si="9"/>
        <v>1200</v>
      </c>
      <c r="L32" s="2">
        <f t="shared" ca="1" si="4"/>
        <v>47370</v>
      </c>
      <c r="M32" cm="1">
        <f t="array" aca="1" ref="M32" ca="1">_xll.qwDataInterp(K32,$A$20:$A$44,$C$20:$C$44,4)</f>
        <v>356.63232353373007</v>
      </c>
      <c r="N32" s="3">
        <f t="shared" ca="1" si="5"/>
        <v>357.34558818079751</v>
      </c>
      <c r="O32">
        <f t="shared" ca="1" si="8"/>
        <v>2.387319166309898E-2</v>
      </c>
    </row>
    <row r="33" spans="1:15" x14ac:dyDescent="0.25">
      <c r="A33" s="10">
        <f t="shared" ca="1" si="3"/>
        <v>777</v>
      </c>
      <c r="B33" s="26">
        <f t="shared" ref="B33:B44" si="13">DATE(YEAR(U5), MONTH(U5),DAY(U5))</f>
        <v>46947</v>
      </c>
      <c r="C33" s="15">
        <f t="shared" ref="C33:C44" ca="1" si="14">$C$20*(1+V5/100)^W5</f>
        <v>346.47325133954809</v>
      </c>
      <c r="D33" s="4"/>
      <c r="E33" s="4"/>
      <c r="F33" s="21">
        <v>46156</v>
      </c>
      <c r="G33">
        <v>328.22255000000001</v>
      </c>
      <c r="H33" s="28">
        <f ca="1">IF((F33=$B$20),$C$20,0)</f>
        <v>0</v>
      </c>
      <c r="I33" s="4"/>
      <c r="J33" s="4"/>
      <c r="K33" s="3">
        <f t="shared" si="9"/>
        <v>1300</v>
      </c>
      <c r="L33" s="2">
        <f t="shared" ca="1" si="4"/>
        <v>47470</v>
      </c>
      <c r="M33" cm="1">
        <f t="array" aca="1" ref="M33" ca="1">_xll.qwDataInterp(K33,$A$20:$A$44,$C$20:$C$44,4)</f>
        <v>359.05769009161764</v>
      </c>
      <c r="N33" s="3">
        <f t="shared" ca="1" si="5"/>
        <v>357.26240164115956</v>
      </c>
      <c r="O33">
        <f t="shared" ca="1" si="8"/>
        <v>2.3963455707684433E-2</v>
      </c>
    </row>
    <row r="34" spans="1:15" x14ac:dyDescent="0.25">
      <c r="A34" s="10">
        <f t="shared" ca="1" si="3"/>
        <v>1142</v>
      </c>
      <c r="B34" s="26">
        <f t="shared" si="13"/>
        <v>47312</v>
      </c>
      <c r="C34" s="15">
        <f t="shared" ca="1" si="14"/>
        <v>355.22561093015526</v>
      </c>
      <c r="D34" s="4"/>
      <c r="E34" s="4"/>
      <c r="F34" s="21">
        <v>46155</v>
      </c>
      <c r="G34">
        <v>328.11196999999999</v>
      </c>
      <c r="H34" s="28">
        <f t="shared" ref="H34:H41" ca="1" si="15">IF((F34=$B$20),$C$20,0)</f>
        <v>0</v>
      </c>
      <c r="I34" s="4"/>
      <c r="J34" s="4"/>
      <c r="K34" s="3">
        <f t="shared" si="9"/>
        <v>1400</v>
      </c>
      <c r="L34" s="2">
        <f t="shared" ca="1" si="4"/>
        <v>47570</v>
      </c>
      <c r="M34" cm="1">
        <f t="array" aca="1" ref="M34" ca="1">_xll.qwDataInterp(K34,$A$20:$A$44,$C$20:$C$44,4)</f>
        <v>361.48305664950522</v>
      </c>
      <c r="N34" s="3">
        <f t="shared" ca="1" si="5"/>
        <v>361.84453970615471</v>
      </c>
      <c r="O34">
        <f t="shared" ca="1" si="8"/>
        <v>2.4028649302665128E-2</v>
      </c>
    </row>
    <row r="35" spans="1:15" x14ac:dyDescent="0.25">
      <c r="A35" s="10">
        <f t="shared" ca="1" si="3"/>
        <v>1507</v>
      </c>
      <c r="B35" s="26">
        <f t="shared" si="13"/>
        <v>47677</v>
      </c>
      <c r="C35" s="15">
        <f t="shared" ca="1" si="14"/>
        <v>364.07819886644489</v>
      </c>
      <c r="D35" s="4"/>
      <c r="E35" s="4"/>
      <c r="F35" s="21">
        <v>46154</v>
      </c>
      <c r="G35">
        <v>328.00139000000001</v>
      </c>
      <c r="H35" s="28">
        <f t="shared" ca="1" si="15"/>
        <v>0</v>
      </c>
      <c r="I35" s="4"/>
      <c r="J35" s="4"/>
      <c r="K35" s="3">
        <f t="shared" si="9"/>
        <v>1500</v>
      </c>
      <c r="L35" s="2">
        <f t="shared" ca="1" si="4"/>
        <v>47670</v>
      </c>
      <c r="M35" cm="1">
        <f t="array" aca="1" ref="M35" ca="1">_xll.qwDataInterp(K35,$A$20:$A$44,$C$20:$C$44,4)</f>
        <v>363.90842320739279</v>
      </c>
      <c r="N35" s="3">
        <f t="shared" ca="1" si="5"/>
        <v>364.63624005380757</v>
      </c>
      <c r="O35">
        <f t="shared" ca="1" si="8"/>
        <v>2.4073935555847692E-2</v>
      </c>
    </row>
    <row r="36" spans="1:15" x14ac:dyDescent="0.25">
      <c r="A36" s="10">
        <f t="shared" ca="1" si="3"/>
        <v>1872</v>
      </c>
      <c r="B36" s="26">
        <f t="shared" si="13"/>
        <v>48042</v>
      </c>
      <c r="C36" s="15">
        <f t="shared" ca="1" si="14"/>
        <v>372.98647242202497</v>
      </c>
      <c r="D36" s="4"/>
      <c r="E36" s="4"/>
      <c r="F36" s="21">
        <v>46153</v>
      </c>
      <c r="G36">
        <v>327.89080999999999</v>
      </c>
      <c r="H36" s="28">
        <f t="shared" ca="1" si="15"/>
        <v>0</v>
      </c>
      <c r="I36" s="4"/>
      <c r="J36" s="4"/>
      <c r="K36" s="3">
        <f t="shared" si="9"/>
        <v>1600</v>
      </c>
      <c r="L36" s="2">
        <f t="shared" ca="1" si="4"/>
        <v>47770</v>
      </c>
      <c r="M36" cm="1">
        <f t="array" aca="1" ref="M36" ca="1">_xll.qwDataInterp(K36,$A$20:$A$44,$C$20:$C$44,4)</f>
        <v>366.34797815594885</v>
      </c>
      <c r="N36" s="3">
        <f t="shared" ca="1" si="5"/>
        <v>366.34797815594885</v>
      </c>
      <c r="O36">
        <f t="shared" ca="1" si="8"/>
        <v>2.4112233305628283E-2</v>
      </c>
    </row>
    <row r="37" spans="1:15" x14ac:dyDescent="0.25">
      <c r="A37" s="10">
        <f t="shared" ca="1" si="3"/>
        <v>2238</v>
      </c>
      <c r="B37" s="26">
        <f t="shared" si="13"/>
        <v>48408</v>
      </c>
      <c r="C37" s="15">
        <f t="shared" ca="1" si="14"/>
        <v>382.02769126583189</v>
      </c>
      <c r="D37" s="4"/>
      <c r="E37" s="4"/>
      <c r="F37" s="21">
        <v>46150</v>
      </c>
      <c r="G37">
        <v>327.55905999999999</v>
      </c>
      <c r="H37" s="28">
        <f t="shared" ca="1" si="15"/>
        <v>0</v>
      </c>
      <c r="I37" s="4"/>
      <c r="J37" s="4"/>
      <c r="K37" s="3">
        <f t="shared" si="9"/>
        <v>1700</v>
      </c>
      <c r="L37" s="2">
        <f t="shared" ca="1" si="4"/>
        <v>47870</v>
      </c>
      <c r="M37" cm="1">
        <f t="array" aca="1" ref="M37" ca="1">_xll.qwDataInterp(K37,$A$20:$A$44,$C$20:$C$44,4)</f>
        <v>368.78860104788862</v>
      </c>
      <c r="N37" s="3">
        <f t="shared" ca="1" si="5"/>
        <v>367.31344664369709</v>
      </c>
      <c r="O37">
        <f t="shared" ca="1" si="8"/>
        <v>2.4136912431815816E-2</v>
      </c>
    </row>
    <row r="38" spans="1:15" x14ac:dyDescent="0.25">
      <c r="A38" s="10">
        <f t="shared" ca="1" si="3"/>
        <v>2603</v>
      </c>
      <c r="B38" s="26">
        <f t="shared" si="13"/>
        <v>48773</v>
      </c>
      <c r="C38" s="15">
        <f t="shared" ca="1" si="14"/>
        <v>390.96469394216052</v>
      </c>
      <c r="D38" s="4"/>
      <c r="E38" s="4"/>
      <c r="F38" s="21">
        <v>46149</v>
      </c>
      <c r="G38">
        <v>327.44848000000002</v>
      </c>
      <c r="H38" s="28">
        <f t="shared" ca="1" si="15"/>
        <v>0</v>
      </c>
      <c r="I38" s="4"/>
      <c r="J38" s="4"/>
      <c r="K38" s="3">
        <f t="shared" si="9"/>
        <v>1800</v>
      </c>
      <c r="L38" s="2">
        <f t="shared" ca="1" si="4"/>
        <v>47970</v>
      </c>
      <c r="M38" cm="1">
        <f t="array" aca="1" ref="M38" ca="1">_xll.qwDataInterp(K38,$A$20:$A$44,$C$20:$C$44,4)</f>
        <v>371.22922393982833</v>
      </c>
      <c r="N38" s="3">
        <f t="shared" ca="1" si="5"/>
        <v>372.34291161164776</v>
      </c>
      <c r="O38">
        <f t="shared" ca="1" si="8"/>
        <v>2.4149754116554956E-2</v>
      </c>
    </row>
    <row r="39" spans="1:15" x14ac:dyDescent="0.25">
      <c r="A39" s="10">
        <f t="shared" ca="1" si="3"/>
        <v>2968</v>
      </c>
      <c r="B39" s="26">
        <f t="shared" si="13"/>
        <v>49138</v>
      </c>
      <c r="C39" s="15">
        <f t="shared" ca="1" si="14"/>
        <v>400.23025276584229</v>
      </c>
      <c r="D39" s="4"/>
      <c r="E39" s="4"/>
      <c r="F39" s="21">
        <v>46148</v>
      </c>
      <c r="G39">
        <v>327.33789999999999</v>
      </c>
      <c r="H39" s="28">
        <f t="shared" ca="1" si="15"/>
        <v>0</v>
      </c>
      <c r="I39" s="4"/>
      <c r="J39" s="4"/>
      <c r="K39" s="3">
        <f t="shared" si="9"/>
        <v>1900</v>
      </c>
      <c r="L39" s="2">
        <f t="shared" ca="1" si="4"/>
        <v>48070</v>
      </c>
      <c r="M39" cm="1">
        <f t="array" aca="1" ref="M39" ca="1">_xll.qwDataInterp(K39,$A$20:$A$44,$C$20:$C$44,4)</f>
        <v>373.67815036635994</v>
      </c>
      <c r="N39" s="3">
        <f t="shared" ca="1" si="5"/>
        <v>374.42550666709269</v>
      </c>
      <c r="O39">
        <f t="shared" ca="1" si="8"/>
        <v>2.4157111954230315E-2</v>
      </c>
    </row>
    <row r="40" spans="1:15" x14ac:dyDescent="0.25">
      <c r="A40" s="10">
        <f t="shared" ca="1" si="3"/>
        <v>3333</v>
      </c>
      <c r="B40" s="26">
        <f t="shared" si="13"/>
        <v>49503</v>
      </c>
      <c r="C40" s="15">
        <f t="shared" ca="1" si="14"/>
        <v>409.67217922146835</v>
      </c>
      <c r="D40" s="4"/>
      <c r="E40" s="4"/>
      <c r="F40" s="21">
        <v>46147</v>
      </c>
      <c r="G40">
        <v>327.22732000000002</v>
      </c>
      <c r="H40" s="28">
        <f ca="1">IF((F40=$B$20),$C$20,0)</f>
        <v>0</v>
      </c>
      <c r="I40" s="4"/>
      <c r="J40" s="4"/>
      <c r="K40" s="3">
        <f t="shared" si="9"/>
        <v>2000</v>
      </c>
      <c r="L40" s="2">
        <f t="shared" ca="1" si="4"/>
        <v>48170</v>
      </c>
      <c r="M40" cm="1">
        <f t="array" aca="1" ref="M40" ca="1">_xll.qwDataInterp(K40,$A$20:$A$44,$C$20:$C$44,4)</f>
        <v>376.14842873898476</v>
      </c>
      <c r="N40" s="3">
        <f t="shared" ca="1" si="5"/>
        <v>375.0199834527678</v>
      </c>
      <c r="O40">
        <f t="shared" ca="1" si="8"/>
        <v>2.4166316417264078E-2</v>
      </c>
    </row>
    <row r="41" spans="1:15" x14ac:dyDescent="0.25">
      <c r="A41" s="10">
        <f t="shared" ca="1" si="3"/>
        <v>3699</v>
      </c>
      <c r="B41" s="26">
        <f t="shared" si="13"/>
        <v>49869</v>
      </c>
      <c r="C41" s="15">
        <f t="shared" ca="1" si="14"/>
        <v>419.61779087841984</v>
      </c>
      <c r="D41" s="4"/>
      <c r="E41" s="4"/>
      <c r="F41" s="22">
        <v>46146</v>
      </c>
      <c r="G41" s="23">
        <v>327.11673999999999</v>
      </c>
      <c r="H41" s="28">
        <f ca="1">IF((F41=$B$20),$C$20,0)</f>
        <v>0</v>
      </c>
      <c r="I41" s="4"/>
      <c r="J41" s="4"/>
      <c r="K41" s="3">
        <f t="shared" si="9"/>
        <v>2100</v>
      </c>
      <c r="L41" s="2">
        <f t="shared" ca="1" si="4"/>
        <v>48270</v>
      </c>
      <c r="M41" cm="1">
        <f t="array" aca="1" ref="M41" ca="1">_xll.qwDataInterp(K41,$A$20:$A$44,$C$20:$C$44,4)</f>
        <v>378.61870711160964</v>
      </c>
      <c r="N41" s="3">
        <f t="shared" ca="1" si="5"/>
        <v>377.86146969738644</v>
      </c>
      <c r="O41">
        <f t="shared" ca="1" si="8"/>
        <v>2.4166966680654101E-2</v>
      </c>
    </row>
    <row r="42" spans="1:15" x14ac:dyDescent="0.25">
      <c r="A42" s="10">
        <f t="shared" ca="1" si="3"/>
        <v>5525</v>
      </c>
      <c r="B42" s="26">
        <f t="shared" si="13"/>
        <v>51695</v>
      </c>
      <c r="C42" s="15">
        <f t="shared" ca="1" si="14"/>
        <v>471.98658910964662</v>
      </c>
      <c r="D42" s="4"/>
      <c r="E42" s="4"/>
      <c r="F42" s="22">
        <v>46143</v>
      </c>
      <c r="G42" s="23">
        <v>326.78500000000003</v>
      </c>
      <c r="H42" s="28">
        <f ca="1">IF((F42=$B$20),$C$20,0)</f>
        <v>0</v>
      </c>
      <c r="I42" s="4"/>
      <c r="J42" s="4"/>
      <c r="K42" s="3">
        <f t="shared" si="9"/>
        <v>2200</v>
      </c>
      <c r="L42" s="2">
        <f t="shared" ca="1" si="4"/>
        <v>48370</v>
      </c>
      <c r="M42" cm="1">
        <f t="array" aca="1" ref="M42" ca="1">_xll.qwDataInterp(K42,$A$20:$A$44,$C$20:$C$44,4)</f>
        <v>381.08898548423446</v>
      </c>
      <c r="N42" s="3">
        <f t="shared" ca="1" si="5"/>
        <v>382.23225244068709</v>
      </c>
      <c r="O42">
        <f t="shared" ca="1" si="8"/>
        <v>2.4160324528104571E-2</v>
      </c>
    </row>
    <row r="43" spans="1:15" x14ac:dyDescent="0.25">
      <c r="A43" s="10">
        <f t="shared" ca="1" si="3"/>
        <v>7351</v>
      </c>
      <c r="B43" s="26">
        <f t="shared" si="13"/>
        <v>53521</v>
      </c>
      <c r="C43" s="15">
        <f t="shared" ca="1" si="14"/>
        <v>528.35642139599804</v>
      </c>
      <c r="D43" s="4"/>
      <c r="E43" s="4"/>
      <c r="F43" s="21">
        <v>46142</v>
      </c>
      <c r="G43">
        <v>326.73390000000001</v>
      </c>
      <c r="H43" s="28">
        <f ca="1">IF((F43=$B$20),$C$20,0)</f>
        <v>0</v>
      </c>
      <c r="I43" s="4"/>
      <c r="J43" s="4"/>
      <c r="K43" s="3">
        <f t="shared" si="9"/>
        <v>2300</v>
      </c>
      <c r="L43" s="2">
        <f t="shared" ca="1" si="4"/>
        <v>48470</v>
      </c>
      <c r="M43" cm="1">
        <f t="array" aca="1" ref="M43" ca="1">_xll.qwDataInterp(K43,$A$20:$A$44,$C$20:$C$44,4)</f>
        <v>383.54575747386582</v>
      </c>
      <c r="N43" s="3">
        <f t="shared" ca="1" si="5"/>
        <v>384.31284898881353</v>
      </c>
      <c r="O43">
        <f t="shared" ca="1" si="8"/>
        <v>2.4141707456565742E-2</v>
      </c>
    </row>
    <row r="44" spans="1:15" x14ac:dyDescent="0.25">
      <c r="A44" s="10">
        <f t="shared" ca="1" si="3"/>
        <v>9177</v>
      </c>
      <c r="B44" s="26">
        <f t="shared" si="13"/>
        <v>55347</v>
      </c>
      <c r="C44" s="15">
        <f t="shared" ca="1" si="14"/>
        <v>589.40998761503647</v>
      </c>
      <c r="D44" s="4"/>
      <c r="E44" s="4"/>
      <c r="F44" s="21">
        <v>46141</v>
      </c>
      <c r="G44">
        <v>326.68279999999999</v>
      </c>
      <c r="H44" s="28">
        <f ca="1">IF((F44=$B$20),$C$20,0)</f>
        <v>0</v>
      </c>
      <c r="I44" s="4"/>
      <c r="J44" s="4"/>
      <c r="K44" s="3">
        <f t="shared" si="9"/>
        <v>2400</v>
      </c>
      <c r="L44" s="2">
        <f t="shared" ca="1" si="4"/>
        <v>48570</v>
      </c>
      <c r="M44" cm="1">
        <f t="array" aca="1" ref="M44" ca="1">_xll.qwDataInterp(K44,$A$20:$A$44,$C$20:$C$44,4)</f>
        <v>385.99425135779143</v>
      </c>
      <c r="N44" s="3">
        <f t="shared" ca="1" si="5"/>
        <v>384.06428010100245</v>
      </c>
      <c r="O44">
        <f t="shared" ca="1" si="8"/>
        <v>2.411491133734156E-2</v>
      </c>
    </row>
    <row r="45" spans="1:15" x14ac:dyDescent="0.25">
      <c r="D45" s="4"/>
      <c r="E45" s="4"/>
      <c r="F45" s="21">
        <v>46140</v>
      </c>
      <c r="G45">
        <v>326.63170000000002</v>
      </c>
      <c r="H45" s="28">
        <f ca="1">IF((F45=$B$20),$C$20,0)</f>
        <v>0</v>
      </c>
      <c r="I45" s="4"/>
      <c r="J45" s="4"/>
      <c r="K45" s="3">
        <f t="shared" si="9"/>
        <v>2500</v>
      </c>
      <c r="L45" s="2">
        <f t="shared" ca="1" si="4"/>
        <v>48670</v>
      </c>
      <c r="M45" cm="1">
        <f t="array" aca="1" ref="M45" ca="1">_xll.qwDataInterp(K45,$A$20:$A$44,$C$20:$C$44,4)</f>
        <v>388.44274524171709</v>
      </c>
      <c r="N45" s="3">
        <f t="shared" ca="1" si="5"/>
        <v>389.60807347744219</v>
      </c>
      <c r="O45">
        <f t="shared" ca="1" si="8"/>
        <v>2.4084243151473173E-2</v>
      </c>
    </row>
    <row r="46" spans="1:15" x14ac:dyDescent="0.25">
      <c r="D46" s="4"/>
      <c r="E46" s="4"/>
      <c r="F46" s="21">
        <v>46139</v>
      </c>
      <c r="G46">
        <v>326.5806</v>
      </c>
      <c r="H46" s="28">
        <f ca="1">IF((F46=$B$20),$C$20,0)</f>
        <v>0</v>
      </c>
      <c r="I46" s="4"/>
      <c r="J46" s="4"/>
      <c r="K46" s="3">
        <f t="shared" si="9"/>
        <v>2600</v>
      </c>
      <c r="L46" s="2">
        <f t="shared" ca="1" si="4"/>
        <v>48770</v>
      </c>
      <c r="M46" cm="1">
        <f t="array" aca="1" ref="M46" ca="1">_xll.qwDataInterp(K46,$A$20:$A$44,$C$20:$C$44,4)</f>
        <v>390.89123912564276</v>
      </c>
      <c r="N46" s="3">
        <f t="shared" ca="1" si="5"/>
        <v>391.67302160389403</v>
      </c>
      <c r="O46">
        <f t="shared" ca="1" si="8"/>
        <v>2.4050222787384445E-2</v>
      </c>
    </row>
    <row r="47" spans="1:15" x14ac:dyDescent="0.25">
      <c r="D47" s="4"/>
      <c r="E47" s="4"/>
      <c r="F47" s="21">
        <v>46136</v>
      </c>
      <c r="G47">
        <v>326.4273</v>
      </c>
      <c r="H47" s="28">
        <f ca="1">IF((F47=$B$20),$C$20,0)</f>
        <v>0</v>
      </c>
      <c r="I47" s="4"/>
      <c r="J47" s="4"/>
      <c r="K47" s="3">
        <f t="shared" si="9"/>
        <v>2700</v>
      </c>
      <c r="L47" s="2">
        <f t="shared" ca="1" si="4"/>
        <v>48870</v>
      </c>
      <c r="M47" cm="1">
        <f t="array" aca="1" ref="M47" ca="1">_xll.qwDataInterp(K47,$A$20:$A$44,$C$20:$C$44,4)</f>
        <v>393.4270479309198</v>
      </c>
      <c r="N47" s="3">
        <f t="shared" ca="1" si="5"/>
        <v>393.4270479309198</v>
      </c>
      <c r="O47">
        <f t="shared" ca="1" si="8"/>
        <v>2.404401836350778E-2</v>
      </c>
    </row>
    <row r="48" spans="1:15" x14ac:dyDescent="0.25">
      <c r="E48" s="4"/>
      <c r="F48" s="21">
        <v>46135</v>
      </c>
      <c r="G48" s="28">
        <v>326.37619999999998</v>
      </c>
      <c r="H48" s="27">
        <f ca="1">IF((F48=$B$20),$C$20,0)</f>
        <v>0</v>
      </c>
      <c r="I48" s="4"/>
      <c r="J48" s="4"/>
      <c r="K48" s="3">
        <f t="shared" si="9"/>
        <v>2800</v>
      </c>
      <c r="L48" s="2">
        <f t="shared" ca="1" si="4"/>
        <v>48970</v>
      </c>
      <c r="M48" cm="1">
        <f t="array" aca="1" ref="M48" ca="1">_xll.qwDataInterp(K48,$A$20:$A$44,$C$20:$C$44,4)</f>
        <v>395.9655571976819</v>
      </c>
      <c r="N48" s="3">
        <f t="shared" ca="1" si="5"/>
        <v>394.38169496889117</v>
      </c>
      <c r="O48">
        <f t="shared" ca="1" si="8"/>
        <v>2.4033621753336565E-2</v>
      </c>
    </row>
    <row r="49" spans="5:15" x14ac:dyDescent="0.25">
      <c r="E49" s="28"/>
      <c r="F49" s="21">
        <v>46134</v>
      </c>
      <c r="G49">
        <v>326.32510000000002</v>
      </c>
      <c r="H49" s="28">
        <f ca="1">IF((F49=$B$20),$C$20,0)</f>
        <v>0</v>
      </c>
      <c r="I49" s="28"/>
      <c r="J49" s="4"/>
      <c r="K49" s="3">
        <f t="shared" si="9"/>
        <v>2900</v>
      </c>
      <c r="L49" s="2">
        <f t="shared" ca="1" si="4"/>
        <v>49070</v>
      </c>
      <c r="M49" cm="1">
        <f t="array" aca="1" ref="M49" ca="1">_xll.qwDataInterp(K49,$A$20:$A$44,$C$20:$C$44,4)</f>
        <v>398.50406646444407</v>
      </c>
      <c r="N49" s="3">
        <f t="shared" ca="1" si="5"/>
        <v>399.69957866383737</v>
      </c>
      <c r="O49">
        <f t="shared" ca="1" si="8"/>
        <v>2.4018644934731714E-2</v>
      </c>
    </row>
    <row r="50" spans="5:15" x14ac:dyDescent="0.25">
      <c r="E50" s="28"/>
      <c r="F50" s="21">
        <v>46133</v>
      </c>
      <c r="G50">
        <v>326.274</v>
      </c>
      <c r="H50" s="27">
        <f t="shared" ref="H50:H55" ca="1" si="16">IF((F50=$B$20),$C$20,0)</f>
        <v>0</v>
      </c>
      <c r="I50" s="28"/>
      <c r="J50" s="4"/>
      <c r="K50" s="3">
        <f t="shared" si="9"/>
        <v>3000</v>
      </c>
      <c r="L50" s="2">
        <f t="shared" ca="1" si="4"/>
        <v>49170</v>
      </c>
      <c r="M50" cm="1">
        <f t="array" aca="1" ref="M50" ca="1">_xll.qwDataInterp(K50,$A$20:$A$44,$C$20:$C$44,4)</f>
        <v>401.05803809893825</v>
      </c>
      <c r="N50" s="3">
        <f t="shared" ca="1" si="5"/>
        <v>401.86015417513613</v>
      </c>
      <c r="O50">
        <f t="shared" ca="1" si="8"/>
        <v>2.4004414570643062E-2</v>
      </c>
    </row>
    <row r="51" spans="5:15" x14ac:dyDescent="0.25">
      <c r="E51" s="28"/>
      <c r="F51" s="21">
        <v>46132</v>
      </c>
      <c r="G51">
        <v>326.22289999999998</v>
      </c>
      <c r="H51" s="27">
        <f t="shared" ca="1" si="16"/>
        <v>0</v>
      </c>
      <c r="I51" s="28"/>
      <c r="J51" s="4"/>
      <c r="K51" s="3">
        <f t="shared" si="9"/>
        <v>3100</v>
      </c>
      <c r="L51" s="2">
        <f t="shared" ca="1" si="4"/>
        <v>49270</v>
      </c>
      <c r="M51" cm="1">
        <f t="array" aca="1" ref="M51" ca="1">_xll.qwDataInterp(K51,$A$20:$A$44,$C$20:$C$44,4)</f>
        <v>403.64486726486325</v>
      </c>
      <c r="N51" s="3">
        <f t="shared" ca="1" si="5"/>
        <v>402.43393266306867</v>
      </c>
      <c r="O51">
        <f t="shared" ca="1" si="8"/>
        <v>2.3996027883862459E-2</v>
      </c>
    </row>
    <row r="52" spans="5:15" x14ac:dyDescent="0.25">
      <c r="E52" s="28"/>
      <c r="F52" s="21">
        <v>46129</v>
      </c>
      <c r="G52">
        <v>326.06959999999998</v>
      </c>
      <c r="H52" s="27">
        <f t="shared" ca="1" si="16"/>
        <v>0</v>
      </c>
      <c r="I52" s="28"/>
      <c r="J52" s="4"/>
      <c r="K52" s="3">
        <f t="shared" si="9"/>
        <v>3200</v>
      </c>
      <c r="L52" s="2">
        <f t="shared" ref="L52:L83" ca="1" si="17">K52+$C$10</f>
        <v>49370</v>
      </c>
      <c r="M52" cm="1">
        <f t="array" aca="1" ref="M52" ca="1">_xll.qwDataInterp(K52,$A$20:$A$44,$C$20:$C$44,4)</f>
        <v>406.23169643078819</v>
      </c>
      <c r="N52" s="3">
        <f t="shared" ref="N52:N83" ca="1" si="18">VLOOKUP(MONTH(L52),$Y$4:$AA$15,3,0)*M52</f>
        <v>406.63792812721891</v>
      </c>
      <c r="O52">
        <f t="shared" ca="1" si="8"/>
        <v>2.398336828782166E-2</v>
      </c>
    </row>
    <row r="53" spans="5:15" x14ac:dyDescent="0.25">
      <c r="E53" s="28"/>
      <c r="F53" s="21">
        <v>46128</v>
      </c>
      <c r="G53" s="28">
        <v>326.01850000000002</v>
      </c>
      <c r="H53" s="27">
        <f t="shared" ca="1" si="16"/>
        <v>0</v>
      </c>
      <c r="I53" s="28"/>
      <c r="J53" s="4"/>
      <c r="K53" s="3">
        <f t="shared" si="9"/>
        <v>3300</v>
      </c>
      <c r="L53" s="2">
        <f t="shared" ca="1" si="17"/>
        <v>49470</v>
      </c>
      <c r="M53" cm="1">
        <f t="array" aca="1" ref="M53" ca="1">_xll.qwDataInterp(K53,$A$20:$A$44,$C$20:$C$44,4)</f>
        <v>408.81852559671313</v>
      </c>
      <c r="N53" s="3">
        <f t="shared" ca="1" si="18"/>
        <v>410.04498117350323</v>
      </c>
      <c r="O53">
        <f t="shared" ref="O53:O84" ca="1" si="19">EXP(LN(M53/$M$20)*1/((L53-$L$20)/365))-1</f>
        <v>2.3966883441580267E-2</v>
      </c>
    </row>
    <row r="54" spans="5:15" x14ac:dyDescent="0.25">
      <c r="E54" s="28"/>
      <c r="F54" s="21">
        <v>46127</v>
      </c>
      <c r="G54">
        <v>325.9674</v>
      </c>
      <c r="H54" s="27">
        <f t="shared" ca="1" si="16"/>
        <v>0</v>
      </c>
      <c r="I54" s="28"/>
      <c r="J54" s="4"/>
      <c r="K54" s="3">
        <f t="shared" si="9"/>
        <v>3400</v>
      </c>
      <c r="L54" s="2">
        <f t="shared" ca="1" si="17"/>
        <v>49570</v>
      </c>
      <c r="M54" cm="1">
        <f t="array" aca="1" ref="M54" ca="1">_xll.qwDataInterp(K54,$A$20:$A$44,$C$20:$C$44,4)</f>
        <v>411.49282397834196</v>
      </c>
      <c r="N54" s="3">
        <f t="shared" ca="1" si="18"/>
        <v>412.31580962629863</v>
      </c>
      <c r="O54">
        <f t="shared" ca="1" si="19"/>
        <v>2.3970336041769347E-2</v>
      </c>
    </row>
    <row r="55" spans="5:15" x14ac:dyDescent="0.25">
      <c r="E55" s="28"/>
      <c r="F55" s="21">
        <v>46126</v>
      </c>
      <c r="G55">
        <v>325.91629999999998</v>
      </c>
      <c r="H55" s="27">
        <f t="shared" ca="1" si="16"/>
        <v>0</v>
      </c>
      <c r="I55" s="28"/>
      <c r="J55" s="4"/>
      <c r="K55" s="3">
        <f t="shared" si="9"/>
        <v>3500</v>
      </c>
      <c r="L55" s="2">
        <f t="shared" ca="1" si="17"/>
        <v>49670</v>
      </c>
      <c r="M55" cm="1">
        <f t="array" aca="1" ref="M55" ca="1">_xll.qwDataInterp(K55,$A$20:$A$44,$C$20:$C$44,4)</f>
        <v>414.21020421248176</v>
      </c>
      <c r="N55" s="3">
        <f t="shared" ca="1" si="18"/>
        <v>412.13915319141933</v>
      </c>
      <c r="O55">
        <f t="shared" ca="1" si="19"/>
        <v>2.3980188284140169E-2</v>
      </c>
    </row>
    <row r="56" spans="5:15" x14ac:dyDescent="0.25">
      <c r="E56" s="28"/>
      <c r="F56" s="21">
        <v>46125</v>
      </c>
      <c r="G56">
        <v>325.66079999999999</v>
      </c>
      <c r="H56" s="28">
        <f ca="1">IF((F56=$B$20),$C$20,0)</f>
        <v>0</v>
      </c>
      <c r="I56" s="28"/>
      <c r="J56" s="4"/>
      <c r="K56" s="3">
        <f t="shared" si="9"/>
        <v>3600</v>
      </c>
      <c r="L56" s="2">
        <f t="shared" ca="1" si="17"/>
        <v>49770</v>
      </c>
      <c r="M56" cm="1">
        <f t="array" aca="1" ref="M56" ca="1">_xll.qwDataInterp(K56,$A$20:$A$44,$C$20:$C$44,4)</f>
        <v>416.92758444662149</v>
      </c>
      <c r="N56" s="3">
        <f t="shared" ca="1" si="18"/>
        <v>418.17836719996131</v>
      </c>
      <c r="O56">
        <f t="shared" ca="1" si="19"/>
        <v>2.3985024851771009E-2</v>
      </c>
    </row>
    <row r="57" spans="5:15" x14ac:dyDescent="0.25">
      <c r="E57" s="28"/>
      <c r="F57" s="21">
        <v>46121</v>
      </c>
      <c r="G57">
        <v>325.66079999999999</v>
      </c>
      <c r="H57" s="28">
        <f t="shared" ref="H53:H60" ca="1" si="20">IF((F57=$B$20),$C$20,0)</f>
        <v>0</v>
      </c>
      <c r="I57" s="28"/>
      <c r="J57" s="4"/>
      <c r="K57" s="3">
        <f t="shared" si="9"/>
        <v>3700</v>
      </c>
      <c r="L57" s="2">
        <f t="shared" ca="1" si="17"/>
        <v>49870</v>
      </c>
      <c r="M57" cm="1">
        <f t="array" aca="1" ref="M57" ca="1">_xll.qwDataInterp(K57,$A$20:$A$44,$C$20:$C$44,4)</f>
        <v>419.64647039552347</v>
      </c>
      <c r="N57" s="3">
        <f t="shared" ca="1" si="18"/>
        <v>420.48576333631451</v>
      </c>
      <c r="O57">
        <f t="shared" ca="1" si="19"/>
        <v>2.3985671293032862E-2</v>
      </c>
    </row>
    <row r="58" spans="5:15" x14ac:dyDescent="0.25">
      <c r="E58" s="28"/>
      <c r="F58" s="21">
        <v>46120</v>
      </c>
      <c r="G58">
        <v>325.60969999999998</v>
      </c>
      <c r="H58" s="28">
        <f t="shared" ca="1" si="20"/>
        <v>0</v>
      </c>
      <c r="I58" s="28"/>
      <c r="J58" s="4"/>
      <c r="K58" s="3">
        <f t="shared" si="9"/>
        <v>3800</v>
      </c>
      <c r="L58" s="2">
        <f t="shared" ca="1" si="17"/>
        <v>49970</v>
      </c>
      <c r="M58" cm="1">
        <f t="array" aca="1" ref="M58" ca="1">_xll.qwDataInterp(K58,$A$20:$A$44,$C$20:$C$44,4)</f>
        <v>422.51442210588635</v>
      </c>
      <c r="N58" s="3">
        <f t="shared" ca="1" si="18"/>
        <v>422.51442210588635</v>
      </c>
      <c r="O58">
        <f t="shared" ca="1" si="19"/>
        <v>2.401686228021549E-2</v>
      </c>
    </row>
    <row r="59" spans="5:15" x14ac:dyDescent="0.25">
      <c r="E59" s="28"/>
      <c r="F59" s="21">
        <v>46119</v>
      </c>
      <c r="G59">
        <v>325.55860000000001</v>
      </c>
      <c r="H59" s="28">
        <f t="shared" ca="1" si="20"/>
        <v>0</v>
      </c>
      <c r="I59" s="28"/>
      <c r="J59" s="4"/>
      <c r="K59" s="3">
        <f t="shared" si="9"/>
        <v>3900</v>
      </c>
      <c r="L59" s="2">
        <f t="shared" ca="1" si="17"/>
        <v>50070</v>
      </c>
      <c r="M59" cm="1">
        <f t="array" aca="1" ref="M59" ca="1">_xll.qwDataInterp(K59,$A$20:$A$44,$C$20:$C$44,4)</f>
        <v>425.3823738162493</v>
      </c>
      <c r="N59" s="3">
        <f t="shared" ca="1" si="18"/>
        <v>423.68084432098431</v>
      </c>
      <c r="O59">
        <f t="shared" ca="1" si="19"/>
        <v>2.4042038724644721E-2</v>
      </c>
    </row>
    <row r="60" spans="5:15" x14ac:dyDescent="0.25">
      <c r="E60" s="28"/>
      <c r="F60" s="21">
        <v>46118</v>
      </c>
      <c r="G60">
        <v>325.50749999999999</v>
      </c>
      <c r="H60" s="28">
        <f t="shared" ca="1" si="20"/>
        <v>0</v>
      </c>
      <c r="I60" s="28"/>
      <c r="J60" s="4"/>
      <c r="K60" s="3">
        <f t="shared" si="9"/>
        <v>4000</v>
      </c>
      <c r="L60" s="2">
        <f t="shared" ca="1" si="17"/>
        <v>50170</v>
      </c>
      <c r="M60" cm="1">
        <f t="array" aca="1" ref="M60" ca="1">_xll.qwDataInterp(K60,$A$20:$A$44,$C$20:$C$44,4)</f>
        <v>428.25032552661219</v>
      </c>
      <c r="N60" s="3">
        <f t="shared" ca="1" si="18"/>
        <v>429.53507650319199</v>
      </c>
      <c r="O60">
        <f t="shared" ca="1" si="19"/>
        <v>2.4061709214087124E-2</v>
      </c>
    </row>
    <row r="61" spans="5:15" x14ac:dyDescent="0.25">
      <c r="E61" s="28"/>
      <c r="F61" s="22">
        <v>46114</v>
      </c>
      <c r="G61" s="23">
        <v>325.30309999999997</v>
      </c>
      <c r="H61" s="28">
        <f ca="1">IF((F61=$B$20),$C$20,0)</f>
        <v>0</v>
      </c>
      <c r="I61" s="28"/>
      <c r="J61" s="4"/>
      <c r="K61" s="3">
        <f t="shared" si="9"/>
        <v>4100</v>
      </c>
      <c r="L61" s="2">
        <f t="shared" ca="1" si="17"/>
        <v>50270</v>
      </c>
      <c r="M61" cm="1">
        <f t="array" aca="1" ref="M61" ca="1">_xll.qwDataInterp(K61,$A$20:$A$44,$C$20:$C$44,4)</f>
        <v>431.11827723697513</v>
      </c>
      <c r="N61" s="3">
        <f t="shared" ca="1" si="18"/>
        <v>431.98051379144908</v>
      </c>
      <c r="O61">
        <f t="shared" ca="1" si="19"/>
        <v>2.4076331677243212E-2</v>
      </c>
    </row>
    <row r="62" spans="5:15" x14ac:dyDescent="0.25">
      <c r="E62" s="28"/>
      <c r="F62" s="22">
        <v>46113</v>
      </c>
      <c r="G62" s="30">
        <v>325.25200000000001</v>
      </c>
      <c r="H62" s="28">
        <f ca="1">IF((F62=$B$20),$C$20,0)</f>
        <v>0</v>
      </c>
      <c r="I62" s="28"/>
      <c r="J62" s="4"/>
      <c r="K62" s="3">
        <f t="shared" si="9"/>
        <v>4200</v>
      </c>
      <c r="L62" s="2">
        <f t="shared" ca="1" si="17"/>
        <v>50370</v>
      </c>
      <c r="M62" cm="1">
        <f t="array" aca="1" ref="M62" ca="1">_xll.qwDataInterp(K62,$A$20:$A$44,$C$20:$C$44,4)</f>
        <v>433.98622894733802</v>
      </c>
      <c r="N62" s="3">
        <f t="shared" ca="1" si="18"/>
        <v>432.68427026049602</v>
      </c>
      <c r="O62">
        <f t="shared" ca="1" si="19"/>
        <v>2.4086319431227743E-2</v>
      </c>
    </row>
    <row r="63" spans="5:15" x14ac:dyDescent="0.25">
      <c r="E63" s="28"/>
      <c r="F63" s="21">
        <v>46112</v>
      </c>
      <c r="G63" s="28">
        <v>325.21334999999999</v>
      </c>
      <c r="H63" s="28">
        <f ca="1">IF((F63=$B$20),$C$20,0)</f>
        <v>0</v>
      </c>
      <c r="I63" s="28"/>
      <c r="J63" s="4"/>
      <c r="K63" s="3">
        <f t="shared" si="9"/>
        <v>4300</v>
      </c>
      <c r="L63" s="2">
        <f t="shared" ca="1" si="17"/>
        <v>50470</v>
      </c>
      <c r="M63" cm="1">
        <f t="array" aca="1" ref="M63" ca="1">_xll.qwDataInterp(K63,$A$20:$A$44,$C$20:$C$44,4)</f>
        <v>436.85418065770097</v>
      </c>
      <c r="N63" s="3">
        <f t="shared" ca="1" si="18"/>
        <v>437.2910348383586</v>
      </c>
      <c r="O63">
        <f t="shared" ca="1" si="19"/>
        <v>2.4092046386082089E-2</v>
      </c>
    </row>
    <row r="64" spans="5:15" x14ac:dyDescent="0.25">
      <c r="E64" s="28"/>
      <c r="F64" s="28"/>
      <c r="G64" s="28"/>
      <c r="H64" s="28"/>
      <c r="I64" s="28"/>
      <c r="J64" s="4"/>
      <c r="K64" s="3">
        <f t="shared" si="9"/>
        <v>4400</v>
      </c>
      <c r="L64" s="2">
        <f t="shared" ca="1" si="17"/>
        <v>50570</v>
      </c>
      <c r="M64" cm="1">
        <f t="array" aca="1" ref="M64" ca="1">_xll.qwDataInterp(K64,$A$20:$A$44,$C$20:$C$44,4)</f>
        <v>439.72213236806385</v>
      </c>
      <c r="N64" s="3">
        <f t="shared" ca="1" si="18"/>
        <v>441.04129876516799</v>
      </c>
      <c r="O64">
        <f t="shared" ca="1" si="19"/>
        <v>2.4093851540178957E-2</v>
      </c>
    </row>
    <row r="65" spans="5:15" x14ac:dyDescent="0.25">
      <c r="E65" s="28"/>
      <c r="F65" s="28"/>
      <c r="G65" s="28"/>
      <c r="H65" s="28"/>
      <c r="I65" s="28"/>
      <c r="J65" s="4"/>
      <c r="K65" s="3">
        <f t="shared" si="9"/>
        <v>4500</v>
      </c>
      <c r="L65" s="2">
        <f t="shared" ca="1" si="17"/>
        <v>50670</v>
      </c>
      <c r="M65" cm="1">
        <f t="array" aca="1" ref="M65" ca="1">_xll.qwDataInterp(K65,$A$20:$A$44,$C$20:$C$44,4)</f>
        <v>442.59008407842674</v>
      </c>
      <c r="N65" s="3">
        <f t="shared" ca="1" si="18"/>
        <v>443.47526424658361</v>
      </c>
      <c r="O65">
        <f t="shared" ca="1" si="19"/>
        <v>2.4092042876629804E-2</v>
      </c>
    </row>
    <row r="66" spans="5:15" x14ac:dyDescent="0.25">
      <c r="E66" s="28"/>
      <c r="F66" s="28"/>
      <c r="G66" s="28"/>
      <c r="H66" s="28"/>
      <c r="I66" s="28"/>
      <c r="J66" s="4"/>
      <c r="K66" s="3">
        <f t="shared" si="9"/>
        <v>4600</v>
      </c>
      <c r="L66" s="2">
        <f t="shared" ca="1" si="17"/>
        <v>50770</v>
      </c>
      <c r="M66" cm="1">
        <f t="array" aca="1" ref="M66" ca="1">_xll.qwDataInterp(K66,$A$20:$A$44,$C$20:$C$44,4)</f>
        <v>445.45803578878969</v>
      </c>
      <c r="N66" s="3">
        <f t="shared" ca="1" si="18"/>
        <v>443.23074560984571</v>
      </c>
      <c r="O66">
        <f t="shared" ca="1" si="19"/>
        <v>2.408690075169484E-2</v>
      </c>
    </row>
    <row r="67" spans="5:15" x14ac:dyDescent="0.25">
      <c r="E67" s="28"/>
      <c r="F67" s="28"/>
      <c r="G67" s="28"/>
      <c r="H67" s="28"/>
      <c r="I67" s="28"/>
      <c r="J67" s="4"/>
      <c r="K67" s="3">
        <f t="shared" si="9"/>
        <v>4700</v>
      </c>
      <c r="L67" s="2">
        <f t="shared" ca="1" si="17"/>
        <v>50870</v>
      </c>
      <c r="M67" cm="1">
        <f t="array" aca="1" ref="M67" ca="1">_xll.qwDataInterp(K67,$A$20:$A$44,$C$20:$C$44,4)</f>
        <v>448.32598749915257</v>
      </c>
      <c r="N67" s="3">
        <f t="shared" ca="1" si="18"/>
        <v>449.67096546164998</v>
      </c>
      <c r="O67">
        <f t="shared" ca="1" si="19"/>
        <v>2.4078680850731171E-2</v>
      </c>
    </row>
    <row r="68" spans="5:15" x14ac:dyDescent="0.25">
      <c r="E68" s="28"/>
      <c r="F68" s="28"/>
      <c r="G68" s="28"/>
      <c r="H68" s="28"/>
      <c r="I68" s="28"/>
      <c r="J68" s="4"/>
      <c r="K68" s="3">
        <f t="shared" si="9"/>
        <v>4800</v>
      </c>
      <c r="L68" s="2">
        <f t="shared" ca="1" si="17"/>
        <v>50970</v>
      </c>
      <c r="M68" cm="1">
        <f t="array" aca="1" ref="M68" ca="1">_xll.qwDataInterp(K68,$A$20:$A$44,$C$20:$C$44,4)</f>
        <v>451.19393920951552</v>
      </c>
      <c r="N68" s="3">
        <f t="shared" ca="1" si="18"/>
        <v>452.09632708793453</v>
      </c>
      <c r="O68">
        <f t="shared" ca="1" si="19"/>
        <v>2.4067616774654965E-2</v>
      </c>
    </row>
    <row r="69" spans="5:15" x14ac:dyDescent="0.25">
      <c r="E69" s="28"/>
      <c r="F69" s="28"/>
      <c r="G69" s="28"/>
      <c r="H69" s="28"/>
      <c r="I69" s="28"/>
      <c r="J69" s="4"/>
      <c r="K69" s="3">
        <f t="shared" si="9"/>
        <v>4900</v>
      </c>
      <c r="L69" s="2">
        <f t="shared" ca="1" si="17"/>
        <v>51070</v>
      </c>
      <c r="M69" cm="1">
        <f t="array" aca="1" ref="M69" ca="1">_xll.qwDataInterp(K69,$A$20:$A$44,$C$20:$C$44,4)</f>
        <v>454.06189091987841</v>
      </c>
      <c r="N69" s="3">
        <f t="shared" ca="1" si="18"/>
        <v>454.06189091987841</v>
      </c>
      <c r="O69">
        <f t="shared" ca="1" si="19"/>
        <v>2.405392230962633E-2</v>
      </c>
    </row>
    <row r="70" spans="5:15" x14ac:dyDescent="0.25">
      <c r="E70" s="28"/>
      <c r="G70" s="28"/>
      <c r="H70" s="28"/>
      <c r="I70" s="28"/>
      <c r="J70" s="4"/>
      <c r="K70" s="3">
        <f t="shared" si="9"/>
        <v>5000</v>
      </c>
      <c r="L70" s="2">
        <f t="shared" ca="1" si="17"/>
        <v>51170</v>
      </c>
      <c r="M70" cm="1">
        <f t="array" aca="1" ref="M70" ca="1">_xll.qwDataInterp(K70,$A$20:$A$44,$C$20:$C$44,4)</f>
        <v>456.9298426302413</v>
      </c>
      <c r="N70" s="3">
        <f t="shared" ca="1" si="18"/>
        <v>456.01598294498081</v>
      </c>
      <c r="O70">
        <f t="shared" ca="1" si="19"/>
        <v>2.4037793424245724E-2</v>
      </c>
    </row>
    <row r="71" spans="5:15" x14ac:dyDescent="0.25">
      <c r="E71" s="28"/>
      <c r="F71" s="28"/>
      <c r="G71" s="28"/>
      <c r="H71" s="28"/>
      <c r="I71" s="28"/>
      <c r="J71" s="4"/>
      <c r="K71" s="3">
        <f t="shared" si="9"/>
        <v>5100</v>
      </c>
      <c r="L71" s="2">
        <f t="shared" ca="1" si="17"/>
        <v>51270</v>
      </c>
      <c r="M71" cm="1">
        <f t="array" aca="1" ref="M71" ca="1">_xll.qwDataInterp(K71,$A$20:$A$44,$C$20:$C$44,4)</f>
        <v>459.79779434060424</v>
      </c>
      <c r="N71" s="3">
        <f t="shared" ca="1" si="18"/>
        <v>461.17718772362599</v>
      </c>
      <c r="O71">
        <f t="shared" ca="1" si="19"/>
        <v>2.4019410031618449E-2</v>
      </c>
    </row>
    <row r="72" spans="5:15" x14ac:dyDescent="0.25">
      <c r="E72" s="28"/>
      <c r="F72" s="28"/>
      <c r="G72" s="28"/>
      <c r="H72" s="28"/>
      <c r="I72" s="28"/>
      <c r="J72" s="4"/>
      <c r="K72" s="3">
        <f t="shared" si="9"/>
        <v>5200</v>
      </c>
      <c r="L72" s="2">
        <f t="shared" ca="1" si="17"/>
        <v>51370</v>
      </c>
      <c r="M72" cm="1">
        <f t="array" aca="1" ref="M72" ca="1">_xll.qwDataInterp(K72,$A$20:$A$44,$C$20:$C$44,4)</f>
        <v>462.66574605096713</v>
      </c>
      <c r="N72" s="3">
        <f t="shared" ca="1" si="18"/>
        <v>463.59107754306905</v>
      </c>
      <c r="O72">
        <f t="shared" ca="1" si="19"/>
        <v>2.3998937547905941E-2</v>
      </c>
    </row>
    <row r="73" spans="5:15" x14ac:dyDescent="0.25">
      <c r="E73" s="28"/>
      <c r="F73" s="28"/>
      <c r="G73" s="28"/>
      <c r="H73" s="28"/>
      <c r="I73" s="28"/>
      <c r="J73" s="4"/>
      <c r="K73" s="3">
        <f t="shared" si="9"/>
        <v>5300</v>
      </c>
      <c r="L73" s="2">
        <f t="shared" ca="1" si="17"/>
        <v>51470</v>
      </c>
      <c r="M73" cm="1">
        <f t="array" aca="1" ref="M73" ca="1">_xll.qwDataInterp(K73,$A$20:$A$44,$C$20:$C$44,4)</f>
        <v>465.53369776133007</v>
      </c>
      <c r="N73" s="3">
        <f t="shared" ca="1" si="18"/>
        <v>464.13709666804607</v>
      </c>
      <c r="O73">
        <f t="shared" ca="1" si="19"/>
        <v>2.3976528274213038E-2</v>
      </c>
    </row>
    <row r="74" spans="5:15" x14ac:dyDescent="0.25">
      <c r="E74" s="28"/>
      <c r="F74" s="28"/>
      <c r="G74" s="28"/>
      <c r="H74" s="28"/>
      <c r="I74" s="28"/>
      <c r="J74" s="4"/>
      <c r="K74" s="3">
        <f t="shared" si="9"/>
        <v>5400</v>
      </c>
      <c r="L74" s="2">
        <f t="shared" ca="1" si="17"/>
        <v>51570</v>
      </c>
      <c r="M74" cm="1">
        <f t="array" aca="1" ref="M74" ca="1">_xll.qwDataInterp(K74,$A$20:$A$44,$C$20:$C$44,4)</f>
        <v>468.40164947169296</v>
      </c>
      <c r="N74" s="3">
        <f t="shared" ca="1" si="18"/>
        <v>468.87005112116458</v>
      </c>
      <c r="O74">
        <f t="shared" ca="1" si="19"/>
        <v>2.3952322624693601E-2</v>
      </c>
    </row>
    <row r="75" spans="5:15" x14ac:dyDescent="0.25">
      <c r="E75" s="28"/>
      <c r="F75" s="28"/>
      <c r="G75" s="28"/>
      <c r="H75" s="28"/>
      <c r="I75" s="28"/>
      <c r="J75" s="4"/>
      <c r="K75" s="3">
        <f t="shared" si="9"/>
        <v>5500</v>
      </c>
      <c r="L75" s="2">
        <f t="shared" ca="1" si="17"/>
        <v>51670</v>
      </c>
      <c r="M75" cm="1">
        <f t="array" aca="1" ref="M75" ca="1">_xll.qwDataInterp(K75,$A$20:$A$44,$C$20:$C$44,4)</f>
        <v>471.26960118205591</v>
      </c>
      <c r="N75" s="3">
        <f t="shared" ca="1" si="18"/>
        <v>472.683409985602</v>
      </c>
      <c r="O75">
        <f t="shared" ca="1" si="19"/>
        <v>2.3926450220431716E-2</v>
      </c>
    </row>
    <row r="76" spans="5:15" x14ac:dyDescent="0.25">
      <c r="E76" s="28"/>
      <c r="F76" s="28"/>
      <c r="G76" s="28"/>
      <c r="H76" s="28"/>
      <c r="I76" s="28"/>
      <c r="J76" s="4"/>
      <c r="K76" s="3">
        <f t="shared" si="9"/>
        <v>5600</v>
      </c>
      <c r="L76" s="2">
        <f t="shared" ca="1" si="17"/>
        <v>51770</v>
      </c>
      <c r="M76" cm="1">
        <f t="array" aca="1" ref="M76" ca="1">_xll.qwDataInterp(K76,$A$20:$A$44,$C$20:$C$44,4)</f>
        <v>474.30188890235002</v>
      </c>
      <c r="N76" s="3">
        <f t="shared" ca="1" si="18"/>
        <v>475.25049268015471</v>
      </c>
      <c r="O76">
        <f t="shared" ca="1" si="19"/>
        <v>2.3922157903438324E-2</v>
      </c>
    </row>
    <row r="77" spans="5:15" x14ac:dyDescent="0.25">
      <c r="E77" s="28"/>
      <c r="F77" s="28"/>
      <c r="G77" s="28"/>
      <c r="H77" s="28"/>
      <c r="I77" s="28"/>
      <c r="J77" s="4"/>
      <c r="K77" s="3">
        <f t="shared" si="9"/>
        <v>5700</v>
      </c>
      <c r="L77" s="2">
        <f t="shared" ca="1" si="17"/>
        <v>51870</v>
      </c>
      <c r="M77" cm="1">
        <f t="array" aca="1" ref="M77" ca="1">_xll.qwDataInterp(K77,$A$20:$A$44,$C$20:$C$44,4)</f>
        <v>477.38895529262118</v>
      </c>
      <c r="N77" s="3">
        <f t="shared" ca="1" si="18"/>
        <v>475.47939947145068</v>
      </c>
      <c r="O77">
        <f t="shared" ca="1" si="19"/>
        <v>2.3922860267264312E-2</v>
      </c>
    </row>
    <row r="78" spans="5:15" x14ac:dyDescent="0.25">
      <c r="E78" s="28"/>
      <c r="F78" s="28"/>
      <c r="G78" s="28"/>
      <c r="H78" s="28"/>
      <c r="I78" s="28"/>
      <c r="J78" s="4"/>
      <c r="K78" s="3">
        <f t="shared" si="9"/>
        <v>5800</v>
      </c>
      <c r="L78" s="2">
        <f t="shared" ca="1" si="17"/>
        <v>51970</v>
      </c>
      <c r="M78" cm="1">
        <f t="array" aca="1" ref="M78" ca="1">_xll.qwDataInterp(K78,$A$20:$A$44,$C$20:$C$44,4)</f>
        <v>480.47602168289234</v>
      </c>
      <c r="N78" s="3">
        <f t="shared" ca="1" si="18"/>
        <v>481.91744974794096</v>
      </c>
      <c r="O78">
        <f t="shared" ca="1" si="19"/>
        <v>2.3920843850534723E-2</v>
      </c>
    </row>
    <row r="79" spans="5:15" x14ac:dyDescent="0.25">
      <c r="E79" s="28"/>
      <c r="F79" s="28"/>
      <c r="G79" s="28"/>
      <c r="H79" s="28"/>
      <c r="I79" s="28"/>
      <c r="J79" s="4"/>
      <c r="K79" s="3">
        <f t="shared" si="9"/>
        <v>5900</v>
      </c>
      <c r="L79" s="2">
        <f t="shared" ca="1" si="17"/>
        <v>52070</v>
      </c>
      <c r="M79" cm="1">
        <f t="array" aca="1" ref="M79" ca="1">_xll.qwDataInterp(K79,$A$20:$A$44,$C$20:$C$44,4)</f>
        <v>483.5630880731635</v>
      </c>
      <c r="N79" s="3">
        <f t="shared" ca="1" si="18"/>
        <v>484.53021424930984</v>
      </c>
      <c r="O79">
        <f t="shared" ca="1" si="19"/>
        <v>2.3916280841095094E-2</v>
      </c>
    </row>
    <row r="80" spans="5:15" x14ac:dyDescent="0.25">
      <c r="E80" s="28"/>
      <c r="F80" s="28"/>
      <c r="G80" s="28"/>
      <c r="H80" s="28"/>
      <c r="I80" s="28"/>
      <c r="J80" s="4"/>
      <c r="K80" s="3">
        <f t="shared" si="9"/>
        <v>6000</v>
      </c>
      <c r="L80" s="2">
        <f t="shared" ca="1" si="17"/>
        <v>52170</v>
      </c>
      <c r="M80" cm="1">
        <f t="array" aca="1" ref="M80" ca="1">_xll.qwDataInterp(K80,$A$20:$A$44,$C$20:$C$44,4)</f>
        <v>486.65015446343466</v>
      </c>
      <c r="N80" s="3">
        <f t="shared" ca="1" si="18"/>
        <v>486.65015446343466</v>
      </c>
      <c r="O80">
        <f t="shared" ca="1" si="19"/>
        <v>2.3909331328607619E-2</v>
      </c>
    </row>
    <row r="81" spans="2:15" x14ac:dyDescent="0.25">
      <c r="E81" s="28"/>
      <c r="F81" s="28"/>
      <c r="G81" s="28"/>
      <c r="H81" s="28"/>
      <c r="I81" s="28"/>
      <c r="J81" s="4"/>
      <c r="K81" s="3">
        <f t="shared" si="9"/>
        <v>6100</v>
      </c>
      <c r="L81" s="2">
        <f t="shared" ca="1" si="17"/>
        <v>52270</v>
      </c>
      <c r="M81" cm="1">
        <f t="array" aca="1" ref="M81" ca="1">_xll.qwDataInterp(K81,$A$20:$A$44,$C$20:$C$44,4)</f>
        <v>489.73722085370582</v>
      </c>
      <c r="N81" s="3">
        <f t="shared" ca="1" si="18"/>
        <v>488.75774641199843</v>
      </c>
      <c r="O81">
        <f t="shared" ca="1" si="19"/>
        <v>2.3900144309826121E-2</v>
      </c>
    </row>
    <row r="82" spans="2:15" x14ac:dyDescent="0.25">
      <c r="E82" s="28"/>
      <c r="F82" s="28"/>
      <c r="G82" s="28"/>
      <c r="H82" s="28"/>
      <c r="I82" s="28"/>
      <c r="J82" s="4"/>
      <c r="K82" s="3">
        <f t="shared" si="9"/>
        <v>6200</v>
      </c>
      <c r="L82" s="2">
        <f t="shared" ca="1" si="17"/>
        <v>52370</v>
      </c>
      <c r="M82" cm="1">
        <f t="array" aca="1" ref="M82" ca="1">_xll.qwDataInterp(K82,$A$20:$A$44,$C$20:$C$44,4)</f>
        <v>492.82428724397698</v>
      </c>
      <c r="N82" s="3">
        <f t="shared" ca="1" si="18"/>
        <v>494.30276010570884</v>
      </c>
      <c r="O82">
        <f t="shared" ca="1" si="19"/>
        <v>2.3888858596340379E-2</v>
      </c>
    </row>
    <row r="83" spans="2:15" x14ac:dyDescent="0.25">
      <c r="E83" s="28"/>
      <c r="F83" s="28"/>
      <c r="G83" s="28"/>
      <c r="H83" s="28"/>
      <c r="I83" s="28"/>
      <c r="J83" s="4"/>
      <c r="K83" s="3">
        <f t="shared" si="9"/>
        <v>6300</v>
      </c>
      <c r="L83" s="2">
        <f t="shared" ca="1" si="17"/>
        <v>52470</v>
      </c>
      <c r="M83" cm="1">
        <f t="array" aca="1" ref="M83" ca="1">_xll.qwDataInterp(K83,$A$20:$A$44,$C$20:$C$44,4)</f>
        <v>495.91135363424814</v>
      </c>
      <c r="N83" s="3">
        <f t="shared" ca="1" si="18"/>
        <v>496.90317634151666</v>
      </c>
      <c r="O83">
        <f t="shared" ca="1" si="19"/>
        <v>2.3875603635614251E-2</v>
      </c>
    </row>
    <row r="84" spans="2:15" x14ac:dyDescent="0.25">
      <c r="E84" s="28"/>
      <c r="F84" s="28"/>
      <c r="G84" s="28"/>
      <c r="H84" s="28"/>
      <c r="I84" s="28"/>
      <c r="J84" s="4"/>
      <c r="K84" s="3">
        <f t="shared" si="9"/>
        <v>6400</v>
      </c>
      <c r="L84" s="2">
        <f t="shared" ref="L84:L93" ca="1" si="21">K84+$C$10</f>
        <v>52570</v>
      </c>
      <c r="M84" cm="1">
        <f t="array" aca="1" ref="M84" ca="1">_xll.qwDataInterp(K84,$A$20:$A$44,$C$20:$C$44,4)</f>
        <v>498.99842002451931</v>
      </c>
      <c r="N84" s="3">
        <f t="shared" ref="N84:N93" ca="1" si="22">VLOOKUP(MONTH(L84),$Y$4:$AA$15,3,0)*M84</f>
        <v>496.5034279243967</v>
      </c>
      <c r="O84">
        <f t="shared" ca="1" si="19"/>
        <v>2.3860500254795358E-2</v>
      </c>
    </row>
    <row r="85" spans="2:15" x14ac:dyDescent="0.25">
      <c r="E85" s="28"/>
      <c r="F85" s="28"/>
      <c r="G85" s="28"/>
      <c r="H85" s="28"/>
      <c r="I85" s="28"/>
      <c r="J85" s="4"/>
      <c r="K85" s="3">
        <f t="shared" si="9"/>
        <v>6500</v>
      </c>
      <c r="L85" s="2">
        <f t="shared" ca="1" si="21"/>
        <v>52670</v>
      </c>
      <c r="M85" cm="1">
        <f t="array" aca="1" ref="M85" ca="1">_xll.qwDataInterp(K85,$A$20:$A$44,$C$20:$C$44,4)</f>
        <v>502.08548641479047</v>
      </c>
      <c r="N85" s="3">
        <f t="shared" ca="1" si="22"/>
        <v>502.58757190120519</v>
      </c>
      <c r="O85">
        <f t="shared" ref="O85:O93" ca="1" si="23">EXP(LN(M85/$M$20)*1/((L85-$L$20)/365))-1</f>
        <v>2.3843661335609667E-2</v>
      </c>
    </row>
    <row r="86" spans="2:15" x14ac:dyDescent="0.25">
      <c r="E86" s="28"/>
      <c r="F86" s="28"/>
      <c r="G86" s="28"/>
      <c r="H86" s="28"/>
      <c r="I86" s="28"/>
      <c r="J86" s="4"/>
      <c r="K86" s="3">
        <f t="shared" ref="K86:K93" si="24">K85+100</f>
        <v>6600</v>
      </c>
      <c r="L86" s="2">
        <f t="shared" ca="1" si="21"/>
        <v>52770</v>
      </c>
      <c r="M86" cm="1">
        <f t="array" aca="1" ref="M86" ca="1">_xll.qwDataInterp(K86,$A$20:$A$44,$C$20:$C$44,4)</f>
        <v>505.17255280506163</v>
      </c>
      <c r="N86" s="3">
        <f t="shared" ca="1" si="22"/>
        <v>506.68807046347678</v>
      </c>
      <c r="O86">
        <f t="shared" ca="1" si="23"/>
        <v>2.3825192427646025E-2</v>
      </c>
    </row>
    <row r="87" spans="2:15" x14ac:dyDescent="0.25">
      <c r="E87" s="28"/>
      <c r="F87" s="28"/>
      <c r="G87" s="28"/>
      <c r="H87" s="28"/>
      <c r="I87" s="28"/>
      <c r="J87" s="4"/>
      <c r="K87" s="3">
        <f t="shared" si="24"/>
        <v>6700</v>
      </c>
      <c r="L87" s="2">
        <f t="shared" ca="1" si="21"/>
        <v>52870</v>
      </c>
      <c r="M87" cm="1">
        <f t="array" aca="1" ref="M87" ca="1">_xll.qwDataInterp(K87,$A$20:$A$44,$C$20:$C$44,4)</f>
        <v>508.25961919533279</v>
      </c>
      <c r="N87" s="3">
        <f t="shared" ca="1" si="22"/>
        <v>509.27613843372347</v>
      </c>
      <c r="O87">
        <f t="shared" ca="1" si="23"/>
        <v>2.3805192306466827E-2</v>
      </c>
    </row>
    <row r="88" spans="2:15" x14ac:dyDescent="0.25">
      <c r="E88" s="28"/>
      <c r="F88" s="28"/>
      <c r="G88" s="28"/>
      <c r="H88" s="28"/>
      <c r="I88" s="28"/>
      <c r="J88" s="4"/>
      <c r="K88" s="3">
        <f t="shared" si="24"/>
        <v>6800</v>
      </c>
      <c r="L88" s="2">
        <f t="shared" ca="1" si="21"/>
        <v>52970</v>
      </c>
      <c r="M88" cm="1">
        <f t="array" aca="1" ref="M88" ca="1">_xll.qwDataInterp(K88,$A$20:$A$44,$C$20:$C$44,4)</f>
        <v>511.34668558560395</v>
      </c>
      <c r="N88" s="3">
        <f t="shared" ca="1" si="22"/>
        <v>509.30129884326152</v>
      </c>
      <c r="O88">
        <f t="shared" ca="1" si="23"/>
        <v>2.3783753482224501E-2</v>
      </c>
    </row>
    <row r="89" spans="2:15" x14ac:dyDescent="0.25">
      <c r="E89" s="28"/>
      <c r="F89" s="28"/>
      <c r="G89" s="28"/>
      <c r="H89" s="28"/>
      <c r="I89" s="28"/>
      <c r="J89" s="4"/>
      <c r="K89" s="3">
        <f t="shared" si="24"/>
        <v>6900</v>
      </c>
      <c r="L89" s="2">
        <f t="shared" ca="1" si="21"/>
        <v>53070</v>
      </c>
      <c r="M89" cm="1">
        <f t="array" aca="1" ref="M89" ca="1">_xll.qwDataInterp(K89,$A$20:$A$44,$C$20:$C$44,4)</f>
        <v>514.43375197587511</v>
      </c>
      <c r="N89" s="3">
        <f t="shared" ca="1" si="22"/>
        <v>515.97705323180264</v>
      </c>
      <c r="O89">
        <f t="shared" ca="1" si="23"/>
        <v>2.3760962663806895E-2</v>
      </c>
    </row>
    <row r="90" spans="2:15" x14ac:dyDescent="0.25">
      <c r="E90" s="28"/>
      <c r="F90" s="28"/>
      <c r="G90" s="28"/>
      <c r="H90" s="28"/>
      <c r="I90" s="28"/>
      <c r="J90" s="4"/>
      <c r="K90" s="3">
        <f t="shared" si="24"/>
        <v>7000</v>
      </c>
      <c r="L90" s="2">
        <f t="shared" ca="1" si="21"/>
        <v>53170</v>
      </c>
      <c r="M90" cm="1">
        <f t="array" aca="1" ref="M90" ca="1">_xll.qwDataInterp(K90,$A$20:$A$44,$C$20:$C$44,4)</f>
        <v>517.52081836614627</v>
      </c>
      <c r="N90" s="3">
        <f t="shared" ca="1" si="22"/>
        <v>518.5558600028786</v>
      </c>
      <c r="O90">
        <f t="shared" ca="1" si="23"/>
        <v>2.3736901182960013E-2</v>
      </c>
    </row>
    <row r="91" spans="2:15" x14ac:dyDescent="0.25">
      <c r="E91" s="28"/>
      <c r="F91" s="28"/>
      <c r="G91" s="28"/>
      <c r="H91" s="28"/>
      <c r="I91" s="28"/>
      <c r="J91" s="4"/>
      <c r="K91" s="3">
        <f t="shared" si="24"/>
        <v>7100</v>
      </c>
      <c r="L91" s="2">
        <f t="shared" ca="1" si="21"/>
        <v>53270</v>
      </c>
      <c r="M91" cm="1">
        <f t="array" aca="1" ref="M91" ca="1">_xll.qwDataInterp(K91,$A$20:$A$44,$C$20:$C$44,4)</f>
        <v>520.60788475641743</v>
      </c>
      <c r="N91" s="3">
        <f t="shared" ca="1" si="22"/>
        <v>519.0460611021482</v>
      </c>
      <c r="O91">
        <f t="shared" ca="1" si="23"/>
        <v>2.3711645382335167E-2</v>
      </c>
    </row>
    <row r="92" spans="2:15" x14ac:dyDescent="0.25">
      <c r="E92" s="28"/>
      <c r="F92" s="28"/>
      <c r="G92" s="28"/>
      <c r="H92" s="28"/>
      <c r="I92" s="28"/>
      <c r="J92" s="4"/>
      <c r="K92" s="3">
        <f t="shared" si="24"/>
        <v>7200</v>
      </c>
      <c r="L92" s="2">
        <f t="shared" ca="1" si="21"/>
        <v>53370</v>
      </c>
      <c r="M92" cm="1">
        <f t="array" aca="1" ref="M92" ca="1">_xll.qwDataInterp(K92,$A$20:$A$44,$C$20:$C$44,4)</f>
        <v>523.6949511466886</v>
      </c>
      <c r="N92" s="3">
        <f t="shared" ca="1" si="22"/>
        <v>522.64756124439521</v>
      </c>
      <c r="O92">
        <f t="shared" ca="1" si="23"/>
        <v>2.3685266970974839E-2</v>
      </c>
    </row>
    <row r="93" spans="2:15" x14ac:dyDescent="0.25">
      <c r="B93" s="21"/>
      <c r="D93" s="28"/>
      <c r="E93" s="28"/>
      <c r="F93" s="28"/>
      <c r="G93" s="28"/>
      <c r="H93" s="28"/>
      <c r="I93" s="28"/>
      <c r="J93" s="4"/>
      <c r="K93" s="3">
        <f t="shared" si="24"/>
        <v>7300</v>
      </c>
      <c r="L93" s="2">
        <f t="shared" ca="1" si="21"/>
        <v>53470</v>
      </c>
      <c r="M93" cm="1">
        <f t="array" aca="1" ref="M93" ca="1">_xll.qwDataInterp(K93,$A$20:$A$44,$C$20:$C$44,4)</f>
        <v>526.78201753695976</v>
      </c>
      <c r="N93" s="3">
        <f t="shared" ca="1" si="22"/>
        <v>528.36236358957058</v>
      </c>
      <c r="O93">
        <f t="shared" ca="1" si="23"/>
        <v>2.3657833350357871E-2</v>
      </c>
    </row>
    <row r="94" spans="2:15" x14ac:dyDescent="0.25">
      <c r="B94" s="21"/>
      <c r="D94" s="28"/>
      <c r="E94" s="28"/>
      <c r="F94" s="28"/>
      <c r="G94" s="28"/>
      <c r="H94" s="28"/>
      <c r="I94" s="28"/>
    </row>
    <row r="95" spans="2:15" x14ac:dyDescent="0.25">
      <c r="B95" s="21"/>
      <c r="D95" s="28"/>
      <c r="E95" s="28"/>
      <c r="F95" s="28"/>
      <c r="G95" s="28"/>
      <c r="H95" s="28"/>
      <c r="I95" s="28"/>
    </row>
    <row r="96" spans="2:15" x14ac:dyDescent="0.25">
      <c r="D96" s="28"/>
      <c r="E96" s="28"/>
      <c r="F96" s="28"/>
      <c r="G96" s="28"/>
      <c r="H96" s="28"/>
      <c r="I96" s="28"/>
    </row>
    <row r="97" spans="4:9" x14ac:dyDescent="0.25">
      <c r="D97" s="28"/>
      <c r="E97" s="28"/>
      <c r="F97" s="28"/>
      <c r="G97" s="28"/>
      <c r="H97" s="28"/>
      <c r="I97" s="28"/>
    </row>
    <row r="98" spans="4:9" x14ac:dyDescent="0.25">
      <c r="D98" s="28"/>
      <c r="E98" s="28"/>
      <c r="F98" s="28"/>
      <c r="G98" s="28"/>
      <c r="H98" s="28"/>
      <c r="I98" s="28"/>
    </row>
    <row r="99" spans="4:9" x14ac:dyDescent="0.25">
      <c r="D99" s="28"/>
      <c r="E99" s="28"/>
      <c r="F99" s="28"/>
      <c r="G99" s="28"/>
      <c r="H99" s="28"/>
      <c r="I99" s="28"/>
    </row>
    <row r="100" spans="4:9" x14ac:dyDescent="0.25">
      <c r="D100" s="28"/>
      <c r="E100" s="28"/>
      <c r="F100" s="28"/>
      <c r="G100" s="28"/>
      <c r="H100" s="28"/>
      <c r="I100" s="28"/>
    </row>
    <row r="101" spans="4:9" x14ac:dyDescent="0.25">
      <c r="D101" s="28"/>
      <c r="E101" s="28"/>
      <c r="F101" s="28"/>
      <c r="G101" s="28"/>
      <c r="H101" s="28"/>
      <c r="I101" s="28"/>
    </row>
    <row r="102" spans="4:9" x14ac:dyDescent="0.25">
      <c r="D102" s="28"/>
      <c r="E102" s="28"/>
      <c r="F102" s="28"/>
      <c r="G102" s="28"/>
      <c r="H102" s="28"/>
      <c r="I102" s="28"/>
    </row>
    <row r="103" spans="4:9" x14ac:dyDescent="0.25">
      <c r="D103" s="28"/>
      <c r="E103" s="28"/>
      <c r="F103" s="28"/>
      <c r="G103" s="28"/>
      <c r="H103" s="28"/>
      <c r="I103" s="28"/>
    </row>
    <row r="104" spans="4:9" x14ac:dyDescent="0.25">
      <c r="D104" s="28"/>
      <c r="E104" s="28"/>
      <c r="F104" s="28"/>
      <c r="G104" s="28"/>
      <c r="H104" s="28"/>
      <c r="I104" s="28"/>
    </row>
    <row r="105" spans="4:9" x14ac:dyDescent="0.25">
      <c r="D105" s="28"/>
      <c r="E105" s="28"/>
      <c r="F105" s="28"/>
      <c r="G105" s="28"/>
      <c r="H105" s="28"/>
      <c r="I105" s="28"/>
    </row>
    <row r="106" spans="4:9" x14ac:dyDescent="0.25">
      <c r="D106" s="28"/>
      <c r="E106" s="28"/>
      <c r="F106" s="28"/>
      <c r="G106" s="28"/>
      <c r="H106" s="28"/>
      <c r="I106" s="28"/>
    </row>
    <row r="107" spans="4:9" x14ac:dyDescent="0.25">
      <c r="D107" s="28"/>
      <c r="E107" s="28"/>
      <c r="F107" s="28"/>
      <c r="G107" s="28"/>
      <c r="H107" s="28"/>
      <c r="I107" s="28"/>
    </row>
    <row r="108" spans="4:9" x14ac:dyDescent="0.25">
      <c r="D108" s="28"/>
      <c r="E108" s="28"/>
      <c r="F108" s="28"/>
      <c r="G108" s="28"/>
      <c r="H108" s="28"/>
      <c r="I108" s="28"/>
    </row>
    <row r="109" spans="4:9" x14ac:dyDescent="0.25">
      <c r="D109" s="28"/>
      <c r="E109" s="28"/>
      <c r="F109" s="28"/>
      <c r="G109" s="28"/>
      <c r="H109" s="28"/>
      <c r="I109" s="28"/>
    </row>
    <row r="110" spans="4:9" x14ac:dyDescent="0.25">
      <c r="D110" s="28"/>
      <c r="E110" s="28"/>
      <c r="F110" s="28"/>
      <c r="G110" s="28"/>
      <c r="H110" s="28"/>
      <c r="I110" s="28"/>
    </row>
    <row r="111" spans="4:9" x14ac:dyDescent="0.25">
      <c r="D111" s="28"/>
      <c r="E111" s="28"/>
      <c r="F111" s="28"/>
      <c r="G111" s="28"/>
      <c r="H111" s="28"/>
      <c r="I111" s="28"/>
    </row>
    <row r="112" spans="4:9" x14ac:dyDescent="0.25">
      <c r="D112" s="28"/>
      <c r="E112" s="28"/>
      <c r="F112" s="28"/>
      <c r="G112" s="28"/>
      <c r="H112" s="28"/>
      <c r="I112" s="28"/>
    </row>
    <row r="113" spans="4:9" x14ac:dyDescent="0.25">
      <c r="D113" s="28"/>
      <c r="E113" s="28"/>
      <c r="F113" s="28"/>
      <c r="G113" s="28"/>
      <c r="H113" s="28"/>
      <c r="I113" s="28"/>
    </row>
    <row r="114" spans="4:9" x14ac:dyDescent="0.25">
      <c r="D114" s="28"/>
      <c r="E114" s="28"/>
      <c r="F114" s="28"/>
      <c r="G114" s="28"/>
      <c r="H114" s="28"/>
      <c r="I114" s="28"/>
    </row>
    <row r="115" spans="4:9" x14ac:dyDescent="0.25">
      <c r="D115" s="28"/>
      <c r="E115" s="28"/>
      <c r="F115" s="28"/>
      <c r="G115" s="28"/>
      <c r="H115" s="28"/>
      <c r="I115" s="28"/>
    </row>
    <row r="116" spans="4:9" x14ac:dyDescent="0.25">
      <c r="D116" s="28"/>
      <c r="E116" s="28"/>
      <c r="F116" s="28"/>
      <c r="G116" s="28"/>
      <c r="H116" s="28"/>
      <c r="I116" s="28"/>
    </row>
    <row r="117" spans="4:9" x14ac:dyDescent="0.25">
      <c r="D117" s="28"/>
      <c r="E117" s="28"/>
      <c r="F117" s="28"/>
      <c r="G117" s="28"/>
      <c r="H117" s="28"/>
      <c r="I117" s="28"/>
    </row>
    <row r="118" spans="4:9" x14ac:dyDescent="0.25">
      <c r="D118" s="28"/>
      <c r="E118" s="28"/>
      <c r="F118" s="28"/>
      <c r="G118" s="28"/>
      <c r="H118" s="28"/>
      <c r="I118" s="28"/>
    </row>
    <row r="119" spans="4:9" x14ac:dyDescent="0.25">
      <c r="D119" s="28"/>
      <c r="E119" s="28"/>
      <c r="F119" s="28"/>
      <c r="G119" s="28"/>
      <c r="H119" s="28"/>
      <c r="I119" s="28"/>
    </row>
    <row r="120" spans="4:9" x14ac:dyDescent="0.25">
      <c r="D120" s="28"/>
      <c r="E120" s="28"/>
      <c r="F120" s="28"/>
      <c r="G120" s="28"/>
      <c r="H120" s="28"/>
      <c r="I120" s="28"/>
    </row>
    <row r="121" spans="4:9" x14ac:dyDescent="0.25">
      <c r="D121" s="28"/>
      <c r="E121" s="28"/>
      <c r="F121" s="28"/>
      <c r="G121" s="28"/>
      <c r="H121" s="28"/>
      <c r="I121" s="28"/>
    </row>
    <row r="122" spans="4:9" x14ac:dyDescent="0.25">
      <c r="D122" s="28"/>
      <c r="E122" s="28"/>
      <c r="F122" s="28"/>
      <c r="G122" s="28"/>
      <c r="H122" s="28"/>
      <c r="I122" s="28"/>
    </row>
    <row r="123" spans="4:9" x14ac:dyDescent="0.25">
      <c r="D123" s="28"/>
      <c r="E123" s="28"/>
      <c r="F123" s="28"/>
      <c r="G123" s="28"/>
      <c r="H123" s="28"/>
      <c r="I123" s="28"/>
    </row>
    <row r="124" spans="4:9" x14ac:dyDescent="0.25">
      <c r="D124" s="28"/>
      <c r="E124" s="28"/>
      <c r="F124" s="28"/>
      <c r="G124" s="28"/>
      <c r="H124" s="28"/>
      <c r="I124" s="28"/>
    </row>
    <row r="125" spans="4:9" x14ac:dyDescent="0.25">
      <c r="D125" s="28"/>
      <c r="E125" s="28"/>
      <c r="F125" s="28"/>
      <c r="G125" s="28"/>
      <c r="H125" s="28"/>
      <c r="I125" s="28"/>
    </row>
    <row r="126" spans="4:9" x14ac:dyDescent="0.25">
      <c r="D126" s="28"/>
      <c r="E126" s="28"/>
      <c r="F126" s="28"/>
      <c r="G126" s="28"/>
      <c r="H126" s="28"/>
      <c r="I126" s="28"/>
    </row>
    <row r="127" spans="4:9" x14ac:dyDescent="0.25">
      <c r="D127" s="28"/>
      <c r="E127" s="28"/>
      <c r="F127" s="28"/>
      <c r="G127" s="28"/>
      <c r="H127" s="28"/>
      <c r="I127" s="28"/>
    </row>
    <row r="128" spans="4:9" x14ac:dyDescent="0.25">
      <c r="D128" s="28"/>
      <c r="E128" s="28"/>
      <c r="F128" s="28"/>
      <c r="G128" s="28"/>
      <c r="H128" s="28"/>
      <c r="I128" s="28"/>
    </row>
    <row r="129" spans="4:9" x14ac:dyDescent="0.25">
      <c r="D129" s="28"/>
      <c r="E129" s="28"/>
      <c r="F129" s="28"/>
      <c r="G129" s="28"/>
      <c r="H129" s="28"/>
      <c r="I129" s="28"/>
    </row>
    <row r="130" spans="4:9" x14ac:dyDescent="0.25">
      <c r="D130" s="28"/>
      <c r="E130" s="28"/>
      <c r="F130" s="28"/>
      <c r="G130" s="28"/>
      <c r="H130" s="28"/>
      <c r="I130" s="28"/>
    </row>
    <row r="131" spans="4:9" x14ac:dyDescent="0.25">
      <c r="D131" s="28"/>
      <c r="E131" s="28"/>
      <c r="F131" s="28"/>
      <c r="G131" s="28"/>
      <c r="H131" s="28"/>
      <c r="I131" s="28"/>
    </row>
    <row r="132" spans="4:9" x14ac:dyDescent="0.25">
      <c r="D132" s="28"/>
      <c r="E132" s="28"/>
      <c r="F132" s="28"/>
      <c r="G132" s="28"/>
      <c r="H132" s="28"/>
      <c r="I132" s="28"/>
    </row>
    <row r="133" spans="4:9" x14ac:dyDescent="0.25">
      <c r="D133" s="28"/>
      <c r="E133" s="28"/>
      <c r="F133" s="28"/>
      <c r="G133" s="28"/>
      <c r="H133" s="28"/>
      <c r="I133" s="28"/>
    </row>
    <row r="134" spans="4:9" x14ac:dyDescent="0.25">
      <c r="D134" s="28"/>
      <c r="E134" s="28"/>
      <c r="F134" s="28"/>
      <c r="G134" s="28"/>
      <c r="H134" s="28"/>
      <c r="I134" s="28"/>
    </row>
    <row r="135" spans="4:9" x14ac:dyDescent="0.25">
      <c r="D135" s="28"/>
      <c r="E135" s="28"/>
      <c r="F135" s="28"/>
      <c r="G135" s="28"/>
      <c r="H135" s="28"/>
      <c r="I135" s="28"/>
    </row>
    <row r="136" spans="4:9" x14ac:dyDescent="0.25">
      <c r="D136" s="28"/>
      <c r="E136" s="28"/>
      <c r="F136" s="28"/>
      <c r="G136" s="28"/>
      <c r="H136" s="28"/>
      <c r="I136" s="28"/>
    </row>
    <row r="137" spans="4:9" x14ac:dyDescent="0.25">
      <c r="D137" s="28"/>
      <c r="E137" s="28"/>
      <c r="F137" s="28"/>
      <c r="G137" s="28"/>
      <c r="H137" s="28"/>
      <c r="I137" s="28"/>
    </row>
    <row r="138" spans="4:9" x14ac:dyDescent="0.25">
      <c r="D138" s="28"/>
      <c r="E138" s="28"/>
      <c r="F138" s="28"/>
      <c r="G138" s="28"/>
      <c r="H138" s="28"/>
      <c r="I138" s="28"/>
    </row>
    <row r="139" spans="4:9" x14ac:dyDescent="0.25">
      <c r="D139" s="28"/>
      <c r="E139" s="28"/>
      <c r="F139" s="28"/>
      <c r="G139" s="28"/>
      <c r="H139" s="28"/>
      <c r="I139" s="28"/>
    </row>
    <row r="140" spans="4:9" x14ac:dyDescent="0.25">
      <c r="D140" s="28"/>
      <c r="E140" s="28"/>
      <c r="F140" s="28"/>
      <c r="G140" s="28"/>
      <c r="H140" s="28"/>
      <c r="I140" s="28"/>
    </row>
    <row r="141" spans="4:9" x14ac:dyDescent="0.25">
      <c r="D141" s="28"/>
      <c r="E141" s="28"/>
      <c r="F141" s="28"/>
      <c r="G141" s="28"/>
      <c r="H141" s="28"/>
      <c r="I141" s="28"/>
    </row>
    <row r="142" spans="4:9" x14ac:dyDescent="0.25">
      <c r="D142" s="28"/>
      <c r="E142" s="28"/>
      <c r="F142" s="28"/>
      <c r="G142" s="28"/>
      <c r="H142" s="28"/>
      <c r="I142" s="28"/>
    </row>
    <row r="143" spans="4:9" x14ac:dyDescent="0.25">
      <c r="D143" s="28"/>
      <c r="E143" s="28"/>
      <c r="F143" s="28"/>
      <c r="G143" s="28"/>
      <c r="H143" s="28"/>
      <c r="I143" s="28"/>
    </row>
    <row r="144" spans="4:9" x14ac:dyDescent="0.25">
      <c r="D144" s="28"/>
      <c r="E144" s="28"/>
      <c r="F144" s="28"/>
      <c r="G144" s="28"/>
      <c r="H144" s="28"/>
      <c r="I144" s="28"/>
    </row>
    <row r="145" spans="4:9" x14ac:dyDescent="0.25">
      <c r="D145" s="28"/>
      <c r="E145" s="28"/>
      <c r="F145" s="28"/>
      <c r="G145" s="28"/>
      <c r="H145" s="28"/>
      <c r="I145" s="28"/>
    </row>
    <row r="146" spans="4:9" x14ac:dyDescent="0.25">
      <c r="D146" s="28"/>
      <c r="E146" s="28"/>
      <c r="F146" s="28"/>
      <c r="G146" s="28"/>
      <c r="H146" s="28"/>
      <c r="I146" s="28"/>
    </row>
    <row r="147" spans="4:9" x14ac:dyDescent="0.25">
      <c r="D147" s="28"/>
      <c r="E147" s="28"/>
      <c r="F147" s="28"/>
      <c r="G147" s="28"/>
      <c r="H147" s="28"/>
      <c r="I147" s="28"/>
    </row>
    <row r="148" spans="4:9" x14ac:dyDescent="0.25">
      <c r="D148" s="28"/>
      <c r="E148" s="28"/>
      <c r="F148" s="28"/>
      <c r="G148" s="28"/>
      <c r="H148" s="28"/>
      <c r="I148" s="28"/>
    </row>
    <row r="149" spans="4:9" x14ac:dyDescent="0.25">
      <c r="D149" s="28"/>
      <c r="E149" s="28"/>
      <c r="F149" s="28"/>
      <c r="G149" s="28"/>
      <c r="H149" s="28"/>
      <c r="I149" s="28"/>
    </row>
    <row r="150" spans="4:9" x14ac:dyDescent="0.25">
      <c r="D150" s="28"/>
      <c r="E150" s="28"/>
      <c r="F150" s="28"/>
      <c r="G150" s="28"/>
      <c r="H150" s="28"/>
      <c r="I150" s="28"/>
    </row>
    <row r="151" spans="4:9" x14ac:dyDescent="0.25">
      <c r="D151" s="28"/>
      <c r="E151" s="28"/>
      <c r="F151" s="28"/>
      <c r="G151" s="28"/>
      <c r="H151" s="28"/>
      <c r="I151" s="28"/>
    </row>
    <row r="152" spans="4:9" x14ac:dyDescent="0.25">
      <c r="D152" s="28"/>
      <c r="E152" s="28"/>
      <c r="F152" s="28"/>
      <c r="G152" s="28"/>
      <c r="H152" s="28"/>
      <c r="I152" s="28"/>
    </row>
    <row r="153" spans="4:9" x14ac:dyDescent="0.25">
      <c r="D153" s="28"/>
      <c r="E153" s="28"/>
      <c r="F153" s="28"/>
      <c r="G153" s="28"/>
      <c r="H153" s="28"/>
      <c r="I153" s="28"/>
    </row>
    <row r="154" spans="4:9" x14ac:dyDescent="0.25">
      <c r="D154" s="28"/>
      <c r="E154" s="28"/>
      <c r="F154" s="28"/>
      <c r="G154" s="28"/>
      <c r="H154" s="28"/>
      <c r="I154" s="28"/>
    </row>
    <row r="155" spans="4:9" x14ac:dyDescent="0.25">
      <c r="D155" s="28"/>
      <c r="E155" s="28"/>
      <c r="F155" s="28"/>
      <c r="G155" s="28"/>
      <c r="H155" s="28"/>
      <c r="I155" s="28"/>
    </row>
    <row r="156" spans="4:9" x14ac:dyDescent="0.25">
      <c r="D156" s="28"/>
      <c r="E156" s="28"/>
      <c r="F156" s="28"/>
      <c r="G156" s="28"/>
      <c r="H156" s="28"/>
      <c r="I156" s="28"/>
    </row>
    <row r="157" spans="4:9" x14ac:dyDescent="0.25">
      <c r="D157" s="28"/>
      <c r="E157" s="28"/>
      <c r="F157" s="28"/>
      <c r="G157" s="28"/>
      <c r="H157" s="28"/>
      <c r="I157" s="28"/>
    </row>
    <row r="158" spans="4:9" x14ac:dyDescent="0.25">
      <c r="D158" s="28"/>
      <c r="E158" s="28"/>
      <c r="F158" s="28"/>
      <c r="G158" s="28"/>
      <c r="H158" s="28"/>
      <c r="I158" s="28"/>
    </row>
    <row r="159" spans="4:9" x14ac:dyDescent="0.25">
      <c r="D159" s="28"/>
      <c r="E159" s="28"/>
      <c r="F159" s="28"/>
      <c r="G159" s="28"/>
      <c r="H159" s="28"/>
      <c r="I159" s="28"/>
    </row>
    <row r="160" spans="4:9" x14ac:dyDescent="0.25">
      <c r="D160" s="28"/>
      <c r="E160" s="28"/>
      <c r="F160" s="28"/>
      <c r="G160" s="28"/>
      <c r="H160" s="28"/>
      <c r="I160" s="28"/>
    </row>
    <row r="161" spans="4:9" x14ac:dyDescent="0.25">
      <c r="D161" s="28"/>
      <c r="E161" s="28"/>
      <c r="F161" s="28"/>
      <c r="G161" s="28"/>
      <c r="H161" s="28"/>
      <c r="I161" s="28"/>
    </row>
    <row r="162" spans="4:9" x14ac:dyDescent="0.25">
      <c r="D162" s="28"/>
      <c r="E162" s="28"/>
      <c r="F162" s="28"/>
      <c r="G162" s="28"/>
      <c r="H162" s="28"/>
      <c r="I162" s="28"/>
    </row>
    <row r="163" spans="4:9" x14ac:dyDescent="0.25">
      <c r="D163" s="28"/>
      <c r="E163" s="28"/>
      <c r="F163" s="28"/>
      <c r="G163" s="28"/>
      <c r="H163" s="28"/>
      <c r="I163" s="28"/>
    </row>
    <row r="164" spans="4:9" x14ac:dyDescent="0.25">
      <c r="D164" s="28"/>
      <c r="E164" s="28"/>
      <c r="F164" s="28"/>
      <c r="G164" s="28"/>
      <c r="H164" s="28"/>
      <c r="I164" s="28"/>
    </row>
    <row r="165" spans="4:9" x14ac:dyDescent="0.25">
      <c r="D165" s="28"/>
      <c r="E165" s="28"/>
      <c r="F165" s="28"/>
      <c r="G165" s="28"/>
      <c r="H165" s="28"/>
      <c r="I165" s="28"/>
    </row>
    <row r="166" spans="4:9" x14ac:dyDescent="0.25">
      <c r="D166" s="28"/>
      <c r="E166" s="28"/>
      <c r="F166" s="28"/>
      <c r="G166" s="28"/>
      <c r="H166" s="28"/>
      <c r="I166" s="28"/>
    </row>
    <row r="167" spans="4:9" x14ac:dyDescent="0.25">
      <c r="D167" s="28"/>
      <c r="E167" s="28"/>
      <c r="F167" s="28"/>
      <c r="G167" s="28"/>
      <c r="H167" s="28"/>
      <c r="I167" s="28"/>
    </row>
    <row r="168" spans="4:9" x14ac:dyDescent="0.25">
      <c r="D168" s="28"/>
      <c r="E168" s="28"/>
      <c r="F168" s="28"/>
      <c r="G168" s="28"/>
      <c r="H168" s="28"/>
      <c r="I168" s="28"/>
    </row>
    <row r="169" spans="4:9" x14ac:dyDescent="0.25">
      <c r="D169" s="28"/>
      <c r="E169" s="28"/>
      <c r="F169" s="28"/>
      <c r="G169" s="28"/>
      <c r="H169" s="28"/>
      <c r="I169" s="28"/>
    </row>
    <row r="170" spans="4:9" x14ac:dyDescent="0.25">
      <c r="D170" s="28"/>
      <c r="E170" s="28"/>
      <c r="F170" s="28"/>
      <c r="G170" s="28"/>
      <c r="H170" s="28"/>
      <c r="I170" s="28"/>
    </row>
    <row r="171" spans="4:9" x14ac:dyDescent="0.25">
      <c r="D171" s="28"/>
      <c r="E171" s="28"/>
      <c r="F171" s="28"/>
      <c r="G171" s="28"/>
      <c r="H171" s="28"/>
      <c r="I171" s="28"/>
    </row>
    <row r="172" spans="4:9" x14ac:dyDescent="0.25">
      <c r="D172" s="28"/>
      <c r="E172" s="28"/>
      <c r="F172" s="28"/>
      <c r="G172" s="28"/>
      <c r="H172" s="28"/>
      <c r="I172" s="28"/>
    </row>
    <row r="173" spans="4:9" x14ac:dyDescent="0.25">
      <c r="D173" s="28"/>
      <c r="E173" s="28"/>
      <c r="F173" s="28"/>
      <c r="G173" s="28"/>
      <c r="H173" s="28"/>
      <c r="I173" s="28"/>
    </row>
    <row r="174" spans="4:9" x14ac:dyDescent="0.25">
      <c r="D174" s="28"/>
      <c r="E174" s="28"/>
      <c r="F174" s="28"/>
      <c r="G174" s="28"/>
      <c r="H174" s="28"/>
      <c r="I174" s="28"/>
    </row>
    <row r="175" spans="4:9" x14ac:dyDescent="0.25">
      <c r="D175" s="28"/>
      <c r="E175" s="28"/>
      <c r="F175" s="28"/>
      <c r="G175" s="28"/>
      <c r="H175" s="28"/>
      <c r="I175" s="28"/>
    </row>
    <row r="176" spans="4:9" x14ac:dyDescent="0.25">
      <c r="D176" s="28"/>
      <c r="E176" s="28"/>
      <c r="F176" s="28"/>
      <c r="G176" s="28"/>
      <c r="H176" s="28"/>
      <c r="I176" s="28"/>
    </row>
    <row r="177" spans="4:9" x14ac:dyDescent="0.25">
      <c r="D177" s="28"/>
      <c r="E177" s="28"/>
      <c r="F177" s="28"/>
      <c r="G177" s="28"/>
      <c r="H177" s="28"/>
      <c r="I177" s="28"/>
    </row>
    <row r="178" spans="4:9" x14ac:dyDescent="0.25">
      <c r="D178" s="28"/>
      <c r="E178" s="28"/>
      <c r="F178" s="28"/>
      <c r="G178" s="28"/>
      <c r="H178" s="28"/>
      <c r="I178" s="28"/>
    </row>
    <row r="179" spans="4:9" x14ac:dyDescent="0.25">
      <c r="D179" s="28"/>
      <c r="E179" s="28"/>
      <c r="F179" s="28"/>
      <c r="G179" s="28"/>
      <c r="H179" s="28"/>
      <c r="I179" s="28"/>
    </row>
    <row r="180" spans="4:9" x14ac:dyDescent="0.25">
      <c r="D180" s="28"/>
      <c r="E180" s="28"/>
      <c r="F180" s="28"/>
      <c r="G180" s="28"/>
      <c r="H180" s="28"/>
      <c r="I180" s="28"/>
    </row>
    <row r="181" spans="4:9" x14ac:dyDescent="0.25">
      <c r="D181" s="28"/>
      <c r="E181" s="28"/>
      <c r="F181" s="28"/>
      <c r="G181" s="28"/>
      <c r="H181" s="28"/>
      <c r="I181" s="28"/>
    </row>
    <row r="182" spans="4:9" x14ac:dyDescent="0.25">
      <c r="D182" s="28"/>
      <c r="E182" s="28"/>
      <c r="F182" s="28"/>
      <c r="G182" s="28"/>
      <c r="H182" s="28"/>
      <c r="I182" s="28"/>
    </row>
    <row r="183" spans="4:9" x14ac:dyDescent="0.25">
      <c r="D183" s="28"/>
      <c r="E183" s="28"/>
      <c r="F183" s="28"/>
      <c r="G183" s="28"/>
      <c r="H183" s="28"/>
      <c r="I183" s="28"/>
    </row>
    <row r="184" spans="4:9" x14ac:dyDescent="0.25">
      <c r="D184" s="28"/>
      <c r="E184" s="28"/>
      <c r="F184" s="28"/>
      <c r="G184" s="28"/>
      <c r="H184" s="28"/>
      <c r="I184" s="28"/>
    </row>
    <row r="185" spans="4:9" x14ac:dyDescent="0.25">
      <c r="D185" s="28"/>
      <c r="E185" s="28"/>
      <c r="F185" s="28"/>
      <c r="G185" s="28"/>
      <c r="H185" s="28"/>
      <c r="I185" s="28"/>
    </row>
    <row r="186" spans="4:9" x14ac:dyDescent="0.25">
      <c r="D186" s="28"/>
      <c r="E186" s="28"/>
      <c r="F186" s="28"/>
      <c r="G186" s="28"/>
      <c r="H186" s="28"/>
      <c r="I186" s="28"/>
    </row>
    <row r="187" spans="4:9" x14ac:dyDescent="0.25">
      <c r="D187" s="28"/>
      <c r="E187" s="28"/>
      <c r="F187" s="28"/>
      <c r="G187" s="28"/>
      <c r="H187" s="28"/>
      <c r="I187" s="28"/>
    </row>
    <row r="188" spans="4:9" x14ac:dyDescent="0.25">
      <c r="D188" s="28"/>
      <c r="E188" s="28"/>
      <c r="F188" s="28"/>
      <c r="G188" s="28"/>
      <c r="H188" s="28"/>
      <c r="I188" s="28"/>
    </row>
    <row r="189" spans="4:9" x14ac:dyDescent="0.25">
      <c r="D189" s="28"/>
      <c r="E189" s="28"/>
      <c r="F189" s="28"/>
      <c r="G189" s="28"/>
      <c r="H189" s="28"/>
      <c r="I189" s="28"/>
    </row>
    <row r="190" spans="4:9" x14ac:dyDescent="0.25">
      <c r="D190" s="28"/>
      <c r="E190" s="28"/>
      <c r="F190" s="28"/>
      <c r="G190" s="28"/>
      <c r="H190" s="28"/>
      <c r="I190" s="28"/>
    </row>
    <row r="191" spans="4:9" x14ac:dyDescent="0.25">
      <c r="D191" s="28"/>
      <c r="E191" s="28"/>
      <c r="F191" s="28"/>
      <c r="G191" s="28"/>
      <c r="H191" s="28"/>
      <c r="I191" s="28"/>
    </row>
    <row r="192" spans="4:9" x14ac:dyDescent="0.25">
      <c r="D192" s="28"/>
      <c r="E192" s="28"/>
      <c r="F192" s="28"/>
      <c r="G192" s="28"/>
      <c r="H192" s="28"/>
      <c r="I192" s="28"/>
    </row>
    <row r="193" spans="4:9" x14ac:dyDescent="0.25">
      <c r="D193" s="28"/>
      <c r="E193" s="28"/>
      <c r="F193" s="28"/>
      <c r="G193" s="28"/>
      <c r="H193" s="28"/>
      <c r="I193" s="28"/>
    </row>
    <row r="194" spans="4:9" x14ac:dyDescent="0.25">
      <c r="D194" s="28"/>
      <c r="E194" s="28"/>
      <c r="F194" s="28"/>
      <c r="G194" s="28"/>
      <c r="H194" s="28"/>
      <c r="I194" s="28"/>
    </row>
    <row r="195" spans="4:9" x14ac:dyDescent="0.25">
      <c r="D195" s="28"/>
      <c r="E195" s="28"/>
      <c r="F195" s="28"/>
      <c r="G195" s="28"/>
      <c r="H195" s="28"/>
      <c r="I195" s="28"/>
    </row>
    <row r="196" spans="4:9" x14ac:dyDescent="0.25">
      <c r="D196" s="28"/>
      <c r="E196" s="28"/>
      <c r="F196" s="28"/>
      <c r="G196" s="28"/>
      <c r="H196" s="28"/>
      <c r="I196" s="28"/>
    </row>
    <row r="197" spans="4:9" x14ac:dyDescent="0.25">
      <c r="D197" s="28"/>
      <c r="E197" s="28"/>
      <c r="F197" s="28"/>
      <c r="G197" s="28"/>
      <c r="H197" s="28"/>
      <c r="I197" s="28"/>
    </row>
    <row r="198" spans="4:9" x14ac:dyDescent="0.25">
      <c r="D198" s="28"/>
      <c r="E198" s="28"/>
      <c r="F198" s="28"/>
      <c r="G198" s="28"/>
      <c r="H198" s="28"/>
      <c r="I198" s="28"/>
    </row>
    <row r="199" spans="4:9" x14ac:dyDescent="0.25">
      <c r="D199" s="28"/>
      <c r="E199" s="28"/>
      <c r="F199" s="28"/>
      <c r="G199" s="28"/>
      <c r="H199" s="28"/>
      <c r="I199" s="28"/>
    </row>
    <row r="200" spans="4:9" x14ac:dyDescent="0.25">
      <c r="D200" s="28"/>
      <c r="E200" s="28"/>
      <c r="F200" s="28"/>
      <c r="G200" s="28"/>
      <c r="H200" s="28"/>
      <c r="I200" s="28"/>
    </row>
    <row r="201" spans="4:9" x14ac:dyDescent="0.25">
      <c r="D201" s="28"/>
      <c r="E201" s="28"/>
      <c r="F201" s="28"/>
      <c r="G201" s="28"/>
      <c r="H201" s="28"/>
      <c r="I201" s="28"/>
    </row>
    <row r="202" spans="4:9" x14ac:dyDescent="0.25">
      <c r="D202" s="28"/>
      <c r="E202" s="28"/>
      <c r="F202" s="28"/>
      <c r="G202" s="28"/>
      <c r="H202" s="28"/>
      <c r="I202" s="28"/>
    </row>
    <row r="203" spans="4:9" x14ac:dyDescent="0.25">
      <c r="D203" s="28"/>
      <c r="E203" s="28"/>
      <c r="F203" s="28"/>
      <c r="G203" s="28"/>
      <c r="H203" s="28"/>
      <c r="I203" s="28"/>
    </row>
    <row r="204" spans="4:9" x14ac:dyDescent="0.25">
      <c r="D204" s="28"/>
      <c r="E204" s="28"/>
      <c r="F204" s="28"/>
      <c r="G204" s="28"/>
      <c r="H204" s="28"/>
      <c r="I204" s="28"/>
    </row>
    <row r="205" spans="4:9" x14ac:dyDescent="0.25">
      <c r="D205" s="28"/>
      <c r="E205" s="28"/>
      <c r="F205" s="28"/>
      <c r="G205" s="28"/>
      <c r="H205" s="28"/>
      <c r="I205" s="28"/>
    </row>
    <row r="206" spans="4:9" x14ac:dyDescent="0.25">
      <c r="D206" s="28"/>
      <c r="E206" s="28"/>
      <c r="F206" s="28"/>
      <c r="G206" s="28"/>
      <c r="H206" s="28"/>
      <c r="I206" s="28"/>
    </row>
    <row r="207" spans="4:9" x14ac:dyDescent="0.25">
      <c r="D207" s="28"/>
      <c r="E207" s="28"/>
      <c r="F207" s="28"/>
      <c r="G207" s="28"/>
      <c r="H207" s="28"/>
      <c r="I207" s="28"/>
    </row>
    <row r="208" spans="4:9" x14ac:dyDescent="0.25">
      <c r="D208" s="28"/>
      <c r="E208" s="28"/>
      <c r="F208" s="28"/>
      <c r="G208" s="28"/>
      <c r="H208" s="28"/>
      <c r="I208" s="28"/>
    </row>
    <row r="209" spans="4:9" x14ac:dyDescent="0.25">
      <c r="D209" s="28"/>
      <c r="E209" s="28"/>
      <c r="F209" s="28"/>
      <c r="G209" s="28"/>
      <c r="H209" s="28"/>
      <c r="I209" s="28"/>
    </row>
    <row r="210" spans="4:9" x14ac:dyDescent="0.25">
      <c r="D210" s="28"/>
      <c r="E210" s="28"/>
      <c r="F210" s="28"/>
      <c r="G210" s="28"/>
      <c r="H210" s="28"/>
      <c r="I210" s="28"/>
    </row>
  </sheetData>
  <phoneticPr fontId="4" type="noConversion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2" r:id="rId3" name="Scroll Bar 8">
              <controlPr defaultSize="0" autoPict="0">
                <anchor moveWithCells="1">
                  <from>
                    <xdr:col>3</xdr:col>
                    <xdr:colOff>457200</xdr:colOff>
                    <xdr:row>2</xdr:row>
                    <xdr:rowOff>28575</xdr:rowOff>
                  </from>
                  <to>
                    <xdr:col>3</xdr:col>
                    <xdr:colOff>733425</xdr:colOff>
                    <xdr:row>16</xdr:row>
                    <xdr:rowOff>114300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194FC-453F-4115-A5CD-96A2F7AEDCB6}">
  <dimension ref="A1:I162"/>
  <sheetViews>
    <sheetView zoomScaleNormal="100" workbookViewId="0">
      <selection activeCell="I14" sqref="I14"/>
    </sheetView>
  </sheetViews>
  <sheetFormatPr defaultRowHeight="15" x14ac:dyDescent="0.25"/>
  <cols>
    <col min="1" max="1" width="17.5703125" bestFit="1" customWidth="1"/>
    <col min="2" max="2" width="34.85546875" bestFit="1" customWidth="1"/>
    <col min="5" max="5" width="16.140625" bestFit="1" customWidth="1"/>
    <col min="6" max="6" width="25.28515625" bestFit="1" customWidth="1"/>
    <col min="7" max="7" width="22.42578125" bestFit="1" customWidth="1"/>
    <col min="8" max="8" width="42.5703125" bestFit="1" customWidth="1"/>
    <col min="9" max="9" width="9" bestFit="1" customWidth="1"/>
    <col min="10" max="10" width="16.28515625" bestFit="1" customWidth="1"/>
    <col min="11" max="11" width="25.5703125" bestFit="1" customWidth="1"/>
    <col min="12" max="12" width="16.5703125" bestFit="1" customWidth="1"/>
    <col min="13" max="13" width="34.42578125" bestFit="1" customWidth="1"/>
    <col min="14" max="14" width="26.140625" bestFit="1" customWidth="1"/>
    <col min="16" max="16" width="23" customWidth="1"/>
    <col min="17" max="17" width="15.140625" bestFit="1" customWidth="1"/>
    <col min="18" max="18" width="18.7109375" bestFit="1" customWidth="1"/>
  </cols>
  <sheetData>
    <row r="1" spans="1:9" x14ac:dyDescent="0.25">
      <c r="A1" s="7" t="s">
        <v>53</v>
      </c>
      <c r="B1" s="7" t="s">
        <v>54</v>
      </c>
    </row>
    <row r="2" spans="1:9" x14ac:dyDescent="0.25">
      <c r="A2" s="9" t="s">
        <v>55</v>
      </c>
      <c r="B2" s="9" t="s">
        <v>56</v>
      </c>
      <c r="C2" t="str">
        <f>_xll.BDP(A2, "PX_LAST")</f>
        <v>#N/A N/A</v>
      </c>
      <c r="G2" s="11" t="s">
        <v>15</v>
      </c>
      <c r="H2" s="11" t="s">
        <v>57</v>
      </c>
      <c r="I2">
        <f>_xll.BDP(G2, "PX_LAST")</f>
        <v>334.99990000000003</v>
      </c>
    </row>
    <row r="3" spans="1:9" x14ac:dyDescent="0.25">
      <c r="A3" s="9" t="s">
        <v>58</v>
      </c>
      <c r="B3" s="9" t="s">
        <v>59</v>
      </c>
      <c r="C3" t="str">
        <f>_xll.BDP(A3, "PX_LAST")</f>
        <v>#N/A N/A</v>
      </c>
      <c r="G3" s="11" t="s">
        <v>21</v>
      </c>
      <c r="H3" s="11" t="s">
        <v>60</v>
      </c>
      <c r="I3">
        <f>_xll.BDP(G3, "PX_LAST")</f>
        <v>336.30990000000003</v>
      </c>
    </row>
    <row r="4" spans="1:9" x14ac:dyDescent="0.25">
      <c r="A4" s="9" t="s">
        <v>61</v>
      </c>
      <c r="B4" s="9" t="s">
        <v>62</v>
      </c>
      <c r="C4" t="str">
        <f>_xll.BDP(A4, "PX_LAST")</f>
        <v>#N/A N/A</v>
      </c>
      <c r="G4" s="11" t="s">
        <v>30</v>
      </c>
      <c r="H4" s="11" t="s">
        <v>63</v>
      </c>
      <c r="I4">
        <f>_xll.BDP(G4, "PX_LAST")</f>
        <v>335.79989999999998</v>
      </c>
    </row>
    <row r="5" spans="1:9" x14ac:dyDescent="0.25">
      <c r="A5" s="9" t="s">
        <v>64</v>
      </c>
      <c r="B5" s="9" t="s">
        <v>65</v>
      </c>
      <c r="C5" t="str">
        <f>_xll.BDP(A5, "PX_LAST")</f>
        <v>#N/A N/A</v>
      </c>
      <c r="G5" s="11" t="s">
        <v>45</v>
      </c>
      <c r="H5" s="11" t="s">
        <v>66</v>
      </c>
      <c r="I5">
        <f>_xll.BDP(G5, "PX_LAST")</f>
        <v>341.01990000000001</v>
      </c>
    </row>
    <row r="6" spans="1:9" x14ac:dyDescent="0.25">
      <c r="A6" s="9" t="s">
        <v>67</v>
      </c>
      <c r="B6" s="9" t="s">
        <v>68</v>
      </c>
      <c r="C6" t="str">
        <f>_xll.BDP(A6, "PX_LAST")</f>
        <v>#N/A N/A</v>
      </c>
      <c r="G6" s="11" t="s">
        <v>35</v>
      </c>
      <c r="H6" s="11" t="s">
        <v>69</v>
      </c>
      <c r="I6">
        <f>_xll.BDP(G6, "PX_LAST")</f>
        <v>337.15989999999999</v>
      </c>
    </row>
    <row r="7" spans="1:9" x14ac:dyDescent="0.25">
      <c r="A7" s="9" t="s">
        <v>70</v>
      </c>
      <c r="B7" s="9" t="s">
        <v>71</v>
      </c>
      <c r="C7" t="str">
        <f>_xll.BDP(A7, "PX_LAST")</f>
        <v>#N/A N/A</v>
      </c>
      <c r="G7" s="11" t="s">
        <v>12</v>
      </c>
      <c r="H7" s="11" t="s">
        <v>72</v>
      </c>
      <c r="I7">
        <f>_xll.BDP(G7, "PX_LAST")</f>
        <v>334.74990000000003</v>
      </c>
    </row>
    <row r="8" spans="1:9" x14ac:dyDescent="0.25">
      <c r="A8" s="10" t="s">
        <v>73</v>
      </c>
      <c r="B8" s="10" t="s">
        <v>74</v>
      </c>
      <c r="C8" t="str">
        <f>_xll.BDP(A8, "PX_LAST")</f>
        <v>#N/A N/A</v>
      </c>
      <c r="G8" s="11" t="s">
        <v>42</v>
      </c>
      <c r="H8" s="11" t="s">
        <v>75</v>
      </c>
      <c r="I8">
        <f>_xll.BDP(G8, "PX_LAST")</f>
        <v>339.96980000000002</v>
      </c>
    </row>
    <row r="9" spans="1:9" x14ac:dyDescent="0.25">
      <c r="A9" s="10" t="s">
        <v>76</v>
      </c>
      <c r="B9" s="10" t="s">
        <v>77</v>
      </c>
      <c r="C9" t="str">
        <f>_xll.BDP(A9, "PX_LAST")</f>
        <v>#N/A N/A</v>
      </c>
      <c r="G9" s="11" t="s">
        <v>48</v>
      </c>
      <c r="H9" s="11" t="s">
        <v>78</v>
      </c>
      <c r="I9">
        <f>_xll.BDP(G9, "PX_LAST")</f>
        <v>341.94979999999998</v>
      </c>
    </row>
    <row r="10" spans="1:9" x14ac:dyDescent="0.25">
      <c r="A10" s="10" t="s">
        <v>79</v>
      </c>
      <c r="B10" s="10" t="s">
        <v>80</v>
      </c>
      <c r="C10" t="str">
        <f>_xll.BDP(A10, "PX_LAST")</f>
        <v>#N/A N/A</v>
      </c>
      <c r="G10" s="11" t="s">
        <v>24</v>
      </c>
      <c r="H10" s="11" t="s">
        <v>81</v>
      </c>
      <c r="I10">
        <f>_xll.BDP(G10, "PX_LAST")</f>
        <v>336.13990000000001</v>
      </c>
    </row>
    <row r="11" spans="1:9" x14ac:dyDescent="0.25">
      <c r="A11" s="10" t="s">
        <v>82</v>
      </c>
      <c r="B11" s="10" t="s">
        <v>83</v>
      </c>
      <c r="C11" t="str">
        <f>_xll.BDP(A11, "PX_LAST")</f>
        <v>#N/A N/A</v>
      </c>
      <c r="G11" s="11" t="s">
        <v>39</v>
      </c>
      <c r="H11" s="11" t="s">
        <v>84</v>
      </c>
      <c r="I11">
        <f>_xll.BDP(G11, "PX_LAST")</f>
        <v>338.4298</v>
      </c>
    </row>
    <row r="12" spans="1:9" x14ac:dyDescent="0.25">
      <c r="A12" s="10" t="s">
        <v>85</v>
      </c>
      <c r="B12" s="10" t="s">
        <v>86</v>
      </c>
      <c r="C12" t="str">
        <f>_xll.BDP(A12, "PX_LAST")</f>
        <v>#N/A N/A</v>
      </c>
      <c r="G12" s="11" t="s">
        <v>18</v>
      </c>
      <c r="H12" s="11" t="s">
        <v>87</v>
      </c>
      <c r="I12">
        <f>_xll.BDP(G12, "PX_LAST")</f>
        <v>335.73989999999998</v>
      </c>
    </row>
    <row r="13" spans="1:9" x14ac:dyDescent="0.25">
      <c r="A13" s="10" t="s">
        <v>88</v>
      </c>
      <c r="B13" s="10" t="s">
        <v>89</v>
      </c>
      <c r="C13" t="str">
        <f>_xll.BDP(A13, "PX_LAST")</f>
        <v>#N/A N/A</v>
      </c>
      <c r="G13" s="11" t="s">
        <v>27</v>
      </c>
      <c r="H13" s="11" t="s">
        <v>90</v>
      </c>
      <c r="I13">
        <f>_xll.BDP(G13, "PX_LAST")</f>
        <v>335.74990000000003</v>
      </c>
    </row>
    <row r="14" spans="1:9" x14ac:dyDescent="0.25">
      <c r="A14" s="10" t="s">
        <v>91</v>
      </c>
      <c r="B14" s="10" t="s">
        <v>92</v>
      </c>
      <c r="C14" t="str">
        <f>_xll.BDP(A14, "PX_LAST")</f>
        <v>#N/A N/A</v>
      </c>
      <c r="G14" t="s">
        <v>93</v>
      </c>
      <c r="H14" t="s">
        <v>94</v>
      </c>
      <c r="I14" t="str">
        <f>_xll.BDP(G14, "PX_LAST")</f>
        <v>#N/A N/A</v>
      </c>
    </row>
    <row r="15" spans="1:9" x14ac:dyDescent="0.25">
      <c r="A15" s="10" t="s">
        <v>95</v>
      </c>
      <c r="B15" s="10" t="s">
        <v>96</v>
      </c>
      <c r="C15" t="str">
        <f>_xll.BDP(A15, "PX_LAST")</f>
        <v>#N/A N/A</v>
      </c>
      <c r="G15" t="s">
        <v>97</v>
      </c>
      <c r="H15" t="s">
        <v>98</v>
      </c>
      <c r="I15" t="str">
        <f>_xll.BDP(G15, "PX_LAST")</f>
        <v>#N/A N/A</v>
      </c>
    </row>
    <row r="16" spans="1:9" x14ac:dyDescent="0.25">
      <c r="A16" s="10" t="s">
        <v>99</v>
      </c>
      <c r="B16" s="10" t="s">
        <v>100</v>
      </c>
      <c r="C16" t="str">
        <f>_xll.BDP(A16, "PX_LAST")</f>
        <v>#N/A N/A</v>
      </c>
      <c r="G16" t="s">
        <v>101</v>
      </c>
      <c r="H16" t="s">
        <v>102</v>
      </c>
      <c r="I16" t="str">
        <f>_xll.BDP(G16, "PX_LAST")</f>
        <v>#N/A N/A</v>
      </c>
    </row>
    <row r="17" spans="1:9" x14ac:dyDescent="0.25">
      <c r="A17" s="10" t="s">
        <v>103</v>
      </c>
      <c r="B17" s="10" t="s">
        <v>104</v>
      </c>
      <c r="C17" t="str">
        <f>_xll.BDP(A17, "PX_LAST")</f>
        <v>#N/A N/A</v>
      </c>
      <c r="G17" t="s">
        <v>105</v>
      </c>
      <c r="H17" t="s">
        <v>106</v>
      </c>
      <c r="I17" t="str">
        <f>_xll.BDP(G17, "PX_LAST")</f>
        <v>#N/A N/A</v>
      </c>
    </row>
    <row r="18" spans="1:9" x14ac:dyDescent="0.25">
      <c r="A18" s="10" t="s">
        <v>107</v>
      </c>
      <c r="B18" s="10" t="s">
        <v>108</v>
      </c>
      <c r="C18" t="str">
        <f>_xll.BDP(A18, "PX_LAST")</f>
        <v>#N/A N/A</v>
      </c>
      <c r="G18" t="s">
        <v>109</v>
      </c>
      <c r="H18" t="s">
        <v>110</v>
      </c>
      <c r="I18" t="str">
        <f>_xll.BDP(G18, "PX_LAST")</f>
        <v>#N/A N/A</v>
      </c>
    </row>
    <row r="19" spans="1:9" x14ac:dyDescent="0.25">
      <c r="A19" s="10" t="s">
        <v>111</v>
      </c>
      <c r="B19" s="10" t="s">
        <v>112</v>
      </c>
      <c r="C19" t="str">
        <f>_xll.BDP(A19, "PX_LAST")</f>
        <v>#N/A N/A</v>
      </c>
      <c r="G19" t="s">
        <v>113</v>
      </c>
      <c r="H19" t="s">
        <v>114</v>
      </c>
      <c r="I19" t="str">
        <f>_xll.BDP(G19, "PX_LAST")</f>
        <v>#N/A N/A</v>
      </c>
    </row>
    <row r="20" spans="1:9" x14ac:dyDescent="0.25">
      <c r="A20" s="9" t="s">
        <v>115</v>
      </c>
      <c r="B20" s="9" t="s">
        <v>116</v>
      </c>
      <c r="C20" t="str">
        <f>_xll.BDP(A20, "PX_LAST")</f>
        <v>#N/A N/A</v>
      </c>
      <c r="G20" t="s">
        <v>117</v>
      </c>
      <c r="H20" t="s">
        <v>118</v>
      </c>
      <c r="I20" t="str">
        <f>_xll.BDP(G20, "PX_LAST")</f>
        <v>#N/A N/A</v>
      </c>
    </row>
    <row r="21" spans="1:9" x14ac:dyDescent="0.25">
      <c r="A21" s="9" t="s">
        <v>119</v>
      </c>
      <c r="B21" s="9" t="s">
        <v>120</v>
      </c>
      <c r="C21" t="str">
        <f>_xll.BDP(A21, "PX_LAST")</f>
        <v>#N/A N/A</v>
      </c>
      <c r="G21" t="s">
        <v>121</v>
      </c>
      <c r="H21" t="s">
        <v>122</v>
      </c>
      <c r="I21" t="str">
        <f>_xll.BDP(G21, "PX_LAST")</f>
        <v>#N/A N/A</v>
      </c>
    </row>
    <row r="22" spans="1:9" x14ac:dyDescent="0.25">
      <c r="A22" s="9" t="s">
        <v>123</v>
      </c>
      <c r="B22" s="9" t="s">
        <v>124</v>
      </c>
      <c r="C22" t="str">
        <f>_xll.BDP(A22, "PX_LAST")</f>
        <v>#N/A N/A</v>
      </c>
      <c r="G22" t="s">
        <v>125</v>
      </c>
      <c r="H22" t="s">
        <v>126</v>
      </c>
      <c r="I22" t="str">
        <f>_xll.BDP(G22, "PX_LAST")</f>
        <v>#N/A N/A</v>
      </c>
    </row>
    <row r="23" spans="1:9" x14ac:dyDescent="0.25">
      <c r="A23" s="9" t="s">
        <v>127</v>
      </c>
      <c r="B23" s="9" t="s">
        <v>128</v>
      </c>
      <c r="C23" t="str">
        <f>_xll.BDP(A23, "PX_LAST")</f>
        <v>#N/A N/A</v>
      </c>
      <c r="G23" t="s">
        <v>129</v>
      </c>
      <c r="H23" t="s">
        <v>130</v>
      </c>
      <c r="I23" t="str">
        <f>_xll.BDP(G23, "PX_LAST")</f>
        <v>#N/A N/A</v>
      </c>
    </row>
    <row r="24" spans="1:9" x14ac:dyDescent="0.25">
      <c r="A24" s="9" t="s">
        <v>131</v>
      </c>
      <c r="B24" s="9" t="s">
        <v>132</v>
      </c>
      <c r="C24" t="str">
        <f>_xll.BDP(A24, "PX_LAST")</f>
        <v>#N/A N/A</v>
      </c>
      <c r="G24" t="s">
        <v>133</v>
      </c>
      <c r="H24" t="s">
        <v>134</v>
      </c>
      <c r="I24" t="str">
        <f>_xll.BDP(G24, "PX_LAST")</f>
        <v>#N/A N/A</v>
      </c>
    </row>
    <row r="25" spans="1:9" x14ac:dyDescent="0.25">
      <c r="A25" s="9" t="s">
        <v>135</v>
      </c>
      <c r="B25" s="9" t="s">
        <v>136</v>
      </c>
      <c r="C25" t="str">
        <f>_xll.BDP(A25, "PX_LAST")</f>
        <v>#N/A N/A</v>
      </c>
      <c r="G25" t="s">
        <v>137</v>
      </c>
      <c r="H25" t="s">
        <v>138</v>
      </c>
      <c r="I25" t="str">
        <f>_xll.BDP(G25, "PX_LAST")</f>
        <v>#N/A N/A</v>
      </c>
    </row>
    <row r="26" spans="1:9" x14ac:dyDescent="0.25">
      <c r="A26" s="9" t="s">
        <v>139</v>
      </c>
      <c r="B26" s="9" t="s">
        <v>140</v>
      </c>
      <c r="C26" t="str">
        <f>_xll.BDP(A26, "PX_LAST")</f>
        <v>#N/A N/A</v>
      </c>
      <c r="G26" t="s">
        <v>141</v>
      </c>
      <c r="H26" t="s">
        <v>142</v>
      </c>
      <c r="I26" t="str">
        <f>_xll.BDP(G26, "PX_LAST")</f>
        <v>#N/A N/A</v>
      </c>
    </row>
    <row r="27" spans="1:9" x14ac:dyDescent="0.25">
      <c r="A27" s="9" t="s">
        <v>143</v>
      </c>
      <c r="B27" s="9" t="s">
        <v>144</v>
      </c>
      <c r="C27" t="str">
        <f>_xll.BDP(A27, "PX_LAST")</f>
        <v>#N/A N/A</v>
      </c>
      <c r="G27" t="s">
        <v>145</v>
      </c>
      <c r="H27" t="s">
        <v>146</v>
      </c>
      <c r="I27" t="str">
        <f>_xll.BDP(G27, "PX_LAST")</f>
        <v>#N/A N/A</v>
      </c>
    </row>
    <row r="28" spans="1:9" x14ac:dyDescent="0.25">
      <c r="A28" s="9" t="s">
        <v>147</v>
      </c>
      <c r="B28" s="9" t="s">
        <v>148</v>
      </c>
      <c r="C28" t="str">
        <f>_xll.BDP(A28, "PX_LAST")</f>
        <v>#N/A N/A</v>
      </c>
      <c r="G28" t="s">
        <v>149</v>
      </c>
      <c r="H28" t="s">
        <v>150</v>
      </c>
      <c r="I28" t="str">
        <f>_xll.BDP(G28, "PX_LAST")</f>
        <v>#N/A N/A</v>
      </c>
    </row>
    <row r="29" spans="1:9" x14ac:dyDescent="0.25">
      <c r="A29" s="9" t="s">
        <v>151</v>
      </c>
      <c r="B29" s="9" t="s">
        <v>152</v>
      </c>
      <c r="C29" t="str">
        <f>_xll.BDP(A29, "PX_LAST")</f>
        <v>#N/A N/A</v>
      </c>
      <c r="G29" t="s">
        <v>153</v>
      </c>
      <c r="H29" t="s">
        <v>154</v>
      </c>
      <c r="I29" t="str">
        <f>_xll.BDP(G29, "PX_LAST")</f>
        <v>#N/A N/A</v>
      </c>
    </row>
    <row r="30" spans="1:9" x14ac:dyDescent="0.25">
      <c r="A30" s="9" t="s">
        <v>155</v>
      </c>
      <c r="B30" s="9" t="s">
        <v>156</v>
      </c>
      <c r="C30" t="str">
        <f>_xll.BDP(A30, "PX_LAST")</f>
        <v>#N/A N/A</v>
      </c>
      <c r="G30" t="s">
        <v>157</v>
      </c>
      <c r="H30" t="s">
        <v>158</v>
      </c>
      <c r="I30" t="str">
        <f>_xll.BDP(G30, "PX_LAST")</f>
        <v>#N/A N/A</v>
      </c>
    </row>
    <row r="31" spans="1:9" x14ac:dyDescent="0.25">
      <c r="A31" s="9" t="s">
        <v>159</v>
      </c>
      <c r="B31" s="9" t="s">
        <v>160</v>
      </c>
      <c r="C31" t="str">
        <f>_xll.BDP(A31, "PX_LAST")</f>
        <v>#N/A N/A</v>
      </c>
      <c r="G31" t="s">
        <v>161</v>
      </c>
      <c r="H31" t="s">
        <v>162</v>
      </c>
      <c r="I31" t="str">
        <f>_xll.BDP(G31, "PX_LAST")</f>
        <v>#N/A N/A</v>
      </c>
    </row>
    <row r="32" spans="1:9" x14ac:dyDescent="0.25">
      <c r="A32" s="9" t="s">
        <v>163</v>
      </c>
      <c r="B32" s="9" t="s">
        <v>164</v>
      </c>
      <c r="C32" t="str">
        <f>_xll.BDP(A32, "PX_LAST")</f>
        <v>#N/A N/A</v>
      </c>
      <c r="G32" t="s">
        <v>165</v>
      </c>
      <c r="H32" t="s">
        <v>166</v>
      </c>
      <c r="I32" t="str">
        <f>_xll.BDP(G32, "PX_LAST")</f>
        <v>#N/A N/A</v>
      </c>
    </row>
    <row r="33" spans="1:9" x14ac:dyDescent="0.25">
      <c r="A33" s="9" t="s">
        <v>167</v>
      </c>
      <c r="B33" s="9" t="s">
        <v>168</v>
      </c>
      <c r="C33" t="str">
        <f>_xll.BDP(A33, "PX_LAST")</f>
        <v>#N/A N/A</v>
      </c>
      <c r="G33" t="s">
        <v>169</v>
      </c>
      <c r="H33" t="s">
        <v>170</v>
      </c>
      <c r="I33" t="str">
        <f>_xll.BDP(G33, "PX_LAST")</f>
        <v>#N/A N/A</v>
      </c>
    </row>
    <row r="34" spans="1:9" x14ac:dyDescent="0.25">
      <c r="A34" s="9" t="s">
        <v>171</v>
      </c>
      <c r="B34" s="9" t="s">
        <v>172</v>
      </c>
      <c r="C34" t="str">
        <f>_xll.BDP(A34, "PX_LAST")</f>
        <v>#N/A N/A</v>
      </c>
      <c r="G34" t="s">
        <v>173</v>
      </c>
      <c r="H34" t="s">
        <v>174</v>
      </c>
      <c r="I34" t="str">
        <f>_xll.BDP(G34, "PX_LAST")</f>
        <v>#N/A N/A</v>
      </c>
    </row>
    <row r="35" spans="1:9" x14ac:dyDescent="0.25">
      <c r="A35" s="9" t="s">
        <v>175</v>
      </c>
      <c r="B35" s="9" t="s">
        <v>176</v>
      </c>
      <c r="C35" t="str">
        <f>_xll.BDP(A35, "PX_LAST")</f>
        <v>#N/A N/A</v>
      </c>
      <c r="G35" t="s">
        <v>177</v>
      </c>
      <c r="H35" t="s">
        <v>178</v>
      </c>
      <c r="I35" t="str">
        <f>_xll.BDP(G35, "PX_LAST")</f>
        <v>#N/A N/A</v>
      </c>
    </row>
    <row r="36" spans="1:9" x14ac:dyDescent="0.25">
      <c r="A36" s="10" t="s">
        <v>179</v>
      </c>
      <c r="B36" s="10" t="s">
        <v>180</v>
      </c>
      <c r="C36" t="str">
        <f>_xll.BDP(A36, "PX_LAST")</f>
        <v>#N/A N/A</v>
      </c>
      <c r="G36" t="s">
        <v>181</v>
      </c>
      <c r="H36" t="s">
        <v>182</v>
      </c>
      <c r="I36" t="str">
        <f>_xll.BDP(G36, "PX_LAST")</f>
        <v>#N/A N/A</v>
      </c>
    </row>
    <row r="37" spans="1:9" x14ac:dyDescent="0.25">
      <c r="A37" s="10" t="s">
        <v>183</v>
      </c>
      <c r="B37" s="10" t="s">
        <v>184</v>
      </c>
      <c r="C37" t="str">
        <f>_xll.BDP(A37, "PX_LAST")</f>
        <v>#N/A N/A</v>
      </c>
      <c r="G37" t="s">
        <v>185</v>
      </c>
      <c r="H37" t="s">
        <v>186</v>
      </c>
      <c r="I37" t="str">
        <f>_xll.BDP(G37, "PX_LAST")</f>
        <v>#N/A N/A</v>
      </c>
    </row>
    <row r="38" spans="1:9" x14ac:dyDescent="0.25">
      <c r="A38" s="10" t="s">
        <v>187</v>
      </c>
      <c r="B38" s="10" t="s">
        <v>188</v>
      </c>
      <c r="C38" t="str">
        <f>_xll.BDP(A38, "PX_LAST")</f>
        <v>#N/A N/A</v>
      </c>
      <c r="G38" t="s">
        <v>189</v>
      </c>
      <c r="H38" t="s">
        <v>190</v>
      </c>
      <c r="I38" t="str">
        <f>_xll.BDP(G38, "PX_LAST")</f>
        <v>#N/A N/A</v>
      </c>
    </row>
    <row r="39" spans="1:9" x14ac:dyDescent="0.25">
      <c r="A39" s="10" t="s">
        <v>191</v>
      </c>
      <c r="B39" s="10" t="s">
        <v>192</v>
      </c>
      <c r="C39" t="str">
        <f>_xll.BDP(A39, "PX_LAST")</f>
        <v>#N/A N/A</v>
      </c>
      <c r="G39" t="s">
        <v>193</v>
      </c>
      <c r="H39" t="s">
        <v>194</v>
      </c>
      <c r="I39" t="str">
        <f>_xll.BDP(G39, "PX_LAST")</f>
        <v>#N/A N/A</v>
      </c>
    </row>
    <row r="40" spans="1:9" x14ac:dyDescent="0.25">
      <c r="A40" s="10" t="s">
        <v>195</v>
      </c>
      <c r="B40" s="10" t="s">
        <v>196</v>
      </c>
      <c r="C40" t="str">
        <f>_xll.BDP(A40, "PX_LAST")</f>
        <v>#N/A N/A</v>
      </c>
      <c r="G40" t="s">
        <v>197</v>
      </c>
      <c r="H40" t="s">
        <v>198</v>
      </c>
      <c r="I40" t="str">
        <f>_xll.BDP(G40, "PX_LAST")</f>
        <v>#N/A N/A</v>
      </c>
    </row>
    <row r="41" spans="1:9" x14ac:dyDescent="0.25">
      <c r="A41" s="9" t="s">
        <v>199</v>
      </c>
      <c r="B41" s="9" t="s">
        <v>200</v>
      </c>
      <c r="C41" t="str">
        <f>_xll.BDP(A41, "PX_LAST")</f>
        <v>#N/A N/A</v>
      </c>
      <c r="G41" t="s">
        <v>201</v>
      </c>
      <c r="H41" t="s">
        <v>202</v>
      </c>
      <c r="I41" t="str">
        <f>_xll.BDP(G41, "PX_LAST")</f>
        <v>#N/A N/A</v>
      </c>
    </row>
    <row r="42" spans="1:9" x14ac:dyDescent="0.25">
      <c r="A42" s="9" t="s">
        <v>203</v>
      </c>
      <c r="B42" s="9" t="s">
        <v>204</v>
      </c>
      <c r="C42" t="str">
        <f>_xll.BDP(A42, "PX_LAST")</f>
        <v>#N/A N/A</v>
      </c>
      <c r="G42" t="s">
        <v>205</v>
      </c>
      <c r="H42" t="s">
        <v>202</v>
      </c>
      <c r="I42" t="str">
        <f>_xll.BDP(G42, "PX_LAST")</f>
        <v>#N/A N/A</v>
      </c>
    </row>
    <row r="43" spans="1:9" x14ac:dyDescent="0.25">
      <c r="A43" s="9" t="s">
        <v>206</v>
      </c>
      <c r="B43" s="9" t="s">
        <v>207</v>
      </c>
      <c r="C43" t="str">
        <f>_xll.BDP(A43, "PX_LAST")</f>
        <v>#N/A N/A</v>
      </c>
      <c r="G43" t="s">
        <v>208</v>
      </c>
      <c r="H43" t="s">
        <v>202</v>
      </c>
      <c r="I43" t="str">
        <f>_xll.BDP(G43, "PX_LAST")</f>
        <v>#N/A N/A</v>
      </c>
    </row>
    <row r="44" spans="1:9" x14ac:dyDescent="0.25">
      <c r="A44" s="9" t="s">
        <v>209</v>
      </c>
      <c r="B44" s="9" t="s">
        <v>210</v>
      </c>
      <c r="C44" t="str">
        <f>_xll.BDP(A44, "PX_LAST")</f>
        <v>#N/A N/A</v>
      </c>
      <c r="G44" t="s">
        <v>211</v>
      </c>
      <c r="H44" t="s">
        <v>202</v>
      </c>
      <c r="I44" t="str">
        <f>_xll.BDP(G44, "PX_LAST")</f>
        <v>#N/A N/A</v>
      </c>
    </row>
    <row r="45" spans="1:9" x14ac:dyDescent="0.25">
      <c r="A45" s="9" t="s">
        <v>212</v>
      </c>
      <c r="B45" s="9" t="s">
        <v>213</v>
      </c>
      <c r="C45" t="str">
        <f>_xll.BDP(A45, "PX_LAST")</f>
        <v>#N/A N/A</v>
      </c>
      <c r="G45" t="s">
        <v>214</v>
      </c>
      <c r="H45" t="s">
        <v>202</v>
      </c>
      <c r="I45" t="str">
        <f>_xll.BDP(G45, "PX_LAST")</f>
        <v>#N/A N/A</v>
      </c>
    </row>
    <row r="46" spans="1:9" x14ac:dyDescent="0.25">
      <c r="A46" s="9" t="s">
        <v>215</v>
      </c>
      <c r="B46" s="9" t="s">
        <v>216</v>
      </c>
      <c r="C46" t="str">
        <f>_xll.BDP(A46, "PX_LAST")</f>
        <v>#N/A N/A</v>
      </c>
      <c r="G46" t="s">
        <v>217</v>
      </c>
      <c r="H46" t="s">
        <v>202</v>
      </c>
      <c r="I46" t="str">
        <f>_xll.BDP(G46, "PX_LAST")</f>
        <v>#N/A N/A</v>
      </c>
    </row>
    <row r="47" spans="1:9" x14ac:dyDescent="0.25">
      <c r="A47" s="9" t="s">
        <v>218</v>
      </c>
      <c r="B47" s="9" t="s">
        <v>219</v>
      </c>
      <c r="C47" t="str">
        <f>_xll.BDP(A47, "PX_LAST")</f>
        <v>#N/A N/A</v>
      </c>
      <c r="G47" t="s">
        <v>220</v>
      </c>
      <c r="H47" t="s">
        <v>221</v>
      </c>
      <c r="I47" t="str">
        <f>_xll.BDP(G47, "PX_LAST")</f>
        <v>#N/A N/A</v>
      </c>
    </row>
    <row r="48" spans="1:9" x14ac:dyDescent="0.25">
      <c r="A48" s="9" t="s">
        <v>222</v>
      </c>
      <c r="B48" s="9" t="s">
        <v>223</v>
      </c>
      <c r="C48" t="str">
        <f>_xll.BDP(A48, "PX_LAST")</f>
        <v>#N/A N/A</v>
      </c>
      <c r="G48" t="s">
        <v>224</v>
      </c>
      <c r="H48" t="s">
        <v>221</v>
      </c>
      <c r="I48" t="str">
        <f>_xll.BDP(G48, "PX_LAST")</f>
        <v>#N/A N/A</v>
      </c>
    </row>
    <row r="49" spans="1:9" x14ac:dyDescent="0.25">
      <c r="A49" s="9" t="s">
        <v>225</v>
      </c>
      <c r="B49" s="9" t="s">
        <v>226</v>
      </c>
      <c r="C49" t="str">
        <f>_xll.BDP(A49, "PX_LAST")</f>
        <v>#N/A N/A</v>
      </c>
      <c r="G49" t="s">
        <v>227</v>
      </c>
      <c r="H49" t="s">
        <v>221</v>
      </c>
      <c r="I49" t="str">
        <f>_xll.BDP(G49, "PX_LAST")</f>
        <v>#N/A N/A</v>
      </c>
    </row>
    <row r="50" spans="1:9" x14ac:dyDescent="0.25">
      <c r="A50" s="9" t="s">
        <v>228</v>
      </c>
      <c r="B50" s="9" t="s">
        <v>229</v>
      </c>
      <c r="C50" t="str">
        <f>_xll.BDP(A50, "PX_LAST")</f>
        <v>#N/A N/A</v>
      </c>
      <c r="G50" t="s">
        <v>230</v>
      </c>
      <c r="H50" t="s">
        <v>221</v>
      </c>
      <c r="I50" t="str">
        <f>_xll.BDP(G50, "PX_LAST")</f>
        <v>#N/A N/A</v>
      </c>
    </row>
    <row r="51" spans="1:9" x14ac:dyDescent="0.25">
      <c r="A51" s="9" t="s">
        <v>231</v>
      </c>
      <c r="B51" s="9" t="s">
        <v>232</v>
      </c>
      <c r="C51" t="str">
        <f>_xll.BDP(A51, "PX_LAST")</f>
        <v>#N/A N/A</v>
      </c>
      <c r="G51" t="s">
        <v>233</v>
      </c>
      <c r="H51" t="s">
        <v>234</v>
      </c>
      <c r="I51" t="str">
        <f>_xll.BDP(G51, "PX_LAST")</f>
        <v>#N/A N/A</v>
      </c>
    </row>
    <row r="52" spans="1:9" x14ac:dyDescent="0.25">
      <c r="A52" s="9" t="s">
        <v>235</v>
      </c>
      <c r="B52" s="9" t="s">
        <v>236</v>
      </c>
      <c r="C52" t="str">
        <f>_xll.BDP(A52, "PX_LAST")</f>
        <v>#N/A N/A</v>
      </c>
      <c r="G52" t="s">
        <v>237</v>
      </c>
      <c r="H52" t="s">
        <v>221</v>
      </c>
      <c r="I52" t="str">
        <f>_xll.BDP(G52, "PX_LAST")</f>
        <v>#N/A N/A</v>
      </c>
    </row>
    <row r="53" spans="1:9" x14ac:dyDescent="0.25">
      <c r="A53" s="9" t="s">
        <v>238</v>
      </c>
      <c r="B53" s="9" t="s">
        <v>239</v>
      </c>
      <c r="C53" t="str">
        <f>_xll.BDP(A53, "PX_LAST")</f>
        <v>#N/A N/A</v>
      </c>
      <c r="G53" t="s">
        <v>240</v>
      </c>
      <c r="H53" t="s">
        <v>241</v>
      </c>
      <c r="I53" t="str">
        <f>_xll.BDP(G53, "PX_LAST")</f>
        <v>#N/A N/A</v>
      </c>
    </row>
    <row r="54" spans="1:9" x14ac:dyDescent="0.25">
      <c r="A54" s="9" t="s">
        <v>242</v>
      </c>
      <c r="B54" s="9" t="s">
        <v>243</v>
      </c>
      <c r="C54" t="str">
        <f>_xll.BDP(A54, "PX_LAST")</f>
        <v>#N/A N/A</v>
      </c>
      <c r="G54" t="s">
        <v>244</v>
      </c>
      <c r="H54" t="s">
        <v>234</v>
      </c>
      <c r="I54" t="str">
        <f>_xll.BDP(G54, "PX_LAST")</f>
        <v>#N/A N/A</v>
      </c>
    </row>
    <row r="55" spans="1:9" x14ac:dyDescent="0.25">
      <c r="A55" s="9" t="s">
        <v>245</v>
      </c>
      <c r="B55" s="9" t="s">
        <v>246</v>
      </c>
      <c r="C55" t="str">
        <f>_xll.BDP(A55, "PX_LAST")</f>
        <v>#N/A N/A</v>
      </c>
      <c r="G55" t="s">
        <v>247</v>
      </c>
      <c r="H55" t="s">
        <v>248</v>
      </c>
      <c r="I55" t="str">
        <f>_xll.BDP(G55, "PX_LAST")</f>
        <v>#N/A N/A</v>
      </c>
    </row>
    <row r="56" spans="1:9" x14ac:dyDescent="0.25">
      <c r="A56" s="9" t="s">
        <v>249</v>
      </c>
      <c r="B56" s="9" t="s">
        <v>250</v>
      </c>
      <c r="C56" t="str">
        <f>_xll.BDP(A56, "PX_LAST")</f>
        <v>#N/A N/A</v>
      </c>
      <c r="G56" t="s">
        <v>251</v>
      </c>
      <c r="H56" t="s">
        <v>252</v>
      </c>
      <c r="I56" t="str">
        <f>_xll.BDP(G56, "PX_LAST")</f>
        <v>#N/A N/A</v>
      </c>
    </row>
    <row r="57" spans="1:9" x14ac:dyDescent="0.25">
      <c r="A57" s="9" t="s">
        <v>253</v>
      </c>
      <c r="B57" s="9" t="s">
        <v>254</v>
      </c>
      <c r="C57" t="str">
        <f>_xll.BDP(A57, "PX_LAST")</f>
        <v>#N/A N/A</v>
      </c>
      <c r="G57" t="s">
        <v>255</v>
      </c>
      <c r="H57" t="s">
        <v>256</v>
      </c>
      <c r="I57" t="str">
        <f>_xll.BDP(G57, "PX_LAST")</f>
        <v>#N/A N/A</v>
      </c>
    </row>
    <row r="58" spans="1:9" x14ac:dyDescent="0.25">
      <c r="A58" s="9" t="s">
        <v>257</v>
      </c>
      <c r="B58" s="9" t="s">
        <v>258</v>
      </c>
      <c r="C58" t="str">
        <f>_xll.BDP(A58, "PX_LAST")</f>
        <v>#N/A N/A</v>
      </c>
      <c r="G58" t="s">
        <v>259</v>
      </c>
      <c r="H58" t="s">
        <v>260</v>
      </c>
      <c r="I58" t="str">
        <f>_xll.BDP(G58, "PX_LAST")</f>
        <v>#N/A N/A</v>
      </c>
    </row>
    <row r="59" spans="1:9" x14ac:dyDescent="0.25">
      <c r="A59" s="9" t="s">
        <v>261</v>
      </c>
      <c r="B59" s="9" t="s">
        <v>262</v>
      </c>
      <c r="C59" t="str">
        <f>_xll.BDP(A59, "PX_LAST")</f>
        <v>#N/A N/A</v>
      </c>
      <c r="G59" t="s">
        <v>263</v>
      </c>
      <c r="H59" t="s">
        <v>264</v>
      </c>
      <c r="I59" t="str">
        <f>_xll.BDP(G59, "PX_LAST")</f>
        <v>#N/A N/A</v>
      </c>
    </row>
    <row r="60" spans="1:9" x14ac:dyDescent="0.25">
      <c r="A60" s="9" t="s">
        <v>265</v>
      </c>
      <c r="B60" s="9" t="s">
        <v>266</v>
      </c>
      <c r="C60" t="str">
        <f>_xll.BDP(A60, "PX_LAST")</f>
        <v>#N/A N/A</v>
      </c>
      <c r="G60" t="s">
        <v>267</v>
      </c>
      <c r="H60" t="s">
        <v>202</v>
      </c>
      <c r="I60" t="str">
        <f>_xll.BDP(G60, "PX_LAST")</f>
        <v>#N/A N/A</v>
      </c>
    </row>
    <row r="61" spans="1:9" x14ac:dyDescent="0.25">
      <c r="A61" s="9" t="s">
        <v>268</v>
      </c>
      <c r="B61" s="9" t="s">
        <v>269</v>
      </c>
      <c r="C61" t="str">
        <f>_xll.BDP(A61, "PX_LAST")</f>
        <v>#N/A N/A</v>
      </c>
      <c r="G61" t="s">
        <v>270</v>
      </c>
      <c r="H61" t="s">
        <v>202</v>
      </c>
      <c r="I61" t="str">
        <f>_xll.BDP(G61, "PX_LAST")</f>
        <v>#N/A N/A</v>
      </c>
    </row>
    <row r="62" spans="1:9" x14ac:dyDescent="0.25">
      <c r="A62" s="9" t="s">
        <v>271</v>
      </c>
      <c r="B62" s="9" t="s">
        <v>272</v>
      </c>
      <c r="C62" t="str">
        <f>_xll.BDP(A62, "PX_LAST")</f>
        <v>#N/A N/A</v>
      </c>
      <c r="G62" t="s">
        <v>273</v>
      </c>
      <c r="H62" t="s">
        <v>202</v>
      </c>
      <c r="I62" t="str">
        <f>_xll.BDP(G62, "PX_LAST")</f>
        <v>#N/A N/A</v>
      </c>
    </row>
    <row r="63" spans="1:9" x14ac:dyDescent="0.25">
      <c r="A63" s="9" t="s">
        <v>274</v>
      </c>
      <c r="B63" s="9" t="s">
        <v>275</v>
      </c>
      <c r="C63" t="str">
        <f>_xll.BDP(A63, "PX_LAST")</f>
        <v>#N/A N/A</v>
      </c>
      <c r="G63" t="s">
        <v>276</v>
      </c>
      <c r="H63" t="s">
        <v>202</v>
      </c>
      <c r="I63" t="str">
        <f>_xll.BDP(G63, "PX_LAST")</f>
        <v>#N/A N/A</v>
      </c>
    </row>
    <row r="64" spans="1:9" x14ac:dyDescent="0.25">
      <c r="A64" s="9" t="s">
        <v>277</v>
      </c>
      <c r="B64" s="9" t="s">
        <v>278</v>
      </c>
      <c r="C64" t="str">
        <f>_xll.BDP(A64, "PX_LAST")</f>
        <v>#N/A N/A</v>
      </c>
      <c r="G64" t="s">
        <v>279</v>
      </c>
      <c r="H64" t="s">
        <v>202</v>
      </c>
      <c r="I64" t="str">
        <f>_xll.BDP(G64, "PX_LAST")</f>
        <v>#N/A N/A</v>
      </c>
    </row>
    <row r="65" spans="1:9" x14ac:dyDescent="0.25">
      <c r="A65" s="9" t="s">
        <v>280</v>
      </c>
      <c r="B65" s="9" t="s">
        <v>281</v>
      </c>
      <c r="C65" t="str">
        <f>_xll.BDP(A65, "PX_LAST")</f>
        <v>#N/A N/A</v>
      </c>
      <c r="G65" t="s">
        <v>282</v>
      </c>
      <c r="H65" t="s">
        <v>221</v>
      </c>
      <c r="I65" t="str">
        <f>_xll.BDP(G65, "PX_LAST")</f>
        <v>#N/A N/A</v>
      </c>
    </row>
    <row r="66" spans="1:9" x14ac:dyDescent="0.25">
      <c r="A66" s="9" t="s">
        <v>283</v>
      </c>
      <c r="B66" s="9" t="s">
        <v>284</v>
      </c>
      <c r="C66" t="str">
        <f>_xll.BDP(A66, "PX_LAST")</f>
        <v>#N/A N/A</v>
      </c>
      <c r="G66" t="s">
        <v>285</v>
      </c>
      <c r="H66" t="s">
        <v>286</v>
      </c>
      <c r="I66" t="str">
        <f>_xll.BDP(G66, "PX_LAST")</f>
        <v>#N/A N/A</v>
      </c>
    </row>
    <row r="67" spans="1:9" x14ac:dyDescent="0.25">
      <c r="A67" s="9" t="s">
        <v>287</v>
      </c>
      <c r="B67" s="9" t="s">
        <v>288</v>
      </c>
      <c r="C67" t="str">
        <f>_xll.BDP(A67, "PX_LAST")</f>
        <v>#N/A N/A</v>
      </c>
      <c r="G67" t="s">
        <v>289</v>
      </c>
      <c r="H67" t="s">
        <v>290</v>
      </c>
      <c r="I67" t="str">
        <f>_xll.BDP(G67, "PX_LAST")</f>
        <v>#N/A N/A</v>
      </c>
    </row>
    <row r="68" spans="1:9" x14ac:dyDescent="0.25">
      <c r="A68" s="9" t="s">
        <v>291</v>
      </c>
      <c r="B68" s="9" t="s">
        <v>292</v>
      </c>
      <c r="C68" t="str">
        <f>_xll.BDP(A68, "PX_LAST")</f>
        <v>#N/A N/A</v>
      </c>
      <c r="G68" t="s">
        <v>293</v>
      </c>
      <c r="H68" t="s">
        <v>294</v>
      </c>
      <c r="I68" t="str">
        <f>_xll.BDP(G68, "PX_LAST")</f>
        <v>#N/A N/A</v>
      </c>
    </row>
    <row r="69" spans="1:9" x14ac:dyDescent="0.25">
      <c r="A69" s="9" t="s">
        <v>295</v>
      </c>
      <c r="B69" s="9" t="s">
        <v>296</v>
      </c>
      <c r="C69" t="str">
        <f>_xll.BDP(A69, "PX_LAST")</f>
        <v>#N/A N/A</v>
      </c>
      <c r="G69" t="s">
        <v>297</v>
      </c>
      <c r="H69" t="s">
        <v>298</v>
      </c>
      <c r="I69" t="str">
        <f>_xll.BDP(G69, "PX_LAST")</f>
        <v>#N/A N/A</v>
      </c>
    </row>
    <row r="70" spans="1:9" x14ac:dyDescent="0.25">
      <c r="A70" s="9" t="s">
        <v>299</v>
      </c>
      <c r="B70" s="9" t="s">
        <v>300</v>
      </c>
      <c r="C70" t="str">
        <f>_xll.BDP(A70, "PX_LAST")</f>
        <v>#N/A N/A</v>
      </c>
      <c r="G70" t="s">
        <v>301</v>
      </c>
      <c r="H70" t="s">
        <v>302</v>
      </c>
      <c r="I70" t="str">
        <f>_xll.BDP(G70, "PX_LAST")</f>
        <v>#N/A N/A</v>
      </c>
    </row>
    <row r="71" spans="1:9" x14ac:dyDescent="0.25">
      <c r="A71" s="9" t="s">
        <v>303</v>
      </c>
      <c r="B71" s="9" t="s">
        <v>304</v>
      </c>
      <c r="C71" t="str">
        <f>_xll.BDP(A71, "PX_LAST")</f>
        <v>#N/A N/A</v>
      </c>
      <c r="G71" t="s">
        <v>305</v>
      </c>
      <c r="H71" t="s">
        <v>306</v>
      </c>
      <c r="I71" t="str">
        <f>_xll.BDP(G71, "PX_LAST")</f>
        <v>#N/A N/A</v>
      </c>
    </row>
    <row r="72" spans="1:9" x14ac:dyDescent="0.25">
      <c r="A72" s="9" t="s">
        <v>307</v>
      </c>
      <c r="B72" s="9" t="s">
        <v>308</v>
      </c>
      <c r="C72" t="str">
        <f>_xll.BDP(A72, "PX_LAST")</f>
        <v>#N/A N/A</v>
      </c>
      <c r="G72" t="s">
        <v>309</v>
      </c>
      <c r="H72" t="s">
        <v>310</v>
      </c>
      <c r="I72" t="str">
        <f>_xll.BDP(G72, "PX_LAST")</f>
        <v>#N/A N/A</v>
      </c>
    </row>
    <row r="73" spans="1:9" x14ac:dyDescent="0.25">
      <c r="A73" s="11" t="s">
        <v>13</v>
      </c>
      <c r="B73" s="11" t="s">
        <v>311</v>
      </c>
      <c r="C73">
        <f>_xll.BDP(A73, "PX_LAST")</f>
        <v>2.25</v>
      </c>
      <c r="G73" t="s">
        <v>312</v>
      </c>
      <c r="H73" t="s">
        <v>313</v>
      </c>
      <c r="I73" t="str">
        <f>_xll.BDP(G73, "PX_LAST")</f>
        <v>#N/A N/A</v>
      </c>
    </row>
    <row r="74" spans="1:9" x14ac:dyDescent="0.25">
      <c r="A74" s="11" t="s">
        <v>16</v>
      </c>
      <c r="B74" s="11" t="s">
        <v>314</v>
      </c>
      <c r="C74">
        <f>_xll.BDP(A74, "PX_LAST")</f>
        <v>2.4325000000000001</v>
      </c>
      <c r="G74" t="s">
        <v>315</v>
      </c>
      <c r="H74" t="s">
        <v>316</v>
      </c>
      <c r="I74" t="str">
        <f>_xll.BDP(G74, "PX_LAST")</f>
        <v>#N/A N/A</v>
      </c>
    </row>
    <row r="75" spans="1:9" x14ac:dyDescent="0.25">
      <c r="A75" s="11" t="s">
        <v>19</v>
      </c>
      <c r="B75" s="11" t="s">
        <v>317</v>
      </c>
      <c r="C75">
        <f>_xll.BDP(A75, "PX_LAST")</f>
        <v>2.4636999999999998</v>
      </c>
      <c r="G75" t="s">
        <v>318</v>
      </c>
      <c r="H75" t="s">
        <v>319</v>
      </c>
      <c r="I75" t="str">
        <f>_xll.BDP(G75, "PX_LAST")</f>
        <v>#N/A N/A</v>
      </c>
    </row>
    <row r="76" spans="1:9" x14ac:dyDescent="0.25">
      <c r="A76" s="11" t="s">
        <v>22</v>
      </c>
      <c r="B76" s="11" t="s">
        <v>320</v>
      </c>
      <c r="C76">
        <f>_xll.BDP(A76, "PX_LAST")</f>
        <v>2.4708000000000001</v>
      </c>
      <c r="G76" t="s">
        <v>321</v>
      </c>
      <c r="H76" t="s">
        <v>322</v>
      </c>
      <c r="I76" t="str">
        <f>_xll.BDP(G76, "PX_LAST")</f>
        <v>#N/A N/A</v>
      </c>
    </row>
    <row r="77" spans="1:9" x14ac:dyDescent="0.25">
      <c r="A77" s="11" t="s">
        <v>25</v>
      </c>
      <c r="B77" s="11" t="s">
        <v>323</v>
      </c>
      <c r="C77">
        <f>_xll.BDP(A77, "PX_LAST")</f>
        <v>2.4660000000000002</v>
      </c>
      <c r="G77" t="s">
        <v>324</v>
      </c>
      <c r="H77" t="s">
        <v>325</v>
      </c>
      <c r="I77" t="str">
        <f>_xll.BDP(G77, "PX_LAST")</f>
        <v>#N/A N/A</v>
      </c>
    </row>
    <row r="78" spans="1:9" x14ac:dyDescent="0.25">
      <c r="A78" s="11" t="s">
        <v>28</v>
      </c>
      <c r="B78" s="11" t="s">
        <v>326</v>
      </c>
      <c r="C78">
        <f>_xll.BDP(A78, "PX_LAST")</f>
        <v>2.4590000000000001</v>
      </c>
      <c r="G78" t="s">
        <v>327</v>
      </c>
      <c r="H78" t="s">
        <v>328</v>
      </c>
      <c r="I78" t="str">
        <f>_xll.BDP(G78, "PX_LAST")</f>
        <v>#N/A N/A</v>
      </c>
    </row>
    <row r="79" spans="1:9" x14ac:dyDescent="0.25">
      <c r="A79" s="11" t="s">
        <v>31</v>
      </c>
      <c r="B79" s="11" t="s">
        <v>329</v>
      </c>
      <c r="C79">
        <f>_xll.BDP(A79, "PX_LAST")</f>
        <v>2.4419</v>
      </c>
      <c r="G79" t="s">
        <v>330</v>
      </c>
      <c r="H79" t="s">
        <v>331</v>
      </c>
      <c r="I79" t="str">
        <f>_xll.BDP(G79, "PX_LAST")</f>
        <v>#N/A N/A</v>
      </c>
    </row>
    <row r="80" spans="1:9" x14ac:dyDescent="0.25">
      <c r="A80" s="11" t="s">
        <v>36</v>
      </c>
      <c r="B80" s="11" t="s">
        <v>332</v>
      </c>
      <c r="C80">
        <f>_xll.BDP(A80, "PX_LAST")</f>
        <v>2.4329000000000001</v>
      </c>
    </row>
    <row r="81" spans="1:3" x14ac:dyDescent="0.25">
      <c r="A81" s="11" t="s">
        <v>40</v>
      </c>
      <c r="B81" s="11" t="s">
        <v>333</v>
      </c>
      <c r="C81">
        <f>_xll.BDP(A81, "PX_LAST")</f>
        <v>2.4247000000000001</v>
      </c>
    </row>
    <row r="82" spans="1:3" x14ac:dyDescent="0.25">
      <c r="A82" s="11" t="s">
        <v>43</v>
      </c>
      <c r="B82" s="11" t="s">
        <v>334</v>
      </c>
      <c r="C82">
        <f>_xll.BDP(A82, "PX_LAST")</f>
        <v>2.4249999999999998</v>
      </c>
    </row>
    <row r="83" spans="1:3" x14ac:dyDescent="0.25">
      <c r="A83" s="11" t="s">
        <v>335</v>
      </c>
      <c r="B83" s="11" t="s">
        <v>336</v>
      </c>
      <c r="C83">
        <f>_xll.BDP(A83, "PX_LAST")</f>
        <v>2.4239000000000002</v>
      </c>
    </row>
    <row r="84" spans="1:3" x14ac:dyDescent="0.25">
      <c r="A84" s="11" t="s">
        <v>46</v>
      </c>
      <c r="B84" s="11" t="s">
        <v>337</v>
      </c>
      <c r="C84">
        <f>_xll.BDP(A84, "PX_LAST")</f>
        <v>2.41</v>
      </c>
    </row>
    <row r="85" spans="1:3" x14ac:dyDescent="0.25">
      <c r="A85" s="11" t="s">
        <v>49</v>
      </c>
      <c r="B85" s="11" t="s">
        <v>338</v>
      </c>
      <c r="C85">
        <f>_xll.BDP(A85, "PX_LAST")</f>
        <v>2.3780000000000001</v>
      </c>
    </row>
    <row r="86" spans="1:3" x14ac:dyDescent="0.25">
      <c r="A86" s="11" t="s">
        <v>51</v>
      </c>
      <c r="B86" s="11" t="s">
        <v>339</v>
      </c>
      <c r="C86">
        <f>_xll.BDP(A86, "PX_LAST")</f>
        <v>2.3445999999999998</v>
      </c>
    </row>
    <row r="87" spans="1:3" x14ac:dyDescent="0.25">
      <c r="A87" s="11" t="s">
        <v>52</v>
      </c>
      <c r="B87" s="11" t="s">
        <v>340</v>
      </c>
      <c r="C87">
        <f>_xll.BDP(A87, "PX_LAST")</f>
        <v>2.3380000000000001</v>
      </c>
    </row>
    <row r="88" spans="1:3" x14ac:dyDescent="0.25">
      <c r="A88" s="8" t="s">
        <v>341</v>
      </c>
      <c r="B88" s="8" t="s">
        <v>342</v>
      </c>
      <c r="C88" t="str">
        <f>_xll.BDP(A88, "PX_LAST")</f>
        <v>#N/A N/A</v>
      </c>
    </row>
    <row r="89" spans="1:3" x14ac:dyDescent="0.25">
      <c r="A89" s="8" t="s">
        <v>343</v>
      </c>
      <c r="B89" s="8" t="s">
        <v>344</v>
      </c>
      <c r="C89" t="str">
        <f>_xll.BDP(A89, "PX_LAST")</f>
        <v>#N/A N/A</v>
      </c>
    </row>
    <row r="90" spans="1:3" x14ac:dyDescent="0.25">
      <c r="A90" s="8" t="s">
        <v>345</v>
      </c>
      <c r="B90" s="8" t="s">
        <v>346</v>
      </c>
      <c r="C90" t="str">
        <f>_xll.BDP(A90, "PX_LAST")</f>
        <v>#N/A N/A</v>
      </c>
    </row>
    <row r="91" spans="1:3" x14ac:dyDescent="0.25">
      <c r="A91" s="8" t="s">
        <v>347</v>
      </c>
      <c r="B91" s="8" t="s">
        <v>348</v>
      </c>
      <c r="C91" t="str">
        <f>_xll.BDP(A91, "PX_LAST")</f>
        <v>#N/A N/A</v>
      </c>
    </row>
    <row r="92" spans="1:3" x14ac:dyDescent="0.25">
      <c r="A92" s="8" t="s">
        <v>349</v>
      </c>
      <c r="B92" s="8" t="s">
        <v>350</v>
      </c>
      <c r="C92" t="str">
        <f>_xll.BDP(A92, "PX_LAST")</f>
        <v>#N/A N/A</v>
      </c>
    </row>
    <row r="93" spans="1:3" x14ac:dyDescent="0.25">
      <c r="A93" s="8" t="s">
        <v>351</v>
      </c>
      <c r="B93" s="8" t="s">
        <v>352</v>
      </c>
      <c r="C93" t="str">
        <f>_xll.BDP(A93, "PX_LAST")</f>
        <v>#N/A N/A</v>
      </c>
    </row>
    <row r="94" spans="1:3" x14ac:dyDescent="0.25">
      <c r="A94" s="8" t="s">
        <v>353</v>
      </c>
      <c r="B94" s="8" t="s">
        <v>354</v>
      </c>
      <c r="C94" t="str">
        <f>_xll.BDP(A94, "PX_LAST")</f>
        <v>#N/A N/A</v>
      </c>
    </row>
    <row r="95" spans="1:3" x14ac:dyDescent="0.25">
      <c r="A95" s="8" t="s">
        <v>355</v>
      </c>
      <c r="B95" s="8" t="s">
        <v>356</v>
      </c>
      <c r="C95" t="str">
        <f>_xll.BDP(A95, "PX_LAST")</f>
        <v>#N/A N/A</v>
      </c>
    </row>
    <row r="96" spans="1:3" x14ac:dyDescent="0.25">
      <c r="A96" s="8" t="s">
        <v>357</v>
      </c>
      <c r="B96" s="8" t="s">
        <v>358</v>
      </c>
      <c r="C96" t="str">
        <f>_xll.BDP(A96, "PX_LAST")</f>
        <v>#N/A N/A</v>
      </c>
    </row>
    <row r="97" spans="1:3" x14ac:dyDescent="0.25">
      <c r="A97" s="8" t="s">
        <v>359</v>
      </c>
      <c r="B97" s="8" t="s">
        <v>360</v>
      </c>
      <c r="C97" t="str">
        <f>_xll.BDP(A97, "PX_LAST")</f>
        <v>#N/A N/A</v>
      </c>
    </row>
    <row r="98" spans="1:3" x14ac:dyDescent="0.25">
      <c r="A98" s="8" t="s">
        <v>361</v>
      </c>
      <c r="B98" s="8" t="s">
        <v>362</v>
      </c>
      <c r="C98" t="str">
        <f>_xll.BDP(A98, "PX_LAST")</f>
        <v>#N/A N/A</v>
      </c>
    </row>
    <row r="99" spans="1:3" x14ac:dyDescent="0.25">
      <c r="A99" s="8" t="s">
        <v>363</v>
      </c>
      <c r="B99" s="8" t="s">
        <v>364</v>
      </c>
      <c r="C99" t="str">
        <f>_xll.BDP(A99, "PX_LAST")</f>
        <v>#N/A N/A</v>
      </c>
    </row>
    <row r="100" spans="1:3" x14ac:dyDescent="0.25">
      <c r="A100" s="8" t="s">
        <v>365</v>
      </c>
      <c r="B100" s="8" t="s">
        <v>366</v>
      </c>
      <c r="C100" t="str">
        <f>_xll.BDP(A100, "PX_LAST")</f>
        <v>#N/A N/A</v>
      </c>
    </row>
    <row r="101" spans="1:3" x14ac:dyDescent="0.25">
      <c r="A101" s="8" t="s">
        <v>367</v>
      </c>
      <c r="B101" s="8" t="s">
        <v>368</v>
      </c>
      <c r="C101" t="str">
        <f>_xll.BDP(A101, "PX_LAST")</f>
        <v>#N/A N/A</v>
      </c>
    </row>
    <row r="102" spans="1:3" x14ac:dyDescent="0.25">
      <c r="A102" s="8" t="s">
        <v>369</v>
      </c>
      <c r="B102" s="8" t="s">
        <v>370</v>
      </c>
      <c r="C102" t="str">
        <f>_xll.BDP(A102, "PX_LAST")</f>
        <v>#N/A N/A</v>
      </c>
    </row>
    <row r="103" spans="1:3" x14ac:dyDescent="0.25">
      <c r="A103" s="8" t="s">
        <v>371</v>
      </c>
      <c r="B103" s="8" t="s">
        <v>372</v>
      </c>
      <c r="C103" t="str">
        <f>_xll.BDP(A103, "PX_LAST")</f>
        <v>#N/A N/A</v>
      </c>
    </row>
    <row r="104" spans="1:3" x14ac:dyDescent="0.25">
      <c r="A104" s="8" t="s">
        <v>373</v>
      </c>
      <c r="B104" s="8" t="s">
        <v>374</v>
      </c>
      <c r="C104" t="str">
        <f>_xll.BDP(A104, "PX_LAST")</f>
        <v>#N/A N/A</v>
      </c>
    </row>
    <row r="105" spans="1:3" x14ac:dyDescent="0.25">
      <c r="A105" s="8" t="s">
        <v>375</v>
      </c>
      <c r="B105" s="8" t="s">
        <v>376</v>
      </c>
      <c r="C105" t="str">
        <f>_xll.BDP(A105, "PX_LAST")</f>
        <v>#N/A N/A</v>
      </c>
    </row>
    <row r="106" spans="1:3" x14ac:dyDescent="0.25">
      <c r="A106" s="8" t="s">
        <v>377</v>
      </c>
      <c r="B106" s="8" t="s">
        <v>378</v>
      </c>
      <c r="C106" t="str">
        <f>_xll.BDP(A106, "PX_LAST")</f>
        <v>#N/A N/A</v>
      </c>
    </row>
    <row r="107" spans="1:3" x14ac:dyDescent="0.25">
      <c r="A107" s="8" t="s">
        <v>379</v>
      </c>
      <c r="B107" s="8" t="s">
        <v>380</v>
      </c>
      <c r="C107" t="str">
        <f>_xll.BDP(A107, "PX_LAST")</f>
        <v>#N/A N/A</v>
      </c>
    </row>
    <row r="108" spans="1:3" x14ac:dyDescent="0.25">
      <c r="A108" s="8" t="s">
        <v>381</v>
      </c>
      <c r="B108" s="8" t="s">
        <v>382</v>
      </c>
      <c r="C108" t="str">
        <f>_xll.BDP(A108, "PX_LAST")</f>
        <v>#N/A N/A</v>
      </c>
    </row>
    <row r="109" spans="1:3" x14ac:dyDescent="0.25">
      <c r="A109" s="8" t="s">
        <v>383</v>
      </c>
      <c r="B109" s="8" t="s">
        <v>384</v>
      </c>
      <c r="C109" t="str">
        <f>_xll.BDP(A109, "PX_LAST")</f>
        <v>#N/A N/A</v>
      </c>
    </row>
    <row r="110" spans="1:3" x14ac:dyDescent="0.25">
      <c r="A110" s="8" t="s">
        <v>385</v>
      </c>
      <c r="B110" s="8" t="s">
        <v>386</v>
      </c>
      <c r="C110" t="str">
        <f>_xll.BDP(A110, "PX_LAST")</f>
        <v>#N/A N/A</v>
      </c>
    </row>
    <row r="111" spans="1:3" x14ac:dyDescent="0.25">
      <c r="A111" s="8" t="s">
        <v>387</v>
      </c>
      <c r="B111" s="8" t="s">
        <v>388</v>
      </c>
      <c r="C111" t="str">
        <f>_xll.BDP(A111, "PX_LAST")</f>
        <v>#N/A N/A</v>
      </c>
    </row>
    <row r="112" spans="1:3" x14ac:dyDescent="0.25">
      <c r="A112" s="8" t="s">
        <v>389</v>
      </c>
      <c r="B112" s="8" t="s">
        <v>390</v>
      </c>
      <c r="C112" t="str">
        <f>_xll.BDP(A112, "PX_LAST")</f>
        <v>#N/A N/A</v>
      </c>
    </row>
    <row r="113" spans="1:3" x14ac:dyDescent="0.25">
      <c r="A113" s="8" t="s">
        <v>391</v>
      </c>
      <c r="B113" s="8" t="s">
        <v>392</v>
      </c>
      <c r="C113" t="str">
        <f>_xll.BDP(A113, "PX_LAST")</f>
        <v>#N/A N/A</v>
      </c>
    </row>
    <row r="114" spans="1:3" x14ac:dyDescent="0.25">
      <c r="A114" s="8" t="s">
        <v>393</v>
      </c>
      <c r="B114" s="8" t="s">
        <v>394</v>
      </c>
      <c r="C114" t="str">
        <f>_xll.BDP(A114, "PX_LAST")</f>
        <v>#N/A N/A</v>
      </c>
    </row>
    <row r="115" spans="1:3" x14ac:dyDescent="0.25">
      <c r="A115" s="8" t="s">
        <v>395</v>
      </c>
      <c r="B115" s="8" t="s">
        <v>396</v>
      </c>
      <c r="C115" t="str">
        <f>_xll.BDP(A115, "PX_LAST")</f>
        <v>#N/A N/A</v>
      </c>
    </row>
    <row r="116" spans="1:3" x14ac:dyDescent="0.25">
      <c r="A116" s="8" t="s">
        <v>397</v>
      </c>
      <c r="B116" s="8" t="s">
        <v>398</v>
      </c>
      <c r="C116" t="str">
        <f>_xll.BDP(A116, "PX_LAST")</f>
        <v>#N/A N/A</v>
      </c>
    </row>
    <row r="117" spans="1:3" x14ac:dyDescent="0.25">
      <c r="A117" s="8" t="s">
        <v>399</v>
      </c>
      <c r="B117" s="8" t="s">
        <v>400</v>
      </c>
      <c r="C117" t="str">
        <f>_xll.BDP(A117, "PX_LAST")</f>
        <v>#N/A N/A</v>
      </c>
    </row>
    <row r="118" spans="1:3" x14ac:dyDescent="0.25">
      <c r="A118" s="8" t="s">
        <v>401</v>
      </c>
      <c r="B118" s="8" t="s">
        <v>402</v>
      </c>
      <c r="C118" t="str">
        <f>_xll.BDP(A118, "PX_LAST")</f>
        <v>#N/A N/A</v>
      </c>
    </row>
    <row r="119" spans="1:3" x14ac:dyDescent="0.25">
      <c r="A119" s="8" t="s">
        <v>403</v>
      </c>
      <c r="B119" s="8" t="s">
        <v>404</v>
      </c>
      <c r="C119" t="str">
        <f>_xll.BDP(A119, "PX_LAST")</f>
        <v>#N/A N/A</v>
      </c>
    </row>
    <row r="120" spans="1:3" x14ac:dyDescent="0.25">
      <c r="A120" s="8" t="s">
        <v>405</v>
      </c>
      <c r="B120" s="8" t="s">
        <v>406</v>
      </c>
      <c r="C120" t="str">
        <f>_xll.BDP(A120, "PX_LAST")</f>
        <v>#N/A N/A</v>
      </c>
    </row>
    <row r="121" spans="1:3" x14ac:dyDescent="0.25">
      <c r="A121" s="8" t="s">
        <v>407</v>
      </c>
      <c r="B121" s="8" t="s">
        <v>408</v>
      </c>
      <c r="C121" t="str">
        <f>_xll.BDP(A121, "PX_LAST")</f>
        <v>#N/A N/A</v>
      </c>
    </row>
    <row r="122" spans="1:3" x14ac:dyDescent="0.25">
      <c r="A122" s="8" t="s">
        <v>409</v>
      </c>
      <c r="B122" s="8" t="s">
        <v>410</v>
      </c>
      <c r="C122" t="str">
        <f>_xll.BDP(A122, "PX_LAST")</f>
        <v>#N/A N/A</v>
      </c>
    </row>
    <row r="123" spans="1:3" x14ac:dyDescent="0.25">
      <c r="A123" s="8" t="s">
        <v>411</v>
      </c>
      <c r="B123" s="8" t="s">
        <v>412</v>
      </c>
      <c r="C123" t="str">
        <f>_xll.BDP(A123, "PX_LAST")</f>
        <v>#N/A N/A</v>
      </c>
    </row>
    <row r="124" spans="1:3" x14ac:dyDescent="0.25">
      <c r="A124" s="8" t="s">
        <v>413</v>
      </c>
      <c r="B124" s="8" t="s">
        <v>414</v>
      </c>
      <c r="C124" t="str">
        <f>_xll.BDP(A124, "PX_LAST")</f>
        <v>#N/A N/A</v>
      </c>
    </row>
    <row r="125" spans="1:3" x14ac:dyDescent="0.25">
      <c r="A125" s="8" t="s">
        <v>415</v>
      </c>
      <c r="B125" s="8" t="s">
        <v>416</v>
      </c>
      <c r="C125" t="str">
        <f>_xll.BDP(A125, "PX_LAST")</f>
        <v>#N/A N/A</v>
      </c>
    </row>
    <row r="126" spans="1:3" x14ac:dyDescent="0.25">
      <c r="A126" s="8" t="s">
        <v>417</v>
      </c>
      <c r="B126" s="8" t="s">
        <v>418</v>
      </c>
      <c r="C126" t="str">
        <f>_xll.BDP(A126, "PX_LAST")</f>
        <v>#N/A N/A</v>
      </c>
    </row>
    <row r="127" spans="1:3" x14ac:dyDescent="0.25">
      <c r="A127" s="8" t="s">
        <v>419</v>
      </c>
      <c r="B127" s="8" t="s">
        <v>420</v>
      </c>
      <c r="C127" t="str">
        <f>_xll.BDP(A127, "PX_LAST")</f>
        <v>#N/A N/A</v>
      </c>
    </row>
    <row r="128" spans="1:3" x14ac:dyDescent="0.25">
      <c r="A128" s="8" t="s">
        <v>421</v>
      </c>
      <c r="B128" s="8" t="s">
        <v>422</v>
      </c>
      <c r="C128" t="str">
        <f>_xll.BDP(A128, "PX_LAST")</f>
        <v>#N/A N/A</v>
      </c>
    </row>
    <row r="129" spans="1:3" x14ac:dyDescent="0.25">
      <c r="A129" s="8" t="s">
        <v>423</v>
      </c>
      <c r="B129" s="8" t="s">
        <v>424</v>
      </c>
      <c r="C129" t="str">
        <f>_xll.BDP(A129, "PX_LAST")</f>
        <v>#N/A N/A</v>
      </c>
    </row>
    <row r="130" spans="1:3" x14ac:dyDescent="0.25">
      <c r="A130" s="8" t="s">
        <v>425</v>
      </c>
      <c r="B130" s="8" t="s">
        <v>426</v>
      </c>
      <c r="C130" t="str">
        <f>_xll.BDP(A130, "PX_LAST")</f>
        <v>#N/A N/A</v>
      </c>
    </row>
    <row r="131" spans="1:3" x14ac:dyDescent="0.25">
      <c r="A131" s="8" t="s">
        <v>427</v>
      </c>
      <c r="B131" s="8" t="s">
        <v>428</v>
      </c>
      <c r="C131" t="str">
        <f>_xll.BDP(A131, "PX_LAST")</f>
        <v>#N/A N/A</v>
      </c>
    </row>
    <row r="132" spans="1:3" x14ac:dyDescent="0.25">
      <c r="A132" s="8" t="s">
        <v>429</v>
      </c>
      <c r="B132" s="8" t="s">
        <v>430</v>
      </c>
      <c r="C132" t="str">
        <f>_xll.BDP(A132, "PX_LAST")</f>
        <v>#N/A N/A</v>
      </c>
    </row>
    <row r="133" spans="1:3" x14ac:dyDescent="0.25">
      <c r="A133" s="8" t="s">
        <v>431</v>
      </c>
      <c r="B133" s="8" t="s">
        <v>432</v>
      </c>
      <c r="C133" t="str">
        <f>_xll.BDP(A133, "PX_LAST")</f>
        <v>#N/A N/A</v>
      </c>
    </row>
    <row r="134" spans="1:3" x14ac:dyDescent="0.25">
      <c r="A134" s="8" t="s">
        <v>433</v>
      </c>
      <c r="B134" s="8" t="s">
        <v>434</v>
      </c>
      <c r="C134" t="str">
        <f>_xll.BDP(A134, "PX_LAST")</f>
        <v>#N/A N/A</v>
      </c>
    </row>
    <row r="135" spans="1:3" x14ac:dyDescent="0.25">
      <c r="A135" s="8" t="s">
        <v>435</v>
      </c>
      <c r="B135" s="8" t="s">
        <v>436</v>
      </c>
      <c r="C135" t="str">
        <f>_xll.BDP(A135, "PX_LAST")</f>
        <v>#N/A N/A</v>
      </c>
    </row>
    <row r="136" spans="1:3" x14ac:dyDescent="0.25">
      <c r="A136" s="8" t="s">
        <v>437</v>
      </c>
      <c r="B136" s="8" t="s">
        <v>438</v>
      </c>
      <c r="C136" t="str">
        <f>_xll.BDP(A136, "PX_LAST")</f>
        <v>#N/A N/A</v>
      </c>
    </row>
    <row r="137" spans="1:3" x14ac:dyDescent="0.25">
      <c r="A137" s="8" t="s">
        <v>439</v>
      </c>
      <c r="B137" s="8" t="s">
        <v>440</v>
      </c>
      <c r="C137" t="str">
        <f>_xll.BDP(A137, "PX_LAST")</f>
        <v>#N/A N/A</v>
      </c>
    </row>
    <row r="138" spans="1:3" x14ac:dyDescent="0.25">
      <c r="A138" s="8" t="s">
        <v>441</v>
      </c>
      <c r="B138" s="8" t="s">
        <v>442</v>
      </c>
      <c r="C138" t="str">
        <f>_xll.BDP(A138, "PX_LAST")</f>
        <v>#N/A N/A</v>
      </c>
    </row>
    <row r="139" spans="1:3" x14ac:dyDescent="0.25">
      <c r="A139" s="8" t="s">
        <v>443</v>
      </c>
      <c r="B139" s="8" t="s">
        <v>444</v>
      </c>
      <c r="C139" t="str">
        <f>_xll.BDP(A139, "PX_LAST")</f>
        <v>#N/A N/A</v>
      </c>
    </row>
    <row r="140" spans="1:3" x14ac:dyDescent="0.25">
      <c r="A140" s="8" t="s">
        <v>445</v>
      </c>
      <c r="B140" s="8" t="s">
        <v>446</v>
      </c>
      <c r="C140" t="str">
        <f>_xll.BDP(A140, "PX_LAST")</f>
        <v>#N/A N/A</v>
      </c>
    </row>
    <row r="141" spans="1:3" x14ac:dyDescent="0.25">
      <c r="A141" s="8" t="s">
        <v>447</v>
      </c>
      <c r="B141" s="8" t="s">
        <v>448</v>
      </c>
      <c r="C141" t="str">
        <f>_xll.BDP(A141, "PX_LAST")</f>
        <v>#N/A N/A</v>
      </c>
    </row>
    <row r="142" spans="1:3" x14ac:dyDescent="0.25">
      <c r="A142" s="8" t="s">
        <v>449</v>
      </c>
      <c r="B142" s="8" t="s">
        <v>450</v>
      </c>
      <c r="C142" t="str">
        <f>_xll.BDP(A142, "PX_LAST")</f>
        <v>#N/A N/A</v>
      </c>
    </row>
    <row r="143" spans="1:3" x14ac:dyDescent="0.25">
      <c r="A143" s="8" t="s">
        <v>451</v>
      </c>
      <c r="B143" s="8" t="s">
        <v>452</v>
      </c>
      <c r="C143" t="str">
        <f>_xll.BDP(A143, "PX_LAST")</f>
        <v>#N/A N/A</v>
      </c>
    </row>
    <row r="144" spans="1:3" x14ac:dyDescent="0.25">
      <c r="A144" s="8" t="s">
        <v>453</v>
      </c>
      <c r="B144" s="8" t="s">
        <v>454</v>
      </c>
      <c r="C144" t="str">
        <f>_xll.BDP(A144, "PX_LAST")</f>
        <v>#N/A N/A</v>
      </c>
    </row>
    <row r="145" spans="1:3" x14ac:dyDescent="0.25">
      <c r="A145" s="8" t="s">
        <v>455</v>
      </c>
      <c r="B145" s="8" t="s">
        <v>456</v>
      </c>
      <c r="C145" t="str">
        <f>_xll.BDP(A145, "PX_LAST")</f>
        <v>#N/A N/A</v>
      </c>
    </row>
    <row r="146" spans="1:3" x14ac:dyDescent="0.25">
      <c r="A146" s="8" t="s">
        <v>457</v>
      </c>
      <c r="B146" s="8" t="s">
        <v>458</v>
      </c>
      <c r="C146" t="str">
        <f>_xll.BDP(A146, "PX_LAST")</f>
        <v>#N/A N/A</v>
      </c>
    </row>
    <row r="147" spans="1:3" x14ac:dyDescent="0.25">
      <c r="A147" s="8" t="s">
        <v>459</v>
      </c>
      <c r="B147" s="8" t="s">
        <v>460</v>
      </c>
      <c r="C147" t="str">
        <f>_xll.BDP(A147, "PX_LAST")</f>
        <v>#N/A N/A</v>
      </c>
    </row>
    <row r="148" spans="1:3" x14ac:dyDescent="0.25">
      <c r="A148" s="8" t="s">
        <v>461</v>
      </c>
      <c r="B148" s="8" t="s">
        <v>462</v>
      </c>
      <c r="C148" t="str">
        <f>_xll.BDP(A148, "PX_LAST")</f>
        <v>#N/A N/A</v>
      </c>
    </row>
    <row r="149" spans="1:3" x14ac:dyDescent="0.25">
      <c r="A149" s="8" t="s">
        <v>463</v>
      </c>
      <c r="B149" s="8" t="s">
        <v>464</v>
      </c>
      <c r="C149" t="str">
        <f>_xll.BDP(A149, "PX_LAST")</f>
        <v>#N/A N/A</v>
      </c>
    </row>
    <row r="150" spans="1:3" x14ac:dyDescent="0.25">
      <c r="A150" s="8" t="s">
        <v>465</v>
      </c>
      <c r="B150" s="8" t="s">
        <v>466</v>
      </c>
      <c r="C150" t="str">
        <f>_xll.BDP(A150, "PX_LAST")</f>
        <v>#N/A N/A</v>
      </c>
    </row>
    <row r="151" spans="1:3" x14ac:dyDescent="0.25">
      <c r="A151" s="8" t="s">
        <v>467</v>
      </c>
      <c r="B151" s="8" t="s">
        <v>468</v>
      </c>
      <c r="C151" t="str">
        <f>_xll.BDP(A151, "PX_LAST")</f>
        <v>#N/A N/A</v>
      </c>
    </row>
    <row r="152" spans="1:3" x14ac:dyDescent="0.25">
      <c r="A152" s="8" t="s">
        <v>469</v>
      </c>
      <c r="B152" s="8" t="s">
        <v>470</v>
      </c>
      <c r="C152" t="str">
        <f>_xll.BDP(A152, "PX_LAST")</f>
        <v>#N/A N/A</v>
      </c>
    </row>
    <row r="153" spans="1:3" x14ac:dyDescent="0.25">
      <c r="A153" s="8" t="s">
        <v>471</v>
      </c>
      <c r="B153" s="8" t="s">
        <v>472</v>
      </c>
      <c r="C153" t="str">
        <f>_xll.BDP(A153, "PX_LAST")</f>
        <v>#N/A N/A</v>
      </c>
    </row>
    <row r="154" spans="1:3" x14ac:dyDescent="0.25">
      <c r="A154" s="8" t="s">
        <v>473</v>
      </c>
      <c r="B154" s="8" t="s">
        <v>474</v>
      </c>
      <c r="C154" t="str">
        <f>_xll.BDP(A154, "PX_LAST")</f>
        <v>#N/A N/A</v>
      </c>
    </row>
    <row r="155" spans="1:3" x14ac:dyDescent="0.25">
      <c r="A155" s="8" t="s">
        <v>475</v>
      </c>
      <c r="B155" s="8" t="s">
        <v>476</v>
      </c>
      <c r="C155" t="str">
        <f>_xll.BDP(A155, "PX_LAST")</f>
        <v>#N/A N/A</v>
      </c>
    </row>
    <row r="156" spans="1:3" x14ac:dyDescent="0.25">
      <c r="A156" s="8" t="s">
        <v>477</v>
      </c>
      <c r="B156" s="8" t="s">
        <v>478</v>
      </c>
      <c r="C156" t="str">
        <f>_xll.BDP(A156, "PX_LAST")</f>
        <v>#N/A N/A</v>
      </c>
    </row>
    <row r="157" spans="1:3" x14ac:dyDescent="0.25">
      <c r="A157" s="8" t="s">
        <v>479</v>
      </c>
      <c r="B157" s="8" t="s">
        <v>480</v>
      </c>
      <c r="C157" t="str">
        <f>_xll.BDP(A157, "PX_LAST")</f>
        <v>#N/A N/A</v>
      </c>
    </row>
    <row r="158" spans="1:3" x14ac:dyDescent="0.25">
      <c r="A158" s="8" t="s">
        <v>481</v>
      </c>
      <c r="B158" s="8" t="s">
        <v>482</v>
      </c>
      <c r="C158" t="str">
        <f>_xll.BDP(A158, "PX_LAST")</f>
        <v>#N/A N/A</v>
      </c>
    </row>
    <row r="159" spans="1:3" x14ac:dyDescent="0.25">
      <c r="A159" s="8" t="s">
        <v>483</v>
      </c>
      <c r="B159" s="8" t="s">
        <v>484</v>
      </c>
      <c r="C159" t="str">
        <f>_xll.BDP(A159, "PX_LAST")</f>
        <v>#N/A N/A</v>
      </c>
    </row>
    <row r="160" spans="1:3" x14ac:dyDescent="0.25">
      <c r="A160" s="8" t="s">
        <v>485</v>
      </c>
      <c r="B160" s="8" t="s">
        <v>486</v>
      </c>
      <c r="C160" t="str">
        <f>_xll.BDP(A160, "PX_LAST")</f>
        <v>#N/A N/A</v>
      </c>
    </row>
    <row r="161" spans="1:3" x14ac:dyDescent="0.25">
      <c r="A161" s="8" t="s">
        <v>487</v>
      </c>
      <c r="B161" s="8" t="s">
        <v>488</v>
      </c>
      <c r="C161" t="str">
        <f>_xll.BDP(A161, "PX_LAST")</f>
        <v>#N/A N/A</v>
      </c>
    </row>
    <row r="162" spans="1:3" x14ac:dyDescent="0.25">
      <c r="A162" s="8" t="s">
        <v>489</v>
      </c>
      <c r="B162" s="8" t="s">
        <v>490</v>
      </c>
      <c r="C162" t="str">
        <f>_xll.BDP(A162, "PX_LAST")</f>
        <v>#N/A 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QuantWare</vt:lpstr>
      <vt:lpstr>Sheet1</vt:lpstr>
      <vt:lpstr>Sheet3</vt:lpstr>
      <vt:lpstr>LaggedEOM</vt:lpstr>
      <vt:lpstr>spotDate</vt:lpstr>
      <vt:lpstr>strippingDate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Gazzano, Pierre</dc:creator>
  <cp:keywords/>
  <dc:description/>
  <cp:lastModifiedBy>Gazzano, Pierre</cp:lastModifiedBy>
  <cp:revision/>
  <dcterms:created xsi:type="dcterms:W3CDTF">2026-06-22T15:32:48Z</dcterms:created>
  <dcterms:modified xsi:type="dcterms:W3CDTF">2026-07-09T15:08:41Z</dcterms:modified>
  <cp:category/>
  <cp:contentStatus/>
</cp:coreProperties>
</file>
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7" documentId="8_{1AE0372F-5D38-4280-8F7A-7152ED6ECB1A}" xr6:coauthVersionLast="47" xr6:coauthVersionMax="47" xr10:uidLastSave="{EEC9178E-ED7C-4EEA-AD76-81CAAC49945D}"/>
  <bookViews>
    <workbookView xWindow="-120" yWindow="-120" windowWidth="38640" windowHeight="21120" xr2:uid="{67299944-7FF9-49B4-A72F-BD4B4EE2DA64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3" l="1"/>
  <c r="I69" i="3"/>
  <c r="I67" i="3"/>
  <c r="I41" i="3"/>
  <c r="I72" i="3"/>
  <c r="I38" i="3"/>
  <c r="I64" i="3"/>
  <c r="I36" i="3"/>
  <c r="I62" i="3"/>
  <c r="I40" i="3"/>
  <c r="I28" i="3"/>
  <c r="I57" i="3"/>
  <c r="I18" i="3"/>
  <c r="I34" i="3"/>
  <c r="I31" i="3"/>
  <c r="I43" i="3"/>
  <c r="I79" i="3"/>
  <c r="I33" i="3"/>
  <c r="I15" i="3"/>
  <c r="I45" i="3"/>
  <c r="I39" i="3"/>
  <c r="I37" i="3"/>
  <c r="I20" i="3"/>
  <c r="I54" i="3"/>
  <c r="I24" i="3"/>
  <c r="I44" i="3"/>
  <c r="I78" i="3"/>
  <c r="I16" i="3"/>
  <c r="I65" i="3"/>
  <c r="I42" i="3"/>
  <c r="I26" i="3"/>
  <c r="I71" i="3"/>
  <c r="I59" i="3"/>
  <c r="I22" i="3"/>
  <c r="I53" i="3"/>
  <c r="I17" i="3"/>
  <c r="I66" i="3"/>
  <c r="I30" i="3"/>
  <c r="I27" i="3"/>
  <c r="I51" i="3"/>
  <c r="I32" i="3"/>
  <c r="I76" i="3"/>
  <c r="I23" i="3"/>
  <c r="I48" i="3"/>
  <c r="I35" i="3"/>
  <c r="I25" i="3"/>
  <c r="I70" i="3"/>
  <c r="I60" i="3"/>
  <c r="I56" i="3"/>
  <c r="I52" i="3"/>
  <c r="I46" i="3"/>
  <c r="I49" i="3"/>
  <c r="I29" i="3"/>
  <c r="I47" i="3"/>
  <c r="I73" i="3"/>
  <c r="I75" i="3"/>
  <c r="I50" i="3"/>
  <c r="I19" i="3"/>
  <c r="I74" i="3"/>
  <c r="I58" i="3"/>
  <c r="I21" i="3"/>
  <c r="I55" i="3"/>
  <c r="I68" i="3"/>
  <c r="I77" i="3"/>
  <c r="I6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C54" i="3"/>
  <c r="C8" i="3"/>
  <c r="C129" i="3"/>
  <c r="C59" i="3"/>
  <c r="C35" i="3"/>
  <c r="C141" i="3"/>
  <c r="C128" i="3"/>
  <c r="C144" i="3"/>
  <c r="C146" i="3"/>
  <c r="C42" i="3"/>
  <c r="C63" i="3"/>
  <c r="C13" i="3"/>
  <c r="C92" i="3"/>
  <c r="C30" i="3"/>
  <c r="C93" i="3"/>
  <c r="C113" i="3"/>
  <c r="C118" i="3"/>
  <c r="C125" i="3"/>
  <c r="C71" i="3"/>
  <c r="C134" i="3"/>
  <c r="C115" i="3"/>
  <c r="C99" i="3"/>
  <c r="C26" i="3"/>
  <c r="C5" i="3"/>
  <c r="C130" i="3"/>
  <c r="C44" i="3"/>
  <c r="C89" i="3"/>
  <c r="C96" i="3"/>
  <c r="C43" i="3"/>
  <c r="C21" i="3"/>
  <c r="C48" i="3"/>
  <c r="C157" i="3"/>
  <c r="C7" i="3"/>
  <c r="C137" i="3"/>
  <c r="C124" i="3"/>
  <c r="C45" i="3"/>
  <c r="C52" i="3"/>
  <c r="C120" i="3"/>
  <c r="C156" i="3"/>
  <c r="C150" i="3"/>
  <c r="C27" i="3"/>
  <c r="C162" i="3"/>
  <c r="C15" i="3"/>
  <c r="C98" i="3"/>
  <c r="C37" i="3"/>
  <c r="C149" i="3"/>
  <c r="C106" i="3"/>
  <c r="C41" i="3"/>
  <c r="C100" i="3"/>
  <c r="C72" i="3"/>
  <c r="C109" i="3"/>
  <c r="C97" i="3"/>
  <c r="C103" i="3"/>
  <c r="C16" i="3"/>
  <c r="C17" i="3"/>
  <c r="C22" i="3"/>
  <c r="C121" i="3"/>
  <c r="C119" i="3"/>
  <c r="C101" i="3"/>
  <c r="C105" i="3"/>
  <c r="C147" i="3"/>
  <c r="C153" i="3"/>
  <c r="C142" i="3"/>
  <c r="C6" i="3"/>
  <c r="C107" i="3"/>
  <c r="C138" i="3"/>
  <c r="C50" i="3"/>
  <c r="C47" i="3"/>
  <c r="C111" i="3"/>
  <c r="C155" i="3"/>
  <c r="C116" i="3"/>
  <c r="C140" i="3"/>
  <c r="C36" i="3"/>
  <c r="C132" i="3"/>
  <c r="C32" i="3"/>
  <c r="C127" i="3"/>
  <c r="C25" i="3"/>
  <c r="C95" i="3"/>
  <c r="C131" i="3"/>
  <c r="C133" i="3"/>
  <c r="C18" i="3"/>
  <c r="C4" i="3"/>
  <c r="C114" i="3"/>
  <c r="C122" i="3"/>
  <c r="C148" i="3"/>
  <c r="C65" i="3"/>
  <c r="C57" i="3"/>
  <c r="C24" i="3"/>
  <c r="C64" i="3"/>
  <c r="C55" i="3"/>
  <c r="C14" i="3"/>
  <c r="C28" i="3"/>
  <c r="C62" i="3"/>
  <c r="C3" i="3"/>
  <c r="C67" i="3"/>
  <c r="C33" i="3"/>
  <c r="C12" i="3"/>
  <c r="C94" i="3"/>
  <c r="C11" i="3"/>
  <c r="C139" i="3"/>
  <c r="C39" i="3"/>
  <c r="C61" i="3"/>
  <c r="C56" i="3"/>
  <c r="C10" i="3"/>
  <c r="C31" i="3"/>
  <c r="C46" i="3"/>
  <c r="C70" i="3"/>
  <c r="C40" i="3"/>
  <c r="C88" i="3"/>
  <c r="C51" i="3"/>
  <c r="C154" i="3"/>
  <c r="C151" i="3"/>
  <c r="C136" i="3"/>
  <c r="C123" i="3"/>
  <c r="C29" i="3"/>
  <c r="C160" i="3"/>
  <c r="C112" i="3"/>
  <c r="C91" i="3"/>
  <c r="C23" i="3"/>
  <c r="C34" i="3"/>
  <c r="C38" i="3"/>
  <c r="C117" i="3"/>
  <c r="C152" i="3"/>
  <c r="C90" i="3"/>
  <c r="C135" i="3"/>
  <c r="C104" i="3"/>
  <c r="C102" i="3"/>
  <c r="C19" i="3"/>
  <c r="C145" i="3"/>
  <c r="C66" i="3"/>
  <c r="C126" i="3"/>
  <c r="C110" i="3"/>
  <c r="C53" i="3"/>
  <c r="C159" i="3"/>
  <c r="C49" i="3"/>
  <c r="C83" i="3"/>
  <c r="C158" i="3"/>
  <c r="C108" i="3"/>
  <c r="C161" i="3"/>
  <c r="C68" i="3"/>
  <c r="C143" i="3"/>
  <c r="C58" i="3"/>
  <c r="C20" i="3"/>
  <c r="C9" i="3"/>
  <c r="C69" i="3"/>
  <c r="C60" i="3"/>
  <c r="C73" i="3"/>
  <c r="C74" i="3"/>
  <c r="C77" i="3"/>
  <c r="C82" i="3"/>
  <c r="C87" i="3"/>
  <c r="C75" i="3"/>
  <c r="C76" i="3"/>
  <c r="C85" i="3"/>
  <c r="C79" i="3"/>
  <c r="C84" i="3"/>
  <c r="C81" i="3"/>
  <c r="C78" i="3"/>
  <c r="C80" i="3"/>
  <c r="C86" i="3"/>
  <c r="C2" i="3"/>
  <c r="L36" i="1"/>
  <c r="M6" i="1" a="1"/>
  <c r="M6" i="1"/>
  <c r="B22" i="1" s="1"/>
  <c r="M7" i="1" a="1"/>
  <c r="M7" i="1"/>
  <c r="B23" i="1" s="1"/>
  <c r="M8" i="1" a="1"/>
  <c r="M8" i="1"/>
  <c r="B24" i="1" s="1"/>
  <c r="M9" i="1" a="1"/>
  <c r="M9" i="1"/>
  <c r="B25" i="1" s="1"/>
  <c r="M10" i="1" a="1"/>
  <c r="M10" i="1"/>
  <c r="B26" i="1" s="1"/>
  <c r="M11" i="1" a="1"/>
  <c r="M11" i="1"/>
  <c r="B27" i="1" s="1"/>
  <c r="M12" i="1" a="1"/>
  <c r="M12" i="1"/>
  <c r="B28" i="1" s="1"/>
  <c r="M13" i="1" a="1"/>
  <c r="M13" i="1"/>
  <c r="B29" i="1" s="1"/>
  <c r="M14" i="1" a="1"/>
  <c r="M14" i="1"/>
  <c r="B30" i="1" s="1"/>
  <c r="M15" i="1" a="1"/>
  <c r="M15" i="1"/>
  <c r="B31" i="1" s="1"/>
  <c r="M16" i="1" a="1"/>
  <c r="M16" i="1"/>
  <c r="B32" i="1" s="1"/>
  <c r="M5" i="1" a="1"/>
  <c r="M5" i="1"/>
  <c r="B21" i="1" s="1"/>
  <c r="L5" i="1"/>
  <c r="L16" i="1"/>
  <c r="L15" i="1"/>
  <c r="L14" i="1"/>
  <c r="L13" i="1"/>
  <c r="L12" i="1"/>
  <c r="L11" i="1"/>
  <c r="L10" i="1"/>
  <c r="L9" i="1"/>
  <c r="L8" i="1"/>
  <c r="L7" i="1"/>
  <c r="L6" i="1"/>
  <c r="E21" i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C25" i="1"/>
  <c r="C22" i="1"/>
  <c r="C23" i="1"/>
  <c r="C24" i="1"/>
  <c r="C26" i="1"/>
  <c r="C27" i="1"/>
  <c r="C28" i="1"/>
  <c r="C29" i="1"/>
  <c r="C30" i="1"/>
  <c r="C31" i="1"/>
  <c r="C32" i="1"/>
  <c r="C21" i="1"/>
  <c r="N22" i="1"/>
  <c r="B35" i="1" s="1"/>
  <c r="N21" i="1"/>
  <c r="B34" i="1" s="1"/>
  <c r="N29" i="1"/>
  <c r="B42" i="1" s="1"/>
  <c r="N20" i="1"/>
  <c r="B33" i="1" s="1"/>
  <c r="N32" i="1"/>
  <c r="N24" i="1"/>
  <c r="B37" i="1" s="1"/>
  <c r="N23" i="1"/>
  <c r="B36" i="1" s="1"/>
  <c r="N25" i="1"/>
  <c r="B38" i="1" s="1"/>
  <c r="N27" i="1"/>
  <c r="B40" i="1" s="1"/>
  <c r="N28" i="1"/>
  <c r="B41" i="1" s="1"/>
  <c r="N26" i="1"/>
  <c r="B39" i="1" s="1"/>
  <c r="N30" i="1"/>
  <c r="B43" i="1" s="1"/>
  <c r="N31" i="1"/>
  <c r="N19" i="1"/>
  <c r="F20" i="1" l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C20" i="1"/>
  <c r="O19" i="1" s="1"/>
  <c r="B20" i="1"/>
  <c r="A20" i="1" s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J20" i="1"/>
  <c r="J21" i="1" s="1"/>
  <c r="J22" i="1" s="1"/>
  <c r="J23" i="1" s="1"/>
  <c r="J24" i="1" s="1"/>
  <c r="J25" i="1" s="1"/>
  <c r="J26" i="1" s="1"/>
  <c r="J27" i="1" s="1"/>
  <c r="J28" i="1" s="1"/>
  <c r="C40" i="1" l="1"/>
  <c r="O20" i="1"/>
  <c r="O32" i="1"/>
  <c r="C33" i="1"/>
  <c r="C34" i="1"/>
  <c r="C35" i="1"/>
  <c r="C36" i="1"/>
  <c r="C37" i="1"/>
  <c r="C38" i="1"/>
  <c r="C39" i="1"/>
  <c r="C41" i="1"/>
  <c r="C42" i="1"/>
  <c r="C43" i="1"/>
  <c r="O30" i="1"/>
  <c r="O31" i="1"/>
  <c r="O21" i="1"/>
  <c r="O22" i="1"/>
  <c r="O23" i="1"/>
  <c r="O24" i="1"/>
  <c r="O25" i="1"/>
  <c r="O26" i="1"/>
  <c r="O27" i="1"/>
  <c r="O28" i="1"/>
  <c r="O29" i="1"/>
  <c r="H41" i="1" l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2" i="1" l="1"/>
  <c r="H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<sst xmlns="http://schemas.openxmlformats.org/spreadsheetml/2006/main" count="525" uniqueCount="482">
  <si>
    <t>PX_LAST</t>
  </si>
  <si>
    <t>USSWIT5 Curncy</t>
  </si>
  <si>
    <t>USSWIT1 Curncy</t>
  </si>
  <si>
    <t>USSWIT2 Curncy</t>
  </si>
  <si>
    <t>USSWIT3 Curncy</t>
  </si>
  <si>
    <t>USSWIT4 Curncy</t>
  </si>
  <si>
    <t>USSWIT6 Curncy</t>
  </si>
  <si>
    <t>USSWIT7 Curncy</t>
  </si>
  <si>
    <t>USSWIT8 Curncy</t>
  </si>
  <si>
    <t>USSWIT9 Curncy</t>
  </si>
  <si>
    <t>USSWIT10 Curncy</t>
  </si>
  <si>
    <t>USSWIT11 Curncy</t>
  </si>
  <si>
    <t>USSWIT15 Curncy</t>
  </si>
  <si>
    <t>USSWIY1 Curncy</t>
  </si>
  <si>
    <t>USSWIY2 Curncy</t>
  </si>
  <si>
    <t>USSWIY3 Curncy</t>
  </si>
  <si>
    <t>USSWIY4 Curncy</t>
  </si>
  <si>
    <t>USSWIY5 Curncy</t>
  </si>
  <si>
    <t>USSWIY6 Curncy</t>
  </si>
  <si>
    <t>USSWIY7 Curncy</t>
  </si>
  <si>
    <t>USSWIY8 Curncy</t>
  </si>
  <si>
    <t>USSWIY9 Curncy</t>
  </si>
  <si>
    <t>USSWIY10 Curncy</t>
  </si>
  <si>
    <t>USSWIY15 Curncy</t>
  </si>
  <si>
    <t>USSWIY27 Curncy</t>
  </si>
  <si>
    <t>USSWIF5 Curncy</t>
  </si>
  <si>
    <t>USSWIF1 Curncy</t>
  </si>
  <si>
    <t>USSWIF2 Curncy</t>
  </si>
  <si>
    <t>USSWIF3 Curncy</t>
  </si>
  <si>
    <t>USSWIF4 Curncy</t>
  </si>
  <si>
    <t>USSWIF6 Curncy</t>
  </si>
  <si>
    <t>USSWIF7 Curncy</t>
  </si>
  <si>
    <t>USSWIF8 Curncy</t>
  </si>
  <si>
    <t>USSWIF9 Curncy</t>
  </si>
  <si>
    <t>USSWIF10 Curncy</t>
  </si>
  <si>
    <t>USSWIF11 Curncy</t>
  </si>
  <si>
    <t>USSWIF12 Curncy</t>
  </si>
  <si>
    <t>USSWIH1 Curncy</t>
  </si>
  <si>
    <t>Security</t>
  </si>
  <si>
    <t>Start Date</t>
  </si>
  <si>
    <t>End Date</t>
  </si>
  <si>
    <t>Period</t>
  </si>
  <si>
    <t>M</t>
  </si>
  <si>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</si>
  <si>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</si>
  <si>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</si>
  <si>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</si>
  <si>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</si>
  <si>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</si>
  <si>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</si>
  <si>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</si>
  <si>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</si>
  <si>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</si>
  <si>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</si>
  <si>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</si>
  <si>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</si>
  <si>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USSWIT20 Curncy</t>
  </si>
  <si>
    <t>USSWIT25 Curncy</t>
  </si>
  <si>
    <t>USSWIT30 Curncy</t>
  </si>
  <si>
    <t>USSWIH6 Curncy</t>
  </si>
  <si>
    <t>USSWIH7 Curncy</t>
  </si>
  <si>
    <t>USSWIH8 Curncy</t>
  </si>
  <si>
    <t>USSWIH10 Curncy</t>
  </si>
  <si>
    <t>USSWIH9 Curncy</t>
  </si>
  <si>
    <t>USSWIH11 Curncy</t>
  </si>
  <si>
    <t>USSWIH12 Curncy</t>
  </si>
  <si>
    <t>USSWIH2 Curncy</t>
  </si>
  <si>
    <t>USSWIH3 Curncy</t>
  </si>
  <si>
    <t>USSWIH4 Curncy</t>
  </si>
  <si>
    <t>USSWIH5 Curncy</t>
  </si>
  <si>
    <t>USSWIY30 Curncy</t>
  </si>
  <si>
    <t>USD Swap SA (VS 12M) 9M</t>
  </si>
  <si>
    <t>USSWIYL Curncy</t>
  </si>
  <si>
    <t>USD Swap v3M ACT/360 9MO</t>
  </si>
  <si>
    <t>USSWIVA Curncy</t>
  </si>
  <si>
    <t>USD Inflation Swap Zero Coupon PCSWS 1</t>
  </si>
  <si>
    <t>USSWIPK Curncy</t>
  </si>
  <si>
    <t>USSWIPJ Curncy</t>
  </si>
  <si>
    <t>USD Inflation Swap Zero Coupon PCSWS 9</t>
  </si>
  <si>
    <t>USSWIPI Curncy</t>
  </si>
  <si>
    <t>USD Inflation Swap Zero Coupon PCSWS 8</t>
  </si>
  <si>
    <t>USSWIPH Curncy</t>
  </si>
  <si>
    <t>USD Inflation Swap Zero Coupon PCSWS 7</t>
  </si>
  <si>
    <t>USSWIPG Curncy</t>
  </si>
  <si>
    <t>USD Inflation Swap Zero Coupon PCSWS 6</t>
  </si>
  <si>
    <t>USSWIPF Curncy</t>
  </si>
  <si>
    <t>USD Inflation Swap Zero Coupon PCSWS 5</t>
  </si>
  <si>
    <t>USSWIPE Curncy</t>
  </si>
  <si>
    <t>USD Inflation Swap Zero Coupon PCSWS 4</t>
  </si>
  <si>
    <t>USSWIPD Curncy</t>
  </si>
  <si>
    <t>USD Inflation Swap Zero Coupon PCSWS 3</t>
  </si>
  <si>
    <t>USSWIPC Curncy</t>
  </si>
  <si>
    <t>USD Inflation Swap Zero Coupon PCSWS 2</t>
  </si>
  <si>
    <t>USSWIPB Curncy</t>
  </si>
  <si>
    <t>USSWIP4 Curncy</t>
  </si>
  <si>
    <t>USSWIP1K Curncy</t>
  </si>
  <si>
    <t>USSWIP1J Curncy</t>
  </si>
  <si>
    <t>USSWIP1I Curncy</t>
  </si>
  <si>
    <t>USSWIP1H Curncy</t>
  </si>
  <si>
    <t>USSWIP1G Curncy</t>
  </si>
  <si>
    <t>USSWIP1E Curncy</t>
  </si>
  <si>
    <t>USSWIP1D Curncy</t>
  </si>
  <si>
    <t>USSWIP1C Curncy</t>
  </si>
  <si>
    <t>USSWIP1B Curncy</t>
  </si>
  <si>
    <t>USSWIP1A Curncy</t>
  </si>
  <si>
    <t>USD Inflation SEASONAL HA Oct</t>
  </si>
  <si>
    <t>USSWIOCT Curncy</t>
  </si>
  <si>
    <t>USD Inflation SEASONAL HA May</t>
  </si>
  <si>
    <t>USSWIMAY Curncy</t>
  </si>
  <si>
    <t>USD Inflation SEASONAL HA Mar</t>
  </si>
  <si>
    <t>USSWIMAR Curncy</t>
  </si>
  <si>
    <t>USD Swap IMM 1ST YR 5CNT</t>
  </si>
  <si>
    <t>USSWIM5 Curncy</t>
  </si>
  <si>
    <t>USD Swap IMM 1ST YR 4CNT</t>
  </si>
  <si>
    <t>USSWIM4 Curncy</t>
  </si>
  <si>
    <t>USD Swap IMM 1ST YR 3CNT</t>
  </si>
  <si>
    <t>USSWIM3 Curncy</t>
  </si>
  <si>
    <t>USD Swap IMM 1ST YR 2CNT</t>
  </si>
  <si>
    <t>USSWIM2 Curncy</t>
  </si>
  <si>
    <t>USD Inflation SEASONAL HA Jun</t>
  </si>
  <si>
    <t>USSWIJUN Curncy</t>
  </si>
  <si>
    <t>USD Inflation SEASONAL HA Jul</t>
  </si>
  <si>
    <t>USSWIJUL Curncy</t>
  </si>
  <si>
    <t>USD Inflation Swap Zero Coupon BPS 9Y</t>
  </si>
  <si>
    <t>USSWII9 Curncy</t>
  </si>
  <si>
    <t>USD Inflation Swap Zero Coupon BPS 8Y</t>
  </si>
  <si>
    <t>USSWII8 Curncy</t>
  </si>
  <si>
    <t>USD Inflation Swap Zero Coupon BPS 4Y</t>
  </si>
  <si>
    <t>USSWII4 Curncy</t>
  </si>
  <si>
    <t>USD Inflation Swap Zero Coupon BPS 30Y</t>
  </si>
  <si>
    <t>USSWII30 Curncy</t>
  </si>
  <si>
    <t>USD Inflation Swap Zero Coupon BPS 25Y</t>
  </si>
  <si>
    <t>USSWII25 Curncy</t>
  </si>
  <si>
    <t>USD Inflation Swap Zero Coupon BPS 15Y</t>
  </si>
  <si>
    <t>USSWII15 Curncy</t>
  </si>
  <si>
    <t>USD Inflation Swap Zero Coupon BPS 12Y</t>
  </si>
  <si>
    <t>USSWII12 Curncy</t>
  </si>
  <si>
    <t>USD Inflation CPI FIX Sep 2Y</t>
  </si>
  <si>
    <t>USD Inflation CPI FIX Aug 2Y</t>
  </si>
  <si>
    <t>USD Inflation CPI FIX Jul 2Y</t>
  </si>
  <si>
    <t>USD Inflation CPI FIX Jun 2Y</t>
  </si>
  <si>
    <t>USD Inflation CPI FIX Nov 2Y</t>
  </si>
  <si>
    <t>USD Inflation SEASONAL HA Dec</t>
  </si>
  <si>
    <t>USSWIDEC Curncy</t>
  </si>
  <si>
    <t>USD Inflation Urban CONS 9Y</t>
  </si>
  <si>
    <t>USSWIC9 Curncy</t>
  </si>
  <si>
    <t>USD Inflation Swap Zero Coupon 10M</t>
  </si>
  <si>
    <t>USSWITJ Curncy</t>
  </si>
  <si>
    <t>USD Inflation Urban CONS 8Y</t>
  </si>
  <si>
    <t>USSWIC8 Curncy</t>
  </si>
  <si>
    <t>USD Inflation Swap Zero Coupon 8M</t>
  </si>
  <si>
    <t>USSWITH Curncy</t>
  </si>
  <si>
    <t>USD Inflation Urban CONS 7Y</t>
  </si>
  <si>
    <t>USSWIC7 Curncy</t>
  </si>
  <si>
    <t>USD Inflation Swap Zero Coupon 4M</t>
  </si>
  <si>
    <t>USSWITD Curncy</t>
  </si>
  <si>
    <t>USD Inflation Urban CONS 6Y</t>
  </si>
  <si>
    <t>USSWIC6 Curncy</t>
  </si>
  <si>
    <t>USD Inflation Swap Zero Coupon 55Y</t>
  </si>
  <si>
    <t>USSWIT55 Curncy</t>
  </si>
  <si>
    <t>USD Inflation Urban CONS 5Y</t>
  </si>
  <si>
    <t>USSWIC5 Curncy</t>
  </si>
  <si>
    <t>USD Inflation Swap Zero Coupon 50Y</t>
  </si>
  <si>
    <t>USSWIT50 Curncy</t>
  </si>
  <si>
    <t>USD Inflation Urban CONS 40Y</t>
  </si>
  <si>
    <t>USSWIC40 Curncy</t>
  </si>
  <si>
    <t>USD Inflation Swap Zero Coupon 57M</t>
  </si>
  <si>
    <t>USSWIT4I Curncy</t>
  </si>
  <si>
    <t>USD Inflation Urban CONS 4Y</t>
  </si>
  <si>
    <t>USSWIC4 Curncy</t>
  </si>
  <si>
    <t>USD Inflation Swap Zero Coupon 45Y</t>
  </si>
  <si>
    <t>USSWIT45 Curncy</t>
  </si>
  <si>
    <t>USD Inflation Urban CONS 30Y</t>
  </si>
  <si>
    <t>USSWIC30 Curncy</t>
  </si>
  <si>
    <t>USD Inflation Swap Zero Coupon 40Y</t>
  </si>
  <si>
    <t>USSWIT40 Curncy</t>
  </si>
  <si>
    <t>USD Inflation Urban CONS 3Y</t>
  </si>
  <si>
    <t>USSWIC3 Curncy</t>
  </si>
  <si>
    <t>USD Inflation Swap Zero Coupon 29Y</t>
  </si>
  <si>
    <t>USSWIT29 Curncy</t>
  </si>
  <si>
    <t>USD Inflation Urban CONS 25Y</t>
  </si>
  <si>
    <t>USSWIC25 Curncy</t>
  </si>
  <si>
    <t>USD Inflation Swap Zero Coupon 28Y</t>
  </si>
  <si>
    <t>USSWIT28 Curncy</t>
  </si>
  <si>
    <t>USD Inflation Urban CONS 20Y</t>
  </si>
  <si>
    <t>USSWIC20 Curncy</t>
  </si>
  <si>
    <t>USD Inflation Swap Zero Coupon 21Y</t>
  </si>
  <si>
    <t>USSWIT21 Curncy</t>
  </si>
  <si>
    <t>USD Inflation Urban CONS 2Y</t>
  </si>
  <si>
    <t>USSWIC2 Curncy</t>
  </si>
  <si>
    <t>USD Inflation Swap Zero Coupon 21M</t>
  </si>
  <si>
    <t>USSWIT1I Curncy</t>
  </si>
  <si>
    <t>USD Inflation Urban CONS 15Y</t>
  </si>
  <si>
    <t>USSWIC15 Curncy</t>
  </si>
  <si>
    <t>USD Inflation Swap Zero Coupon 19M</t>
  </si>
  <si>
    <t>USSWIT1G Curncy</t>
  </si>
  <si>
    <t>USD Inflation Urban CONS 12Y</t>
  </si>
  <si>
    <t>USSWIC12 Curncy</t>
  </si>
  <si>
    <t>USD Inflation Swap Zero Coupon 18M</t>
  </si>
  <si>
    <t>USSWIT1F Curncy</t>
  </si>
  <si>
    <t>USD Inflation Urban CONS 10Y</t>
  </si>
  <si>
    <t>USSWIC10 Curncy</t>
  </si>
  <si>
    <t>USD Inflation Swap Zero Coupon 14M</t>
  </si>
  <si>
    <t>USSWIT1B Curncy</t>
  </si>
  <si>
    <t>USD Swap CRV SA 9M3M</t>
  </si>
  <si>
    <t>USSWIC Curncy</t>
  </si>
  <si>
    <t>USD Inflation Swap Zero Coupon 19Y</t>
  </si>
  <si>
    <t>USSWIT19 Curncy</t>
  </si>
  <si>
    <t>USD Inflation SEASONAL HA Aug</t>
  </si>
  <si>
    <t>USSWIAUG Curncy</t>
  </si>
  <si>
    <t>USD Inflation Swap Zero Coupon 18Y</t>
  </si>
  <si>
    <t>USSWIT18 Curncy</t>
  </si>
  <si>
    <t>USD Inflation SEASONAL HA Apr</t>
  </si>
  <si>
    <t>USSWIAPR Curncy</t>
  </si>
  <si>
    <t>USD Inflation Swap Zero Coupon 17Y</t>
  </si>
  <si>
    <t>USSWIT17 Curncy</t>
  </si>
  <si>
    <t>USD Swap Annual (VS 1M) 9M</t>
  </si>
  <si>
    <t>USSWIA Curncy</t>
  </si>
  <si>
    <t>USD Inflation Swap Zero Coupon 16Y</t>
  </si>
  <si>
    <t>USSWIT16 Curncy</t>
  </si>
  <si>
    <t>USD Swap 9M vs 25Y</t>
  </si>
  <si>
    <t>USSWI25 Curncy</t>
  </si>
  <si>
    <t>USD Inflation Swap Zero Coupon 14Y</t>
  </si>
  <si>
    <t>USSWIT14 Curncy</t>
  </si>
  <si>
    <t>USD Swap 9M vs 20Y</t>
  </si>
  <si>
    <t>USSWI20 Curncy</t>
  </si>
  <si>
    <t>USD Inflation Swap Zero Coupon 13Y</t>
  </si>
  <si>
    <t>USSWIT13 Curncy</t>
  </si>
  <si>
    <t>USD Swap 9M vs 15Y</t>
  </si>
  <si>
    <t>USSWI15 Curncy</t>
  </si>
  <si>
    <t>USD Inflation Swap Zero Coupon 9M</t>
  </si>
  <si>
    <t>USSWITI Curncy</t>
  </si>
  <si>
    <t>USD Swap 9M vs 9Y</t>
  </si>
  <si>
    <t>USSWI09 Curncy</t>
  </si>
  <si>
    <t>USD Inflation Swap Zero Coupon 15M</t>
  </si>
  <si>
    <t>USSWIT1C Curncy</t>
  </si>
  <si>
    <t>USD Swap 9M vs 8Y</t>
  </si>
  <si>
    <t>USSWI08 Curncy</t>
  </si>
  <si>
    <t>USD Inflation Swap Zero Coupon 11Y</t>
  </si>
  <si>
    <t>USD Swap 9M vs 7Y</t>
  </si>
  <si>
    <t>USSWI07 Curncy</t>
  </si>
  <si>
    <t>USD Inflation Swap Zero Coupon 7M</t>
  </si>
  <si>
    <t>USSWITG Curncy</t>
  </si>
  <si>
    <t>USD Swap 9M vs 6Y</t>
  </si>
  <si>
    <t>USSWI06 Curncy</t>
  </si>
  <si>
    <t>USD Inflation Swap Zero Coupon 59M</t>
  </si>
  <si>
    <t>USSWIT4K Curncy</t>
  </si>
  <si>
    <t>USD Swap 9M vs 5Y</t>
  </si>
  <si>
    <t>USSWI05 Curncy</t>
  </si>
  <si>
    <t>USD Inflation Swap Zero Coupon 58M</t>
  </si>
  <si>
    <t>USSWIT4J Curncy</t>
  </si>
  <si>
    <t>USD Swap 9M vs 4Y</t>
  </si>
  <si>
    <t>USSWI04 Curncy</t>
  </si>
  <si>
    <t>USD Inflation Swap Zero Coupon 56M</t>
  </si>
  <si>
    <t>USSWIT4H Curncy</t>
  </si>
  <si>
    <t>USD Swap 9M vs 3Y</t>
  </si>
  <si>
    <t>USSWI03 Curncy</t>
  </si>
  <si>
    <t>USD Inflation Swap Zero Coupon 55M</t>
  </si>
  <si>
    <t>USSWIT4G Curncy</t>
  </si>
  <si>
    <t>USD Swap 9M vs 2Y</t>
  </si>
  <si>
    <t>USSWI02 Curncy</t>
  </si>
  <si>
    <t>USD Inflation Swap Zero Coupon 54M</t>
  </si>
  <si>
    <t>USSWIT4F Curncy</t>
  </si>
  <si>
    <t>USD Inflation Swap YOY 5Y</t>
  </si>
  <si>
    <t>USD Inflation Swap Zero Coupon 53M</t>
  </si>
  <si>
    <t>USSWIT4E Curncy</t>
  </si>
  <si>
    <t>USD Inflation Swap YOY 2Y</t>
  </si>
  <si>
    <t>USD Inflation Swap Zero Coupon 52M</t>
  </si>
  <si>
    <t>USSWIT4D Curncy</t>
  </si>
  <si>
    <t>USD Inflation Swap YOY 1Y</t>
  </si>
  <si>
    <t>USD Inflation Swap Zero Coupon 51M</t>
  </si>
  <si>
    <t>USSWIT4C Curncy</t>
  </si>
  <si>
    <t>USD Swap (vs 3M LIBOR ) 9MO</t>
  </si>
  <si>
    <t>USSWIV3 Curncy</t>
  </si>
  <si>
    <t>USD Inflation Swap Zero Coupon 50M</t>
  </si>
  <si>
    <t>USSWIT4B Curncy</t>
  </si>
  <si>
    <t>USD Inflation Swap Zero Coupon 49M</t>
  </si>
  <si>
    <t>USSWIT4A Curncy</t>
  </si>
  <si>
    <t>USD Inflation Swap Zero Coupon 47M</t>
  </si>
  <si>
    <t>USSWIT3K Curncy</t>
  </si>
  <si>
    <t>USD Inflation Swap Zero Coupon 46M</t>
  </si>
  <si>
    <t>USSWIT3J Curncy</t>
  </si>
  <si>
    <t>USD Inflation Swap Zero Coupon 45M</t>
  </si>
  <si>
    <t>USSWIT3I Curncy</t>
  </si>
  <si>
    <t>USD Inflation Swap Zero Coupon 44M</t>
  </si>
  <si>
    <t>USSWIT3H Curncy</t>
  </si>
  <si>
    <t>USD Inflation Swap Zero Coupon 43M</t>
  </si>
  <si>
    <t>USSWIT3G Curncy</t>
  </si>
  <si>
    <t>USD Inflation Swap Zero Coupon 42M</t>
  </si>
  <si>
    <t>USSWIT3F Curncy</t>
  </si>
  <si>
    <t>USD Inflation Swap Zero Coupon 41M</t>
  </si>
  <si>
    <t>USSWIT3E Curncy</t>
  </si>
  <si>
    <t>USD Inflation Swap Zero Coupon 40M</t>
  </si>
  <si>
    <t>USSWIT3D Curncy</t>
  </si>
  <si>
    <t>USD Inflation Swap Zero Coupon 39M</t>
  </si>
  <si>
    <t>USSWIT3C Curncy</t>
  </si>
  <si>
    <t>USD Inflation Swap Zero Coupon 38M</t>
  </si>
  <si>
    <t>USSWIT3B Curncy</t>
  </si>
  <si>
    <t>USD Inflation Swap Zero Coupon 37M</t>
  </si>
  <si>
    <t>USSWIT3A Curncy</t>
  </si>
  <si>
    <t>USD Inflation Swap Zero Coupon 35Y</t>
  </si>
  <si>
    <t>USSWIT35 Curncy</t>
  </si>
  <si>
    <t>USD Inflation Swap Zero Coupon 35M</t>
  </si>
  <si>
    <t>USSWIT2K Curncy</t>
  </si>
  <si>
    <t>USD Inflation Swap Zero Coupon 34M</t>
  </si>
  <si>
    <t>USSWIT2J Curncy</t>
  </si>
  <si>
    <t>USD Inflation Swap Zero Coupon 33M</t>
  </si>
  <si>
    <t>USSWIT2I Curncy</t>
  </si>
  <si>
    <t>USD Inflation Swap Zero Coupon 32M</t>
  </si>
  <si>
    <t>USSWIT2H Curncy</t>
  </si>
  <si>
    <t>USD Inflation Swap Zero Coupon 30M</t>
  </si>
  <si>
    <t>USSWIT2F Curncy</t>
  </si>
  <si>
    <t>USD Inflation Swap Zero Coupon 29M</t>
  </si>
  <si>
    <t>USSWIT2E Curncy</t>
  </si>
  <si>
    <t>USD Inflation Swap Zero Coupon 28M</t>
  </si>
  <si>
    <t>USSWIT2D Curncy</t>
  </si>
  <si>
    <t>USD Inflation Swap Zero Coupon 27M</t>
  </si>
  <si>
    <t>USSWIT2C Curncy</t>
  </si>
  <si>
    <t>USD Inflation Swap Zero Coupon 26M</t>
  </si>
  <si>
    <t>USSWIT2B Curncy</t>
  </si>
  <si>
    <t>USD Inflation Swap Zero Coupon 25M</t>
  </si>
  <si>
    <t>USSWIT2A Curncy</t>
  </si>
  <si>
    <t>USD Inflation Swap Zero Coupon 27Y</t>
  </si>
  <si>
    <t>USSWIT27 Curncy</t>
  </si>
  <si>
    <t>USD Inflation Swap Zero Coupon 26Y</t>
  </si>
  <si>
    <t>USSWIT26 Curncy</t>
  </si>
  <si>
    <t>USD Inflation Swap Zero Coupon 24Y</t>
  </si>
  <si>
    <t>USSWIT24 Curncy</t>
  </si>
  <si>
    <t>USD Inflation Swap Zero Coupon 23Y</t>
  </si>
  <si>
    <t>USSWIT23 Curncy</t>
  </si>
  <si>
    <t>USD Inflation Swap Zero Coupon 22Y</t>
  </si>
  <si>
    <t>USSWIT22 Curncy</t>
  </si>
  <si>
    <t>USD Inflation Swap Zero Coupon 23M</t>
  </si>
  <si>
    <t>USSWIT1K Curncy</t>
  </si>
  <si>
    <t>USD Inflation Swap Zero Coupon 22M</t>
  </si>
  <si>
    <t>USSWIT1J Curncy</t>
  </si>
  <si>
    <t>USD Inflation Swap Zero Coupon 20M</t>
  </si>
  <si>
    <t>USSWIT1H Curncy</t>
  </si>
  <si>
    <t>USD Inflation Swap Zero Coupon 17M</t>
  </si>
  <si>
    <t>USSWIT1E Curncy</t>
  </si>
  <si>
    <t>USD Inflation Swap Zero Coupon 16M</t>
  </si>
  <si>
    <t>USSWIT1D Curncy</t>
  </si>
  <si>
    <t>USD Inflation Swap Zero Coupon 13M</t>
  </si>
  <si>
    <t>USSWIT1A Curncy</t>
  </si>
  <si>
    <t>USD Inflation Swap Zero Coupon 11M</t>
  </si>
  <si>
    <t>USSWITK Curncy</t>
  </si>
  <si>
    <t>USD Inflation Swap Zero Coupon 5M</t>
  </si>
  <si>
    <t>USSWITE Curncy</t>
  </si>
  <si>
    <t>USD Inflation Swap Zero Coupon 31M</t>
  </si>
  <si>
    <t>USSWIT2G Curncy</t>
  </si>
  <si>
    <t>USD Inflation Swap Zero Coupon 25Y</t>
  </si>
  <si>
    <t>USD Inflation Swap Zero Coupon 2M</t>
  </si>
  <si>
    <t>USSWITB Curncy</t>
  </si>
  <si>
    <t>USD Inflation Swap Zero Coupon 6M</t>
  </si>
  <si>
    <t>USSWITF Curncy</t>
  </si>
  <si>
    <t>USD Inflation Swap Zero Coupon 8Y</t>
  </si>
  <si>
    <t>USD Inflation Swap Zero Coupon 12Y</t>
  </si>
  <si>
    <t>USSWIT12 Curncy</t>
  </si>
  <si>
    <t>USD Swap Semi-Annual 30/360 9M</t>
  </si>
  <si>
    <t>USSWI Curncy</t>
  </si>
  <si>
    <t>USD Inflation Swap Zero Coupon 6Y</t>
  </si>
  <si>
    <t>USD Inflation Swap Zero Coupon 9Y</t>
  </si>
  <si>
    <t>USD Inflation Swap Zero Coupon 15Y</t>
  </si>
  <si>
    <t>USD Inflation Swap Zero Coupon 7Y</t>
  </si>
  <si>
    <t>USD Inflation Swap Zero Coupon 20Y</t>
  </si>
  <si>
    <t>USD Inflation Swap Zero Coupon 3M</t>
  </si>
  <si>
    <t>USSWITC Curncy</t>
  </si>
  <si>
    <t>USD Inflation Swap Zero Coupon 1M</t>
  </si>
  <si>
    <t>USSWITA Curncy</t>
  </si>
  <si>
    <t>USD Inflation Swap Zero Coupon BPS 7Y</t>
  </si>
  <si>
    <t>USSWII7 Curncy</t>
  </si>
  <si>
    <t>USD Inflation Swap Zero Coupon 4Y</t>
  </si>
  <si>
    <t>USD Inflation Swap Zero Coupon BPS 6Y</t>
  </si>
  <si>
    <t>USSWII6 Curncy</t>
  </si>
  <si>
    <t>USD Inflation Swap Zero Coupon 3Y</t>
  </si>
  <si>
    <t>USD Inflation Swap Zero Coupon BPS 5Y</t>
  </si>
  <si>
    <t>USSWII5 Curncy</t>
  </si>
  <si>
    <t>USD Inflation Swap Zero Coupon 30Y</t>
  </si>
  <si>
    <t>USD Inflation Swap Zero Coupon BPS 3Y</t>
  </si>
  <si>
    <t>USSWII3 Curncy</t>
  </si>
  <si>
    <t>USD Inflation Swap Zero Coupon 10Y</t>
  </si>
  <si>
    <t>USD Inflation Swap Zero Coupon BPS 20Y</t>
  </si>
  <si>
    <t>USSWII20 Curncy</t>
  </si>
  <si>
    <t>USD Inflation Swap Zero Coupon 5Y</t>
  </si>
  <si>
    <t>USD Swap IMM 1ST YR 1CNT</t>
  </si>
  <si>
    <t>USSWIM1 Curncy</t>
  </si>
  <si>
    <t>USD Inflation Swap Zero Coupon BPS 2Y</t>
  </si>
  <si>
    <t>USSWII2 Curncy</t>
  </si>
  <si>
    <t>USD Inflation Swap Zero Coupon 2Y</t>
  </si>
  <si>
    <t>USD Inflation Urban CONS 1Y</t>
  </si>
  <si>
    <t>USSWIC1 Curncy</t>
  </si>
  <si>
    <t>USD Inflation Swap Zero Coupon BPS 10Y</t>
  </si>
  <si>
    <t>USSWII10 Curncy</t>
  </si>
  <si>
    <t>USD Inflation Swap Zero Coupon 1Y</t>
  </si>
  <si>
    <t>USD Swap 9M vs 1Y</t>
  </si>
  <si>
    <t>USSWI01 Curncy</t>
  </si>
  <si>
    <t>USD Inflation Swap Zero Coupon BPS 1Y</t>
  </si>
  <si>
    <t>USSWII1 Curncy</t>
  </si>
  <si>
    <t>USD Inflation Swap YOY 10Y</t>
  </si>
  <si>
    <t>USD Inflation Swap YOY 3Y</t>
  </si>
  <si>
    <t>USD Inflation CPI FIX May 2Y</t>
  </si>
  <si>
    <t>USD Inflation Swap YOY 9Y</t>
  </si>
  <si>
    <t>USD Inflation CPI FIX Apr 2Y</t>
  </si>
  <si>
    <t>USD Inflation Swap YOY 8Y</t>
  </si>
  <si>
    <t>USD Inflation CPI FIX Mar 2Y</t>
  </si>
  <si>
    <t>USD Inflation Swap YOY 7Y</t>
  </si>
  <si>
    <t>USD Inflation CPI FIX Feb 2Y</t>
  </si>
  <si>
    <t>USD Inflation Swap YOY 6Y</t>
  </si>
  <si>
    <t>USD Inflation CPI FIX Dec 2Y</t>
  </si>
  <si>
    <t>USD Inflation Swap YOY 50Y</t>
  </si>
  <si>
    <t>USSWIY50 Curncy</t>
  </si>
  <si>
    <t>USSWIP2 Curncy</t>
  </si>
  <si>
    <t>USD Inflation CPI FIX Oct 2Y</t>
  </si>
  <si>
    <t>USD Inflation Swap YOY 40Y</t>
  </si>
  <si>
    <t>USSWIY40 Curncy</t>
  </si>
  <si>
    <t>USSWIP1F Curncy</t>
  </si>
  <si>
    <t>USD Inflation CPI FIX Jan 2Y</t>
  </si>
  <si>
    <t>USD Inflation Swap YOY 4Y</t>
  </si>
  <si>
    <t>USSWIP1 Curncy</t>
  </si>
  <si>
    <t>USD Inflation CPI FIX Nov 1Y</t>
  </si>
  <si>
    <t>USD Inflation Swap YOY 30Y</t>
  </si>
  <si>
    <t>USSWIPA Curncy</t>
  </si>
  <si>
    <t>USD Inflation CPI FIX Aug 1Y</t>
  </si>
  <si>
    <t>USD Inflation Swap YOY 29Y</t>
  </si>
  <si>
    <t>USSWIY29 Curncy</t>
  </si>
  <si>
    <t>USD Inflation CPI FIX Feb 1Y</t>
  </si>
  <si>
    <t>USD Inflation Swap YOY 28Y</t>
  </si>
  <si>
    <t>USSWIY28 Curncy</t>
  </si>
  <si>
    <t>USD Inflation CPI FIX Oct 1Y</t>
  </si>
  <si>
    <t>USD Inflation Swap YOY 27Y</t>
  </si>
  <si>
    <t>USD Inflation SEASONAL HA Sep</t>
  </si>
  <si>
    <t>USSWISEP Curncy</t>
  </si>
  <si>
    <t>USD Inflation CPI FIX May 1Y</t>
  </si>
  <si>
    <t>USD Inflation Swap YOY 26Y</t>
  </si>
  <si>
    <t>USSWIY26 Curncy</t>
  </si>
  <si>
    <t>USD Inflation SEASONAL HA Feb</t>
  </si>
  <si>
    <t>USSWIFEB Curncy</t>
  </si>
  <si>
    <t>USD Inflation CPI FIX Mar 1Y</t>
  </si>
  <si>
    <t>USD Inflation Swap YOY 25Y</t>
  </si>
  <si>
    <t>USSWIY25 Curncy</t>
  </si>
  <si>
    <t>USD Inflation SEASONAL HA Nov</t>
  </si>
  <si>
    <t>USSWINOV Curncy</t>
  </si>
  <si>
    <t>USD Inflation CPI FIX Jun 1Y</t>
  </si>
  <si>
    <t>USD Inflation Swap YOY 24Y</t>
  </si>
  <si>
    <t>USSWIY24 Curncy</t>
  </si>
  <si>
    <t>USD Inflation SEASONAL HA Jan</t>
  </si>
  <si>
    <t>USSWIJAN Curncy</t>
  </si>
  <si>
    <t>USD Inflation CPI FIX Jan 1Y</t>
  </si>
  <si>
    <t>USD Inflation Swap YOY 23Y</t>
  </si>
  <si>
    <t>USSWIY23 Curncy</t>
  </si>
  <si>
    <t>USD Inflation CPI FIX Apr 1Y</t>
  </si>
  <si>
    <t>USD Inflation Swap YOY 22Y</t>
  </si>
  <si>
    <t>USSWIY22 Curncy</t>
  </si>
  <si>
    <t>USD Inflation CPI FIX Dec 1Y</t>
  </si>
  <si>
    <t>USD Inflation Swap YOY 21Y</t>
  </si>
  <si>
    <t>USSWIY21 Curncy</t>
  </si>
  <si>
    <t>USD Inflation CPI FIX Sep 1Y</t>
  </si>
  <si>
    <t>USD Inflation Swap YOY 20Y</t>
  </si>
  <si>
    <t>USSWIY20 Curncy</t>
  </si>
  <si>
    <t>USD Inflation CPI FIX Jul 1Y</t>
  </si>
  <si>
    <t>USD Inflation Swap YOY 19Y</t>
  </si>
  <si>
    <t>USSWIY19 Curncy</t>
  </si>
  <si>
    <t>USD Inflation Swap YOY 18Y</t>
  </si>
  <si>
    <t>USSWIY18 Curncy</t>
  </si>
  <si>
    <t>USD Inflation Swap YOY 17Y</t>
  </si>
  <si>
    <t>USSWIY17 Curncy</t>
  </si>
  <si>
    <t>USD Inflation Swap YOY 16Y</t>
  </si>
  <si>
    <t>USSWIY16 Curncy</t>
  </si>
  <si>
    <t>USD Inflation Swap YOY 15Y</t>
  </si>
  <si>
    <t>USD Swap 9M vs 30Y</t>
  </si>
  <si>
    <t>USSWI30 Curncy</t>
  </si>
  <si>
    <t>USD Inflation Swap YOY 14Y</t>
  </si>
  <si>
    <t>USSWIY14 Curncy</t>
  </si>
  <si>
    <t>USD Swap 9M vs 10Y</t>
  </si>
  <si>
    <t>USSWI10 Curncy</t>
  </si>
  <si>
    <t>USD Inflation Swap YOY 13Y</t>
  </si>
  <si>
    <t>USSWIY13 Curncy</t>
  </si>
  <si>
    <t>USD Inflation Swap YOY 12Y</t>
  </si>
  <si>
    <t>USSWIY12 Curncy</t>
  </si>
  <si>
    <t>USD Inflation Swap YOY 11Y</t>
  </si>
  <si>
    <t>USSWIY11 Curncy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</si>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</sst>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[$-409]dd\-mmm\-yy;@"/>
    <numFmt numFmtId="170" formatCode="0.0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2" fontId="3" fillId="0" borderId="0"/>
    <xf numFmtId="0" fontId="5" fillId="3" borderId="0"/>
  </cellStyleXfs>
  <cellXfs count="16">
    <xf numFmtId="0" fontId="0" fillId="0" borderId="0" xfId="0"/>
    <xf numFmtId="22" fontId="3" fillId="0" borderId="0" xfId="3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14" fontId="0" fillId="0" borderId="0" xfId="1" applyNumberFormat="1" applyFont="1"/>
    <xf numFmtId="167" fontId="0" fillId="0" borderId="0" xfId="0" applyNumberFormat="1"/>
    <xf numFmtId="0" fontId="0" fillId="2" borderId="0" xfId="0" applyFill="1"/>
    <xf numFmtId="167" fontId="0" fillId="2" borderId="0" xfId="0" applyNumberFormat="1" applyFill="1"/>
    <xf numFmtId="0" fontId="5" fillId="3" borderId="0" xfId="4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0" borderId="0" xfId="0" applyFont="1"/>
    <xf numFmtId="0" fontId="6" fillId="0" borderId="0" xfId="0" applyFont="1"/>
    <xf numFmtId="170" fontId="0" fillId="0" borderId="0" xfId="2" applyNumberFormat="1" applyFont="1"/>
  </cellXfs>
  <cellStyles count="5">
    <cellStyle name="blp_column_header" xfId="4" xr:uid="{7E45C141-DC45-44C9-A945-11B318FEE6FC}"/>
    <cellStyle name="blp_datetime" xfId="3" xr:uid="{FBF863B6-B38E-4A5A-9EB5-7FA9B4DF5CDF}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BDP|16992731541288536763</stp>
        <tr r="C47" s="3"/>
      </tp>
      <tp t="s">
        <v>#N/A N/A</v>
        <stp/>
        <stp>BDP|17441981385548469415</stp>
        <tr r="C147" s="3"/>
      </tp>
      <tp t="s">
        <v>#N/A N/A</v>
        <stp/>
        <stp>BDP|16823300664420383917</stp>
        <tr r="C85" s="3"/>
      </tp>
      <tp t="s">
        <v>#N/A N/A</v>
        <stp/>
        <stp>BDP|16104534607308324160</stp>
        <tr r="C94" s="3"/>
      </tp>
      <tp t="s">
        <v>#N/A N/A</v>
        <stp/>
        <stp>BDP|14000381530049220788</stp>
        <tr r="I25" s="3"/>
      </tp>
      <tp t="s">
        <v>#N/A N/A</v>
        <stp/>
        <stp>BDP|13618062996597023700</stp>
        <tr r="C133" s="3"/>
      </tp>
      <tp t="s">
        <v>#N/A N/A</v>
        <stp/>
        <stp>BDP|17796553259829473542</stp>
        <tr r="C74" s="3"/>
      </tp>
      <tp t="s">
        <v>#N/A N/A</v>
        <stp/>
        <stp>BDP|11686869327268789806</stp>
        <tr r="C93" s="3"/>
      </tp>
      <tp t="s">
        <v>#N/A N/A</v>
        <stp/>
        <stp>BDP|11254996630569760992</stp>
        <tr r="C125" s="3"/>
      </tp>
      <tp t="s">
        <v>#N/A N/A</v>
        <stp/>
        <stp>BDP|13612015264399033752</stp>
        <tr r="M12" s="1"/>
      </tp>
      <tp t="s">
        <v>#N/A N/A</v>
        <stp/>
        <stp>BDP|14079966014713726781</stp>
        <tr r="C127" s="3"/>
      </tp>
      <tp t="s">
        <v>#N/A N/A</v>
        <stp/>
        <stp>BDP|11610845028872276145</stp>
        <tr r="I29" s="3"/>
      </tp>
      <tp t="s">
        <v>#N/A N/A</v>
        <stp/>
        <stp>BDP|14672533486751855074</stp>
        <tr r="C124" s="3"/>
      </tp>
      <tp t="s">
        <v>#N/A N/A</v>
        <stp/>
        <stp>BDP|17211020683026650195</stp>
        <tr r="C138" s="3"/>
      </tp>
      <tp t="s">
        <v>#N/A N/A</v>
        <stp/>
        <stp>BDP|15922667237158126089</stp>
        <tr r="C39" s="3"/>
      </tp>
      <tp t="s">
        <v>#N/A N/A</v>
        <stp/>
        <stp>BDP|16094027085626196074</stp>
        <tr r="C11" s="3"/>
      </tp>
      <tp t="s">
        <v>#N/A N/A</v>
        <stp/>
        <stp>BDP|15407879862292613179</stp>
        <tr r="C137" s="3"/>
      </tp>
      <tp t="s">
        <v>#N/A N/A</v>
        <stp/>
        <stp>BDP|15985719489993665142</stp>
        <tr r="I6" s="3"/>
      </tp>
      <tp t="s">
        <v>#N/A N/A</v>
        <stp/>
        <stp>BDP|12763602035166936982</stp>
        <tr r="C148" s="3"/>
      </tp>
      <tp t="s">
        <v>1/1/2026</v>
        <stp/>
        <stp>BDP|18024206404748167547|22</stp>
        <stp>USSWIF10 Curncy</stp>
        <stp>SWAP_EFFECTIVE_DATE_RT</stp>
        <tr r="L9" s="1"/>
      </tp>
      <tp t="s">
        <v>#N/A N/A</v>
        <stp/>
        <stp>BDP|16166135517967557952</stp>
        <tr r="C132" s="3"/>
      </tp>
      <tp t="s">
        <v>#N/A N/A</v>
        <stp/>
        <stp>BDP|17940409158619316760</stp>
        <tr r="C142" s="3"/>
      </tp>
      <tp t="s">
        <v>#N/A N/A</v>
        <stp/>
        <stp>BDP|17216665397240952135</stp>
        <tr r="I17" s="3"/>
      </tp>
      <tp t="s">
        <v>#N/A N/A</v>
        <stp/>
        <stp>BDP|18103056307516801704</stp>
        <tr r="I26" s="3"/>
      </tp>
      <tp t="s">
        <v>#N/A N/A</v>
        <stp/>
        <stp>BDP|10391992824295341769</stp>
        <tr r="I39" s="3"/>
      </tp>
      <tp t="s">
        <v>#N/A N/A</v>
        <stp/>
        <stp>BDP|16844649074268040624</stp>
        <tr r="N31" s="1"/>
      </tp>
      <tp t="s">
        <v>#N/A N/A</v>
        <stp/>
        <stp>BDP|10096235586877124490</stp>
        <tr r="I13" s="3"/>
      </tp>
      <tp t="s">
        <v>#N/A N/A</v>
        <stp/>
        <stp>BDP|10266403270799696389</stp>
        <tr r="C40" s="3"/>
      </tp>
      <tp t="s">
        <v>#N/A N/A</v>
        <stp/>
        <stp>BDP|11425990669214060384</stp>
        <tr r="I47" s="3"/>
      </tp>
      <tp t="s">
        <v>#N/A N/A</v>
        <stp/>
        <stp>BDP|10949768593410598761</stp>
        <tr r="I73" s="3"/>
      </tp>
      <tp t="s">
        <v>#N/A N/A</v>
        <stp/>
        <stp>BDP|10439160437642326946</stp>
        <tr r="C86" s="3"/>
      </tp>
      <tp t="s">
        <v>#N/A N/A</v>
        <stp/>
        <stp>BDP|16882700591339832859</stp>
        <tr r="C111" s="3"/>
      </tp>
      <tp t="s">
        <v>#N/A N/A</v>
        <stp/>
        <stp>BDP|14170015680415757018</stp>
        <tr r="N22" s="1"/>
      </tp>
      <tp t="s">
        <v>#N/A N/A</v>
        <stp/>
        <stp>BDP|17611243686320531382</stp>
        <tr r="I59" s="3"/>
      </tp>
      <tp t="s">
        <v>#N/A N/A</v>
        <stp/>
        <stp>BDP|11918829406737250071</stp>
        <tr r="I14" s="3"/>
      </tp>
      <tp t="s">
        <v>#N/A N/A</v>
        <stp/>
        <stp>BDP|16854832033436138544</stp>
        <tr r="C155" s="3"/>
      </tp>
      <tp t="s">
        <v>#N/A N/A</v>
        <stp/>
        <stp>BDP|17277042607970816970</stp>
        <tr r="C107" s="3"/>
      </tp>
      <tp t="s">
        <v>#N/A N/A</v>
        <stp/>
        <stp>BDP|17998578082714402060</stp>
        <tr r="C6" s="3"/>
      </tp>
      <tp t="s">
        <v>#N/A N/A</v>
        <stp/>
        <stp>BDP|10193350955170613871</stp>
        <tr r="C88" s="3"/>
      </tp>
      <tp t="s">
        <v>#N/A N/A</v>
        <stp/>
        <stp>BDP|15409909570243670676</stp>
        <tr r="C7" s="3"/>
      </tp>
      <tp t="s">
        <v>#N/A N/A</v>
        <stp/>
        <stp>BDP|15569719439659786703</stp>
        <tr r="C31" s="3"/>
      </tp>
      <tp t="s">
        <v>#N/A N/A</v>
        <stp/>
        <stp>BDP|13008418403139983145</stp>
        <tr r="I46" s="3"/>
      </tp>
      <tp t="s">
        <v>#N/A N/A</v>
        <stp/>
        <stp>BDP|15405122576505065908</stp>
        <tr r="M7" s="1"/>
      </tp>
      <tp t="s">
        <v>#N/A N/A</v>
        <stp/>
        <stp>BDP|17170955494088651062</stp>
        <tr r="N30" s="1"/>
      </tp>
      <tp t="s">
        <v>#N/A N/A</v>
        <stp/>
        <stp>BDP|13376976025412533562</stp>
        <tr r="M15" s="1"/>
      </tp>
      <tp t="s">
        <v>#N/A N/A</v>
        <stp/>
        <stp>BDP|10161399052818535276</stp>
        <tr r="C51" s="3"/>
      </tp>
      <tp t="s">
        <v>#N/A N/A</v>
        <stp/>
        <stp>BDP|10201197039248094690</stp>
        <tr r="I9" s="3"/>
      </tp>
      <tp t="s">
        <v>#N/A N/A</v>
        <stp/>
        <stp>BDP|10089418345044912817</stp>
        <tr r="C154" s="3"/>
      </tp>
      <tp t="s">
        <v>#N/A N/A</v>
        <stp/>
        <stp>BDP|17122786846908926017</stp>
        <tr r="M11" s="1"/>
      </tp>
      <tp t="s">
        <v>#N/A N/A</v>
        <stp/>
        <stp>BDP|16368593729568206565</stp>
        <tr r="I27" s="3"/>
      </tp>
      <tp t="s">
        <v>#N/A N/A</v>
        <stp/>
        <stp>BDP|12771767702650217891</stp>
        <tr r="C122" s="3"/>
      </tp>
      <tp t="s">
        <v>#N/A N/A</v>
        <stp/>
        <stp>BDP|15688574989692869788</stp>
        <tr r="N19" s="1"/>
      </tp>
      <tp t="s">
        <v>#N/A N/A</v>
        <stp/>
        <stp>BDP|13723237952388691137</stp>
        <tr r="I60" s="3"/>
      </tp>
      <tp t="s">
        <v>#N/A N/A</v>
        <stp/>
        <stp>BDP|15792251865835196930</stp>
        <tr r="C61" s="3"/>
      </tp>
      <tp t="s">
        <v>#N/A N/A</v>
        <stp/>
        <stp>BDP|17348010560575754900</stp>
        <tr r="C78" s="3"/>
      </tp>
      <tp t="s">
        <v>#N/A N/A</v>
        <stp/>
        <stp>BDP|11843315733840319306</stp>
        <tr r="C30" s="3"/>
      </tp>
      <tp t="s">
        <v>#N/A N/A</v>
        <stp/>
        <stp>BDP|12539778833923851723</stp>
        <tr r="I4" s="3"/>
      </tp>
      <tp t="s">
        <v>#N/A N/A</v>
        <stp/>
        <stp>BDP|15948974743108575243</stp>
        <tr r="C139" s="3"/>
      </tp>
      <tp t="s">
        <v>#N/A N/A</v>
        <stp/>
        <stp>BDP|14510679863436763091</stp>
        <tr r="C120" s="3"/>
      </tp>
      <tp t="s">
        <v>#N/A N/A</v>
        <stp/>
        <stp>BDP|15423337468220010200</stp>
        <tr r="C48" s="3"/>
      </tp>
      <tp t="s">
        <v>#N/A N/A</v>
        <stp/>
        <stp>BDP|16554250964053323391</stp>
        <tr r="C140" s="3"/>
      </tp>
      <tp t="s">
        <v>#N/A N/A</v>
        <stp/>
        <stp>BDP|16592160652608667810</stp>
        <tr r="C77" s="3"/>
      </tp>
      <tp t="s">
        <v>#N/A N/A</v>
        <stp/>
        <stp>BDP|17581209526214633130</stp>
        <tr r="I22" s="3"/>
      </tp>
      <tp t="s">
        <v>#N/A N/A</v>
        <stp/>
        <stp>BDP|17790067849286391665</stp>
        <tr r="C153" s="3"/>
      </tp>
      <tp t="s">
        <v>#N/A N/A</v>
        <stp/>
        <stp>BDP|13848414330300524717</stp>
        <tr r="C25" s="3"/>
      </tp>
      <tp t="s">
        <v>#N/A N/A</v>
        <stp/>
        <stp>BDP|14414742449277677333</stp>
        <tr r="I48" s="3"/>
      </tp>
      <tp t="s">
        <v>#N/A N/A</v>
        <stp/>
        <stp>BDP|10431525984949135731</stp>
        <tr r="N21" s="1"/>
      </tp>
      <tp t="s">
        <v>#N/A N/A</v>
        <stp/>
        <stp>BDP|15245373431663059562</stp>
        <tr r="C45" s="3"/>
      </tp>
      <tp t="s">
        <v>#N/A N/A</v>
        <stp/>
        <stp>BDP|16400223992249703771</stp>
        <tr r="C36" s="3"/>
      </tp>
      <tp t="s">
        <v>#N/A N/A</v>
        <stp/>
        <stp>BDP|13306033102620776023</stp>
        <tr r="I56" s="3"/>
      </tp>
      <tp t="s">
        <v>#N/A N/A</v>
        <stp/>
        <stp>BDP|14212899810107505982</stp>
        <tr r="I35" s="3"/>
      </tp>
      <tp t="s">
        <v>#N/A N/A</v>
        <stp/>
        <stp>BDP|15868782608511683085</stp>
        <tr r="I11" s="3"/>
      </tp>
      <tp t="s">
        <v>#N/A N/A</v>
        <stp/>
        <stp>BDP|17979515276474716106</stp>
        <tr r="I71" s="3"/>
      </tp>
      <tp t="s">
        <v>#N/A N/A</v>
        <stp/>
        <stp>BDP|10778957143819306480</stp>
        <tr r="C71" s="3"/>
      </tp>
      <tp t="s">
        <v>#N/A N/A</v>
        <stp/>
        <stp>BDP|12688448013157483092</stp>
        <tr r="C63" s="3"/>
      </tp>
      <tp t="s">
        <v>#N/A N/A</v>
        <stp/>
        <stp>BDP|12731169093339220353</stp>
        <tr r="C87" s="3"/>
      </tp>
      <tp t="s">
        <v>#N/A N/A</v>
        <stp/>
        <stp>BDP|12647196816636675482</stp>
        <tr r="C13" s="3"/>
      </tp>
      <tp t="s">
        <v>#N/A N/A</v>
        <stp/>
        <stp>BDP|11165722673805264442</stp>
        <tr r="M16" s="1"/>
      </tp>
      <tp t="s">
        <v>#N/A N/A</v>
        <stp/>
        <stp>BDP|15304390986719897723</stp>
        <tr r="I76" s="3"/>
      </tp>
      <tp t="s">
        <v>9/1/2025</v>
        <stp/>
        <stp>BDP|11495316686715134876|22</stp>
        <stp>USSWIF6 Curncy</stp>
        <stp>SWAP_EFFECTIVE_DATE_RT</stp>
        <tr r="L5" s="1"/>
      </tp>
      <tp t="s">
        <v>#N/A N/A</v>
        <stp/>
        <stp>BDP|17056094946115101730</stp>
        <tr r="C50" s="3"/>
      </tp>
      <tp t="s">
        <v>#N/A N/A</v>
        <stp/>
        <stp>BDP|12482341349384741022</stp>
        <tr r="C92" s="3"/>
      </tp>
      <tp t="s">
        <v>#N/A N/A</v>
        <stp/>
        <stp>BDP|10035372776576778398</stp>
        <tr r="C151" s="3"/>
      </tp>
      <tp t="s">
        <v>#N/A N/A</v>
        <stp/>
        <stp>BDP|10572518377996429593</stp>
        <tr r="C134" s="3"/>
      </tp>
      <tp t="s">
        <v>2/1/2026</v>
        <stp/>
        <stp>BDP|15053128436861195786|22</stp>
        <stp>USSWIF11 Curncy</stp>
        <stp>SWAP_EFFECTIVE_DATE_RT</stp>
        <tr r="L10" s="1"/>
      </tp>
      <tp t="s">
        <v>#N/A N/A</v>
        <stp/>
        <stp>BDP|14164033904596541345</stp>
        <tr r="C150" s="3"/>
      </tp>
      <tp t="s">
        <v>#N/A N/A</v>
        <stp/>
        <stp>BDP|10277563748234944425</stp>
        <tr r="C70" s="3"/>
      </tp>
      <tp t="s">
        <v>#N/A N/A</v>
        <stp/>
        <stp>BDP|15558992728378959052</stp>
        <tr r="C157" s="3"/>
      </tp>
      <tp t="s">
        <v>#N/A N/A</v>
        <stp/>
        <stp>BDP|16966155604549938892</stp>
        <tr r="M5" s="1"/>
      </tp>
      <tp t="s">
        <v>#N/A N/A</v>
        <stp/>
        <stp>BDP|16630171868172310578</stp>
        <tr r="C116" s="3"/>
      </tp>
      <tp t="s">
        <v>#N/A N/A</v>
        <stp/>
        <stp>BDP|14911167774876199256</stp>
        <tr r="N26" s="1"/>
      </tp>
      <tp t="s">
        <v>#N/A N/A</v>
        <stp/>
        <stp>BDP|14358713536591913732</stp>
        <tr r="C156" s="3"/>
      </tp>
      <tp t="s">
        <v>#N/A N/A</v>
        <stp/>
        <stp>BDP|16141034773411586653</stp>
        <tr r="C33" s="3"/>
      </tp>
      <tp t="s">
        <v>#N/A N/A</v>
        <stp/>
        <stp>BDP|10200710664763406425</stp>
        <tr r="N29" s="1"/>
      </tp>
      <tp t="s">
        <v>#N/A N/A</v>
        <stp/>
        <stp>BDP|12094558219224430496</stp>
        <tr r="I49" s="3"/>
      </tp>
      <tp t="s">
        <v>#N/A N/A</v>
        <stp/>
        <stp>BDP|16156359880729322243</stp>
        <tr r="C32" s="3"/>
      </tp>
      <tp t="s">
        <v>#N/A N/A</v>
        <stp/>
        <stp>BDP|15948321080311984908</stp>
        <tr r="I5" s="3"/>
      </tp>
      <tp t="s">
        <v>#N/A N/A</v>
        <stp/>
        <stp>BDP|17218052059356947231</stp>
        <tr r="I53" s="3"/>
      </tp>
      <tp t="s">
        <v>#N/A N/A</v>
        <stp/>
        <stp>BDP|16811994797920872091</stp>
        <tr r="I30" s="3"/>
      </tp>
      <tp t="s">
        <v>#N/A N/A</v>
        <stp/>
        <stp>BDP|14453384572801610619</stp>
        <tr r="I23" s="3"/>
      </tp>
      <tp t="s">
        <v>#N/A N/A</v>
        <stp/>
        <stp>BDP|14133672355676181691</stp>
        <tr r="C80" s="3"/>
      </tp>
      <tp t="s">
        <v>#N/A N/A</v>
        <stp/>
        <stp>BDP|15170971991113066182</stp>
        <tr r="C52" s="3"/>
      </tp>
      <tp t="s">
        <v>#N/A N/A</v>
        <stp/>
        <stp>BDP|13697562200646106730</stp>
        <tr r="C95" s="3"/>
      </tp>
      <tp t="s">
        <v>#N/A N/A</v>
        <stp/>
        <stp>BDP|15636417672138478943</stp>
        <tr r="C10" s="3"/>
      </tp>
      <tp t="s">
        <v>#N/A N/A</v>
        <stp/>
        <stp>BDP|16484417675794106582</stp>
        <tr r="I3" s="3"/>
      </tp>
      <tp t="s">
        <v>#N/A N/A</v>
        <stp/>
        <stp>BDP|12975895672638204195</stp>
        <tr r="C114" s="3"/>
      </tp>
      <tp t="s">
        <v>#N/A N/A</v>
        <stp/>
        <stp>BDP|11600197301772388656</stp>
        <tr r="C118" s="3"/>
      </tp>
      <tp t="s">
        <v>#N/A N/A</v>
        <stp/>
        <stp>BDP|13197414718614244628</stp>
        <tr r="I52" s="3"/>
      </tp>
      <tp t="s">
        <v>#N/A N/A</v>
        <stp/>
        <stp>BDP|16134319015750831018</stp>
        <tr r="C12" s="3"/>
      </tp>
      <tp t="s">
        <v>#N/A N/A</v>
        <stp/>
        <stp>BDP|13916844794424712219</stp>
        <tr r="I70" s="3"/>
      </tp>
      <tp t="s">
        <v>#N/A N/A</v>
        <stp/>
        <stp>BDP|13001255852371146195</stp>
        <tr r="C18" s="3"/>
      </tp>
      <tp t="s">
        <v>#N/A N/A</v>
        <stp/>
        <stp>BDP|10472707553534432264</stp>
        <tr r="C46" s="3"/>
      </tp>
      <tp t="s">
        <v>#N/A N/A</v>
        <stp/>
        <stp>BDP|13672224711066528251</stp>
        <tr r="C131" s="3"/>
      </tp>
      <tp t="s">
        <v>4/1/2026</v>
        <stp/>
        <stp>BDP|12877192853191719630|22</stp>
        <stp>USSWIF1 Curncy</stp>
        <stp>SWAP_EFFECTIVE_DATE_RT</stp>
        <tr r="L12" s="1"/>
      </tp>
      <tp t="s">
        <v>#N/A N/A</v>
        <stp/>
        <stp>BDP|15629013929185250743</stp>
        <tr r="C82" s="3"/>
      </tp>
      <tp t="s">
        <v>#N/A N/A</v>
        <stp/>
        <stp>BDP|15561826719479490000</stp>
        <tr r="I32" s="3"/>
      </tp>
      <tp t="s">
        <v>#N/A N/A</v>
        <stp/>
        <stp>BDP|11603244106841953730</stp>
        <tr r="C113" s="3"/>
      </tp>
      <tp t="s">
        <v>#N/A N/A</v>
        <stp/>
        <stp>BDP|16846227505238851942</stp>
        <tr r="I66" s="3"/>
      </tp>
      <tp t="s">
        <v>#N/A N/A</v>
        <stp/>
        <stp>BDP|12955848023335935850</stp>
        <tr r="M13" s="1"/>
      </tp>
      <tp t="s">
        <v>#N/A N/A</v>
        <stp/>
        <stp>BDP|15789438722520061638</stp>
        <tr r="C56" s="3"/>
      </tp>
      <tp t="s">
        <v>#N/A N/A</v>
        <stp/>
        <stp>BDP|16132012335723119300</stp>
        <tr r="I51" s="3"/>
      </tp>
      <tp t="s">
        <v>#N/A N/A</v>
        <stp/>
        <stp>BDP|13223727566213658474</stp>
        <tr r="C4" s="3"/>
      </tp>
    </main>
    <main first="bofaddin.rtdserver">
      <tp t="s">
        <v>3/1/2026</v>
        <stp/>
        <stp>BDP|9129543431975639621|22</stp>
        <stp>USSWIF12 Curncy</stp>
        <stp>SWAP_EFFECTIVE_DATE_RT</stp>
        <tr r="L11" s="1"/>
      </tp>
      <tp t="s">
        <v>5/1/2026</v>
        <stp/>
        <stp>BDP|903597428535209691|22</stp>
        <stp>USSWIF2 Curncy</stp>
        <stp>SWAP_EFFECTIVE_DATE_RT</stp>
        <tr r="L13" s="1"/>
      </tp>
      <tp t="s">
        <v>#N/A N/A</v>
        <stp/>
        <stp>BDP|8883858632779658642</stp>
        <tr r="C35" s="3"/>
      </tp>
      <tp t="s">
        <v>#N/A N/A</v>
        <stp/>
        <stp>BDP|3086350895877252240</stp>
        <tr r="C16" s="3"/>
      </tp>
      <tp t="s">
        <v>#N/A N/A</v>
        <stp/>
        <stp>BDP|8438578538283438076</stp>
        <tr r="C141" s="3"/>
      </tp>
      <tp t="s">
        <v>#N/A N/A</v>
        <stp/>
        <stp>BDP|6588650681734761183</stp>
        <tr r="C27" s="3"/>
      </tp>
      <tp t="s">
        <v>#N/A N/A</v>
        <stp/>
        <stp>BDP|3444084880003121533</stp>
        <tr r="L36" s="1"/>
        <tr r="C60" s="3"/>
      </tp>
      <tp t="s">
        <v>#N/A N/A</v>
        <stp/>
        <stp>BDP|6909868581922049918</stp>
        <tr r="C110" s="3"/>
      </tp>
      <tp t="s">
        <v>#N/A N/A</v>
        <stp/>
        <stp>BDP|1445557879826346863</stp>
        <tr r="I40" s="3"/>
      </tp>
      <tp t="s">
        <v>#N/A N/A</v>
        <stp/>
        <stp>BDP|9950524043497247294</stp>
        <tr r="C136" s="3"/>
      </tp>
      <tp t="s">
        <v>#N/A N/A</v>
        <stp/>
        <stp>BDP|9710156432571566758</stp>
        <tr r="I37" s="3"/>
      </tp>
      <tp t="s">
        <v>#N/A N/A</v>
        <stp/>
        <stp>BDP|5663303020590277926</stp>
        <tr r="C98" s="3"/>
      </tp>
      <tp t="s">
        <v>#N/A N/A</v>
        <stp/>
        <stp>BDP|2199406980220213375</stp>
        <tr r="C5" s="3"/>
      </tp>
      <tp t="s">
        <v>#N/A N/A</v>
        <stp/>
        <stp>BDP|4217561534179612625</stp>
        <tr r="C58" s="3"/>
      </tp>
      <tp t="s">
        <v>#N/A N/A</v>
        <stp/>
        <stp>BDP|2180948075766112744</stp>
        <tr r="C130" s="3"/>
      </tp>
      <tp t="s">
        <v>#N/A N/A</v>
        <stp/>
        <stp>BDP|7901956006278721869</stp>
        <tr r="C104" s="3"/>
      </tp>
      <tp t="s">
        <v>#N/A N/A</v>
        <stp/>
        <stp>BDP|7411893423245165667</stp>
        <tr r="C2" s="3"/>
      </tp>
      <tp t="s">
        <v>#N/A N/A</v>
        <stp/>
        <stp>BDP|5391621699753663705</stp>
        <tr r="C100" s="3"/>
      </tp>
      <tp t="s">
        <v>#N/A N/A</v>
        <stp/>
        <stp>BDP|1569781952234888993</stp>
        <tr r="M10" s="1"/>
      </tp>
      <tp t="s">
        <v>#N/A N/A</v>
        <stp/>
        <stp>BDP|4672226517939820059</stp>
        <tr r="C117" s="3"/>
      </tp>
      <tp t="s">
        <v>#N/A N/A</v>
        <stp/>
        <stp>BDP|3800842490174647867</stp>
        <tr r="C109" s="3"/>
      </tp>
      <tp t="s">
        <v>#N/A N/A</v>
        <stp/>
        <stp>BDP|5709225380357404601</stp>
        <tr r="C149" s="3"/>
      </tp>
      <tp t="s">
        <v>#N/A N/A</v>
        <stp/>
        <stp>BDP|5085189328000745819</stp>
        <tr r="C112" s="3"/>
      </tp>
      <tp t="s">
        <v>#N/A N/A</v>
        <stp/>
        <stp>BDP|9382709674166745175</stp>
        <tr r="N20" s="1"/>
      </tp>
      <tp t="s">
        <v>#N/A N/A</v>
        <stp/>
        <stp>BDP|2340626784505790767</stp>
        <tr r="I64" s="3"/>
      </tp>
      <tp t="s">
        <v>#N/A N/A</v>
        <stp/>
        <stp>BDP|8152802095095796271</stp>
        <tr r="C146" s="3"/>
      </tp>
      <tp t="s">
        <v>#N/A N/A</v>
        <stp/>
        <stp>BDP|5586141029318235107</stp>
        <tr r="I8" s="3"/>
      </tp>
      <tp t="s">
        <v>#N/A N/A</v>
        <stp/>
        <stp>BDP|3942884404210820458</stp>
        <tr r="I67" s="3"/>
      </tp>
      <tp t="s">
        <v>#N/A N/A</v>
        <stp/>
        <stp>BDP|3410021422558947640</stp>
        <tr r="I41" s="3"/>
      </tp>
      <tp t="s">
        <v>#N/A N/A</v>
        <stp/>
        <stp>BDP|7821635165939358110</stp>
        <tr r="C75" s="3"/>
      </tp>
      <tp t="s">
        <v>#N/A N/A</v>
        <stp/>
        <stp>BDP|8099192118667719026</stp>
        <tr r="C42" s="3"/>
      </tp>
      <tp t="s">
        <v>#N/A N/A</v>
        <stp/>
        <stp>BDP|7564342032061205950</stp>
        <tr r="C145" s="3"/>
      </tp>
      <tp t="s">
        <v>#N/A N/A</v>
        <stp/>
        <stp>BDP|6558427909622035868</stp>
        <tr r="C15" s="3"/>
      </tp>
      <tp t="s">
        <v>#N/A N/A</v>
        <stp/>
        <stp>BDP|9888060838461771394</stp>
        <tr r="M6" s="1"/>
      </tp>
      <tp t="s">
        <v>#N/A N/A</v>
        <stp/>
        <stp>BDP|8314771832905317181</stp>
        <tr r="C128" s="3"/>
      </tp>
      <tp t="s">
        <v>#N/A N/A</v>
        <stp/>
        <stp>BDP|4081049616208229565</stp>
        <tr r="C20" s="3"/>
      </tp>
      <tp t="s">
        <v>#N/A N/A</v>
        <stp/>
        <stp>BDP|1377186698529462809</stp>
        <tr r="I75" s="3"/>
      </tp>
      <tp t="s">
        <v>#N/A N/A</v>
        <stp/>
        <stp>BDP|5083165645249889039</stp>
        <tr r="C91" s="3"/>
      </tp>
      <tp t="s">
        <v>#N/A N/A</v>
        <stp/>
        <stp>BDP|4536059193783666790</stp>
        <tr r="C135" s="3"/>
      </tp>
      <tp t="s">
        <v>#N/A N/A</v>
        <stp/>
        <stp>BDP|4749656183205678650</stp>
        <tr r="C38" s="3"/>
      </tp>
      <tp t="s">
        <v>#N/A N/A</v>
        <stp/>
        <stp>BDP|8594765946847731528</stp>
        <tr r="I16" s="3"/>
      </tp>
      <tp t="s">
        <v>#N/A N/A</v>
        <stp/>
        <stp>BDP|9272224747107497120</stp>
        <tr r="I54" s="3"/>
      </tp>
      <tp t="s">
        <v>#N/A N/A</v>
        <stp/>
        <stp>BDP|1041774784140013721</stp>
        <tr r="C64" s="3"/>
      </tp>
      <tp t="s">
        <v>#N/A N/A</v>
        <stp/>
        <stp>BDP|1031635446673217915</stp>
        <tr r="I50" s="3"/>
      </tp>
      <tp t="s">
        <v>#N/A N/A</v>
        <stp/>
        <stp>BDP|9518744973899580904</stp>
        <tr r="C54" s="3"/>
      </tp>
      <tp t="s">
        <v>#N/A N/A</v>
        <stp/>
        <stp>BDP|5406820151140268124</stp>
        <tr r="I63" s="3"/>
      </tp>
      <tp t="s">
        <v>#N/A N/A</v>
        <stp/>
        <stp>BDP|1694830350593957686</stp>
        <tr r="I62" s="3"/>
      </tp>
      <tp t="s">
        <v>#N/A N/A</v>
        <stp/>
        <stp>BDP|7500666667194702990</stp>
        <tr r="C66" s="3"/>
      </tp>
      <tp t="s">
        <v>#N/A N/A</v>
        <stp/>
        <stp>BDP|3833953673663160479</stp>
        <tr r="C69" s="3"/>
      </tp>
      <tp t="s">
        <v>#N/A N/A</v>
        <stp/>
        <stp>BDP|9567701714471945402</stp>
        <tr r="I20" s="3"/>
      </tp>
      <tp t="s">
        <v>#N/A N/A</v>
        <stp/>
        <stp>BDP|6985157280997075252</stp>
        <tr r="C53" s="3"/>
      </tp>
      <tp t="s">
        <v>#N/A N/A</v>
        <stp/>
        <stp>BDP|2456785810019057752</stp>
        <tr r="C99" s="3"/>
      </tp>
      <tp t="s">
        <v>#N/A N/A</v>
        <stp/>
        <stp>BDP|9838492126827038280</stp>
        <tr r="C8" s="3"/>
      </tp>
      <tp t="s">
        <v>#N/A N/A</v>
        <stp/>
        <stp>BDP|8937076405480531228</stp>
        <tr r="I44" s="3"/>
      </tp>
      <tp t="s">
        <v>#N/A N/A</v>
        <stp/>
        <stp>BDP|7712524477676613982</stp>
        <tr r="I57" s="3"/>
      </tp>
      <tp t="s">
        <v>#N/A N/A</v>
        <stp/>
        <stp>BDP|1429354032568056352</stp>
        <tr r="C24" s="3"/>
      </tp>
      <tp t="s">
        <v>#N/A N/A</v>
        <stp/>
        <stp>BDP|8014457710991160601</stp>
        <tr r="I28" s="3"/>
      </tp>
      <tp t="s">
        <v>#N/A N/A</v>
        <stp/>
        <stp>BDP|3033880618804365593</stp>
        <tr r="C121" s="3"/>
      </tp>
      <tp t="s">
        <v>#N/A N/A</v>
        <stp/>
        <stp>BDP|1706011192993813054</stp>
        <tr r="C96" s="3"/>
      </tp>
      <tp t="s">
        <v>#N/A N/A</v>
        <stp/>
        <stp>BDP|4435771694765996413</stp>
        <tr r="C83" s="3"/>
      </tp>
      <tp t="s">
        <v>#N/A N/A</v>
        <stp/>
        <stp>BDP|1861014768014580864</stp>
        <tr r="C89" s="3"/>
      </tp>
      <tp t="s">
        <v>#N/A N/A</v>
        <stp/>
        <stp>BDP|7491589793132824247</stp>
        <tr r="N24" s="1"/>
      </tp>
      <tp t="s">
        <v>#N/A N/A</v>
        <stp/>
        <stp>BDP|8239565527673146722</stp>
        <tr r="C144" s="3"/>
      </tp>
      <tp t="s">
        <v>#N/A N/A</v>
        <stp/>
        <stp>BDP|8403458650990508239</stp>
        <tr r="C59" s="3"/>
      </tp>
      <tp t="s">
        <v>#N/A N/A</v>
        <stp/>
        <stp>BDP|9839159273063333794</stp>
        <tr r="C29" s="3"/>
      </tp>
      <tp t="s">
        <v>#N/A N/A</v>
        <stp/>
        <stp>BDP|6567984001629018265</stp>
        <tr r="C162" s="3"/>
      </tp>
      <tp t="s">
        <v>#N/A N/A</v>
        <stp/>
        <stp>BDP|1818082544567658696</stp>
        <tr r="I36" s="3"/>
      </tp>
      <tp t="s">
        <v>#N/A N/A</v>
        <stp/>
        <stp>BDP|6993846849007577980</stp>
        <tr r="I43" s="3"/>
      </tp>
      <tp t="s">
        <v>#N/A N/A</v>
        <stp/>
        <stp>BDP|4351081083971715968</stp>
        <tr r="C68" s="3"/>
      </tp>
      <tp t="s">
        <v>#N/A N/A</v>
        <stp/>
        <stp>BDP|1704371763125928545</stp>
        <tr r="C43" s="3"/>
      </tp>
      <tp t="s">
        <v>#N/A N/A</v>
        <stp/>
        <stp>BDP|2814041733612431765</stp>
        <tr r="C105" s="3"/>
      </tp>
      <tp t="s">
        <v>#N/A N/A</v>
        <stp/>
        <stp>BDP|7829998593746821592</stp>
        <tr r="C102" s="3"/>
      </tp>
      <tp t="s">
        <v>#N/A N/A</v>
        <stp/>
        <stp>BDP|6258056741615792371</stp>
        <tr r="C106" s="3"/>
      </tp>
      <tp t="s">
        <v>#N/A N/A</v>
        <stp/>
        <stp>BDP|4617042838635235721</stp>
        <tr r="C152" s="3"/>
      </tp>
      <tp t="s">
        <v>#N/A N/A</v>
        <stp/>
        <stp>BDP|1240404019180728146</stp>
        <tr r="C65" s="3"/>
      </tp>
      <tp t="s">
        <v>#N/A N/A</v>
        <stp/>
        <stp>BDP|8465946647526914636</stp>
        <tr r="I42" s="3"/>
      </tp>
      <tp t="s">
        <v>#N/A N/A</v>
        <stp/>
        <stp>BDP|9950496650399002439</stp>
        <tr r="C123" s="3"/>
      </tp>
      <tp t="s">
        <v>#N/A N/A</v>
        <stp/>
        <stp>BDP|2667683450453794790</stp>
        <tr r="C115" s="3"/>
      </tp>
      <tp t="s">
        <v>#N/A N/A</v>
        <stp/>
        <stp>BDP|7273482579447089634</stp>
        <tr r="I10" s="3"/>
      </tp>
      <tp t="s">
        <v>#N/A N/A</v>
        <stp/>
        <stp>BDP|5025328525011211047</stp>
        <tr r="C34" s="3"/>
      </tp>
      <tp t="s">
        <v>#N/A N/A</v>
        <stp/>
        <stp>BDP|3834658410891383085</stp>
        <tr r="C9" s="3"/>
      </tp>
      <tp t="s">
        <v>#N/A N/A</v>
        <stp/>
        <stp>BDP|5204453854055475411</stp>
        <tr r="C72" s="3"/>
      </tp>
      <tp t="s">
        <v>#N/A N/A</v>
        <stp/>
        <stp>BDP|7184509443593036063</stp>
        <tr r="I18" s="3"/>
      </tp>
      <tp t="s">
        <v>#N/A N/A</v>
        <stp/>
        <stp>BDP|4409571100871585532</stp>
        <tr r="C73" s="3"/>
      </tp>
      <tp t="s">
        <v>#N/A N/A</v>
        <stp/>
        <stp>BDP|9147095673928589078</stp>
        <tr r="I24" s="3"/>
      </tp>
      <tp t="s">
        <v>#N/A N/A</v>
        <stp/>
        <stp>BDP|6751685416204293341</stp>
        <tr r="C159" s="3"/>
      </tp>
      <tp t="s">
        <v>#N/A N/A</v>
        <stp/>
        <stp>BDP|2646981305435776837</stp>
        <tr r="I38" s="3"/>
      </tp>
      <tp t="s">
        <v>#N/A N/A</v>
        <stp/>
        <stp>BDP|5538226760447497012</stp>
        <tr r="I15" s="3"/>
      </tp>
      <tp t="s">
        <v>#N/A N/A</v>
        <stp/>
        <stp>BDP|4410242283930284836</stp>
        <tr r="C108" s="3"/>
      </tp>
      <tp t="s">
        <v>#N/A N/A</v>
        <stp/>
        <stp>BDP|5599646844690725120</stp>
        <tr r="M9" s="1"/>
      </tp>
      <tp t="s">
        <v>#N/A N/A</v>
        <stp/>
        <stp>BDP|7323562495194409926</stp>
        <tr r="N23" s="1"/>
      </tp>
      <tp t="s">
        <v>#N/A N/A</v>
        <stp/>
        <stp>BDP|4433046404986412449</stp>
        <tr r="C158" s="3"/>
      </tp>
      <tp t="s">
        <v>#N/A N/A</v>
        <stp/>
        <stp>BDP|2382374971599643898</stp>
        <tr r="C26" s="3"/>
      </tp>
      <tp t="s">
        <v>#N/A N/A</v>
        <stp/>
        <stp>BDP|5510498631210704517</stp>
        <tr r="C84" s="3"/>
      </tp>
      <tp t="s">
        <v>#N/A N/A</v>
        <stp/>
        <stp>BDP|9026898305143148551</stp>
        <tr r="M8" s="1"/>
      </tp>
      <tp t="s">
        <v>#N/A N/A</v>
        <stp/>
        <stp>BDP|7449967289015704458</stp>
        <tr r="I34" s="3"/>
      </tp>
      <tp t="s">
        <v>#N/A N/A</v>
        <stp/>
        <stp>BDP|7128217049024788278</stp>
        <tr r="C126" s="3"/>
      </tp>
      <tp t="s">
        <v>#N/A N/A</v>
        <stp/>
        <stp>BDP|2688398335815461032</stp>
        <tr r="I72" s="3"/>
      </tp>
      <tp t="s">
        <v>#N/A N/A</v>
        <stp/>
        <stp>BDP|5407744553420709092</stp>
        <tr r="I45" s="3"/>
      </tp>
      <tp t="s">
        <v>#N/A N/A</v>
        <stp/>
        <stp>BDP|3301994951851485995</stp>
        <tr r="C103" s="3"/>
      </tp>
      <tp t="s">
        <v>#N/A N/A</v>
        <stp/>
        <stp>BDP|1715692313415242487</stp>
        <tr r="N25" s="1"/>
      </tp>
      <tp t="s">
        <v>#N/A N/A</v>
        <stp/>
        <stp>BDP|7787511640980270100</stp>
        <tr r="C19" s="3"/>
      </tp>
      <tp t="s">
        <v>#N/A N/A</v>
        <stp/>
        <stp>BDP|5881769373931552438</stp>
        <tr r="C37" s="3"/>
      </tp>
      <tp t="s">
        <v>#N/A N/A</v>
        <stp/>
        <stp>BDP|8775887083928455015</stp>
        <tr r="I65" s="3"/>
      </tp>
      <tp t="s">
        <v>#N/A N/A</v>
        <stp/>
        <stp>BDP|2999354362923182419</stp>
        <tr r="C119" s="3"/>
      </tp>
      <tp t="s">
        <v>#N/A N/A</v>
        <stp/>
        <stp>BDP|7144957155592866969</stp>
        <tr r="I7" s="3"/>
      </tp>
      <tp t="s">
        <v>#N/A N/A</v>
        <stp/>
        <stp>BDP|7376321538937352077</stp>
        <tr r="I31" s="3"/>
      </tp>
      <tp t="s">
        <v>#N/A N/A</v>
        <stp/>
        <stp>BDP|6067526931230468040</stp>
        <tr r="C41" s="3"/>
      </tp>
      <tp t="s">
        <v>#N/A N/A</v>
        <stp/>
        <stp>BDP|4583763296699195352</stp>
        <tr r="C90" s="3"/>
      </tp>
      <tp t="s">
        <v>#N/A N/A</v>
        <stp/>
        <stp>BDP|9013230294690428273</stp>
        <tr r="M14" s="1"/>
      </tp>
      <tp t="s">
        <v>#N/A N/A</v>
        <stp/>
        <stp>BDP|2884216262693648467</stp>
        <tr r="C101" s="3"/>
      </tp>
      <tp t="s">
        <v>#N/A N/A</v>
        <stp/>
        <stp>BDP|6653931085044954226</stp>
        <tr r="C49" s="3"/>
      </tp>
      <tp t="s">
        <v>#N/A N/A</v>
        <stp/>
        <stp>BDP|8816274015493202973</stp>
        <tr r="N32" s="1"/>
      </tp>
      <tp t="s">
        <v>#N/A N/A</v>
        <stp/>
        <stp>BDP|4442406327391170217</stp>
        <tr r="I69" s="3"/>
      </tp>
      <tp t="s">
        <v>#N/A N/A</v>
        <stp/>
        <stp>BDP|2160522543402219031</stp>
        <tr r="C44" s="3"/>
      </tp>
      <tp t="s">
        <v>#N/A N/A</v>
        <stp/>
        <stp>BDP|8134386539959622001</stp>
        <tr r="I12" s="3"/>
      </tp>
      <tp t="s">
        <v>#N/A N/A</v>
        <stp/>
        <stp>BDP|5175596859875743108</stp>
        <tr r="C160" s="3"/>
      </tp>
      <tp t="s">
        <v>#N/A N/A</v>
        <stp/>
        <stp>BDP|6213448269441194717</stp>
        <tr r="I33" s="3"/>
      </tp>
      <tp t="s">
        <v>#N/A N/A</v>
        <stp/>
        <stp>BDP|1674630257287785748</stp>
        <tr r="C21" s="3"/>
      </tp>
      <tp t="s">
        <v>#N/A N/A</v>
        <stp/>
        <stp>BDP|6722538765332235541</stp>
        <tr r="I79" s="3"/>
      </tp>
      <tp t="s">
        <v>#N/A N/A</v>
        <stp/>
        <stp>BDP|4321930751773162948</stp>
        <tr r="C143" s="3"/>
      </tp>
      <tp t="s">
        <v>#N/A N/A</v>
        <stp/>
        <stp>BDP|2465770666370232132</stp>
        <tr r="C81" s="3"/>
      </tp>
      <tp t="s">
        <v>#N/A N/A</v>
        <stp/>
        <stp>BDP|3614236909801232351</stp>
        <tr r="C79" s="3"/>
      </tp>
      <tp t="s">
        <v>#N/A N/A</v>
        <stp/>
        <stp>BDP|9264525602047863819</stp>
        <tr r="C129" s="3"/>
      </tp>
      <tp t="s">
        <v>#N/A N/A</v>
        <stp/>
        <stp>BDP|3022564266265232698</stp>
        <tr r="C22" s="3"/>
      </tp>
      <tp t="s">
        <v>#N/A N/A</v>
        <stp/>
        <stp>BDP|3065289322003110341</stp>
        <tr r="C17" s="3"/>
      </tp>
      <tp t="s">
        <v>#N/A N/A</v>
        <stp/>
        <stp>BDP|3488562983458433575</stp>
        <tr r="C97" s="3"/>
      </tp>
      <tp t="s">
        <v>#N/A N/A</v>
        <stp/>
        <stp>BDP|8883686451619078120</stp>
        <tr r="I78" s="3"/>
      </tp>
      <tp t="s">
        <v>#N/A N/A</v>
        <stp/>
        <stp>BDP|3169607923705567144</stp>
        <tr r="N27" s="1"/>
      </tp>
      <tp t="s">
        <v>#N/A N/A</v>
        <stp/>
        <stp>BDP|5066211127374524238</stp>
        <tr r="C23" s="3"/>
      </tp>
      <tp t="s">
        <v>#N/A N/A</v>
        <stp/>
        <stp>BDP|4981558656002856539</stp>
        <tr r="C76" s="3"/>
      </tp>
      <tp t="s">
        <v>#N/A N/A</v>
        <stp/>
        <stp>BDP|4365340775557570411</stp>
        <tr r="C161" s="3"/>
      </tp>
      <tp t="s">
        <v>#N/A N/A</v>
        <stp/>
        <stp>BDP|1345751232810291632</stp>
        <tr r="C57" s="3"/>
      </tp>
      <tp t="s">
        <v>11/1/2025</v>
        <stp/>
        <stp>BDP|4207405402146429574|22</stp>
        <stp>USSWIF8 Curncy</stp>
        <stp>SWAP_EFFECTIVE_DATE_RT</stp>
        <tr r="L7" s="1"/>
      </tp>
      <tp t="s">
        <v>#N/A N/A</v>
        <stp/>
        <stp>BDP|531173126430871456</stp>
        <tr r="N28" s="1"/>
      </tp>
      <tp t="s">
        <v>#N/A N/A</v>
        <stp/>
        <stp>BDP|437360509784535044</stp>
        <tr r="C28" s="3"/>
      </tp>
      <tp t="s">
        <v>#N/A N/A</v>
        <stp/>
        <stp>BDP|719920997835819372</stp>
        <tr r="I21" s="3"/>
      </tp>
      <tp t="s">
        <v>#N/A N/A</v>
        <stp/>
        <stp>BDP|220158664486763756</stp>
        <tr r="I68" s="3"/>
      </tp>
      <tp t="s">
        <v>#N/A N/A</v>
        <stp/>
        <stp>BDP|327790706290079409</stp>
        <tr r="C62" s="3"/>
      </tp>
      <tp t="s">
        <v>#N/A N/A</v>
        <stp/>
        <stp>BDP|752544571119749831</stp>
        <tr r="I74" s="3"/>
      </tp>
      <tp t="s">
        <v>#N/A N/A</v>
        <stp/>
        <stp>BDP|314325233504172733</stp>
        <tr r="C3" s="3"/>
      </tp>
      <tp t="s">
        <v>#N/A N/A</v>
        <stp/>
        <stp>BDP|535673656531239152</stp>
        <tr r="C14" s="3"/>
      </tp>
      <tp t="s">
        <v>#N/A N/A</v>
        <stp/>
        <stp>BDP|215538495568786816</stp>
        <tr r="C67" s="3"/>
      </tp>
      <tp t="s">
        <v>#N/A N/A</v>
        <stp/>
        <stp>BDP|165287045318738295</stp>
        <tr r="I61" s="3"/>
      </tp>
      <tp t="s">
        <v>#N/A N/A</v>
        <stp/>
        <stp>BDP|760657431968210265</stp>
        <tr r="I58" s="3"/>
      </tp>
      <tp t="s">
        <v>#N/A N/A</v>
        <stp/>
        <stp>BDP|379626236869393287</stp>
        <tr r="I77" s="3"/>
      </tp>
      <tp t="s">
        <v>#N/A N/A</v>
        <stp/>
        <stp>BDP|890144082077292780</stp>
        <tr r="I19" s="3"/>
      </tp>
      <tp t="s">
        <v>#N/A N/A</v>
        <stp/>
        <stp>BDP|487608147160746983</stp>
        <tr r="I2" s="3"/>
      </tp>
      <tp t="s">
        <v>12/1/2025</v>
        <stp/>
        <stp>BDP|3701838488086202223|22</stp>
        <stp>USSWIF9 Curncy</stp>
        <stp>SWAP_EFFECTIVE_DATE_RT</stp>
        <tr r="L8" s="1"/>
      </tp>
      <tp t="s">
        <v>8/1/2026</v>
        <stp/>
        <stp>BDP|8239038693000518075|22</stp>
        <stp>USSWIF5 Curncy</stp>
        <stp>SWAP_EFFECTIVE_DATE_RT</stp>
        <tr r="L16" s="1"/>
      </tp>
      <tp t="s">
        <v>#N/A N/A</v>
        <stp/>
        <stp>BDP|930696567893770943</stp>
        <tr r="C55" s="3"/>
      </tp>
      <tp t="s">
        <v>#N/A N/A</v>
        <stp/>
        <stp>BDP|267021441459137755</stp>
        <tr r="I55" s="3"/>
      </tp>
      <tp t="s">
        <v>10/1/2025</v>
        <stp/>
        <stp>BDP|9561094173690841543|22</stp>
        <stp>USSWIF7 Curncy</stp>
        <stp>SWAP_EFFECTIVE_DATE_RT</stp>
        <tr r="L6" s="1"/>
      </tp>
      <tp t="s">
        <v>6/1/2026</v>
        <stp/>
        <stp>BDP|9158504087751232435|22</stp>
        <stp>USSWIF3 Curncy</stp>
        <stp>SWAP_EFFECTIVE_DATE_RT</stp>
        <tr r="L14" s="1"/>
      </tp>
      <tp t="s">
        <v>7/1/2026</v>
        <stp/>
        <stp>BDP|5771426158732892451|22</stp>
        <stp>USSWIF4 Curncy</stp>
        <stp>SWAP_EFFECTIVE_DATE_RT</stp>
        <tr r="L1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Sheet1!$H$21:$H$93</c:f>
              <c:numCache>
                <c:formatCode>General</c:formatCode>
                <c:ptCount val="73"/>
                <c:pt idx="0">
                  <c:v>2.7384847376878518E-2</c:v>
                </c:pt>
                <c:pt idx="1">
                  <c:v>1.8478534491791931E-2</c:v>
                </c:pt>
                <c:pt idx="2">
                  <c:v>1.9157015564772228E-2</c:v>
                </c:pt>
                <c:pt idx="3">
                  <c:v>2.4899320225478139E-2</c:v>
                </c:pt>
                <c:pt idx="4">
                  <c:v>2.5364893354783424E-2</c:v>
                </c:pt>
                <c:pt idx="5">
                  <c:v>2.4978268716280949E-2</c:v>
                </c:pt>
                <c:pt idx="6">
                  <c:v>2.4500148821220868E-2</c:v>
                </c:pt>
                <c:pt idx="7">
                  <c:v>2.4279293918622935E-2</c:v>
                </c:pt>
                <c:pt idx="8">
                  <c:v>2.428222072925923E-2</c:v>
                </c:pt>
                <c:pt idx="9">
                  <c:v>2.4365006785709742E-2</c:v>
                </c:pt>
                <c:pt idx="10">
                  <c:v>2.4436170201983298E-2</c:v>
                </c:pt>
                <c:pt idx="11">
                  <c:v>2.4451488090129647E-2</c:v>
                </c:pt>
                <c:pt idx="12">
                  <c:v>2.4432046816716291E-2</c:v>
                </c:pt>
                <c:pt idx="13">
                  <c:v>2.4403365283840461E-2</c:v>
                </c:pt>
                <c:pt idx="14">
                  <c:v>2.4383475571862157E-2</c:v>
                </c:pt>
                <c:pt idx="15">
                  <c:v>2.4375453834470484E-2</c:v>
                </c:pt>
                <c:pt idx="16">
                  <c:v>2.4368661482838672E-2</c:v>
                </c:pt>
                <c:pt idx="17">
                  <c:v>2.4354160039843142E-2</c:v>
                </c:pt>
                <c:pt idx="18">
                  <c:v>2.4326059050560955E-2</c:v>
                </c:pt>
                <c:pt idx="19">
                  <c:v>2.4288181146742582E-2</c:v>
                </c:pt>
                <c:pt idx="20">
                  <c:v>2.4247881238489422E-2</c:v>
                </c:pt>
                <c:pt idx="21">
                  <c:v>2.4211073840396446E-2</c:v>
                </c:pt>
                <c:pt idx="22">
                  <c:v>2.4180786575587421E-2</c:v>
                </c:pt>
                <c:pt idx="23">
                  <c:v>2.4154131293894432E-2</c:v>
                </c:pt>
                <c:pt idx="24">
                  <c:v>2.4127702857412947E-2</c:v>
                </c:pt>
                <c:pt idx="25">
                  <c:v>2.4098788090308521E-2</c:v>
                </c:pt>
                <c:pt idx="26">
                  <c:v>2.4068320728896753E-2</c:v>
                </c:pt>
                <c:pt idx="27">
                  <c:v>2.4040840565326294E-2</c:v>
                </c:pt>
                <c:pt idx="28">
                  <c:v>2.4020377211283472E-2</c:v>
                </c:pt>
                <c:pt idx="29">
                  <c:v>2.4009879517458588E-2</c:v>
                </c:pt>
                <c:pt idx="30">
                  <c:v>2.4008405618582529E-2</c:v>
                </c:pt>
                <c:pt idx="31">
                  <c:v>2.4013524639469042E-2</c:v>
                </c:pt>
                <c:pt idx="32">
                  <c:v>2.4023126600442257E-2</c:v>
                </c:pt>
                <c:pt idx="33">
                  <c:v>2.403523193485535E-2</c:v>
                </c:pt>
                <c:pt idx="34">
                  <c:v>2.404770995324701E-2</c:v>
                </c:pt>
                <c:pt idx="35">
                  <c:v>2.4058644874984436E-2</c:v>
                </c:pt>
                <c:pt idx="36">
                  <c:v>2.4066408465510447E-2</c:v>
                </c:pt>
                <c:pt idx="37">
                  <c:v>2.4070471173154306E-2</c:v>
                </c:pt>
                <c:pt idx="38">
                  <c:v>2.4071326187345976E-2</c:v>
                </c:pt>
                <c:pt idx="39">
                  <c:v>2.4069460320417901E-2</c:v>
                </c:pt>
                <c:pt idx="40">
                  <c:v>2.4065307007054448E-2</c:v>
                </c:pt>
                <c:pt idx="41">
                  <c:v>2.4059252801020836E-2</c:v>
                </c:pt>
                <c:pt idx="42">
                  <c:v>2.4051642958267117E-2</c:v>
                </c:pt>
                <c:pt idx="43">
                  <c:v>2.4042786251980086E-2</c:v>
                </c:pt>
                <c:pt idx="44">
                  <c:v>2.4032959139303145E-2</c:v>
                </c:pt>
                <c:pt idx="45">
                  <c:v>2.4022409378635867E-2</c:v>
                </c:pt>
                <c:pt idx="46">
                  <c:v>2.4011359179606728E-2</c:v>
                </c:pt>
                <c:pt idx="47">
                  <c:v>2.400000795412538E-2</c:v>
                </c:pt>
                <c:pt idx="48">
                  <c:v>2.3988534725766009E-2</c:v>
                </c:pt>
                <c:pt idx="49">
                  <c:v>2.3977100245558214E-2</c:v>
                </c:pt>
                <c:pt idx="50">
                  <c:v>2.3965848854731853E-2</c:v>
                </c:pt>
                <c:pt idx="51">
                  <c:v>2.395491012870532E-2</c:v>
                </c:pt>
                <c:pt idx="52">
                  <c:v>2.3944400331437965E-2</c:v>
                </c:pt>
                <c:pt idx="53">
                  <c:v>2.3934423704941477E-2</c:v>
                </c:pt>
                <c:pt idx="54">
                  <c:v>2.3925073199792868E-2</c:v>
                </c:pt>
                <c:pt idx="55">
                  <c:v>2.3916346019519752E-2</c:v>
                </c:pt>
                <c:pt idx="56">
                  <c:v>2.3908051463560342E-2</c:v>
                </c:pt>
                <c:pt idx="57">
                  <c:v>2.3899991014330935E-2</c:v>
                </c:pt>
                <c:pt idx="58">
                  <c:v>2.3891983870290012E-2</c:v>
                </c:pt>
                <c:pt idx="59">
                  <c:v>2.3883865400651461E-2</c:v>
                </c:pt>
                <c:pt idx="60">
                  <c:v>2.3875485749137448E-2</c:v>
                </c:pt>
                <c:pt idx="61">
                  <c:v>2.3866708570231987E-2</c:v>
                </c:pt>
                <c:pt idx="62">
                  <c:v>2.385740988349605E-2</c:v>
                </c:pt>
                <c:pt idx="63">
                  <c:v>2.3847477033282383E-2</c:v>
                </c:pt>
                <c:pt idx="64">
                  <c:v>2.3836807742752875E-2</c:v>
                </c:pt>
                <c:pt idx="65">
                  <c:v>2.3825309252418769E-2</c:v>
                </c:pt>
                <c:pt idx="66">
                  <c:v>2.3812897534588373E-2</c:v>
                </c:pt>
                <c:pt idx="67">
                  <c:v>2.3799496576108581E-2</c:v>
                </c:pt>
                <c:pt idx="68">
                  <c:v>2.3785037722649394E-2</c:v>
                </c:pt>
                <c:pt idx="69">
                  <c:v>2.3769459078553323E-2</c:v>
                </c:pt>
                <c:pt idx="70">
                  <c:v>2.3752704956920834E-2</c:v>
                </c:pt>
                <c:pt idx="71">
                  <c:v>2.3734725375194277E-2</c:v>
                </c:pt>
                <c:pt idx="72">
                  <c:v>2.371547559200593E-2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D-48EA-892D-629B02DCF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763279"/>
        <c:axId val="1798784399"/>
      </c:lineChart>
      <c:catAx>
        <c:axId val="1798763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784399"/>
        <c:crosses val="autoZero"/>
        <c:auto val="1"/>
        <c:lblAlgn val="ctr"/>
        <c:lblOffset val="100"/>
        <c:noMultiLvlLbl val="0"/>
      </c:catAx>
      <c:valAx>
        <c:axId val="17987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76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591205</xdr:colOff>
      <xdr:row>41</xdr:row>
      <xdr:rowOff>106418</xdr:rowOff>
    </xdr:from>
    <xdr:to>
      <xdr:col>15</xdr:col>
      <xdr:colOff>604343</xdr:colOff>
      <xdr:row>55</xdr:row>
      <xdr:rowOff>182618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7FCD51-24E6-E256-6536-D163D6CF5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DA2B-B009-413B-B470-30E482D4C08C}">
  <dimension ref="A2:O93"/>
  <sheetViews>
    <sheetView tabSelected="1" topLeftCell="A7" zoomScale="115" zoomScaleNormal="115" workbookViewId="0">
      <selection activeCell="F8" sqref="F8"/>
    </sheetView>
  </sheetViews>
  <sheetFormatPr defaultRowHeight="15" x14ac:dyDescent="0.25"/>
  <cols>
    <col min="1" max="1" width="9.5703125" bestFit="1" customWidth="1"/>
    <col min="2" max="2" width="16.140625" bestFit="1" customWidth="1"/>
    <col min="3" max="3" width="15.140625" customWidth="1"/>
    <col min="5" max="5" width="11" style="3" bestFit="1" customWidth="1"/>
    <col min="6" max="6" width="10.7109375" style="2" bestFit="1" customWidth="1"/>
    <col min="9" max="9" width="16.140625" bestFit="1" customWidth="1"/>
    <col min="10" max="10" width="4.28515625" bestFit="1" customWidth="1"/>
    <col min="11" max="11" width="16.140625" bestFit="1" customWidth="1"/>
    <col min="12" max="14" width="9.85546875" bestFit="1" customWidth="1"/>
    <col min="15" max="15" width="12.85546875" bestFit="1" customWidth="1"/>
  </cols>
  <sheetData>
    <row r="2" spans="2:15" x14ac:dyDescent="0.25">
      <c r="C2" s="2">
        <v>46196</v>
      </c>
    </row>
    <row r="3" spans="2:15" x14ac:dyDescent="0.25">
      <c r="E3" t="s">
        <v>43</v>
      </c>
      <c r="F3" t="s">
        <v>0</v>
      </c>
    </row>
    <row r="4" spans="2:15" x14ac:dyDescent="0.25">
      <c r="E4" s="2">
        <v>46173</v>
      </c>
      <c r="F4">
        <v>335.12299999999999</v>
      </c>
    </row>
    <row r="5" spans="2:15" x14ac:dyDescent="0.25">
      <c r="E5" s="2">
        <v>46142</v>
      </c>
      <c r="F5">
        <v>333.02</v>
      </c>
      <c r="J5" t="s">
        <v>49</v>
      </c>
      <c r="K5" t="s">
        <v>30</v>
      </c>
      <c r="L5" t="str">
        <f>_xll.BDP(K5, "SWAP_EFFECTIVE_DATE_RT")</f>
        <v>9/1/2025</v>
      </c>
      <c r="M5" s="6" cm="1">
        <f t="array" ref="M5">DATEVALUE((_xll.BDP(K5,"MATURITY")))</f>
        <v>46266</v>
      </c>
      <c r="N5">
        <v>334.85</v>
      </c>
      <c r="O5" s="15"/>
    </row>
    <row r="6" spans="2:15" x14ac:dyDescent="0.25">
      <c r="E6" s="2">
        <v>46112</v>
      </c>
      <c r="F6">
        <v>330.21300000000002</v>
      </c>
      <c r="J6" t="s">
        <v>50</v>
      </c>
      <c r="K6" t="s">
        <v>31</v>
      </c>
      <c r="L6" t="str">
        <f>_xll.BDP(K6, "SWAP_EFFECTIVE_DATE_RT")</f>
        <v>10/1/2025</v>
      </c>
      <c r="M6" s="6" cm="1">
        <f t="array" ref="M6">DATEVALUE((_xll.BDP(K6,"MATURITY")))</f>
        <v>46296</v>
      </c>
      <c r="N6">
        <v>334.74</v>
      </c>
    </row>
    <row r="7" spans="2:15" x14ac:dyDescent="0.25">
      <c r="E7" s="2">
        <v>46081</v>
      </c>
      <c r="F7">
        <v>326.78500000000003</v>
      </c>
      <c r="J7" t="s">
        <v>51</v>
      </c>
      <c r="K7" t="s">
        <v>32</v>
      </c>
      <c r="L7" t="str">
        <f>_xll.BDP(K7, "SWAP_EFFECTIVE_DATE_RT")</f>
        <v>11/1/2025</v>
      </c>
      <c r="M7" s="6" cm="1">
        <f t="array" ref="M7">DATEVALUE((_xll.BDP(K7,"MATURITY")))</f>
        <v>46327</v>
      </c>
      <c r="N7">
        <v>335.20979999999997</v>
      </c>
    </row>
    <row r="8" spans="2:15" x14ac:dyDescent="0.25">
      <c r="E8" s="2">
        <v>46053</v>
      </c>
      <c r="F8">
        <v>325.25200000000001</v>
      </c>
      <c r="J8" t="s">
        <v>52</v>
      </c>
      <c r="K8" t="s">
        <v>33</v>
      </c>
      <c r="L8" t="str">
        <f>_xll.BDP(K8, "SWAP_EFFECTIVE_DATE_RT")</f>
        <v>12/1/2025</v>
      </c>
      <c r="M8" s="6" cm="1">
        <f t="array" ref="M8">DATEVALUE((_xll.BDP(K8,"MATURITY")))</f>
        <v>46357</v>
      </c>
      <c r="N8">
        <v>335.80990000000003</v>
      </c>
    </row>
    <row r="9" spans="2:15" x14ac:dyDescent="0.25">
      <c r="B9" t="s">
        <v>39</v>
      </c>
      <c r="C9" s="1">
        <v>45807</v>
      </c>
      <c r="E9" s="5">
        <v>46022</v>
      </c>
      <c r="F9">
        <v>324.05399999999997</v>
      </c>
      <c r="J9" t="s">
        <v>53</v>
      </c>
      <c r="K9" t="s">
        <v>34</v>
      </c>
      <c r="L9" t="str">
        <f>_xll.BDP(K9, "SWAP_EFFECTIVE_DATE_RT")</f>
        <v>1/1/2026</v>
      </c>
      <c r="M9" s="6" cm="1">
        <f t="array" ref="M9">DATEVALUE((_xll.BDP(K9,"MATURITY")))</f>
        <v>46388</v>
      </c>
      <c r="N9">
        <v>335.72</v>
      </c>
    </row>
    <row r="10" spans="2:15" x14ac:dyDescent="0.25">
      <c r="B10" t="s">
        <v>40</v>
      </c>
      <c r="C10" s="1">
        <v>46233</v>
      </c>
      <c r="E10" s="5">
        <v>45991</v>
      </c>
      <c r="F10">
        <v>324.12200000000001</v>
      </c>
      <c r="J10" t="s">
        <v>54</v>
      </c>
      <c r="K10" t="s">
        <v>35</v>
      </c>
      <c r="L10" t="str">
        <f>_xll.BDP(K10, "SWAP_EFFECTIVE_DATE_RT")</f>
        <v>2/1/2026</v>
      </c>
      <c r="M10" s="6" cm="1">
        <f t="array" ref="M10">DATEVALUE((_xll.BDP(K10,"MATURITY")))</f>
        <v>46419</v>
      </c>
      <c r="N10">
        <v>335.34</v>
      </c>
    </row>
    <row r="11" spans="2:15" x14ac:dyDescent="0.25">
      <c r="B11" t="s">
        <v>41</v>
      </c>
      <c r="C11" t="s">
        <v>42</v>
      </c>
      <c r="E11" s="5">
        <v>45930</v>
      </c>
      <c r="F11">
        <v>324.8</v>
      </c>
      <c r="J11" s="7" t="s">
        <v>55</v>
      </c>
      <c r="K11" s="7" t="s">
        <v>36</v>
      </c>
      <c r="L11" s="7" t="str">
        <f>_xll.BDP(K11, "SWAP_EFFECTIVE_DATE_RT")</f>
        <v>3/1/2026</v>
      </c>
      <c r="M11" s="8" cm="1">
        <f t="array" ref="M11">DATEVALUE((_xll.BDP(K11,"MATURITY")))</f>
        <v>46447</v>
      </c>
      <c r="N11" s="7">
        <v>335.44</v>
      </c>
    </row>
    <row r="12" spans="2:15" x14ac:dyDescent="0.25">
      <c r="E12" s="5">
        <v>45900</v>
      </c>
      <c r="F12">
        <v>323.976</v>
      </c>
      <c r="J12" s="7" t="s">
        <v>44</v>
      </c>
      <c r="K12" s="7" t="s">
        <v>26</v>
      </c>
      <c r="L12" s="7" t="str">
        <f>_xll.BDP(K12, "SWAP_EFFECTIVE_DATE_RT")</f>
        <v>4/1/2026</v>
      </c>
      <c r="M12" s="8" cm="1">
        <f t="array" ref="M12">DATEVALUE((_xll.BDP(K12,"MATURITY")))</f>
        <v>46478</v>
      </c>
      <c r="N12" s="7">
        <v>336.76190000000003</v>
      </c>
    </row>
    <row r="13" spans="2:15" x14ac:dyDescent="0.25">
      <c r="E13" s="5">
        <v>45869</v>
      </c>
      <c r="F13">
        <v>323.048</v>
      </c>
      <c r="J13" s="7" t="s">
        <v>45</v>
      </c>
      <c r="K13" s="7" t="s">
        <v>27</v>
      </c>
      <c r="L13" s="7" t="str">
        <f>_xll.BDP(K13, "SWAP_EFFECTIVE_DATE_RT")</f>
        <v>5/1/2026</v>
      </c>
      <c r="M13" s="8" cm="1">
        <f t="array" ref="M13">DATEVALUE((_xll.BDP(K13,"MATURITY")))</f>
        <v>46508</v>
      </c>
      <c r="N13" s="7">
        <v>337.98</v>
      </c>
    </row>
    <row r="14" spans="2:15" x14ac:dyDescent="0.25">
      <c r="E14" s="5">
        <v>45838</v>
      </c>
      <c r="F14">
        <v>322.56099999999998</v>
      </c>
      <c r="J14" s="7" t="s">
        <v>46</v>
      </c>
      <c r="K14" s="7" t="s">
        <v>28</v>
      </c>
      <c r="L14" s="7" t="str">
        <f>_xll.BDP(K14, "SWAP_EFFECTIVE_DATE_RT")</f>
        <v>6/1/2026</v>
      </c>
      <c r="M14" s="8" cm="1">
        <f t="array" ref="M14">DATEVALUE((_xll.BDP(K14,"MATURITY")))</f>
        <v>46539</v>
      </c>
      <c r="N14" s="7">
        <v>339.44</v>
      </c>
    </row>
    <row r="15" spans="2:15" x14ac:dyDescent="0.25">
      <c r="E15" s="5">
        <v>45808</v>
      </c>
      <c r="F15">
        <v>321.46499999999997</v>
      </c>
      <c r="J15" s="7" t="s">
        <v>47</v>
      </c>
      <c r="K15" s="7" t="s">
        <v>29</v>
      </c>
      <c r="L15" s="7" t="str">
        <f>_xll.BDP(K15, "SWAP_EFFECTIVE_DATE_RT")</f>
        <v>7/1/2026</v>
      </c>
      <c r="M15" s="8" cm="1">
        <f t="array" ref="M15">DATEVALUE((_xll.BDP(K15,"MATURITY")))</f>
        <v>46569</v>
      </c>
      <c r="N15" s="7">
        <v>340.55</v>
      </c>
    </row>
    <row r="16" spans="2:15" x14ac:dyDescent="0.25">
      <c r="E16" s="5"/>
      <c r="J16" s="7" t="s">
        <v>48</v>
      </c>
      <c r="K16" s="7" t="s">
        <v>25</v>
      </c>
      <c r="L16" s="7" t="str">
        <f>_xll.BDP(K16, "SWAP_EFFECTIVE_DATE_RT")</f>
        <v>8/1/2026</v>
      </c>
      <c r="M16" s="8" cm="1">
        <f t="array" ref="M16">DATEVALUE((_xll.BDP(K16,"MATURITY")))</f>
        <v>46600</v>
      </c>
      <c r="N16" s="7">
        <v>341.46</v>
      </c>
    </row>
    <row r="19" spans="1:15" x14ac:dyDescent="0.25">
      <c r="J19">
        <v>1</v>
      </c>
      <c r="K19" t="s">
        <v>2</v>
      </c>
      <c r="L19">
        <v>2.3849999999999998</v>
      </c>
      <c r="M19" s="2">
        <f>$C$2+2</f>
        <v>46198</v>
      </c>
      <c r="N19" t="str">
        <f>_xll.BDP(K19, "MATURITY")</f>
        <v>6/24/2027</v>
      </c>
      <c r="O19" s="4">
        <f>$C$20*(1+L19/100)^J19</f>
        <v>340.1961411466666</v>
      </c>
    </row>
    <row r="20" spans="1:15" x14ac:dyDescent="0.25">
      <c r="A20">
        <f>B20-$C$2</f>
        <v>0</v>
      </c>
      <c r="B20" s="6">
        <f>C2</f>
        <v>46196</v>
      </c>
      <c r="C20" s="3">
        <f>F6+(DAY(C2)-1)/30*(F5-F6)</f>
        <v>332.27146666666664</v>
      </c>
      <c r="E20" s="3">
        <v>0</v>
      </c>
      <c r="F20" s="2">
        <f>E20+$C$2</f>
        <v>46196</v>
      </c>
      <c r="G20">
        <v>332.27146666666664</v>
      </c>
      <c r="J20">
        <f>J19+1</f>
        <v>2</v>
      </c>
      <c r="K20" t="s">
        <v>3</v>
      </c>
      <c r="L20">
        <v>2.4462000000000002</v>
      </c>
      <c r="M20" s="2">
        <f>$C$2+2</f>
        <v>46198</v>
      </c>
      <c r="N20" t="str">
        <f>_xll.BDP(K20, "MATURITY")</f>
        <v>6/24/2028</v>
      </c>
      <c r="O20" s="4">
        <f>$C$20*(1+L20/100)^J20</f>
        <v>348.7263436400624</v>
      </c>
    </row>
    <row r="21" spans="1:15" x14ac:dyDescent="0.25">
      <c r="A21">
        <f t="shared" ref="A21:A43" si="0">B21-$C$2</f>
        <v>70</v>
      </c>
      <c r="B21" s="6">
        <f>(M5)</f>
        <v>46266</v>
      </c>
      <c r="C21">
        <f>N5</f>
        <v>334.85</v>
      </c>
      <c r="E21" s="3">
        <f>E20+100</f>
        <v>100</v>
      </c>
      <c r="F21" s="4">
        <f>E21+$C$2</f>
        <v>46296</v>
      </c>
      <c r="G21">
        <v>334.74</v>
      </c>
      <c r="H21">
        <f>EXP(LN(G21/$G$20)*1/((F21-$F$20)/365))-1</f>
        <v>2.7384847376878518E-2</v>
      </c>
      <c r="J21">
        <f t="shared" ref="J21:J29" si="1">J20+1</f>
        <v>3</v>
      </c>
      <c r="K21" t="s">
        <v>4</v>
      </c>
      <c r="L21">
        <v>2.448</v>
      </c>
      <c r="M21" s="2">
        <f>$C$2+2</f>
        <v>46198</v>
      </c>
      <c r="N21" t="str">
        <f>_xll.BDP(K21, "MATURITY")</f>
        <v>6/24/2029</v>
      </c>
      <c r="O21">
        <f>$C$20*(1+L21/100)^J21</f>
        <v>357.27571901161247</v>
      </c>
    </row>
    <row r="22" spans="1:15" x14ac:dyDescent="0.25">
      <c r="A22">
        <f t="shared" si="0"/>
        <v>100</v>
      </c>
      <c r="B22" s="6">
        <f t="shared" ref="B22:B32" si="2">(M6)</f>
        <v>46296</v>
      </c>
      <c r="C22">
        <f>N6</f>
        <v>334.74</v>
      </c>
      <c r="E22" s="3">
        <f t="shared" ref="E22:E85" si="3">E21+100</f>
        <v>200</v>
      </c>
      <c r="F22" s="2">
        <f t="shared" ref="F22:F84" si="4">E22+$C$2</f>
        <v>46396</v>
      </c>
      <c r="G22">
        <v>335.62186247534845</v>
      </c>
      <c r="H22">
        <f>EXP(LN(G22/$G$20)*1/((F22-$F$20)/365))-1</f>
        <v>1.8478534491791931E-2</v>
      </c>
      <c r="J22">
        <f t="shared" si="1"/>
        <v>4</v>
      </c>
      <c r="K22" t="s">
        <v>5</v>
      </c>
      <c r="L22">
        <v>2.4422999999999999</v>
      </c>
      <c r="M22" s="2">
        <f>$C$2+2</f>
        <v>46198</v>
      </c>
      <c r="N22" t="str">
        <f>_xll.BDP(K22, "MATURITY")</f>
        <v>6/24/2030</v>
      </c>
      <c r="O22">
        <f>$C$20*(1+L22/100)^J22</f>
        <v>365.9403765471402</v>
      </c>
    </row>
    <row r="23" spans="1:15" x14ac:dyDescent="0.25">
      <c r="A23">
        <f t="shared" si="0"/>
        <v>131</v>
      </c>
      <c r="B23" s="6">
        <f t="shared" si="2"/>
        <v>46327</v>
      </c>
      <c r="C23">
        <f>N7</f>
        <v>335.20979999999997</v>
      </c>
      <c r="E23" s="3">
        <f t="shared" si="3"/>
        <v>300</v>
      </c>
      <c r="F23" s="2">
        <f t="shared" si="4"/>
        <v>46496</v>
      </c>
      <c r="G23">
        <v>337.49438674555205</v>
      </c>
      <c r="H23">
        <f>EXP(LN(G23/$G$20)*1/((F23-$F$20)/365))-1</f>
        <v>1.9157015564772228E-2</v>
      </c>
      <c r="J23">
        <f t="shared" si="1"/>
        <v>5</v>
      </c>
      <c r="K23" t="s">
        <v>1</v>
      </c>
      <c r="L23">
        <v>2.4375</v>
      </c>
      <c r="M23" s="2">
        <f>$C$2+2</f>
        <v>46198</v>
      </c>
      <c r="N23" t="str">
        <f>_xll.BDP(K23, "MATURITY")</f>
        <v>6/24/2031</v>
      </c>
      <c r="O23">
        <f>$C$20*(1+L23/100)^J23</f>
        <v>374.7899209030528</v>
      </c>
    </row>
    <row r="24" spans="1:15" x14ac:dyDescent="0.25">
      <c r="A24">
        <f t="shared" si="0"/>
        <v>161</v>
      </c>
      <c r="B24" s="6">
        <f t="shared" si="2"/>
        <v>46357</v>
      </c>
      <c r="C24">
        <f>N8</f>
        <v>335.80990000000003</v>
      </c>
      <c r="E24" s="3">
        <f t="shared" si="3"/>
        <v>400</v>
      </c>
      <c r="F24" s="2">
        <f t="shared" si="4"/>
        <v>46596</v>
      </c>
      <c r="G24">
        <v>341.3488772233402</v>
      </c>
      <c r="H24">
        <f t="shared" ref="H22:H85" si="5">EXP(LN(G24/$G$20)*1/((F24-$F$20)/365))-1</f>
        <v>2.4899320225478139E-2</v>
      </c>
      <c r="J24">
        <f t="shared" si="1"/>
        <v>6</v>
      </c>
      <c r="K24" t="s">
        <v>6</v>
      </c>
      <c r="L24">
        <v>2.4247000000000001</v>
      </c>
      <c r="M24" s="2">
        <f>$C$2+2</f>
        <v>46198</v>
      </c>
      <c r="N24" t="str">
        <f>_xll.BDP(K24, "MATURITY")</f>
        <v>6/24/2032</v>
      </c>
      <c r="O24">
        <f>$C$20*(1+L24/100)^J24</f>
        <v>383.63767646748403</v>
      </c>
    </row>
    <row r="25" spans="1:15" x14ac:dyDescent="0.25">
      <c r="A25">
        <f t="shared" si="0"/>
        <v>192</v>
      </c>
      <c r="B25" s="6">
        <f t="shared" si="2"/>
        <v>46388</v>
      </c>
      <c r="C25">
        <f>N9</f>
        <v>335.72</v>
      </c>
      <c r="E25" s="3">
        <f t="shared" si="3"/>
        <v>500</v>
      </c>
      <c r="F25" s="2">
        <f t="shared" si="4"/>
        <v>46696</v>
      </c>
      <c r="G25">
        <v>343.87058416208174</v>
      </c>
      <c r="H25">
        <f t="shared" si="5"/>
        <v>2.5364893354783424E-2</v>
      </c>
      <c r="J25">
        <f t="shared" si="1"/>
        <v>7</v>
      </c>
      <c r="K25" t="s">
        <v>7</v>
      </c>
      <c r="L25">
        <v>2.4140000000000001</v>
      </c>
      <c r="M25" s="2">
        <f>$C$2+2</f>
        <v>46198</v>
      </c>
      <c r="N25" t="str">
        <f>_xll.BDP(K25, "MATURITY")</f>
        <v>6/24/2033</v>
      </c>
      <c r="O25">
        <f>$C$20*(1+L25/100)^J25</f>
        <v>392.65248462752112</v>
      </c>
    </row>
    <row r="26" spans="1:15" x14ac:dyDescent="0.25">
      <c r="A26">
        <f t="shared" si="0"/>
        <v>223</v>
      </c>
      <c r="B26" s="6">
        <f t="shared" si="2"/>
        <v>46419</v>
      </c>
      <c r="C26">
        <f>N10</f>
        <v>335.34</v>
      </c>
      <c r="E26" s="3">
        <f t="shared" si="3"/>
        <v>600</v>
      </c>
      <c r="F26" s="2">
        <f t="shared" si="4"/>
        <v>46796</v>
      </c>
      <c r="G26">
        <v>346.02396988565835</v>
      </c>
      <c r="H26">
        <f t="shared" si="5"/>
        <v>2.4978268716280949E-2</v>
      </c>
      <c r="J26">
        <f t="shared" si="1"/>
        <v>8</v>
      </c>
      <c r="K26" t="s">
        <v>8</v>
      </c>
      <c r="L26">
        <v>2.4041999999999999</v>
      </c>
      <c r="M26" s="2">
        <f>$C$2+2</f>
        <v>46198</v>
      </c>
      <c r="N26" t="str">
        <f>_xll.BDP(K26, "MATURITY")</f>
        <v>6/24/2034</v>
      </c>
      <c r="O26">
        <f>$C$20*(1+L26/100)^J26</f>
        <v>401.82337913888006</v>
      </c>
    </row>
    <row r="27" spans="1:15" x14ac:dyDescent="0.25">
      <c r="A27">
        <f t="shared" si="0"/>
        <v>251</v>
      </c>
      <c r="B27" s="6">
        <f t="shared" si="2"/>
        <v>46447</v>
      </c>
      <c r="C27">
        <f>N11</f>
        <v>335.44</v>
      </c>
      <c r="E27" s="3">
        <f t="shared" si="3"/>
        <v>700</v>
      </c>
      <c r="F27" s="2">
        <f t="shared" si="4"/>
        <v>46896</v>
      </c>
      <c r="G27">
        <v>348.05918425038112</v>
      </c>
      <c r="H27">
        <f t="shared" si="5"/>
        <v>2.4500148821220868E-2</v>
      </c>
      <c r="J27">
        <f t="shared" si="1"/>
        <v>9</v>
      </c>
      <c r="K27" t="s">
        <v>9</v>
      </c>
      <c r="L27">
        <v>2.4043999999999999</v>
      </c>
      <c r="M27" s="2">
        <f>$C$2+2</f>
        <v>46198</v>
      </c>
      <c r="N27" t="str">
        <f>_xll.BDP(K27, "MATURITY")</f>
        <v>6/24/2035</v>
      </c>
      <c r="O27">
        <f>$C$20*(1+L27/100)^J27</f>
        <v>411.49124969746589</v>
      </c>
    </row>
    <row r="28" spans="1:15" x14ac:dyDescent="0.25">
      <c r="A28">
        <f t="shared" si="0"/>
        <v>282</v>
      </c>
      <c r="B28" s="6">
        <f t="shared" si="2"/>
        <v>46478</v>
      </c>
      <c r="C28">
        <f>N12</f>
        <v>336.76190000000003</v>
      </c>
      <c r="E28" s="3">
        <f t="shared" si="3"/>
        <v>800</v>
      </c>
      <c r="F28" s="2">
        <f t="shared" si="4"/>
        <v>46996</v>
      </c>
      <c r="G28">
        <v>350.20946816788637</v>
      </c>
      <c r="H28">
        <f t="shared" si="5"/>
        <v>2.4279293918622935E-2</v>
      </c>
      <c r="J28">
        <f t="shared" si="1"/>
        <v>10</v>
      </c>
      <c r="K28" t="s">
        <v>10</v>
      </c>
      <c r="L28">
        <v>2.4089999999999998</v>
      </c>
      <c r="M28" s="2">
        <f>$C$2+2</f>
        <v>46198</v>
      </c>
      <c r="N28" t="str">
        <f>_xll.BDP(K28, "MATURITY")</f>
        <v>6/24/2036</v>
      </c>
      <c r="O28">
        <f>$C$20*(1+L28/100)^J28</f>
        <v>421.57446954685639</v>
      </c>
    </row>
    <row r="29" spans="1:15" x14ac:dyDescent="0.25">
      <c r="A29">
        <f t="shared" si="0"/>
        <v>312</v>
      </c>
      <c r="B29" s="6">
        <f t="shared" si="2"/>
        <v>46508</v>
      </c>
      <c r="C29">
        <f>N13</f>
        <v>337.98</v>
      </c>
      <c r="E29" s="3">
        <f t="shared" si="3"/>
        <v>900</v>
      </c>
      <c r="F29" s="2">
        <f t="shared" si="4"/>
        <v>47096</v>
      </c>
      <c r="G29">
        <v>352.52124694958951</v>
      </c>
      <c r="H29">
        <f t="shared" si="5"/>
        <v>2.428222072925923E-2</v>
      </c>
      <c r="J29">
        <v>15</v>
      </c>
      <c r="K29" t="s">
        <v>12</v>
      </c>
      <c r="L29">
        <v>2.3948999999999998</v>
      </c>
      <c r="M29" s="2">
        <f>$C$2+2</f>
        <v>46198</v>
      </c>
      <c r="N29" t="str">
        <f>_xll.BDP(K29, "MATURITY")</f>
        <v>6/24/2041</v>
      </c>
      <c r="O29">
        <f>$C$20*(1+L29/100)^J29</f>
        <v>473.87952173444626</v>
      </c>
    </row>
    <row r="30" spans="1:15" x14ac:dyDescent="0.25">
      <c r="A30">
        <f t="shared" si="0"/>
        <v>343</v>
      </c>
      <c r="B30" s="6">
        <f t="shared" si="2"/>
        <v>46539</v>
      </c>
      <c r="C30">
        <f>N14</f>
        <v>339.44</v>
      </c>
      <c r="E30" s="3">
        <f t="shared" si="3"/>
        <v>1000</v>
      </c>
      <c r="F30" s="2">
        <f t="shared" si="4"/>
        <v>47196</v>
      </c>
      <c r="G30">
        <v>354.92464430730519</v>
      </c>
      <c r="H30">
        <f t="shared" si="5"/>
        <v>2.4365006785709742E-2</v>
      </c>
      <c r="J30">
        <v>20</v>
      </c>
      <c r="K30" t="s">
        <v>56</v>
      </c>
      <c r="L30">
        <v>2.3734000000000002</v>
      </c>
      <c r="M30" s="2">
        <f>$C$2+2</f>
        <v>46198</v>
      </c>
      <c r="N30" t="str">
        <f>_xll.BDP(K30, "MATURITY")</f>
        <v>6/24/2046</v>
      </c>
      <c r="O30">
        <f>$C$20*(1+L30/100)^J30</f>
        <v>531.17251231920909</v>
      </c>
    </row>
    <row r="31" spans="1:15" x14ac:dyDescent="0.25">
      <c r="A31">
        <f t="shared" si="0"/>
        <v>373</v>
      </c>
      <c r="B31" s="6">
        <f t="shared" si="2"/>
        <v>46569</v>
      </c>
      <c r="C31">
        <f>N15</f>
        <v>340.55</v>
      </c>
      <c r="E31" s="3">
        <f t="shared" si="3"/>
        <v>1100</v>
      </c>
      <c r="F31" s="2">
        <f t="shared" si="4"/>
        <v>47296</v>
      </c>
      <c r="G31">
        <v>357.34802728133144</v>
      </c>
      <c r="H31">
        <f t="shared" si="5"/>
        <v>2.4436170201983298E-2</v>
      </c>
      <c r="J31">
        <v>25</v>
      </c>
      <c r="K31" t="s">
        <v>57</v>
      </c>
      <c r="L31">
        <v>2.3464999999999998</v>
      </c>
      <c r="M31" s="2">
        <f>$C$2+2</f>
        <v>46198</v>
      </c>
      <c r="N31" t="str">
        <f>_xll.BDP(K31, "MATURITY")</f>
        <v>6/24/2051</v>
      </c>
      <c r="O31">
        <f>$C$20*(1+L31/100)^J31</f>
        <v>593.3595471472031</v>
      </c>
    </row>
    <row r="32" spans="1:15" x14ac:dyDescent="0.25">
      <c r="A32">
        <f t="shared" si="0"/>
        <v>404</v>
      </c>
      <c r="B32" s="6">
        <f t="shared" si="2"/>
        <v>46600</v>
      </c>
      <c r="C32">
        <f>N16</f>
        <v>341.46</v>
      </c>
      <c r="E32" s="3">
        <f t="shared" si="3"/>
        <v>1200</v>
      </c>
      <c r="F32" s="2">
        <f t="shared" si="4"/>
        <v>47396</v>
      </c>
      <c r="G32">
        <v>359.73717069600121</v>
      </c>
      <c r="H32">
        <f t="shared" si="5"/>
        <v>2.4451488090129647E-2</v>
      </c>
      <c r="J32">
        <v>30</v>
      </c>
      <c r="K32" t="s">
        <v>58</v>
      </c>
      <c r="L32">
        <v>2.3519000000000001</v>
      </c>
      <c r="M32" s="2">
        <f>$C$2+2</f>
        <v>46198</v>
      </c>
      <c r="N32" t="str">
        <f>_xll.BDP(K32, "MATURITY")</f>
        <v>6/24/2056</v>
      </c>
      <c r="O32" s="4">
        <f>$C$20*(1+L32/100)^J32</f>
        <v>667.37559371732459</v>
      </c>
    </row>
    <row r="33" spans="1:12" x14ac:dyDescent="0.25">
      <c r="A33">
        <f t="shared" si="0"/>
        <v>732</v>
      </c>
      <c r="B33" s="6">
        <f>DATEVALUE(N20)</f>
        <v>46928</v>
      </c>
      <c r="C33">
        <f>$C$20*(1+L20/100)^J20</f>
        <v>348.7263436400624</v>
      </c>
      <c r="E33" s="3">
        <f t="shared" si="3"/>
        <v>1300</v>
      </c>
      <c r="F33" s="2">
        <f t="shared" si="4"/>
        <v>47496</v>
      </c>
      <c r="G33">
        <v>362.10149328458124</v>
      </c>
      <c r="H33">
        <f t="shared" si="5"/>
        <v>2.4432046816716291E-2</v>
      </c>
    </row>
    <row r="34" spans="1:12" x14ac:dyDescent="0.25">
      <c r="A34">
        <f t="shared" si="0"/>
        <v>1097</v>
      </c>
      <c r="B34" s="6">
        <f>DATEVALUE(N21)</f>
        <v>47293</v>
      </c>
      <c r="C34">
        <f>$C$20*(1+L21/100)^J21</f>
        <v>357.27571901161247</v>
      </c>
      <c r="E34" s="3">
        <f t="shared" si="3"/>
        <v>1400</v>
      </c>
      <c r="F34" s="2">
        <f t="shared" si="4"/>
        <v>47596</v>
      </c>
      <c r="G34">
        <v>364.46495463536507</v>
      </c>
      <c r="H34">
        <f t="shared" si="5"/>
        <v>2.4403365283840461E-2</v>
      </c>
    </row>
    <row r="35" spans="1:12" x14ac:dyDescent="0.25">
      <c r="A35">
        <f t="shared" si="0"/>
        <v>1462</v>
      </c>
      <c r="B35" s="6">
        <f>DATEVALUE(N22)</f>
        <v>47658</v>
      </c>
      <c r="C35">
        <f>$C$20*(1+L22/100)^J22</f>
        <v>365.9403765471402</v>
      </c>
      <c r="E35" s="3">
        <f t="shared" si="3"/>
        <v>1500</v>
      </c>
      <c r="F35" s="2">
        <f t="shared" si="4"/>
        <v>47696</v>
      </c>
      <c r="G35">
        <v>366.85115239931037</v>
      </c>
      <c r="H35">
        <f t="shared" si="5"/>
        <v>2.4383475571862157E-2</v>
      </c>
    </row>
    <row r="36" spans="1:12" x14ac:dyDescent="0.25">
      <c r="A36">
        <f t="shared" si="0"/>
        <v>1827</v>
      </c>
      <c r="B36" s="6">
        <f>DATEVALUE(N23)</f>
        <v>48023</v>
      </c>
      <c r="C36">
        <f>$C$20*(1+L23/100)^J23</f>
        <v>374.7899209030528</v>
      </c>
      <c r="E36" s="3">
        <f t="shared" si="3"/>
        <v>1600</v>
      </c>
      <c r="F36" s="2">
        <f t="shared" si="4"/>
        <v>47796</v>
      </c>
      <c r="G36">
        <v>369.26779713603781</v>
      </c>
      <c r="H36">
        <f t="shared" si="5"/>
        <v>2.4375453834470484E-2</v>
      </c>
      <c r="K36" t="s">
        <v>70</v>
      </c>
      <c r="L36" t="str">
        <f>_xll.BDP(K36, "PX_LAST")</f>
        <v>#N/A N/A</v>
      </c>
    </row>
    <row r="37" spans="1:12" x14ac:dyDescent="0.25">
      <c r="A37">
        <f t="shared" si="0"/>
        <v>2193</v>
      </c>
      <c r="B37" s="6">
        <f>DATEVALUE(N24)</f>
        <v>48389</v>
      </c>
      <c r="C37">
        <f>$C$20*(1+L24/100)^J24</f>
        <v>383.63767646748403</v>
      </c>
      <c r="E37" s="3">
        <f t="shared" si="3"/>
        <v>1700</v>
      </c>
      <c r="F37" s="2">
        <f t="shared" si="4"/>
        <v>47896</v>
      </c>
      <c r="G37">
        <v>371.70084427483357</v>
      </c>
      <c r="H37">
        <f t="shared" si="5"/>
        <v>2.4368661482838672E-2</v>
      </c>
    </row>
    <row r="38" spans="1:12" x14ac:dyDescent="0.25">
      <c r="A38">
        <f t="shared" si="0"/>
        <v>2558</v>
      </c>
      <c r="B38" s="6">
        <f>DATEVALUE(N25)</f>
        <v>48754</v>
      </c>
      <c r="C38">
        <f>$C$20*(1+L25/100)^J25</f>
        <v>392.65248462752112</v>
      </c>
      <c r="E38" s="3">
        <f t="shared" si="3"/>
        <v>1800</v>
      </c>
      <c r="F38" s="2">
        <f t="shared" si="4"/>
        <v>47996</v>
      </c>
      <c r="G38">
        <v>374.13467722644344</v>
      </c>
      <c r="H38">
        <f t="shared" si="5"/>
        <v>2.4354160039843142E-2</v>
      </c>
    </row>
    <row r="39" spans="1:12" x14ac:dyDescent="0.25">
      <c r="A39">
        <f t="shared" si="0"/>
        <v>2923</v>
      </c>
      <c r="B39" s="6">
        <f>DATEVALUE(N26)</f>
        <v>49119</v>
      </c>
      <c r="C39">
        <f>$C$20*(1+L26/100)^J26</f>
        <v>401.82337913888006</v>
      </c>
      <c r="E39" s="3">
        <f t="shared" si="3"/>
        <v>1900</v>
      </c>
      <c r="F39" s="2">
        <f t="shared" si="4"/>
        <v>48096</v>
      </c>
      <c r="G39">
        <v>376.55550010066582</v>
      </c>
      <c r="H39">
        <f t="shared" si="5"/>
        <v>2.4326059050560955E-2</v>
      </c>
    </row>
    <row r="40" spans="1:12" x14ac:dyDescent="0.25">
      <c r="A40">
        <f t="shared" si="0"/>
        <v>3288</v>
      </c>
      <c r="B40" s="6">
        <f>DATEVALUE(N27)</f>
        <v>49484</v>
      </c>
      <c r="C40" s="4">
        <f>$C$20*(1+L27/100)^J27</f>
        <v>411.49124969746589</v>
      </c>
      <c r="E40" s="3">
        <f t="shared" si="3"/>
        <v>2000</v>
      </c>
      <c r="F40" s="2">
        <f t="shared" si="4"/>
        <v>48196</v>
      </c>
      <c r="G40">
        <v>378.96646725087089</v>
      </c>
      <c r="H40">
        <f>EXP(LN(G40/$G$20)*1/((F40-$F$20)/365))-1</f>
        <v>2.4288181146742582E-2</v>
      </c>
    </row>
    <row r="41" spans="1:12" x14ac:dyDescent="0.25">
      <c r="A41">
        <f t="shared" si="0"/>
        <v>3654</v>
      </c>
      <c r="B41" s="6">
        <f>DATEVALUE(N28)</f>
        <v>49850</v>
      </c>
      <c r="C41">
        <f>$C$20*(1+L28/100)^J28</f>
        <v>421.57446954685639</v>
      </c>
      <c r="E41" s="3">
        <f t="shared" si="3"/>
        <v>2100</v>
      </c>
      <c r="F41" s="2">
        <f t="shared" si="4"/>
        <v>48296</v>
      </c>
      <c r="G41">
        <v>381.37995150085516</v>
      </c>
      <c r="H41">
        <f t="shared" si="5"/>
        <v>2.4247881238489422E-2</v>
      </c>
    </row>
    <row r="42" spans="1:12" x14ac:dyDescent="0.25">
      <c r="A42">
        <f t="shared" si="0"/>
        <v>5480</v>
      </c>
      <c r="B42" s="6">
        <f>DATEVALUE(N29)</f>
        <v>51676</v>
      </c>
      <c r="C42">
        <f>$C$20*(1+L29/100)^J29</f>
        <v>473.87952173444626</v>
      </c>
      <c r="E42" s="3">
        <f t="shared" si="3"/>
        <v>2200</v>
      </c>
      <c r="F42" s="2">
        <f t="shared" si="4"/>
        <v>48396</v>
      </c>
      <c r="G42">
        <v>383.80841664796043</v>
      </c>
      <c r="H42">
        <f t="shared" si="5"/>
        <v>2.4211073840396446E-2</v>
      </c>
    </row>
    <row r="43" spans="1:12" x14ac:dyDescent="0.25">
      <c r="A43">
        <f t="shared" si="0"/>
        <v>7306</v>
      </c>
      <c r="B43" s="6">
        <f>DATEVALUE(N30)</f>
        <v>53502</v>
      </c>
      <c r="C43">
        <f>$C$20*(1+L30/100)^J30</f>
        <v>531.17251231920909</v>
      </c>
      <c r="E43" s="3">
        <f t="shared" si="3"/>
        <v>2300</v>
      </c>
      <c r="F43" s="2">
        <f t="shared" si="4"/>
        <v>48496</v>
      </c>
      <c r="G43">
        <v>386.26023119155008</v>
      </c>
      <c r="H43">
        <f t="shared" si="5"/>
        <v>2.4180786575587421E-2</v>
      </c>
    </row>
    <row r="44" spans="1:12" x14ac:dyDescent="0.25">
      <c r="E44" s="3">
        <f t="shared" si="3"/>
        <v>2400</v>
      </c>
      <c r="F44" s="2">
        <f t="shared" si="4"/>
        <v>48596</v>
      </c>
      <c r="G44">
        <v>388.73047165609091</v>
      </c>
      <c r="H44">
        <f t="shared" si="5"/>
        <v>2.4154131293894432E-2</v>
      </c>
    </row>
    <row r="45" spans="1:12" x14ac:dyDescent="0.25">
      <c r="E45" s="3">
        <f t="shared" si="3"/>
        <v>2500</v>
      </c>
      <c r="F45" s="2">
        <f t="shared" si="4"/>
        <v>48696</v>
      </c>
      <c r="G45">
        <v>391.21152259933967</v>
      </c>
      <c r="H45">
        <f t="shared" si="5"/>
        <v>2.4127702857412947E-2</v>
      </c>
    </row>
    <row r="46" spans="1:12" x14ac:dyDescent="0.25">
      <c r="E46" s="3">
        <f t="shared" si="3"/>
        <v>2600</v>
      </c>
      <c r="F46" s="2">
        <f t="shared" si="4"/>
        <v>48796</v>
      </c>
      <c r="G46">
        <v>393.69603119392804</v>
      </c>
      <c r="H46">
        <f t="shared" si="5"/>
        <v>2.4098788090308521E-2</v>
      </c>
    </row>
    <row r="47" spans="1:12" x14ac:dyDescent="0.25">
      <c r="E47" s="3">
        <f t="shared" si="3"/>
        <v>2700</v>
      </c>
      <c r="F47" s="2">
        <f t="shared" si="4"/>
        <v>48896</v>
      </c>
      <c r="G47">
        <v>396.18574346218645</v>
      </c>
      <c r="H47">
        <f t="shared" si="5"/>
        <v>2.4068320728896753E-2</v>
      </c>
    </row>
    <row r="48" spans="1:12" x14ac:dyDescent="0.25">
      <c r="E48" s="3">
        <f t="shared" si="3"/>
        <v>2800</v>
      </c>
      <c r="F48" s="2">
        <f t="shared" si="4"/>
        <v>48996</v>
      </c>
      <c r="G48">
        <v>398.69362016767906</v>
      </c>
      <c r="H48">
        <f t="shared" si="5"/>
        <v>2.4040840565326294E-2</v>
      </c>
    </row>
    <row r="49" spans="5:8" x14ac:dyDescent="0.25">
      <c r="E49" s="3">
        <f t="shared" si="3"/>
        <v>2900</v>
      </c>
      <c r="F49" s="2">
        <f t="shared" si="4"/>
        <v>49096</v>
      </c>
      <c r="G49">
        <v>401.23331367468069</v>
      </c>
      <c r="H49">
        <f t="shared" si="5"/>
        <v>2.4020377211283472E-2</v>
      </c>
    </row>
    <row r="50" spans="5:8" x14ac:dyDescent="0.25">
      <c r="E50" s="3">
        <f t="shared" si="3"/>
        <v>3000</v>
      </c>
      <c r="F50" s="2">
        <f t="shared" si="4"/>
        <v>49196</v>
      </c>
      <c r="G50">
        <v>403.81706225877258</v>
      </c>
      <c r="H50">
        <f t="shared" si="5"/>
        <v>2.4009879517458588E-2</v>
      </c>
    </row>
    <row r="51" spans="5:8" x14ac:dyDescent="0.25">
      <c r="E51" s="3">
        <f t="shared" si="3"/>
        <v>3100</v>
      </c>
      <c r="F51" s="2">
        <f t="shared" si="4"/>
        <v>49296</v>
      </c>
      <c r="G51">
        <v>406.44558446163842</v>
      </c>
      <c r="H51">
        <f t="shared" si="5"/>
        <v>2.4008405618582529E-2</v>
      </c>
    </row>
    <row r="52" spans="5:8" x14ac:dyDescent="0.25">
      <c r="E52" s="3">
        <f t="shared" si="3"/>
        <v>3200</v>
      </c>
      <c r="F52" s="2">
        <f t="shared" si="4"/>
        <v>49396</v>
      </c>
      <c r="G52">
        <v>409.11398562697411</v>
      </c>
      <c r="H52">
        <f t="shared" si="5"/>
        <v>2.4013524639469042E-2</v>
      </c>
    </row>
    <row r="53" spans="5:8" x14ac:dyDescent="0.25">
      <c r="E53" s="3">
        <f t="shared" si="3"/>
        <v>3300</v>
      </c>
      <c r="F53" s="2">
        <f t="shared" si="4"/>
        <v>49496</v>
      </c>
      <c r="G53">
        <v>411.81733269469282</v>
      </c>
      <c r="H53">
        <f t="shared" si="5"/>
        <v>2.4023126600442257E-2</v>
      </c>
    </row>
    <row r="54" spans="5:8" x14ac:dyDescent="0.25">
      <c r="E54" s="3">
        <f t="shared" si="3"/>
        <v>3400</v>
      </c>
      <c r="F54" s="2">
        <f t="shared" si="4"/>
        <v>49596</v>
      </c>
      <c r="G54">
        <v>414.55011244906888</v>
      </c>
      <c r="H54">
        <f t="shared" si="5"/>
        <v>2.403523193485535E-2</v>
      </c>
    </row>
    <row r="55" spans="5:8" x14ac:dyDescent="0.25">
      <c r="E55" s="3">
        <f t="shared" si="3"/>
        <v>3500</v>
      </c>
      <c r="F55" s="2">
        <f t="shared" si="4"/>
        <v>49696</v>
      </c>
      <c r="G55">
        <v>417.30518543788594</v>
      </c>
      <c r="H55">
        <f t="shared" si="5"/>
        <v>2.404770995324701E-2</v>
      </c>
    </row>
    <row r="56" spans="5:8" x14ac:dyDescent="0.25">
      <c r="E56" s="3">
        <f t="shared" si="3"/>
        <v>3600</v>
      </c>
      <c r="F56" s="2">
        <f t="shared" si="4"/>
        <v>49796</v>
      </c>
      <c r="G56">
        <v>420.07512940828485</v>
      </c>
      <c r="H56">
        <f t="shared" si="5"/>
        <v>2.4058644874984436E-2</v>
      </c>
    </row>
    <row r="57" spans="5:8" x14ac:dyDescent="0.25">
      <c r="E57" s="3">
        <f t="shared" si="3"/>
        <v>3700</v>
      </c>
      <c r="F57" s="2">
        <f t="shared" si="4"/>
        <v>49896</v>
      </c>
      <c r="G57">
        <v>422.85265863085147</v>
      </c>
      <c r="H57">
        <f t="shared" si="5"/>
        <v>2.4066408465510447E-2</v>
      </c>
    </row>
    <row r="58" spans="5:8" x14ac:dyDescent="0.25">
      <c r="E58" s="3">
        <f t="shared" si="3"/>
        <v>3800</v>
      </c>
      <c r="F58" s="2">
        <f t="shared" si="4"/>
        <v>49996</v>
      </c>
      <c r="G58">
        <v>425.63430636343355</v>
      </c>
      <c r="H58">
        <f t="shared" si="5"/>
        <v>2.4070471173154306E-2</v>
      </c>
    </row>
    <row r="59" spans="5:8" x14ac:dyDescent="0.25">
      <c r="E59" s="3">
        <f t="shared" si="3"/>
        <v>3900</v>
      </c>
      <c r="F59" s="2">
        <f t="shared" si="4"/>
        <v>50096</v>
      </c>
      <c r="G59">
        <v>428.42084509245473</v>
      </c>
      <c r="H59">
        <f t="shared" si="5"/>
        <v>2.4071326187345976E-2</v>
      </c>
    </row>
    <row r="60" spans="5:8" x14ac:dyDescent="0.25">
      <c r="E60" s="3">
        <f t="shared" si="3"/>
        <v>4000</v>
      </c>
      <c r="F60" s="2">
        <f t="shared" si="4"/>
        <v>50196</v>
      </c>
      <c r="G60">
        <v>431.21326816329872</v>
      </c>
      <c r="H60">
        <f t="shared" si="5"/>
        <v>2.4069460320417901E-2</v>
      </c>
    </row>
    <row r="61" spans="5:8" x14ac:dyDescent="0.25">
      <c r="E61" s="3">
        <f t="shared" si="3"/>
        <v>4100</v>
      </c>
      <c r="F61" s="2">
        <f t="shared" si="4"/>
        <v>50296</v>
      </c>
      <c r="G61">
        <v>434.01256892134933</v>
      </c>
      <c r="H61">
        <f t="shared" si="5"/>
        <v>2.4065307007054448E-2</v>
      </c>
    </row>
    <row r="62" spans="5:8" x14ac:dyDescent="0.25">
      <c r="E62" s="3">
        <f t="shared" si="3"/>
        <v>4200</v>
      </c>
      <c r="F62" s="2">
        <f t="shared" si="4"/>
        <v>50396</v>
      </c>
      <c r="G62">
        <v>436.81974071199039</v>
      </c>
      <c r="H62">
        <f t="shared" si="5"/>
        <v>2.4059252801020836E-2</v>
      </c>
    </row>
    <row r="63" spans="5:8" x14ac:dyDescent="0.25">
      <c r="E63" s="3">
        <f t="shared" si="3"/>
        <v>4300</v>
      </c>
      <c r="F63" s="2">
        <f t="shared" si="4"/>
        <v>50496</v>
      </c>
      <c r="G63">
        <v>439.63577688060565</v>
      </c>
      <c r="H63">
        <f t="shared" si="5"/>
        <v>2.4051642958267117E-2</v>
      </c>
    </row>
    <row r="64" spans="5:8" x14ac:dyDescent="0.25">
      <c r="E64" s="3">
        <f t="shared" si="3"/>
        <v>4400</v>
      </c>
      <c r="F64" s="2">
        <f t="shared" si="4"/>
        <v>50596</v>
      </c>
      <c r="G64">
        <v>442.46167077257888</v>
      </c>
      <c r="H64">
        <f t="shared" si="5"/>
        <v>2.4042786251980086E-2</v>
      </c>
    </row>
    <row r="65" spans="5:8" x14ac:dyDescent="0.25">
      <c r="E65" s="3">
        <f t="shared" si="3"/>
        <v>4500</v>
      </c>
      <c r="F65" s="2">
        <f t="shared" si="4"/>
        <v>50696</v>
      </c>
      <c r="G65">
        <v>445.29841573329401</v>
      </c>
      <c r="H65">
        <f t="shared" si="5"/>
        <v>2.4032959139303145E-2</v>
      </c>
    </row>
    <row r="66" spans="5:8" x14ac:dyDescent="0.25">
      <c r="E66" s="3">
        <f t="shared" si="3"/>
        <v>4600</v>
      </c>
      <c r="F66" s="2">
        <f t="shared" si="4"/>
        <v>50796</v>
      </c>
      <c r="G66">
        <v>448.14700510813464</v>
      </c>
      <c r="H66">
        <f t="shared" si="5"/>
        <v>2.4022409378635867E-2</v>
      </c>
    </row>
    <row r="67" spans="5:8" x14ac:dyDescent="0.25">
      <c r="E67" s="3">
        <f t="shared" si="3"/>
        <v>4700</v>
      </c>
      <c r="F67" s="2">
        <f t="shared" si="4"/>
        <v>50896</v>
      </c>
      <c r="G67">
        <v>451.00843224248473</v>
      </c>
      <c r="H67">
        <f t="shared" si="5"/>
        <v>2.4011359179606728E-2</v>
      </c>
    </row>
    <row r="68" spans="5:8" x14ac:dyDescent="0.25">
      <c r="E68" s="3">
        <f t="shared" si="3"/>
        <v>4800</v>
      </c>
      <c r="F68" s="2">
        <f t="shared" si="4"/>
        <v>50996</v>
      </c>
      <c r="G68">
        <v>453.88369048172802</v>
      </c>
      <c r="H68">
        <f t="shared" si="5"/>
        <v>2.400000795412538E-2</v>
      </c>
    </row>
    <row r="69" spans="5:8" x14ac:dyDescent="0.25">
      <c r="E69" s="3">
        <f t="shared" si="3"/>
        <v>4900</v>
      </c>
      <c r="F69" s="2">
        <f t="shared" si="4"/>
        <v>51096</v>
      </c>
      <c r="G69">
        <v>456.77377317124831</v>
      </c>
      <c r="H69">
        <f t="shared" si="5"/>
        <v>2.3988534725766009E-2</v>
      </c>
    </row>
    <row r="70" spans="5:8" x14ac:dyDescent="0.25">
      <c r="E70" s="3">
        <f t="shared" si="3"/>
        <v>5000</v>
      </c>
      <c r="F70" s="2">
        <f t="shared" si="4"/>
        <v>51196</v>
      </c>
      <c r="G70">
        <v>459.67967365642937</v>
      </c>
      <c r="H70">
        <f t="shared" si="5"/>
        <v>2.3977100245558214E-2</v>
      </c>
    </row>
    <row r="71" spans="5:8" x14ac:dyDescent="0.25">
      <c r="E71" s="3">
        <f t="shared" si="3"/>
        <v>5100</v>
      </c>
      <c r="F71" s="2">
        <f t="shared" si="4"/>
        <v>51296</v>
      </c>
      <c r="G71">
        <v>462.60238528265501</v>
      </c>
      <c r="H71">
        <f t="shared" si="5"/>
        <v>2.3965848854731853E-2</v>
      </c>
    </row>
    <row r="72" spans="5:8" x14ac:dyDescent="0.25">
      <c r="E72" s="3">
        <f t="shared" si="3"/>
        <v>5200</v>
      </c>
      <c r="F72" s="2">
        <f t="shared" si="4"/>
        <v>51396</v>
      </c>
      <c r="G72">
        <v>465.54290139530906</v>
      </c>
      <c r="H72">
        <f t="shared" si="5"/>
        <v>2.395491012870532E-2</v>
      </c>
    </row>
    <row r="73" spans="5:8" x14ac:dyDescent="0.25">
      <c r="E73" s="3">
        <f t="shared" si="3"/>
        <v>5300</v>
      </c>
      <c r="F73" s="2">
        <f t="shared" si="4"/>
        <v>51496</v>
      </c>
      <c r="G73">
        <v>468.50221533977526</v>
      </c>
      <c r="H73">
        <f t="shared" si="5"/>
        <v>2.3944400331437965E-2</v>
      </c>
    </row>
    <row r="74" spans="5:8" x14ac:dyDescent="0.25">
      <c r="E74" s="3">
        <f t="shared" si="3"/>
        <v>5400</v>
      </c>
      <c r="F74" s="2">
        <f t="shared" si="4"/>
        <v>51596</v>
      </c>
      <c r="G74">
        <v>471.48132046143746</v>
      </c>
      <c r="H74">
        <f t="shared" si="5"/>
        <v>2.3934423704941477E-2</v>
      </c>
    </row>
    <row r="75" spans="5:8" x14ac:dyDescent="0.25">
      <c r="E75" s="3">
        <f t="shared" si="3"/>
        <v>5500</v>
      </c>
      <c r="F75" s="2">
        <f t="shared" si="4"/>
        <v>51696</v>
      </c>
      <c r="G75">
        <v>474.48120720551987</v>
      </c>
      <c r="H75">
        <f t="shared" si="5"/>
        <v>2.3925073199792868E-2</v>
      </c>
    </row>
    <row r="76" spans="5:8" x14ac:dyDescent="0.25">
      <c r="E76" s="3">
        <f t="shared" si="3"/>
        <v>5600</v>
      </c>
      <c r="F76" s="2">
        <f t="shared" si="4"/>
        <v>51796</v>
      </c>
      <c r="G76">
        <v>477.50225118341342</v>
      </c>
      <c r="H76">
        <f t="shared" si="5"/>
        <v>2.3916346019519752E-2</v>
      </c>
    </row>
    <row r="77" spans="5:8" x14ac:dyDescent="0.25">
      <c r="E77" s="3">
        <f t="shared" si="3"/>
        <v>5700</v>
      </c>
      <c r="F77" s="2">
        <f t="shared" si="4"/>
        <v>51896</v>
      </c>
      <c r="G77">
        <v>480.54345623102267</v>
      </c>
      <c r="H77">
        <f t="shared" si="5"/>
        <v>2.3908051463560342E-2</v>
      </c>
    </row>
    <row r="78" spans="5:8" x14ac:dyDescent="0.25">
      <c r="E78" s="3">
        <f t="shared" si="3"/>
        <v>5800</v>
      </c>
      <c r="F78" s="2">
        <f t="shared" si="4"/>
        <v>51996</v>
      </c>
      <c r="G78">
        <v>483.60364057403837</v>
      </c>
      <c r="H78">
        <f t="shared" si="5"/>
        <v>2.3899991014330935E-2</v>
      </c>
    </row>
    <row r="79" spans="5:8" x14ac:dyDescent="0.25">
      <c r="E79" s="3">
        <f t="shared" si="3"/>
        <v>5900</v>
      </c>
      <c r="F79" s="2">
        <f t="shared" si="4"/>
        <v>52096</v>
      </c>
      <c r="G79">
        <v>486.68162243815129</v>
      </c>
      <c r="H79">
        <f t="shared" si="5"/>
        <v>2.3891983870290012E-2</v>
      </c>
    </row>
    <row r="80" spans="5:8" x14ac:dyDescent="0.25">
      <c r="E80" s="3">
        <f t="shared" si="3"/>
        <v>6000</v>
      </c>
      <c r="F80" s="2">
        <f t="shared" si="4"/>
        <v>52196</v>
      </c>
      <c r="G80">
        <v>489.77622004905226</v>
      </c>
      <c r="H80">
        <f t="shared" si="5"/>
        <v>2.3883865400651461E-2</v>
      </c>
    </row>
    <row r="81" spans="5:8" x14ac:dyDescent="0.25">
      <c r="E81" s="3">
        <f t="shared" si="3"/>
        <v>6100</v>
      </c>
      <c r="F81" s="2">
        <f t="shared" si="4"/>
        <v>52296</v>
      </c>
      <c r="G81">
        <v>492.88625163243194</v>
      </c>
      <c r="H81">
        <f t="shared" si="5"/>
        <v>2.3875485749137448E-2</v>
      </c>
    </row>
    <row r="82" spans="5:8" x14ac:dyDescent="0.25">
      <c r="E82" s="3">
        <f t="shared" si="3"/>
        <v>6200</v>
      </c>
      <c r="F82" s="2">
        <f t="shared" si="4"/>
        <v>52396</v>
      </c>
      <c r="G82">
        <v>496.01053541398107</v>
      </c>
      <c r="H82">
        <f t="shared" si="5"/>
        <v>2.3866708570231987E-2</v>
      </c>
    </row>
    <row r="83" spans="5:8" x14ac:dyDescent="0.25">
      <c r="E83" s="3">
        <f t="shared" si="3"/>
        <v>6300</v>
      </c>
      <c r="F83" s="2">
        <f t="shared" si="4"/>
        <v>52496</v>
      </c>
      <c r="G83">
        <v>499.14788961939047</v>
      </c>
      <c r="H83">
        <f t="shared" si="5"/>
        <v>2.385740988349605E-2</v>
      </c>
    </row>
    <row r="84" spans="5:8" x14ac:dyDescent="0.25">
      <c r="E84" s="3">
        <f t="shared" si="3"/>
        <v>6400</v>
      </c>
      <c r="F84" s="2">
        <f t="shared" si="4"/>
        <v>52596</v>
      </c>
      <c r="G84">
        <v>502.29713247435086</v>
      </c>
      <c r="H84">
        <f t="shared" si="5"/>
        <v>2.3847477033282383E-2</v>
      </c>
    </row>
    <row r="85" spans="5:8" x14ac:dyDescent="0.25">
      <c r="E85" s="3">
        <f t="shared" si="3"/>
        <v>6500</v>
      </c>
      <c r="F85" s="2">
        <f t="shared" ref="F85:F93" si="6">E85+$C$2</f>
        <v>52696</v>
      </c>
      <c r="G85">
        <v>505.45708220455305</v>
      </c>
      <c r="H85">
        <f t="shared" si="5"/>
        <v>2.3836807742752875E-2</v>
      </c>
    </row>
    <row r="86" spans="5:8" x14ac:dyDescent="0.25">
      <c r="E86" s="3">
        <f t="shared" ref="E86:E93" si="7">E85+100</f>
        <v>6600</v>
      </c>
      <c r="F86" s="2">
        <f t="shared" si="6"/>
        <v>52796</v>
      </c>
      <c r="G86">
        <v>508.62655703568771</v>
      </c>
      <c r="H86">
        <f t="shared" ref="H86:H93" si="8">EXP(LN(G86/$G$20)*1/((F86-$F$20)/365))-1</f>
        <v>2.3825309252418769E-2</v>
      </c>
    </row>
    <row r="87" spans="5:8" x14ac:dyDescent="0.25">
      <c r="E87" s="3">
        <f t="shared" si="7"/>
        <v>6700</v>
      </c>
      <c r="F87" s="2">
        <f t="shared" si="6"/>
        <v>52896</v>
      </c>
      <c r="G87">
        <v>511.80437519344565</v>
      </c>
      <c r="H87">
        <f t="shared" si="8"/>
        <v>2.3812897534588373E-2</v>
      </c>
    </row>
    <row r="88" spans="5:8" x14ac:dyDescent="0.25">
      <c r="E88" s="3">
        <f t="shared" si="7"/>
        <v>6800</v>
      </c>
      <c r="F88" s="2">
        <f t="shared" si="6"/>
        <v>52996</v>
      </c>
      <c r="G88">
        <v>514.98935490351766</v>
      </c>
      <c r="H88">
        <f t="shared" si="8"/>
        <v>2.3799496576108581E-2</v>
      </c>
    </row>
    <row r="89" spans="5:8" x14ac:dyDescent="0.25">
      <c r="E89" s="3">
        <f t="shared" si="7"/>
        <v>6900</v>
      </c>
      <c r="F89" s="2">
        <f t="shared" si="6"/>
        <v>53096</v>
      </c>
      <c r="G89">
        <v>518.18031439159438</v>
      </c>
      <c r="H89">
        <f t="shared" si="8"/>
        <v>2.3785037722649394E-2</v>
      </c>
    </row>
    <row r="90" spans="5:8" x14ac:dyDescent="0.25">
      <c r="E90" s="3">
        <f t="shared" si="7"/>
        <v>7000</v>
      </c>
      <c r="F90" s="2">
        <f t="shared" si="6"/>
        <v>53196</v>
      </c>
      <c r="G90">
        <v>521.37607188336665</v>
      </c>
      <c r="H90">
        <f t="shared" si="8"/>
        <v>2.3769459078553323E-2</v>
      </c>
    </row>
    <row r="91" spans="5:8" x14ac:dyDescent="0.25">
      <c r="E91" s="3">
        <f t="shared" si="7"/>
        <v>7100</v>
      </c>
      <c r="F91" s="2">
        <f t="shared" si="6"/>
        <v>53296</v>
      </c>
      <c r="G91">
        <v>524.57544560452527</v>
      </c>
      <c r="H91">
        <f t="shared" si="8"/>
        <v>2.3752704956920834E-2</v>
      </c>
    </row>
    <row r="92" spans="5:8" x14ac:dyDescent="0.25">
      <c r="E92" s="3">
        <f t="shared" si="7"/>
        <v>7200</v>
      </c>
      <c r="F92" s="2">
        <f t="shared" si="6"/>
        <v>53396</v>
      </c>
      <c r="G92">
        <v>527.77725378076082</v>
      </c>
      <c r="H92">
        <f t="shared" si="8"/>
        <v>2.3734725375194277E-2</v>
      </c>
    </row>
    <row r="93" spans="5:8" x14ac:dyDescent="0.25">
      <c r="E93" s="3">
        <f t="shared" si="7"/>
        <v>7300</v>
      </c>
      <c r="F93" s="2">
        <f t="shared" si="6"/>
        <v>53496</v>
      </c>
      <c r="G93">
        <v>530.98031463776431</v>
      </c>
      <c r="H93">
        <f t="shared" si="8"/>
        <v>2.371547559200593E-2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94FC-453F-4115-A5CD-96A2F7AEDCB6}">
  <dimension ref="A1:I162"/>
  <sheetViews>
    <sheetView topLeftCell="A11" zoomScaleNormal="100" workbookViewId="0">
      <selection activeCell="A65" sqref="A65"/>
    </sheetView>
  </sheetViews>
  <sheetFormatPr defaultRowHeight="15" x14ac:dyDescent="0.25"/>
  <cols>
    <col min="1" max="1" width="17.5703125" bestFit="1" customWidth="1"/>
    <col min="2" max="2" width="34.85546875" bestFit="1" customWidth="1"/>
    <col min="5" max="5" width="16.140625" bestFit="1" customWidth="1"/>
    <col min="6" max="6" width="25.28515625" bestFit="1" customWidth="1"/>
    <col min="7" max="7" width="22.42578125" bestFit="1" customWidth="1"/>
    <col min="8" max="8" width="42.5703125" bestFit="1" customWidth="1"/>
    <col min="9" max="9" width="9" bestFit="1" customWidth="1"/>
    <col min="10" max="10" width="16.28515625" bestFit="1" customWidth="1"/>
    <col min="11" max="11" width="25.5703125" bestFit="1" customWidth="1"/>
    <col min="12" max="12" width="16.5703125" bestFit="1" customWidth="1"/>
    <col min="13" max="13" width="34.42578125" bestFit="1" customWidth="1"/>
    <col min="14" max="14" width="26.140625" bestFit="1" customWidth="1"/>
    <col min="16" max="16" width="23" customWidth="1"/>
    <col min="17" max="17" width="15.140625" bestFit="1" customWidth="1"/>
    <col min="18" max="18" width="18.7109375" bestFit="1" customWidth="1"/>
  </cols>
  <sheetData>
    <row r="1" spans="1:9" x14ac:dyDescent="0.25">
      <c r="A1" s="9" t="s">
        <v>38</v>
      </c>
      <c r="B1" s="9" t="s">
        <v>481</v>
      </c>
    </row>
    <row r="2" spans="1:9" x14ac:dyDescent="0.25">
      <c r="A2" s="11" t="s">
        <v>205</v>
      </c>
      <c r="B2" s="11" t="s">
        <v>204</v>
      </c>
      <c r="C2" t="str">
        <f>_xll.BDP(A2, "PX_LAST")</f>
        <v>#N/A N/A</v>
      </c>
      <c r="G2" s="14" t="s">
        <v>31</v>
      </c>
      <c r="H2" s="14" t="s">
        <v>459</v>
      </c>
      <c r="I2">
        <f>_xll.BDP(G2, "PX_LAST")</f>
        <v>334.74</v>
      </c>
    </row>
    <row r="3" spans="1:9" x14ac:dyDescent="0.25">
      <c r="A3" s="11" t="s">
        <v>273</v>
      </c>
      <c r="B3" s="11" t="s">
        <v>272</v>
      </c>
      <c r="C3" t="str">
        <f>_xll.BDP(A3, "PX_LAST")</f>
        <v>#N/A N/A</v>
      </c>
      <c r="G3" s="14" t="s">
        <v>33</v>
      </c>
      <c r="H3" s="14" t="s">
        <v>456</v>
      </c>
      <c r="I3">
        <f>_xll.BDP(G3, "PX_LAST")</f>
        <v>335.80990000000003</v>
      </c>
    </row>
    <row r="4" spans="1:9" x14ac:dyDescent="0.25">
      <c r="A4" s="11" t="s">
        <v>217</v>
      </c>
      <c r="B4" s="11" t="s">
        <v>216</v>
      </c>
      <c r="C4" t="str">
        <f>_xll.BDP(A4, "PX_LAST")</f>
        <v>#N/A N/A</v>
      </c>
      <c r="G4" s="14" t="s">
        <v>36</v>
      </c>
      <c r="H4" s="14" t="s">
        <v>453</v>
      </c>
      <c r="I4">
        <f>_xll.BDP(G4, "PX_LAST")</f>
        <v>335.44</v>
      </c>
    </row>
    <row r="5" spans="1:9" x14ac:dyDescent="0.25">
      <c r="A5" s="11" t="s">
        <v>359</v>
      </c>
      <c r="B5" s="11" t="s">
        <v>358</v>
      </c>
      <c r="C5" t="str">
        <f>_xll.BDP(A5, "PX_LAST")</f>
        <v>#N/A N/A</v>
      </c>
      <c r="G5" s="14" t="s">
        <v>29</v>
      </c>
      <c r="H5" s="14" t="s">
        <v>450</v>
      </c>
      <c r="I5">
        <f>_xll.BDP(G5, "PX_LAST")</f>
        <v>340.55</v>
      </c>
    </row>
    <row r="6" spans="1:9" x14ac:dyDescent="0.25">
      <c r="A6" s="11" t="s">
        <v>74</v>
      </c>
      <c r="B6" s="11" t="s">
        <v>73</v>
      </c>
      <c r="C6" t="str">
        <f>_xll.BDP(A6, "PX_LAST")</f>
        <v>#N/A N/A</v>
      </c>
      <c r="G6" s="14" t="s">
        <v>26</v>
      </c>
      <c r="H6" s="14" t="s">
        <v>447</v>
      </c>
      <c r="I6">
        <f>_xll.BDP(G6, "PX_LAST")</f>
        <v>336.76190000000003</v>
      </c>
    </row>
    <row r="7" spans="1:9" x14ac:dyDescent="0.25">
      <c r="A7" s="11" t="s">
        <v>72</v>
      </c>
      <c r="B7" s="11" t="s">
        <v>71</v>
      </c>
      <c r="C7" t="str">
        <f>_xll.BDP(A7, "PX_LAST")</f>
        <v>#N/A N/A</v>
      </c>
      <c r="G7" s="14" t="s">
        <v>30</v>
      </c>
      <c r="H7" s="14" t="s">
        <v>442</v>
      </c>
      <c r="I7">
        <f>_xll.BDP(G7, "PX_LAST")</f>
        <v>334.85</v>
      </c>
    </row>
    <row r="8" spans="1:9" x14ac:dyDescent="0.25">
      <c r="A8" s="12" t="s">
        <v>213</v>
      </c>
      <c r="B8" s="12" t="s">
        <v>212</v>
      </c>
      <c r="C8" t="str">
        <f>_xll.BDP(A8, "PX_LAST")</f>
        <v>#N/A N/A</v>
      </c>
      <c r="G8" s="14" t="s">
        <v>28</v>
      </c>
      <c r="H8" s="14" t="s">
        <v>437</v>
      </c>
      <c r="I8">
        <f>_xll.BDP(G8, "PX_LAST")</f>
        <v>339.44</v>
      </c>
    </row>
    <row r="9" spans="1:9" x14ac:dyDescent="0.25">
      <c r="A9" s="12" t="s">
        <v>209</v>
      </c>
      <c r="B9" s="12" t="s">
        <v>208</v>
      </c>
      <c r="C9" t="str">
        <f>_xll.BDP(A9, "PX_LAST")</f>
        <v>#N/A N/A</v>
      </c>
      <c r="G9" s="14" t="s">
        <v>25</v>
      </c>
      <c r="H9" s="14" t="s">
        <v>432</v>
      </c>
      <c r="I9">
        <f>_xll.BDP(G9, "PX_LAST")</f>
        <v>341.46</v>
      </c>
    </row>
    <row r="10" spans="1:9" x14ac:dyDescent="0.25">
      <c r="A10" s="12" t="s">
        <v>446</v>
      </c>
      <c r="B10" s="12" t="s">
        <v>445</v>
      </c>
      <c r="C10" t="str">
        <f>_xll.BDP(A10, "PX_LAST")</f>
        <v>#N/A N/A</v>
      </c>
      <c r="G10" s="14" t="s">
        <v>34</v>
      </c>
      <c r="H10" s="14" t="s">
        <v>428</v>
      </c>
      <c r="I10">
        <f>_xll.BDP(G10, "PX_LAST")</f>
        <v>335.72</v>
      </c>
    </row>
    <row r="11" spans="1:9" x14ac:dyDescent="0.25">
      <c r="A11" s="12" t="s">
        <v>441</v>
      </c>
      <c r="B11" s="12" t="s">
        <v>440</v>
      </c>
      <c r="C11" t="str">
        <f>_xll.BDP(A11, "PX_LAST")</f>
        <v>#N/A N/A</v>
      </c>
      <c r="G11" s="14" t="s">
        <v>27</v>
      </c>
      <c r="H11" s="14" t="s">
        <v>425</v>
      </c>
      <c r="I11">
        <f>_xll.BDP(G11, "PX_LAST")</f>
        <v>337.98</v>
      </c>
    </row>
    <row r="12" spans="1:9" x14ac:dyDescent="0.25">
      <c r="A12" s="12" t="s">
        <v>436</v>
      </c>
      <c r="B12" s="12" t="s">
        <v>435</v>
      </c>
      <c r="C12" t="str">
        <f>_xll.BDP(A12, "PX_LAST")</f>
        <v>#N/A N/A</v>
      </c>
      <c r="G12" s="14" t="s">
        <v>32</v>
      </c>
      <c r="H12" s="14" t="s">
        <v>422</v>
      </c>
      <c r="I12">
        <f>_xll.BDP(G12, "PX_LAST")</f>
        <v>335.20979999999997</v>
      </c>
    </row>
    <row r="13" spans="1:9" x14ac:dyDescent="0.25">
      <c r="A13" s="12" t="s">
        <v>431</v>
      </c>
      <c r="B13" s="12" t="s">
        <v>430</v>
      </c>
      <c r="C13" t="str">
        <f>_xll.BDP(A13, "PX_LAST")</f>
        <v>#N/A N/A</v>
      </c>
      <c r="G13" s="14" t="s">
        <v>35</v>
      </c>
      <c r="H13" s="14" t="s">
        <v>419</v>
      </c>
      <c r="I13">
        <f>_xll.BDP(G13, "PX_LAST")</f>
        <v>335.34</v>
      </c>
    </row>
    <row r="14" spans="1:9" x14ac:dyDescent="0.25">
      <c r="A14" s="12" t="s">
        <v>110</v>
      </c>
      <c r="B14" s="12" t="s">
        <v>109</v>
      </c>
      <c r="C14" t="str">
        <f>_xll.BDP(A14, "PX_LAST")</f>
        <v>#N/A N/A</v>
      </c>
      <c r="G14" s="13" t="s">
        <v>64</v>
      </c>
      <c r="H14" s="13" t="s">
        <v>141</v>
      </c>
      <c r="I14" t="str">
        <f>_xll.BDP(G14, "PX_LAST")</f>
        <v>#N/A N/A</v>
      </c>
    </row>
    <row r="15" spans="1:9" x14ac:dyDescent="0.25">
      <c r="A15" s="12" t="s">
        <v>108</v>
      </c>
      <c r="B15" s="12" t="s">
        <v>107</v>
      </c>
      <c r="C15" t="str">
        <f>_xll.BDP(A15, "PX_LAST")</f>
        <v>#N/A N/A</v>
      </c>
      <c r="G15" s="13" t="s">
        <v>59</v>
      </c>
      <c r="H15" s="13" t="s">
        <v>140</v>
      </c>
      <c r="I15" t="str">
        <f>_xll.BDP(G15, "PX_LAST")</f>
        <v>#N/A N/A</v>
      </c>
    </row>
    <row r="16" spans="1:9" x14ac:dyDescent="0.25">
      <c r="A16" s="12" t="s">
        <v>106</v>
      </c>
      <c r="B16" s="12" t="s">
        <v>105</v>
      </c>
      <c r="C16" t="str">
        <f>_xll.BDP(A16, "PX_LAST")</f>
        <v>#N/A N/A</v>
      </c>
      <c r="G16" s="13" t="s">
        <v>60</v>
      </c>
      <c r="H16" s="13" t="s">
        <v>139</v>
      </c>
      <c r="I16" t="str">
        <f>_xll.BDP(G16, "PX_LAST")</f>
        <v>#N/A N/A</v>
      </c>
    </row>
    <row r="17" spans="1:9" x14ac:dyDescent="0.25">
      <c r="A17" s="12" t="s">
        <v>122</v>
      </c>
      <c r="B17" s="12" t="s">
        <v>121</v>
      </c>
      <c r="C17" t="str">
        <f>_xll.BDP(A17, "PX_LAST")</f>
        <v>#N/A N/A</v>
      </c>
      <c r="G17" s="13" t="s">
        <v>61</v>
      </c>
      <c r="H17" s="13" t="s">
        <v>138</v>
      </c>
      <c r="I17" t="str">
        <f>_xll.BDP(G17, "PX_LAST")</f>
        <v>#N/A N/A</v>
      </c>
    </row>
    <row r="18" spans="1:9" x14ac:dyDescent="0.25">
      <c r="A18" s="12" t="s">
        <v>120</v>
      </c>
      <c r="B18" s="12" t="s">
        <v>119</v>
      </c>
      <c r="C18" t="str">
        <f>_xll.BDP(A18, "PX_LAST")</f>
        <v>#N/A N/A</v>
      </c>
      <c r="G18" s="13" t="s">
        <v>63</v>
      </c>
      <c r="H18" s="13" t="s">
        <v>137</v>
      </c>
      <c r="I18" t="str">
        <f>_xll.BDP(G18, "PX_LAST")</f>
        <v>#N/A N/A</v>
      </c>
    </row>
    <row r="19" spans="1:9" x14ac:dyDescent="0.25">
      <c r="A19" s="12" t="s">
        <v>143</v>
      </c>
      <c r="B19" s="12" t="s">
        <v>142</v>
      </c>
      <c r="C19" t="str">
        <f>_xll.BDP(A19, "PX_LAST")</f>
        <v>#N/A N/A</v>
      </c>
      <c r="G19" s="13" t="s">
        <v>37</v>
      </c>
      <c r="H19" s="13" t="s">
        <v>416</v>
      </c>
      <c r="I19" t="str">
        <f>_xll.BDP(G19, "PX_LAST")</f>
        <v>#N/A N/A</v>
      </c>
    </row>
    <row r="20" spans="1:9" x14ac:dyDescent="0.25">
      <c r="A20" s="11" t="s">
        <v>201</v>
      </c>
      <c r="B20" s="11" t="s">
        <v>200</v>
      </c>
      <c r="C20" t="str">
        <f>_xll.BDP(A20, "PX_LAST")</f>
        <v>#N/A N/A</v>
      </c>
      <c r="G20" s="13" t="s">
        <v>62</v>
      </c>
      <c r="H20" s="13" t="s">
        <v>412</v>
      </c>
      <c r="I20" t="str">
        <f>_xll.BDP(G20, "PX_LAST")</f>
        <v>#N/A N/A</v>
      </c>
    </row>
    <row r="21" spans="1:9" x14ac:dyDescent="0.25">
      <c r="A21" s="11" t="s">
        <v>197</v>
      </c>
      <c r="B21" s="11" t="s">
        <v>196</v>
      </c>
      <c r="C21" t="str">
        <f>_xll.BDP(A21, "PX_LAST")</f>
        <v>#N/A N/A</v>
      </c>
      <c r="G21" s="13" t="s">
        <v>65</v>
      </c>
      <c r="H21" s="13" t="s">
        <v>408</v>
      </c>
      <c r="I21" t="str">
        <f>_xll.BDP(G21, "PX_LAST")</f>
        <v>#N/A N/A</v>
      </c>
    </row>
    <row r="22" spans="1:9" x14ac:dyDescent="0.25">
      <c r="A22" s="11" t="s">
        <v>193</v>
      </c>
      <c r="B22" s="11" t="s">
        <v>192</v>
      </c>
      <c r="C22" t="str">
        <f>_xll.BDP(A22, "PX_LAST")</f>
        <v>#N/A N/A</v>
      </c>
      <c r="G22" s="13" t="s">
        <v>66</v>
      </c>
      <c r="H22" s="13" t="s">
        <v>406</v>
      </c>
      <c r="I22" t="str">
        <f>_xll.BDP(G22, "PX_LAST")</f>
        <v>#N/A N/A</v>
      </c>
    </row>
    <row r="23" spans="1:9" x14ac:dyDescent="0.25">
      <c r="A23" s="11" t="s">
        <v>189</v>
      </c>
      <c r="B23" s="11" t="s">
        <v>188</v>
      </c>
      <c r="C23" t="str">
        <f>_xll.BDP(A23, "PX_LAST")</f>
        <v>#N/A N/A</v>
      </c>
      <c r="G23" s="13" t="s">
        <v>67</v>
      </c>
      <c r="H23" s="13" t="s">
        <v>404</v>
      </c>
      <c r="I23" t="str">
        <f>_xll.BDP(G23, "PX_LAST")</f>
        <v>#N/A N/A</v>
      </c>
    </row>
    <row r="24" spans="1:9" x14ac:dyDescent="0.25">
      <c r="A24" s="11" t="s">
        <v>185</v>
      </c>
      <c r="B24" s="11" t="s">
        <v>184</v>
      </c>
      <c r="C24" t="str">
        <f>_xll.BDP(A24, "PX_LAST")</f>
        <v>#N/A N/A</v>
      </c>
      <c r="G24" s="13" t="s">
        <v>68</v>
      </c>
      <c r="H24" s="13" t="s">
        <v>402</v>
      </c>
      <c r="I24" t="str">
        <f>_xll.BDP(G24, "PX_LAST")</f>
        <v>#N/A N/A</v>
      </c>
    </row>
    <row r="25" spans="1:9" x14ac:dyDescent="0.25">
      <c r="A25" s="11" t="s">
        <v>181</v>
      </c>
      <c r="B25" s="11" t="s">
        <v>180</v>
      </c>
      <c r="C25" t="str">
        <f>_xll.BDP(A25, "PX_LAST")</f>
        <v>#N/A N/A</v>
      </c>
      <c r="G25" s="13" t="s">
        <v>69</v>
      </c>
      <c r="H25" s="13" t="s">
        <v>400</v>
      </c>
      <c r="I25" t="str">
        <f>_xll.BDP(G25, "PX_LAST")</f>
        <v>#N/A N/A</v>
      </c>
    </row>
    <row r="26" spans="1:9" x14ac:dyDescent="0.25">
      <c r="A26" s="11" t="s">
        <v>177</v>
      </c>
      <c r="B26" s="11" t="s">
        <v>176</v>
      </c>
      <c r="C26" t="str">
        <f>_xll.BDP(A26, "PX_LAST")</f>
        <v>#N/A N/A</v>
      </c>
      <c r="G26" t="s">
        <v>397</v>
      </c>
      <c r="H26" t="s">
        <v>396</v>
      </c>
      <c r="I26" t="str">
        <f>_xll.BDP(G26, "PX_LAST")</f>
        <v>#N/A N/A</v>
      </c>
    </row>
    <row r="27" spans="1:9" x14ac:dyDescent="0.25">
      <c r="A27" s="11" t="s">
        <v>173</v>
      </c>
      <c r="B27" s="11" t="s">
        <v>172</v>
      </c>
      <c r="C27" t="str">
        <f>_xll.BDP(A27, "PX_LAST")</f>
        <v>#N/A N/A</v>
      </c>
      <c r="G27" t="s">
        <v>392</v>
      </c>
      <c r="H27" t="s">
        <v>391</v>
      </c>
      <c r="I27" t="str">
        <f>_xll.BDP(G27, "PX_LAST")</f>
        <v>#N/A N/A</v>
      </c>
    </row>
    <row r="28" spans="1:9" x14ac:dyDescent="0.25">
      <c r="A28" s="11" t="s">
        <v>169</v>
      </c>
      <c r="B28" s="11" t="s">
        <v>168</v>
      </c>
      <c r="C28" t="str">
        <f>_xll.BDP(A28, "PX_LAST")</f>
        <v>#N/A N/A</v>
      </c>
      <c r="G28" t="s">
        <v>387</v>
      </c>
      <c r="H28" t="s">
        <v>386</v>
      </c>
      <c r="I28" t="str">
        <f>_xll.BDP(G28, "PX_LAST")</f>
        <v>#N/A N/A</v>
      </c>
    </row>
    <row r="29" spans="1:9" x14ac:dyDescent="0.25">
      <c r="A29" s="11" t="s">
        <v>165</v>
      </c>
      <c r="B29" s="11" t="s">
        <v>164</v>
      </c>
      <c r="C29" t="str">
        <f>_xll.BDP(A29, "PX_LAST")</f>
        <v>#N/A N/A</v>
      </c>
      <c r="G29" t="s">
        <v>382</v>
      </c>
      <c r="H29" t="s">
        <v>381</v>
      </c>
      <c r="I29" t="str">
        <f>_xll.BDP(G29, "PX_LAST")</f>
        <v>#N/A N/A</v>
      </c>
    </row>
    <row r="30" spans="1:9" x14ac:dyDescent="0.25">
      <c r="A30" s="11" t="s">
        <v>161</v>
      </c>
      <c r="B30" s="11" t="s">
        <v>160</v>
      </c>
      <c r="C30" t="str">
        <f>_xll.BDP(A30, "PX_LAST")</f>
        <v>#N/A N/A</v>
      </c>
      <c r="G30" t="s">
        <v>379</v>
      </c>
      <c r="H30" t="s">
        <v>378</v>
      </c>
      <c r="I30" t="str">
        <f>_xll.BDP(G30, "PX_LAST")</f>
        <v>#N/A N/A</v>
      </c>
    </row>
    <row r="31" spans="1:9" x14ac:dyDescent="0.25">
      <c r="A31" s="11" t="s">
        <v>157</v>
      </c>
      <c r="B31" s="11" t="s">
        <v>156</v>
      </c>
      <c r="C31" t="str">
        <f>_xll.BDP(A31, "PX_LAST")</f>
        <v>#N/A N/A</v>
      </c>
      <c r="G31" t="s">
        <v>376</v>
      </c>
      <c r="H31" t="s">
        <v>375</v>
      </c>
      <c r="I31" t="str">
        <f>_xll.BDP(G31, "PX_LAST")</f>
        <v>#N/A N/A</v>
      </c>
    </row>
    <row r="32" spans="1:9" x14ac:dyDescent="0.25">
      <c r="A32" s="11" t="s">
        <v>153</v>
      </c>
      <c r="B32" s="11" t="s">
        <v>152</v>
      </c>
      <c r="C32" t="str">
        <f>_xll.BDP(A32, "PX_LAST")</f>
        <v>#N/A N/A</v>
      </c>
      <c r="G32" t="s">
        <v>373</v>
      </c>
      <c r="H32" t="s">
        <v>372</v>
      </c>
      <c r="I32" t="str">
        <f>_xll.BDP(G32, "PX_LAST")</f>
        <v>#N/A N/A</v>
      </c>
    </row>
    <row r="33" spans="1:9" x14ac:dyDescent="0.25">
      <c r="A33" s="11" t="s">
        <v>149</v>
      </c>
      <c r="B33" s="11" t="s">
        <v>148</v>
      </c>
      <c r="C33" t="str">
        <f>_xll.BDP(A33, "PX_LAST")</f>
        <v>#N/A N/A</v>
      </c>
      <c r="G33" t="s">
        <v>370</v>
      </c>
      <c r="H33" t="s">
        <v>369</v>
      </c>
      <c r="I33" t="str">
        <f>_xll.BDP(G33, "PX_LAST")</f>
        <v>#N/A N/A</v>
      </c>
    </row>
    <row r="34" spans="1:9" x14ac:dyDescent="0.25">
      <c r="A34" s="11" t="s">
        <v>145</v>
      </c>
      <c r="B34" s="11" t="s">
        <v>144</v>
      </c>
      <c r="C34" t="str">
        <f>_xll.BDP(A34, "PX_LAST")</f>
        <v>#N/A N/A</v>
      </c>
      <c r="G34" t="s">
        <v>136</v>
      </c>
      <c r="H34" t="s">
        <v>135</v>
      </c>
      <c r="I34" t="str">
        <f>_xll.BDP(G34, "PX_LAST")</f>
        <v>#N/A N/A</v>
      </c>
    </row>
    <row r="35" spans="1:9" x14ac:dyDescent="0.25">
      <c r="A35" s="11" t="s">
        <v>390</v>
      </c>
      <c r="B35" s="11" t="s">
        <v>389</v>
      </c>
      <c r="C35" t="str">
        <f>_xll.BDP(A35, "PX_LAST")</f>
        <v>#N/A N/A</v>
      </c>
      <c r="G35" t="s">
        <v>134</v>
      </c>
      <c r="H35" t="s">
        <v>133</v>
      </c>
      <c r="I35" t="str">
        <f>_xll.BDP(G35, "PX_LAST")</f>
        <v>#N/A N/A</v>
      </c>
    </row>
    <row r="36" spans="1:9" x14ac:dyDescent="0.25">
      <c r="A36" s="12" t="s">
        <v>385</v>
      </c>
      <c r="B36" s="12" t="s">
        <v>384</v>
      </c>
      <c r="C36" t="str">
        <f>_xll.BDP(A36, "PX_LAST")</f>
        <v>#N/A N/A</v>
      </c>
      <c r="G36" t="s">
        <v>132</v>
      </c>
      <c r="H36" t="s">
        <v>131</v>
      </c>
      <c r="I36" t="str">
        <f>_xll.BDP(G36, "PX_LAST")</f>
        <v>#N/A N/A</v>
      </c>
    </row>
    <row r="37" spans="1:9" x14ac:dyDescent="0.25">
      <c r="A37" s="12" t="s">
        <v>118</v>
      </c>
      <c r="B37" s="12" t="s">
        <v>117</v>
      </c>
      <c r="C37" t="str">
        <f>_xll.BDP(A37, "PX_LAST")</f>
        <v>#N/A N/A</v>
      </c>
      <c r="G37" t="s">
        <v>130</v>
      </c>
      <c r="H37" t="s">
        <v>129</v>
      </c>
      <c r="I37" t="str">
        <f>_xll.BDP(G37, "PX_LAST")</f>
        <v>#N/A N/A</v>
      </c>
    </row>
    <row r="38" spans="1:9" x14ac:dyDescent="0.25">
      <c r="A38" s="12" t="s">
        <v>116</v>
      </c>
      <c r="B38" s="12" t="s">
        <v>115</v>
      </c>
      <c r="C38" t="str">
        <f>_xll.BDP(A38, "PX_LAST")</f>
        <v>#N/A N/A</v>
      </c>
      <c r="G38" t="s">
        <v>128</v>
      </c>
      <c r="H38" t="s">
        <v>127</v>
      </c>
      <c r="I38" t="str">
        <f>_xll.BDP(G38, "PX_LAST")</f>
        <v>#N/A N/A</v>
      </c>
    </row>
    <row r="39" spans="1:9" x14ac:dyDescent="0.25">
      <c r="A39" s="12" t="s">
        <v>114</v>
      </c>
      <c r="B39" s="12" t="s">
        <v>113</v>
      </c>
      <c r="C39" t="str">
        <f>_xll.BDP(A39, "PX_LAST")</f>
        <v>#N/A N/A</v>
      </c>
      <c r="G39" t="s">
        <v>126</v>
      </c>
      <c r="H39" t="s">
        <v>125</v>
      </c>
      <c r="I39" t="str">
        <f>_xll.BDP(G39, "PX_LAST")</f>
        <v>#N/A N/A</v>
      </c>
    </row>
    <row r="40" spans="1:9" x14ac:dyDescent="0.25">
      <c r="A40" s="12" t="s">
        <v>112</v>
      </c>
      <c r="B40" s="12" t="s">
        <v>111</v>
      </c>
      <c r="C40" t="str">
        <f>_xll.BDP(A40, "PX_LAST")</f>
        <v>#N/A N/A</v>
      </c>
      <c r="G40" t="s">
        <v>124</v>
      </c>
      <c r="H40" t="s">
        <v>123</v>
      </c>
      <c r="I40" t="str">
        <f>_xll.BDP(G40, "PX_LAST")</f>
        <v>#N/A N/A</v>
      </c>
    </row>
    <row r="41" spans="1:9" x14ac:dyDescent="0.25">
      <c r="A41" s="11" t="s">
        <v>480</v>
      </c>
      <c r="B41" s="11" t="s">
        <v>479</v>
      </c>
      <c r="C41" t="str">
        <f>_xll.BDP(A41, "PX_LAST")</f>
        <v>#N/A N/A</v>
      </c>
      <c r="G41" t="s">
        <v>104</v>
      </c>
      <c r="H41" t="s">
        <v>75</v>
      </c>
      <c r="I41" t="str">
        <f>_xll.BDP(G41, "PX_LAST")</f>
        <v>#N/A N/A</v>
      </c>
    </row>
    <row r="42" spans="1:9" x14ac:dyDescent="0.25">
      <c r="A42" s="11" t="s">
        <v>478</v>
      </c>
      <c r="B42" s="11" t="s">
        <v>477</v>
      </c>
      <c r="C42" t="str">
        <f>_xll.BDP(A42, "PX_LAST")</f>
        <v>#N/A N/A</v>
      </c>
      <c r="G42" t="s">
        <v>103</v>
      </c>
      <c r="H42" t="s">
        <v>75</v>
      </c>
      <c r="I42" t="str">
        <f>_xll.BDP(G42, "PX_LAST")</f>
        <v>#N/A N/A</v>
      </c>
    </row>
    <row r="43" spans="1:9" x14ac:dyDescent="0.25">
      <c r="A43" s="11" t="s">
        <v>476</v>
      </c>
      <c r="B43" s="11" t="s">
        <v>475</v>
      </c>
      <c r="C43" t="str">
        <f>_xll.BDP(A43, "PX_LAST")</f>
        <v>#N/A N/A</v>
      </c>
      <c r="G43" t="s">
        <v>102</v>
      </c>
      <c r="H43" t="s">
        <v>75</v>
      </c>
      <c r="I43" t="str">
        <f>_xll.BDP(G43, "PX_LAST")</f>
        <v>#N/A N/A</v>
      </c>
    </row>
    <row r="44" spans="1:9" x14ac:dyDescent="0.25">
      <c r="A44" s="11" t="s">
        <v>472</v>
      </c>
      <c r="B44" s="11" t="s">
        <v>471</v>
      </c>
      <c r="C44" t="str">
        <f>_xll.BDP(A44, "PX_LAST")</f>
        <v>#N/A N/A</v>
      </c>
      <c r="G44" t="s">
        <v>101</v>
      </c>
      <c r="H44" t="s">
        <v>75</v>
      </c>
      <c r="I44" t="str">
        <f>_xll.BDP(G44, "PX_LAST")</f>
        <v>#N/A N/A</v>
      </c>
    </row>
    <row r="45" spans="1:9" x14ac:dyDescent="0.25">
      <c r="A45" s="11" t="s">
        <v>23</v>
      </c>
      <c r="B45" s="11" t="s">
        <v>468</v>
      </c>
      <c r="C45" t="str">
        <f>_xll.BDP(A45, "PX_LAST")</f>
        <v>#N/A N/A</v>
      </c>
      <c r="G45" t="s">
        <v>100</v>
      </c>
      <c r="H45" t="s">
        <v>75</v>
      </c>
      <c r="I45" t="str">
        <f>_xll.BDP(G45, "PX_LAST")</f>
        <v>#N/A N/A</v>
      </c>
    </row>
    <row r="46" spans="1:9" x14ac:dyDescent="0.25">
      <c r="A46" s="11" t="s">
        <v>467</v>
      </c>
      <c r="B46" s="11" t="s">
        <v>466</v>
      </c>
      <c r="C46" t="str">
        <f>_xll.BDP(A46, "PX_LAST")</f>
        <v>#N/A N/A</v>
      </c>
      <c r="G46" t="s">
        <v>99</v>
      </c>
      <c r="H46" t="s">
        <v>75</v>
      </c>
      <c r="I46" t="str">
        <f>_xll.BDP(G46, "PX_LAST")</f>
        <v>#N/A N/A</v>
      </c>
    </row>
    <row r="47" spans="1:9" x14ac:dyDescent="0.25">
      <c r="A47" s="11" t="s">
        <v>465</v>
      </c>
      <c r="B47" s="11" t="s">
        <v>464</v>
      </c>
      <c r="C47" t="str">
        <f>_xll.BDP(A47, "PX_LAST")</f>
        <v>#N/A N/A</v>
      </c>
      <c r="G47" t="s">
        <v>98</v>
      </c>
      <c r="H47" t="s">
        <v>92</v>
      </c>
      <c r="I47" t="str">
        <f>_xll.BDP(G47, "PX_LAST")</f>
        <v>#N/A N/A</v>
      </c>
    </row>
    <row r="48" spans="1:9" x14ac:dyDescent="0.25">
      <c r="A48" s="11" t="s">
        <v>463</v>
      </c>
      <c r="B48" s="11" t="s">
        <v>462</v>
      </c>
      <c r="C48" t="str">
        <f>_xll.BDP(A48, "PX_LAST")</f>
        <v>#N/A N/A</v>
      </c>
      <c r="G48" t="s">
        <v>97</v>
      </c>
      <c r="H48" t="s">
        <v>92</v>
      </c>
      <c r="I48" t="str">
        <f>_xll.BDP(G48, "PX_LAST")</f>
        <v>#N/A N/A</v>
      </c>
    </row>
    <row r="49" spans="1:9" x14ac:dyDescent="0.25">
      <c r="A49" s="11" t="s">
        <v>461</v>
      </c>
      <c r="B49" s="11" t="s">
        <v>460</v>
      </c>
      <c r="C49" t="str">
        <f>_xll.BDP(A49, "PX_LAST")</f>
        <v>#N/A N/A</v>
      </c>
      <c r="G49" t="s">
        <v>96</v>
      </c>
      <c r="H49" t="s">
        <v>92</v>
      </c>
      <c r="I49" t="str">
        <f>_xll.BDP(G49, "PX_LAST")</f>
        <v>#N/A N/A</v>
      </c>
    </row>
    <row r="50" spans="1:9" x14ac:dyDescent="0.25">
      <c r="A50" s="11" t="s">
        <v>458</v>
      </c>
      <c r="B50" s="11" t="s">
        <v>457</v>
      </c>
      <c r="C50" t="str">
        <f>_xll.BDP(A50, "PX_LAST")</f>
        <v>#N/A N/A</v>
      </c>
      <c r="G50" t="s">
        <v>95</v>
      </c>
      <c r="H50" t="s">
        <v>92</v>
      </c>
      <c r="I50" t="str">
        <f>_xll.BDP(G50, "PX_LAST")</f>
        <v>#N/A N/A</v>
      </c>
    </row>
    <row r="51" spans="1:9" x14ac:dyDescent="0.25">
      <c r="A51" s="11" t="s">
        <v>455</v>
      </c>
      <c r="B51" s="11" t="s">
        <v>454</v>
      </c>
      <c r="C51" t="str">
        <f>_xll.BDP(A51, "PX_LAST")</f>
        <v>#N/A N/A</v>
      </c>
      <c r="G51" t="s">
        <v>94</v>
      </c>
      <c r="H51" t="s">
        <v>88</v>
      </c>
      <c r="I51" t="str">
        <f>_xll.BDP(G51, "PX_LAST")</f>
        <v>#N/A N/A</v>
      </c>
    </row>
    <row r="52" spans="1:9" x14ac:dyDescent="0.25">
      <c r="A52" s="11" t="s">
        <v>452</v>
      </c>
      <c r="B52" s="11" t="s">
        <v>451</v>
      </c>
      <c r="C52" t="str">
        <f>_xll.BDP(A52, "PX_LAST")</f>
        <v>#N/A N/A</v>
      </c>
      <c r="G52" t="s">
        <v>93</v>
      </c>
      <c r="H52" t="s">
        <v>92</v>
      </c>
      <c r="I52" t="str">
        <f>_xll.BDP(G52, "PX_LAST")</f>
        <v>#N/A N/A</v>
      </c>
    </row>
    <row r="53" spans="1:9" x14ac:dyDescent="0.25">
      <c r="A53" s="11" t="s">
        <v>449</v>
      </c>
      <c r="B53" s="11" t="s">
        <v>448</v>
      </c>
      <c r="C53" t="str">
        <f>_xll.BDP(A53, "PX_LAST")</f>
        <v>#N/A N/A</v>
      </c>
      <c r="G53" t="s">
        <v>91</v>
      </c>
      <c r="H53" t="s">
        <v>90</v>
      </c>
      <c r="I53" t="str">
        <f>_xll.BDP(G53, "PX_LAST")</f>
        <v>#N/A N/A</v>
      </c>
    </row>
    <row r="54" spans="1:9" x14ac:dyDescent="0.25">
      <c r="A54" s="11" t="s">
        <v>444</v>
      </c>
      <c r="B54" s="11" t="s">
        <v>443</v>
      </c>
      <c r="C54" t="str">
        <f>_xll.BDP(A54, "PX_LAST")</f>
        <v>#N/A N/A</v>
      </c>
      <c r="G54" t="s">
        <v>89</v>
      </c>
      <c r="H54" t="s">
        <v>88</v>
      </c>
      <c r="I54" t="str">
        <f>_xll.BDP(G54, "PX_LAST")</f>
        <v>#N/A N/A</v>
      </c>
    </row>
    <row r="55" spans="1:9" x14ac:dyDescent="0.25">
      <c r="A55" s="11" t="s">
        <v>439</v>
      </c>
      <c r="B55" s="11" t="s">
        <v>438</v>
      </c>
      <c r="C55" t="str">
        <f>_xll.BDP(A55, "PX_LAST")</f>
        <v>#N/A N/A</v>
      </c>
      <c r="G55" t="s">
        <v>87</v>
      </c>
      <c r="H55" t="s">
        <v>86</v>
      </c>
      <c r="I55" t="str">
        <f>_xll.BDP(G55, "PX_LAST")</f>
        <v>#N/A N/A</v>
      </c>
    </row>
    <row r="56" spans="1:9" x14ac:dyDescent="0.25">
      <c r="A56" s="11" t="s">
        <v>434</v>
      </c>
      <c r="B56" s="11" t="s">
        <v>433</v>
      </c>
      <c r="C56" t="str">
        <f>_xll.BDP(A56, "PX_LAST")</f>
        <v>#N/A N/A</v>
      </c>
      <c r="G56" t="s">
        <v>85</v>
      </c>
      <c r="H56" t="s">
        <v>84</v>
      </c>
      <c r="I56" t="str">
        <f>_xll.BDP(G56, "PX_LAST")</f>
        <v>#N/A N/A</v>
      </c>
    </row>
    <row r="57" spans="1:9" x14ac:dyDescent="0.25">
      <c r="A57" s="11" t="s">
        <v>24</v>
      </c>
      <c r="B57" s="11" t="s">
        <v>429</v>
      </c>
      <c r="C57" t="str">
        <f>_xll.BDP(A57, "PX_LAST")</f>
        <v>#N/A N/A</v>
      </c>
      <c r="G57" t="s">
        <v>83</v>
      </c>
      <c r="H57" t="s">
        <v>82</v>
      </c>
      <c r="I57" t="str">
        <f>_xll.BDP(G57, "PX_LAST")</f>
        <v>#N/A N/A</v>
      </c>
    </row>
    <row r="58" spans="1:9" x14ac:dyDescent="0.25">
      <c r="A58" s="11" t="s">
        <v>427</v>
      </c>
      <c r="B58" s="11" t="s">
        <v>426</v>
      </c>
      <c r="C58" t="str">
        <f>_xll.BDP(A58, "PX_LAST")</f>
        <v>#N/A N/A</v>
      </c>
      <c r="G58" t="s">
        <v>81</v>
      </c>
      <c r="H58" t="s">
        <v>80</v>
      </c>
      <c r="I58" t="str">
        <f>_xll.BDP(G58, "PX_LAST")</f>
        <v>#N/A N/A</v>
      </c>
    </row>
    <row r="59" spans="1:9" x14ac:dyDescent="0.25">
      <c r="A59" s="11" t="s">
        <v>424</v>
      </c>
      <c r="B59" s="11" t="s">
        <v>423</v>
      </c>
      <c r="C59" t="str">
        <f>_xll.BDP(A59, "PX_LAST")</f>
        <v>#N/A N/A</v>
      </c>
      <c r="G59" t="s">
        <v>79</v>
      </c>
      <c r="H59" t="s">
        <v>78</v>
      </c>
      <c r="I59" t="str">
        <f>_xll.BDP(G59, "PX_LAST")</f>
        <v>#N/A N/A</v>
      </c>
    </row>
    <row r="60" spans="1:9" x14ac:dyDescent="0.25">
      <c r="A60" s="11" t="s">
        <v>70</v>
      </c>
      <c r="B60" s="11" t="s">
        <v>420</v>
      </c>
      <c r="C60" t="str">
        <f>_xll.BDP(A60, "PX_LAST")</f>
        <v>#N/A N/A</v>
      </c>
      <c r="G60" t="s">
        <v>77</v>
      </c>
      <c r="H60" t="s">
        <v>75</v>
      </c>
      <c r="I60" t="str">
        <f>_xll.BDP(G60, "PX_LAST")</f>
        <v>#N/A N/A</v>
      </c>
    </row>
    <row r="61" spans="1:9" x14ac:dyDescent="0.25">
      <c r="A61" s="11" t="s">
        <v>16</v>
      </c>
      <c r="B61" s="11" t="s">
        <v>417</v>
      </c>
      <c r="C61" t="str">
        <f>_xll.BDP(A61, "PX_LAST")</f>
        <v>#N/A N/A</v>
      </c>
      <c r="G61" t="s">
        <v>76</v>
      </c>
      <c r="H61" t="s">
        <v>75</v>
      </c>
      <c r="I61" t="str">
        <f>_xll.BDP(G61, "PX_LAST")</f>
        <v>#N/A N/A</v>
      </c>
    </row>
    <row r="62" spans="1:9" x14ac:dyDescent="0.25">
      <c r="A62" s="11" t="s">
        <v>414</v>
      </c>
      <c r="B62" s="11" t="s">
        <v>413</v>
      </c>
      <c r="C62" t="str">
        <f>_xll.BDP(A62, "PX_LAST")</f>
        <v>#N/A N/A</v>
      </c>
      <c r="G62" t="s">
        <v>421</v>
      </c>
      <c r="H62" t="s">
        <v>75</v>
      </c>
      <c r="I62" t="str">
        <f>_xll.BDP(G62, "PX_LAST")</f>
        <v>#N/A N/A</v>
      </c>
    </row>
    <row r="63" spans="1:9" x14ac:dyDescent="0.25">
      <c r="A63" s="11" t="s">
        <v>410</v>
      </c>
      <c r="B63" s="11" t="s">
        <v>409</v>
      </c>
      <c r="C63" t="str">
        <f>_xll.BDP(A63, "PX_LAST")</f>
        <v>#N/A N/A</v>
      </c>
      <c r="G63" t="s">
        <v>418</v>
      </c>
      <c r="H63" t="s">
        <v>75</v>
      </c>
      <c r="I63" t="str">
        <f>_xll.BDP(G63, "PX_LAST")</f>
        <v>#N/A N/A</v>
      </c>
    </row>
    <row r="64" spans="1:9" x14ac:dyDescent="0.25">
      <c r="A64" s="11" t="s">
        <v>18</v>
      </c>
      <c r="B64" s="11" t="s">
        <v>407</v>
      </c>
      <c r="C64" t="str">
        <f>_xll.BDP(A64, "PX_LAST")</f>
        <v>#N/A N/A</v>
      </c>
      <c r="G64" t="s">
        <v>415</v>
      </c>
      <c r="H64" t="s">
        <v>75</v>
      </c>
      <c r="I64" t="str">
        <f>_xll.BDP(G64, "PX_LAST")</f>
        <v>#N/A N/A</v>
      </c>
    </row>
    <row r="65" spans="1:9" x14ac:dyDescent="0.25">
      <c r="A65" s="11" t="s">
        <v>19</v>
      </c>
      <c r="B65" s="11" t="s">
        <v>405</v>
      </c>
      <c r="C65" t="str">
        <f>_xll.BDP(A65, "PX_LAST")</f>
        <v>#N/A N/A</v>
      </c>
      <c r="G65" t="s">
        <v>411</v>
      </c>
      <c r="H65" t="s">
        <v>92</v>
      </c>
      <c r="I65" t="str">
        <f>_xll.BDP(G65, "PX_LAST")</f>
        <v>#N/A N/A</v>
      </c>
    </row>
    <row r="66" spans="1:9" x14ac:dyDescent="0.25">
      <c r="A66" s="11" t="s">
        <v>20</v>
      </c>
      <c r="B66" s="11" t="s">
        <v>403</v>
      </c>
      <c r="C66" t="str">
        <f>_xll.BDP(A66, "PX_LAST")</f>
        <v>#N/A N/A</v>
      </c>
      <c r="G66" t="s">
        <v>474</v>
      </c>
      <c r="H66" t="s">
        <v>473</v>
      </c>
      <c r="I66" t="str">
        <f>_xll.BDP(G66, "PX_LAST")</f>
        <v>#N/A N/A</v>
      </c>
    </row>
    <row r="67" spans="1:9" x14ac:dyDescent="0.25">
      <c r="A67" s="11" t="s">
        <v>21</v>
      </c>
      <c r="B67" s="11" t="s">
        <v>401</v>
      </c>
      <c r="C67" t="str">
        <f>_xll.BDP(A67, "PX_LAST")</f>
        <v>#N/A N/A</v>
      </c>
      <c r="G67" t="s">
        <v>470</v>
      </c>
      <c r="H67" t="s">
        <v>469</v>
      </c>
      <c r="I67" t="str">
        <f>_xll.BDP(G67, "PX_LAST")</f>
        <v>#N/A N/A</v>
      </c>
    </row>
    <row r="68" spans="1:9" x14ac:dyDescent="0.25">
      <c r="A68" s="11" t="s">
        <v>15</v>
      </c>
      <c r="B68" s="11" t="s">
        <v>399</v>
      </c>
      <c r="C68" t="str">
        <f>_xll.BDP(A68, "PX_LAST")</f>
        <v>#N/A N/A</v>
      </c>
      <c r="G68" t="s">
        <v>395</v>
      </c>
      <c r="H68" t="s">
        <v>394</v>
      </c>
      <c r="I68" t="str">
        <f>_xll.BDP(G68, "PX_LAST")</f>
        <v>#N/A N/A</v>
      </c>
    </row>
    <row r="69" spans="1:9" x14ac:dyDescent="0.25">
      <c r="A69" s="11" t="s">
        <v>22</v>
      </c>
      <c r="B69" s="11" t="s">
        <v>398</v>
      </c>
      <c r="C69" t="str">
        <f>_xll.BDP(A69, "PX_LAST")</f>
        <v>#N/A N/A</v>
      </c>
      <c r="G69" t="s">
        <v>260</v>
      </c>
      <c r="H69" t="s">
        <v>259</v>
      </c>
      <c r="I69" t="str">
        <f>_xll.BDP(G69, "PX_LAST")</f>
        <v>#N/A N/A</v>
      </c>
    </row>
    <row r="70" spans="1:9" x14ac:dyDescent="0.25">
      <c r="A70" s="11" t="s">
        <v>13</v>
      </c>
      <c r="B70" s="11" t="s">
        <v>269</v>
      </c>
      <c r="C70" t="str">
        <f>_xll.BDP(A70, "PX_LAST")</f>
        <v>#N/A N/A</v>
      </c>
      <c r="G70" t="s">
        <v>256</v>
      </c>
      <c r="H70" t="s">
        <v>255</v>
      </c>
      <c r="I70" t="str">
        <f>_xll.BDP(G70, "PX_LAST")</f>
        <v>#N/A N/A</v>
      </c>
    </row>
    <row r="71" spans="1:9" x14ac:dyDescent="0.25">
      <c r="A71" s="11" t="s">
        <v>14</v>
      </c>
      <c r="B71" s="11" t="s">
        <v>266</v>
      </c>
      <c r="C71" t="str">
        <f>_xll.BDP(A71, "PX_LAST")</f>
        <v>#N/A N/A</v>
      </c>
      <c r="G71" t="s">
        <v>252</v>
      </c>
      <c r="H71" t="s">
        <v>251</v>
      </c>
      <c r="I71" t="str">
        <f>_xll.BDP(G71, "PX_LAST")</f>
        <v>#N/A N/A</v>
      </c>
    </row>
    <row r="72" spans="1:9" x14ac:dyDescent="0.25">
      <c r="A72" s="11" t="s">
        <v>17</v>
      </c>
      <c r="B72" s="11" t="s">
        <v>263</v>
      </c>
      <c r="C72" t="str">
        <f>_xll.BDP(A72, "PX_LAST")</f>
        <v>#N/A N/A</v>
      </c>
      <c r="G72" t="s">
        <v>248</v>
      </c>
      <c r="H72" t="s">
        <v>247</v>
      </c>
      <c r="I72" t="str">
        <f>_xll.BDP(G72, "PX_LAST")</f>
        <v>#N/A N/A</v>
      </c>
    </row>
    <row r="73" spans="1:9" x14ac:dyDescent="0.25">
      <c r="A73" s="14" t="s">
        <v>2</v>
      </c>
      <c r="B73" s="14" t="s">
        <v>393</v>
      </c>
      <c r="C73">
        <f>_xll.BDP(A73, "PX_LAST")</f>
        <v>2.3849999999999998</v>
      </c>
      <c r="G73" t="s">
        <v>244</v>
      </c>
      <c r="H73" t="s">
        <v>243</v>
      </c>
      <c r="I73" t="str">
        <f>_xll.BDP(G73, "PX_LAST")</f>
        <v>#N/A N/A</v>
      </c>
    </row>
    <row r="74" spans="1:9" x14ac:dyDescent="0.25">
      <c r="A74" s="14" t="s">
        <v>3</v>
      </c>
      <c r="B74" s="14" t="s">
        <v>388</v>
      </c>
      <c r="C74">
        <f>_xll.BDP(A74, "PX_LAST")</f>
        <v>2.4462000000000002</v>
      </c>
      <c r="G74" t="s">
        <v>240</v>
      </c>
      <c r="H74" t="s">
        <v>239</v>
      </c>
      <c r="I74" t="str">
        <f>_xll.BDP(G74, "PX_LAST")</f>
        <v>#N/A N/A</v>
      </c>
    </row>
    <row r="75" spans="1:9" x14ac:dyDescent="0.25">
      <c r="A75" s="14" t="s">
        <v>4</v>
      </c>
      <c r="B75" s="14" t="s">
        <v>374</v>
      </c>
      <c r="C75">
        <f>_xll.BDP(A75, "PX_LAST")</f>
        <v>2.448</v>
      </c>
      <c r="G75" t="s">
        <v>237</v>
      </c>
      <c r="H75" t="s">
        <v>236</v>
      </c>
      <c r="I75" t="str">
        <f>_xll.BDP(G75, "PX_LAST")</f>
        <v>#N/A N/A</v>
      </c>
    </row>
    <row r="76" spans="1:9" x14ac:dyDescent="0.25">
      <c r="A76" s="14" t="s">
        <v>5</v>
      </c>
      <c r="B76" s="14" t="s">
        <v>371</v>
      </c>
      <c r="C76">
        <f>_xll.BDP(A76, "PX_LAST")</f>
        <v>2.4422999999999999</v>
      </c>
      <c r="G76" t="s">
        <v>233</v>
      </c>
      <c r="H76" t="s">
        <v>232</v>
      </c>
      <c r="I76" t="str">
        <f>_xll.BDP(G76, "PX_LAST")</f>
        <v>#N/A N/A</v>
      </c>
    </row>
    <row r="77" spans="1:9" x14ac:dyDescent="0.25">
      <c r="A77" s="14" t="s">
        <v>1</v>
      </c>
      <c r="B77" s="14" t="s">
        <v>383</v>
      </c>
      <c r="C77">
        <f>_xll.BDP(A77, "PX_LAST")</f>
        <v>2.4375</v>
      </c>
      <c r="G77" t="s">
        <v>229</v>
      </c>
      <c r="H77" t="s">
        <v>228</v>
      </c>
      <c r="I77" t="str">
        <f>_xll.BDP(G77, "PX_LAST")</f>
        <v>#N/A N/A</v>
      </c>
    </row>
    <row r="78" spans="1:9" x14ac:dyDescent="0.25">
      <c r="A78" s="14" t="s">
        <v>6</v>
      </c>
      <c r="B78" s="14" t="s">
        <v>360</v>
      </c>
      <c r="C78">
        <f>_xll.BDP(A78, "PX_LAST")</f>
        <v>2.4247000000000001</v>
      </c>
      <c r="G78" t="s">
        <v>225</v>
      </c>
      <c r="H78" t="s">
        <v>224</v>
      </c>
      <c r="I78" t="str">
        <f>_xll.BDP(G78, "PX_LAST")</f>
        <v>#N/A N/A</v>
      </c>
    </row>
    <row r="79" spans="1:9" x14ac:dyDescent="0.25">
      <c r="A79" s="14" t="s">
        <v>7</v>
      </c>
      <c r="B79" s="14" t="s">
        <v>363</v>
      </c>
      <c r="C79">
        <f>_xll.BDP(A79, "PX_LAST")</f>
        <v>2.4140000000000001</v>
      </c>
      <c r="G79" t="s">
        <v>221</v>
      </c>
      <c r="H79" t="s">
        <v>220</v>
      </c>
      <c r="I79" t="str">
        <f>_xll.BDP(G79, "PX_LAST")</f>
        <v>#N/A N/A</v>
      </c>
    </row>
    <row r="80" spans="1:9" x14ac:dyDescent="0.25">
      <c r="A80" s="14" t="s">
        <v>8</v>
      </c>
      <c r="B80" s="14" t="s">
        <v>355</v>
      </c>
      <c r="C80">
        <f>_xll.BDP(A80, "PX_LAST")</f>
        <v>2.4041999999999999</v>
      </c>
    </row>
    <row r="81" spans="1:3" x14ac:dyDescent="0.25">
      <c r="A81" s="14" t="s">
        <v>9</v>
      </c>
      <c r="B81" s="14" t="s">
        <v>361</v>
      </c>
      <c r="C81">
        <f>_xll.BDP(A81, "PX_LAST")</f>
        <v>2.4043999999999999</v>
      </c>
    </row>
    <row r="82" spans="1:3" x14ac:dyDescent="0.25">
      <c r="A82" s="14" t="s">
        <v>10</v>
      </c>
      <c r="B82" s="14" t="s">
        <v>380</v>
      </c>
      <c r="C82">
        <f>_xll.BDP(A82, "PX_LAST")</f>
        <v>2.4089999999999998</v>
      </c>
    </row>
    <row r="83" spans="1:3" x14ac:dyDescent="0.25">
      <c r="A83" s="14" t="s">
        <v>357</v>
      </c>
      <c r="B83" s="14" t="s">
        <v>356</v>
      </c>
      <c r="C83">
        <f>_xll.BDP(A83, "PX_LAST")</f>
        <v>2.3929999999999998</v>
      </c>
    </row>
    <row r="84" spans="1:3" x14ac:dyDescent="0.25">
      <c r="A84" s="14" t="s">
        <v>12</v>
      </c>
      <c r="B84" s="14" t="s">
        <v>362</v>
      </c>
      <c r="C84">
        <f>_xll.BDP(A84, "PX_LAST")</f>
        <v>2.3948999999999998</v>
      </c>
    </row>
    <row r="85" spans="1:3" x14ac:dyDescent="0.25">
      <c r="A85" s="14" t="s">
        <v>56</v>
      </c>
      <c r="B85" s="14" t="s">
        <v>364</v>
      </c>
      <c r="C85">
        <f>_xll.BDP(A85, "PX_LAST")</f>
        <v>2.3734000000000002</v>
      </c>
    </row>
    <row r="86" spans="1:3" x14ac:dyDescent="0.25">
      <c r="A86" s="14" t="s">
        <v>57</v>
      </c>
      <c r="B86" s="14" t="s">
        <v>350</v>
      </c>
      <c r="C86">
        <f>_xll.BDP(A86, "PX_LAST")</f>
        <v>2.3464999999999998</v>
      </c>
    </row>
    <row r="87" spans="1:3" x14ac:dyDescent="0.25">
      <c r="A87" s="14" t="s">
        <v>58</v>
      </c>
      <c r="B87" s="14" t="s">
        <v>377</v>
      </c>
      <c r="C87">
        <f>_xll.BDP(A87, "PX_LAST")</f>
        <v>2.3519000000000001</v>
      </c>
    </row>
    <row r="88" spans="1:3" x14ac:dyDescent="0.25">
      <c r="A88" s="10" t="s">
        <v>354</v>
      </c>
      <c r="B88" s="10" t="s">
        <v>353</v>
      </c>
      <c r="C88" t="str">
        <f>_xll.BDP(A88, "PX_LAST")</f>
        <v>#N/A N/A</v>
      </c>
    </row>
    <row r="89" spans="1:3" x14ac:dyDescent="0.25">
      <c r="A89" s="10" t="s">
        <v>352</v>
      </c>
      <c r="B89" s="10" t="s">
        <v>351</v>
      </c>
      <c r="C89" t="str">
        <f>_xll.BDP(A89, "PX_LAST")</f>
        <v>#N/A N/A</v>
      </c>
    </row>
    <row r="90" spans="1:3" x14ac:dyDescent="0.25">
      <c r="A90" s="10" t="s">
        <v>349</v>
      </c>
      <c r="B90" s="10" t="s">
        <v>348</v>
      </c>
      <c r="C90" t="str">
        <f>_xll.BDP(A90, "PX_LAST")</f>
        <v>#N/A N/A</v>
      </c>
    </row>
    <row r="91" spans="1:3" x14ac:dyDescent="0.25">
      <c r="A91" s="10" t="s">
        <v>347</v>
      </c>
      <c r="B91" s="10" t="s">
        <v>346</v>
      </c>
      <c r="C91" t="str">
        <f>_xll.BDP(A91, "PX_LAST")</f>
        <v>#N/A N/A</v>
      </c>
    </row>
    <row r="92" spans="1:3" x14ac:dyDescent="0.25">
      <c r="A92" s="10" t="s">
        <v>345</v>
      </c>
      <c r="B92" s="10" t="s">
        <v>344</v>
      </c>
      <c r="C92" t="str">
        <f>_xll.BDP(A92, "PX_LAST")</f>
        <v>#N/A N/A</v>
      </c>
    </row>
    <row r="93" spans="1:3" x14ac:dyDescent="0.25">
      <c r="A93" s="10" t="s">
        <v>343</v>
      </c>
      <c r="B93" s="10" t="s">
        <v>342</v>
      </c>
      <c r="C93" t="str">
        <f>_xll.BDP(A93, "PX_LAST")</f>
        <v>#N/A N/A</v>
      </c>
    </row>
    <row r="94" spans="1:3" x14ac:dyDescent="0.25">
      <c r="A94" s="10" t="s">
        <v>341</v>
      </c>
      <c r="B94" s="10" t="s">
        <v>340</v>
      </c>
      <c r="C94" t="str">
        <f>_xll.BDP(A94, "PX_LAST")</f>
        <v>#N/A N/A</v>
      </c>
    </row>
    <row r="95" spans="1:3" x14ac:dyDescent="0.25">
      <c r="A95" s="10" t="s">
        <v>339</v>
      </c>
      <c r="B95" s="10" t="s">
        <v>338</v>
      </c>
      <c r="C95" t="str">
        <f>_xll.BDP(A95, "PX_LAST")</f>
        <v>#N/A N/A</v>
      </c>
    </row>
    <row r="96" spans="1:3" x14ac:dyDescent="0.25">
      <c r="A96" s="10" t="s">
        <v>337</v>
      </c>
      <c r="B96" s="10" t="s">
        <v>336</v>
      </c>
      <c r="C96" t="str">
        <f>_xll.BDP(A96, "PX_LAST")</f>
        <v>#N/A N/A</v>
      </c>
    </row>
    <row r="97" spans="1:3" x14ac:dyDescent="0.25">
      <c r="A97" s="10" t="s">
        <v>335</v>
      </c>
      <c r="B97" s="10" t="s">
        <v>334</v>
      </c>
      <c r="C97" t="str">
        <f>_xll.BDP(A97, "PX_LAST")</f>
        <v>#N/A N/A</v>
      </c>
    </row>
    <row r="98" spans="1:3" x14ac:dyDescent="0.25">
      <c r="A98" s="10" t="s">
        <v>333</v>
      </c>
      <c r="B98" s="10" t="s">
        <v>332</v>
      </c>
      <c r="C98" t="str">
        <f>_xll.BDP(A98, "PX_LAST")</f>
        <v>#N/A N/A</v>
      </c>
    </row>
    <row r="99" spans="1:3" x14ac:dyDescent="0.25">
      <c r="A99" s="10" t="s">
        <v>331</v>
      </c>
      <c r="B99" s="10" t="s">
        <v>330</v>
      </c>
      <c r="C99" t="str">
        <f>_xll.BDP(A99, "PX_LAST")</f>
        <v>#N/A N/A</v>
      </c>
    </row>
    <row r="100" spans="1:3" x14ac:dyDescent="0.25">
      <c r="A100" s="10" t="s">
        <v>329</v>
      </c>
      <c r="B100" s="10" t="s">
        <v>328</v>
      </c>
      <c r="C100" t="str">
        <f>_xll.BDP(A100, "PX_LAST")</f>
        <v>#N/A N/A</v>
      </c>
    </row>
    <row r="101" spans="1:3" x14ac:dyDescent="0.25">
      <c r="A101" s="10" t="s">
        <v>327</v>
      </c>
      <c r="B101" s="10" t="s">
        <v>326</v>
      </c>
      <c r="C101" t="str">
        <f>_xll.BDP(A101, "PX_LAST")</f>
        <v>#N/A N/A</v>
      </c>
    </row>
    <row r="102" spans="1:3" x14ac:dyDescent="0.25">
      <c r="A102" s="10" t="s">
        <v>325</v>
      </c>
      <c r="B102" s="10" t="s">
        <v>324</v>
      </c>
      <c r="C102" t="str">
        <f>_xll.BDP(A102, "PX_LAST")</f>
        <v>#N/A N/A</v>
      </c>
    </row>
    <row r="103" spans="1:3" x14ac:dyDescent="0.25">
      <c r="A103" s="10" t="s">
        <v>323</v>
      </c>
      <c r="B103" s="10" t="s">
        <v>322</v>
      </c>
      <c r="C103" t="str">
        <f>_xll.BDP(A103, "PX_LAST")</f>
        <v>#N/A N/A</v>
      </c>
    </row>
    <row r="104" spans="1:3" x14ac:dyDescent="0.25">
      <c r="A104" s="10" t="s">
        <v>321</v>
      </c>
      <c r="B104" s="10" t="s">
        <v>320</v>
      </c>
      <c r="C104" t="str">
        <f>_xll.BDP(A104, "PX_LAST")</f>
        <v>#N/A N/A</v>
      </c>
    </row>
    <row r="105" spans="1:3" x14ac:dyDescent="0.25">
      <c r="A105" s="10" t="s">
        <v>319</v>
      </c>
      <c r="B105" s="10" t="s">
        <v>318</v>
      </c>
      <c r="C105" t="str">
        <f>_xll.BDP(A105, "PX_LAST")</f>
        <v>#N/A N/A</v>
      </c>
    </row>
    <row r="106" spans="1:3" x14ac:dyDescent="0.25">
      <c r="A106" s="10" t="s">
        <v>317</v>
      </c>
      <c r="B106" s="10" t="s">
        <v>316</v>
      </c>
      <c r="C106" t="str">
        <f>_xll.BDP(A106, "PX_LAST")</f>
        <v>#N/A N/A</v>
      </c>
    </row>
    <row r="107" spans="1:3" x14ac:dyDescent="0.25">
      <c r="A107" s="10" t="s">
        <v>315</v>
      </c>
      <c r="B107" s="10" t="s">
        <v>314</v>
      </c>
      <c r="C107" t="str">
        <f>_xll.BDP(A107, "PX_LAST")</f>
        <v>#N/A N/A</v>
      </c>
    </row>
    <row r="108" spans="1:3" x14ac:dyDescent="0.25">
      <c r="A108" s="10" t="s">
        <v>313</v>
      </c>
      <c r="B108" s="10" t="s">
        <v>312</v>
      </c>
      <c r="C108" t="str">
        <f>_xll.BDP(A108, "PX_LAST")</f>
        <v>#N/A N/A</v>
      </c>
    </row>
    <row r="109" spans="1:3" x14ac:dyDescent="0.25">
      <c r="A109" s="10" t="s">
        <v>311</v>
      </c>
      <c r="B109" s="10" t="s">
        <v>310</v>
      </c>
      <c r="C109" t="str">
        <f>_xll.BDP(A109, "PX_LAST")</f>
        <v>#N/A N/A</v>
      </c>
    </row>
    <row r="110" spans="1:3" x14ac:dyDescent="0.25">
      <c r="A110" s="10" t="s">
        <v>309</v>
      </c>
      <c r="B110" s="10" t="s">
        <v>308</v>
      </c>
      <c r="C110" t="str">
        <f>_xll.BDP(A110, "PX_LAST")</f>
        <v>#N/A N/A</v>
      </c>
    </row>
    <row r="111" spans="1:3" x14ac:dyDescent="0.25">
      <c r="A111" s="10" t="s">
        <v>307</v>
      </c>
      <c r="B111" s="10" t="s">
        <v>306</v>
      </c>
      <c r="C111" t="str">
        <f>_xll.BDP(A111, "PX_LAST")</f>
        <v>#N/A N/A</v>
      </c>
    </row>
    <row r="112" spans="1:3" x14ac:dyDescent="0.25">
      <c r="A112" s="10" t="s">
        <v>305</v>
      </c>
      <c r="B112" s="10" t="s">
        <v>304</v>
      </c>
      <c r="C112" t="str">
        <f>_xll.BDP(A112, "PX_LAST")</f>
        <v>#N/A N/A</v>
      </c>
    </row>
    <row r="113" spans="1:3" x14ac:dyDescent="0.25">
      <c r="A113" s="10" t="s">
        <v>303</v>
      </c>
      <c r="B113" s="10" t="s">
        <v>302</v>
      </c>
      <c r="C113" t="str">
        <f>_xll.BDP(A113, "PX_LAST")</f>
        <v>#N/A N/A</v>
      </c>
    </row>
    <row r="114" spans="1:3" x14ac:dyDescent="0.25">
      <c r="A114" s="10" t="s">
        <v>301</v>
      </c>
      <c r="B114" s="10" t="s">
        <v>300</v>
      </c>
      <c r="C114" t="str">
        <f>_xll.BDP(A114, "PX_LAST")</f>
        <v>#N/A N/A</v>
      </c>
    </row>
    <row r="115" spans="1:3" x14ac:dyDescent="0.25">
      <c r="A115" s="10" t="s">
        <v>299</v>
      </c>
      <c r="B115" s="10" t="s">
        <v>298</v>
      </c>
      <c r="C115" t="str">
        <f>_xll.BDP(A115, "PX_LAST")</f>
        <v>#N/A N/A</v>
      </c>
    </row>
    <row r="116" spans="1:3" x14ac:dyDescent="0.25">
      <c r="A116" s="10" t="s">
        <v>297</v>
      </c>
      <c r="B116" s="10" t="s">
        <v>296</v>
      </c>
      <c r="C116" t="str">
        <f>_xll.BDP(A116, "PX_LAST")</f>
        <v>#N/A N/A</v>
      </c>
    </row>
    <row r="117" spans="1:3" x14ac:dyDescent="0.25">
      <c r="A117" s="10" t="s">
        <v>295</v>
      </c>
      <c r="B117" s="10" t="s">
        <v>294</v>
      </c>
      <c r="C117" t="str">
        <f>_xll.BDP(A117, "PX_LAST")</f>
        <v>#N/A N/A</v>
      </c>
    </row>
    <row r="118" spans="1:3" x14ac:dyDescent="0.25">
      <c r="A118" s="10" t="s">
        <v>293</v>
      </c>
      <c r="B118" s="10" t="s">
        <v>292</v>
      </c>
      <c r="C118" t="str">
        <f>_xll.BDP(A118, "PX_LAST")</f>
        <v>#N/A N/A</v>
      </c>
    </row>
    <row r="119" spans="1:3" x14ac:dyDescent="0.25">
      <c r="A119" s="10" t="s">
        <v>291</v>
      </c>
      <c r="B119" s="10" t="s">
        <v>290</v>
      </c>
      <c r="C119" t="str">
        <f>_xll.BDP(A119, "PX_LAST")</f>
        <v>#N/A N/A</v>
      </c>
    </row>
    <row r="120" spans="1:3" x14ac:dyDescent="0.25">
      <c r="A120" s="10" t="s">
        <v>289</v>
      </c>
      <c r="B120" s="10" t="s">
        <v>288</v>
      </c>
      <c r="C120" t="str">
        <f>_xll.BDP(A120, "PX_LAST")</f>
        <v>#N/A N/A</v>
      </c>
    </row>
    <row r="121" spans="1:3" x14ac:dyDescent="0.25">
      <c r="A121" s="10" t="s">
        <v>287</v>
      </c>
      <c r="B121" s="10" t="s">
        <v>286</v>
      </c>
      <c r="C121" t="str">
        <f>_xll.BDP(A121, "PX_LAST")</f>
        <v>#N/A N/A</v>
      </c>
    </row>
    <row r="122" spans="1:3" x14ac:dyDescent="0.25">
      <c r="A122" s="10" t="s">
        <v>285</v>
      </c>
      <c r="B122" s="10" t="s">
        <v>284</v>
      </c>
      <c r="C122" t="str">
        <f>_xll.BDP(A122, "PX_LAST")</f>
        <v>#N/A N/A</v>
      </c>
    </row>
    <row r="123" spans="1:3" x14ac:dyDescent="0.25">
      <c r="A123" s="10" t="s">
        <v>283</v>
      </c>
      <c r="B123" s="10" t="s">
        <v>282</v>
      </c>
      <c r="C123" t="str">
        <f>_xll.BDP(A123, "PX_LAST")</f>
        <v>#N/A N/A</v>
      </c>
    </row>
    <row r="124" spans="1:3" x14ac:dyDescent="0.25">
      <c r="A124" s="10" t="s">
        <v>281</v>
      </c>
      <c r="B124" s="10" t="s">
        <v>280</v>
      </c>
      <c r="C124" t="str">
        <f>_xll.BDP(A124, "PX_LAST")</f>
        <v>#N/A N/A</v>
      </c>
    </row>
    <row r="125" spans="1:3" x14ac:dyDescent="0.25">
      <c r="A125" s="10" t="s">
        <v>279</v>
      </c>
      <c r="B125" s="10" t="s">
        <v>278</v>
      </c>
      <c r="C125" t="str">
        <f>_xll.BDP(A125, "PX_LAST")</f>
        <v>#N/A N/A</v>
      </c>
    </row>
    <row r="126" spans="1:3" x14ac:dyDescent="0.25">
      <c r="A126" s="10" t="s">
        <v>277</v>
      </c>
      <c r="B126" s="10" t="s">
        <v>276</v>
      </c>
      <c r="C126" t="str">
        <f>_xll.BDP(A126, "PX_LAST")</f>
        <v>#N/A N/A</v>
      </c>
    </row>
    <row r="127" spans="1:3" x14ac:dyDescent="0.25">
      <c r="A127" s="10" t="s">
        <v>275</v>
      </c>
      <c r="B127" s="10" t="s">
        <v>274</v>
      </c>
      <c r="C127" t="str">
        <f>_xll.BDP(A127, "PX_LAST")</f>
        <v>#N/A N/A</v>
      </c>
    </row>
    <row r="128" spans="1:3" x14ac:dyDescent="0.25">
      <c r="A128" s="10" t="s">
        <v>271</v>
      </c>
      <c r="B128" s="10" t="s">
        <v>270</v>
      </c>
      <c r="C128" t="str">
        <f>_xll.BDP(A128, "PX_LAST")</f>
        <v>#N/A N/A</v>
      </c>
    </row>
    <row r="129" spans="1:3" x14ac:dyDescent="0.25">
      <c r="A129" s="10" t="s">
        <v>268</v>
      </c>
      <c r="B129" s="10" t="s">
        <v>267</v>
      </c>
      <c r="C129" t="str">
        <f>_xll.BDP(A129, "PX_LAST")</f>
        <v>#N/A N/A</v>
      </c>
    </row>
    <row r="130" spans="1:3" x14ac:dyDescent="0.25">
      <c r="A130" s="10" t="s">
        <v>265</v>
      </c>
      <c r="B130" s="10" t="s">
        <v>264</v>
      </c>
      <c r="C130" t="str">
        <f>_xll.BDP(A130, "PX_LAST")</f>
        <v>#N/A N/A</v>
      </c>
    </row>
    <row r="131" spans="1:3" x14ac:dyDescent="0.25">
      <c r="A131" s="10" t="s">
        <v>262</v>
      </c>
      <c r="B131" s="10" t="s">
        <v>261</v>
      </c>
      <c r="C131" t="str">
        <f>_xll.BDP(A131, "PX_LAST")</f>
        <v>#N/A N/A</v>
      </c>
    </row>
    <row r="132" spans="1:3" x14ac:dyDescent="0.25">
      <c r="A132" s="10" t="s">
        <v>258</v>
      </c>
      <c r="B132" s="10" t="s">
        <v>257</v>
      </c>
      <c r="C132" t="str">
        <f>_xll.BDP(A132, "PX_LAST")</f>
        <v>#N/A N/A</v>
      </c>
    </row>
    <row r="133" spans="1:3" x14ac:dyDescent="0.25">
      <c r="A133" s="10" t="s">
        <v>254</v>
      </c>
      <c r="B133" s="10" t="s">
        <v>253</v>
      </c>
      <c r="C133" t="str">
        <f>_xll.BDP(A133, "PX_LAST")</f>
        <v>#N/A N/A</v>
      </c>
    </row>
    <row r="134" spans="1:3" x14ac:dyDescent="0.25">
      <c r="A134" s="10" t="s">
        <v>250</v>
      </c>
      <c r="B134" s="10" t="s">
        <v>249</v>
      </c>
      <c r="C134" t="str">
        <f>_xll.BDP(A134, "PX_LAST")</f>
        <v>#N/A N/A</v>
      </c>
    </row>
    <row r="135" spans="1:3" x14ac:dyDescent="0.25">
      <c r="A135" s="10" t="s">
        <v>246</v>
      </c>
      <c r="B135" s="10" t="s">
        <v>245</v>
      </c>
      <c r="C135" t="str">
        <f>_xll.BDP(A135, "PX_LAST")</f>
        <v>#N/A N/A</v>
      </c>
    </row>
    <row r="136" spans="1:3" x14ac:dyDescent="0.25">
      <c r="A136" s="10" t="s">
        <v>242</v>
      </c>
      <c r="B136" s="10" t="s">
        <v>241</v>
      </c>
      <c r="C136" t="str">
        <f>_xll.BDP(A136, "PX_LAST")</f>
        <v>#N/A N/A</v>
      </c>
    </row>
    <row r="137" spans="1:3" x14ac:dyDescent="0.25">
      <c r="A137" s="10" t="s">
        <v>11</v>
      </c>
      <c r="B137" s="10" t="s">
        <v>238</v>
      </c>
      <c r="C137" t="str">
        <f>_xll.BDP(A137, "PX_LAST")</f>
        <v>#N/A N/A</v>
      </c>
    </row>
    <row r="138" spans="1:3" x14ac:dyDescent="0.25">
      <c r="A138" s="10" t="s">
        <v>235</v>
      </c>
      <c r="B138" s="10" t="s">
        <v>234</v>
      </c>
      <c r="C138" t="str">
        <f>_xll.BDP(A138, "PX_LAST")</f>
        <v>#N/A N/A</v>
      </c>
    </row>
    <row r="139" spans="1:3" x14ac:dyDescent="0.25">
      <c r="A139" s="10" t="s">
        <v>231</v>
      </c>
      <c r="B139" s="10" t="s">
        <v>230</v>
      </c>
      <c r="C139" t="str">
        <f>_xll.BDP(A139, "PX_LAST")</f>
        <v>#N/A N/A</v>
      </c>
    </row>
    <row r="140" spans="1:3" x14ac:dyDescent="0.25">
      <c r="A140" s="10" t="s">
        <v>227</v>
      </c>
      <c r="B140" s="10" t="s">
        <v>226</v>
      </c>
      <c r="C140" t="str">
        <f>_xll.BDP(A140, "PX_LAST")</f>
        <v>#N/A N/A</v>
      </c>
    </row>
    <row r="141" spans="1:3" x14ac:dyDescent="0.25">
      <c r="A141" s="10" t="s">
        <v>223</v>
      </c>
      <c r="B141" s="10" t="s">
        <v>222</v>
      </c>
      <c r="C141" t="str">
        <f>_xll.BDP(A141, "PX_LAST")</f>
        <v>#N/A N/A</v>
      </c>
    </row>
    <row r="142" spans="1:3" x14ac:dyDescent="0.25">
      <c r="A142" s="10" t="s">
        <v>219</v>
      </c>
      <c r="B142" s="10" t="s">
        <v>218</v>
      </c>
      <c r="C142" t="str">
        <f>_xll.BDP(A142, "PX_LAST")</f>
        <v>#N/A N/A</v>
      </c>
    </row>
    <row r="143" spans="1:3" x14ac:dyDescent="0.25">
      <c r="A143" s="10" t="s">
        <v>215</v>
      </c>
      <c r="B143" s="10" t="s">
        <v>214</v>
      </c>
      <c r="C143" t="str">
        <f>_xll.BDP(A143, "PX_LAST")</f>
        <v>#N/A N/A</v>
      </c>
    </row>
    <row r="144" spans="1:3" x14ac:dyDescent="0.25">
      <c r="A144" s="10" t="s">
        <v>211</v>
      </c>
      <c r="B144" s="10" t="s">
        <v>210</v>
      </c>
      <c r="C144" t="str">
        <f>_xll.BDP(A144, "PX_LAST")</f>
        <v>#N/A N/A</v>
      </c>
    </row>
    <row r="145" spans="1:3" x14ac:dyDescent="0.25">
      <c r="A145" s="10" t="s">
        <v>207</v>
      </c>
      <c r="B145" s="10" t="s">
        <v>206</v>
      </c>
      <c r="C145" t="str">
        <f>_xll.BDP(A145, "PX_LAST")</f>
        <v>#N/A N/A</v>
      </c>
    </row>
    <row r="146" spans="1:3" x14ac:dyDescent="0.25">
      <c r="A146" s="10" t="s">
        <v>203</v>
      </c>
      <c r="B146" s="10" t="s">
        <v>202</v>
      </c>
      <c r="C146" t="str">
        <f>_xll.BDP(A146, "PX_LAST")</f>
        <v>#N/A N/A</v>
      </c>
    </row>
    <row r="147" spans="1:3" x14ac:dyDescent="0.25">
      <c r="A147" s="10" t="s">
        <v>199</v>
      </c>
      <c r="B147" s="10" t="s">
        <v>198</v>
      </c>
      <c r="C147" t="str">
        <f>_xll.BDP(A147, "PX_LAST")</f>
        <v>#N/A N/A</v>
      </c>
    </row>
    <row r="148" spans="1:3" x14ac:dyDescent="0.25">
      <c r="A148" s="10" t="s">
        <v>195</v>
      </c>
      <c r="B148" s="10" t="s">
        <v>194</v>
      </c>
      <c r="C148" t="str">
        <f>_xll.BDP(A148, "PX_LAST")</f>
        <v>#N/A N/A</v>
      </c>
    </row>
    <row r="149" spans="1:3" x14ac:dyDescent="0.25">
      <c r="A149" s="10" t="s">
        <v>191</v>
      </c>
      <c r="B149" s="10" t="s">
        <v>190</v>
      </c>
      <c r="C149" t="str">
        <f>_xll.BDP(A149, "PX_LAST")</f>
        <v>#N/A N/A</v>
      </c>
    </row>
    <row r="150" spans="1:3" x14ac:dyDescent="0.25">
      <c r="A150" s="10" t="s">
        <v>187</v>
      </c>
      <c r="B150" s="10" t="s">
        <v>186</v>
      </c>
      <c r="C150" t="str">
        <f>_xll.BDP(A150, "PX_LAST")</f>
        <v>#N/A N/A</v>
      </c>
    </row>
    <row r="151" spans="1:3" x14ac:dyDescent="0.25">
      <c r="A151" s="10" t="s">
        <v>183</v>
      </c>
      <c r="B151" s="10" t="s">
        <v>182</v>
      </c>
      <c r="C151" t="str">
        <f>_xll.BDP(A151, "PX_LAST")</f>
        <v>#N/A N/A</v>
      </c>
    </row>
    <row r="152" spans="1:3" x14ac:dyDescent="0.25">
      <c r="A152" s="10" t="s">
        <v>179</v>
      </c>
      <c r="B152" s="10" t="s">
        <v>178</v>
      </c>
      <c r="C152" t="str">
        <f>_xll.BDP(A152, "PX_LAST")</f>
        <v>#N/A N/A</v>
      </c>
    </row>
    <row r="153" spans="1:3" x14ac:dyDescent="0.25">
      <c r="A153" s="10" t="s">
        <v>175</v>
      </c>
      <c r="B153" s="10" t="s">
        <v>174</v>
      </c>
      <c r="C153" t="str">
        <f>_xll.BDP(A153, "PX_LAST")</f>
        <v>#N/A N/A</v>
      </c>
    </row>
    <row r="154" spans="1:3" x14ac:dyDescent="0.25">
      <c r="A154" s="10" t="s">
        <v>171</v>
      </c>
      <c r="B154" s="10" t="s">
        <v>170</v>
      </c>
      <c r="C154" t="str">
        <f>_xll.BDP(A154, "PX_LAST")</f>
        <v>#N/A N/A</v>
      </c>
    </row>
    <row r="155" spans="1:3" x14ac:dyDescent="0.25">
      <c r="A155" s="10" t="s">
        <v>167</v>
      </c>
      <c r="B155" s="10" t="s">
        <v>166</v>
      </c>
      <c r="C155" t="str">
        <f>_xll.BDP(A155, "PX_LAST")</f>
        <v>#N/A N/A</v>
      </c>
    </row>
    <row r="156" spans="1:3" x14ac:dyDescent="0.25">
      <c r="A156" s="10" t="s">
        <v>163</v>
      </c>
      <c r="B156" s="10" t="s">
        <v>162</v>
      </c>
      <c r="C156" t="str">
        <f>_xll.BDP(A156, "PX_LAST")</f>
        <v>#N/A N/A</v>
      </c>
    </row>
    <row r="157" spans="1:3" x14ac:dyDescent="0.25">
      <c r="A157" s="10" t="s">
        <v>159</v>
      </c>
      <c r="B157" s="10" t="s">
        <v>158</v>
      </c>
      <c r="C157" t="str">
        <f>_xll.BDP(A157, "PX_LAST")</f>
        <v>#N/A N/A</v>
      </c>
    </row>
    <row r="158" spans="1:3" x14ac:dyDescent="0.25">
      <c r="A158" s="10" t="s">
        <v>155</v>
      </c>
      <c r="B158" s="10" t="s">
        <v>154</v>
      </c>
      <c r="C158" t="str">
        <f>_xll.BDP(A158, "PX_LAST")</f>
        <v>#N/A N/A</v>
      </c>
    </row>
    <row r="159" spans="1:3" x14ac:dyDescent="0.25">
      <c r="A159" s="10" t="s">
        <v>151</v>
      </c>
      <c r="B159" s="10" t="s">
        <v>150</v>
      </c>
      <c r="C159" t="str">
        <f>_xll.BDP(A159, "PX_LAST")</f>
        <v>#N/A N/A</v>
      </c>
    </row>
    <row r="160" spans="1:3" x14ac:dyDescent="0.25">
      <c r="A160" s="10" t="s">
        <v>147</v>
      </c>
      <c r="B160" s="10" t="s">
        <v>146</v>
      </c>
      <c r="C160" t="str">
        <f>_xll.BDP(A160, "PX_LAST")</f>
        <v>#N/A N/A</v>
      </c>
    </row>
    <row r="161" spans="1:3" x14ac:dyDescent="0.25">
      <c r="A161" s="10" t="s">
        <v>368</v>
      </c>
      <c r="B161" s="10" t="s">
        <v>367</v>
      </c>
      <c r="C161" t="str">
        <f>_xll.BDP(A161, "PX_LAST")</f>
        <v>#N/A N/A</v>
      </c>
    </row>
    <row r="162" spans="1:3" x14ac:dyDescent="0.25">
      <c r="A162" s="10" t="s">
        <v>366</v>
      </c>
      <c r="B162" s="10" t="s">
        <v>365</v>
      </c>
      <c r="C162" t="str">
        <f>_xll.BDP(A162, "PX_LAST")</f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Gazzano, Pierre</dc:creator>
  <cp:lastModifiedBy>Gazzano, Pierre</cp:lastModifiedBy>
  <dcterms:created xsi:type="dcterms:W3CDTF">2026-06-22T15:32:48Z</dcterms:created>
  <dcterms:modified xsi:type="dcterms:W3CDTF">2026-06-23T12:32:43Z</dcterms:modified>
</cp:coreProperties>
</file>
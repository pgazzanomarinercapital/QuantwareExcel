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inercapital-my.sharepoint.com/personal/pgazzano_marinercapital_com/Documents/Attachments/"/>
    </mc:Choice>
  </mc:AlternateContent>
  <xr:revisionPtr revIDLastSave="6588" documentId="8_{5BC9BF22-D5E1-40C8-8EF5-84AC04A4E172}" xr6:coauthVersionLast="47" xr6:coauthVersionMax="47" xr10:uidLastSave="{4350F5BD-E6DC-48B4-A8A5-77C7BEC33215}"/>
  <bookViews>
    <workbookView xWindow="-120" yWindow="-120" windowWidth="38640" windowHeight="21840" xr2:uid="{67299944-7FF9-49B4-A72F-BD4B4EE2DA64}"/>
  </bookViews>
  <sheets>
    <sheet name="CPURNSA" sheetId="1" r:id="rId1"/>
    <sheet name="UKRPI" sheetId="5" r:id="rId2"/>
    <sheet name="Sheet3" sheetId="3" r:id="rId3"/>
  </sheets>
  <definedNames>
    <definedName name="LaggedEOM">CPURNSA!$E$12</definedName>
    <definedName name="LaggedEOMuk">UKRPI!$D$12</definedName>
    <definedName name="spotDate">CPURNSA!$E$11</definedName>
    <definedName name="strippingDate">CPURNSA!$E$10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3" l="1"/>
  <c r="I32" i="3"/>
  <c r="C157" i="3"/>
  <c r="C48" i="3"/>
  <c r="C7" i="3"/>
  <c r="C137" i="3"/>
  <c r="I76" i="3"/>
  <c r="C52" i="3"/>
  <c r="C45" i="3"/>
  <c r="C124" i="3"/>
  <c r="C29" i="3"/>
  <c r="C8" i="3"/>
  <c r="I37" i="3"/>
  <c r="I20" i="3"/>
  <c r="C54" i="3"/>
  <c r="I54" i="3"/>
  <c r="C129" i="3"/>
  <c r="I24" i="3"/>
  <c r="I44" i="3"/>
  <c r="C35" i="3"/>
  <c r="X5" i="1"/>
  <c r="X11" i="1"/>
  <c r="X13" i="1"/>
  <c r="X9" i="1"/>
  <c r="X6" i="1"/>
  <c r="X7" i="1"/>
  <c r="X15" i="1"/>
  <c r="X4" i="1"/>
  <c r="X14" i="1"/>
  <c r="X10" i="1"/>
  <c r="C15" i="3"/>
  <c r="C162" i="3"/>
  <c r="C106" i="3"/>
  <c r="I33" i="3"/>
  <c r="C41" i="3"/>
  <c r="C37" i="3"/>
  <c r="C149" i="3"/>
  <c r="C98" i="3"/>
  <c r="I45" i="3"/>
  <c r="I15" i="3"/>
  <c r="C26" i="3"/>
  <c r="I64" i="3"/>
  <c r="AK8" i="5"/>
  <c r="AM8" i="1"/>
  <c r="C5" i="3"/>
  <c r="C130" i="3"/>
  <c r="C44" i="3"/>
  <c r="AK5" i="5"/>
  <c r="AM5" i="1"/>
  <c r="C89" i="3"/>
  <c r="I36" i="3"/>
  <c r="AK7" i="5"/>
  <c r="AM7" i="1"/>
  <c r="C12" i="3"/>
  <c r="C33" i="3"/>
  <c r="I51" i="3"/>
  <c r="C94" i="3"/>
  <c r="C11" i="3"/>
  <c r="C139" i="3"/>
  <c r="C39" i="3"/>
  <c r="C61" i="3"/>
  <c r="C56" i="3"/>
  <c r="C10" i="3"/>
  <c r="W12" i="5"/>
  <c r="V9" i="5" a="1"/>
  <c r="V9" i="5"/>
  <c r="V14" i="5" a="1"/>
  <c r="V14" i="5"/>
  <c r="W4" i="5"/>
  <c r="W9" i="5"/>
  <c r="V12" i="5" a="1"/>
  <c r="V12" i="5"/>
  <c r="V11" i="5" a="1"/>
  <c r="V11" i="5"/>
  <c r="W10" i="5"/>
  <c r="V10" i="5" a="1"/>
  <c r="V10" i="5"/>
  <c r="W6" i="5"/>
  <c r="W15" i="5"/>
  <c r="W11" i="5"/>
  <c r="V4" i="5" a="1"/>
  <c r="V4" i="5"/>
  <c r="V7" i="5" a="1"/>
  <c r="V7" i="5"/>
  <c r="C160" i="3"/>
  <c r="V15" i="5" a="1"/>
  <c r="V15" i="5"/>
  <c r="V6" i="5" a="1"/>
  <c r="V6" i="5"/>
  <c r="W7" i="5"/>
  <c r="W13" i="5"/>
  <c r="C100" i="3"/>
  <c r="W14" i="5"/>
  <c r="I63" i="3"/>
  <c r="C72" i="3"/>
  <c r="C112" i="3"/>
  <c r="V13" i="5" a="1"/>
  <c r="V13" i="5"/>
  <c r="C23" i="3"/>
  <c r="C91" i="3"/>
  <c r="C34" i="3"/>
  <c r="C38" i="3"/>
  <c r="C117" i="3"/>
  <c r="I31" i="3"/>
  <c r="I18" i="3"/>
  <c r="C126" i="3"/>
  <c r="I43" i="3"/>
  <c r="C53" i="3"/>
  <c r="C110" i="3"/>
  <c r="C159" i="3"/>
  <c r="I79" i="3"/>
  <c r="C49" i="3"/>
  <c r="C27" i="3"/>
  <c r="C96" i="3"/>
  <c r="C43" i="3"/>
  <c r="I62" i="3"/>
  <c r="C21" i="3"/>
  <c r="I40" i="3"/>
  <c r="C24" i="3"/>
  <c r="I75" i="3"/>
  <c r="C57" i="3"/>
  <c r="C65" i="3"/>
  <c r="AK13" i="5"/>
  <c r="AM13" i="1"/>
  <c r="I78" i="3"/>
  <c r="I65" i="3"/>
  <c r="I42" i="3"/>
  <c r="I16" i="3"/>
  <c r="C141" i="3"/>
  <c r="C59" i="3"/>
  <c r="C144" i="3"/>
  <c r="C128" i="3"/>
  <c r="C146" i="3"/>
  <c r="AK6" i="5"/>
  <c r="AM6" i="1"/>
  <c r="C152" i="3"/>
  <c r="C90" i="3"/>
  <c r="C135" i="3"/>
  <c r="I69" i="3"/>
  <c r="C158" i="3"/>
  <c r="C108" i="3"/>
  <c r="C161" i="3"/>
  <c r="C68" i="3"/>
  <c r="C143" i="3"/>
  <c r="C58" i="3"/>
  <c r="C114" i="3"/>
  <c r="C122" i="3"/>
  <c r="C148" i="3"/>
  <c r="C13" i="3"/>
  <c r="C63" i="3"/>
  <c r="AK4" i="5"/>
  <c r="AM4" i="1"/>
  <c r="C92" i="3"/>
  <c r="I49" i="3"/>
  <c r="C30" i="3"/>
  <c r="I14" i="3"/>
  <c r="I74" i="3"/>
  <c r="AK11" i="5"/>
  <c r="AM11" i="1"/>
  <c r="C64" i="3"/>
  <c r="I50" i="3"/>
  <c r="C55" i="3"/>
  <c r="I19" i="3"/>
  <c r="AK14" i="5"/>
  <c r="AM14" i="1"/>
  <c r="I58" i="3"/>
  <c r="I21" i="3"/>
  <c r="C14" i="3"/>
  <c r="C20" i="3"/>
  <c r="C69" i="3"/>
  <c r="I67" i="3"/>
  <c r="C9" i="3"/>
  <c r="C109" i="3"/>
  <c r="C97" i="3"/>
  <c r="I41" i="3"/>
  <c r="C60" i="3"/>
  <c r="C103" i="3"/>
  <c r="C16" i="3"/>
  <c r="AK15" i="5"/>
  <c r="AM15" i="1"/>
  <c r="C28" i="3"/>
  <c r="AK9" i="5"/>
  <c r="AM9" i="1"/>
  <c r="I77" i="3"/>
  <c r="C62" i="3"/>
  <c r="C3" i="3"/>
  <c r="I55" i="3"/>
  <c r="I68" i="3"/>
  <c r="C67" i="3"/>
  <c r="I61" i="3"/>
  <c r="C153" i="3"/>
  <c r="I59" i="3"/>
  <c r="I22" i="3"/>
  <c r="C147" i="3"/>
  <c r="C107" i="3"/>
  <c r="I53" i="3"/>
  <c r="I17" i="3"/>
  <c r="C138" i="3"/>
  <c r="C50" i="3"/>
  <c r="C47" i="3"/>
  <c r="C111" i="3"/>
  <c r="C155" i="3"/>
  <c r="I66" i="3"/>
  <c r="I30" i="3"/>
  <c r="C116" i="3"/>
  <c r="C140" i="3"/>
  <c r="C36" i="3"/>
  <c r="I27" i="3"/>
  <c r="C132" i="3"/>
  <c r="C32" i="3"/>
  <c r="C42" i="3"/>
  <c r="I28" i="3"/>
  <c r="C104" i="3"/>
  <c r="C102" i="3"/>
  <c r="C19" i="3"/>
  <c r="I57" i="3"/>
  <c r="C145" i="3"/>
  <c r="C66" i="3"/>
  <c r="I34" i="3"/>
  <c r="C2" i="3"/>
  <c r="C25" i="3"/>
  <c r="I60" i="3"/>
  <c r="C95" i="3"/>
  <c r="C131" i="3"/>
  <c r="C133" i="3"/>
  <c r="I56" i="3"/>
  <c r="C4" i="3"/>
  <c r="I52" i="3"/>
  <c r="I46" i="3"/>
  <c r="C18" i="3"/>
  <c r="AE7" i="5"/>
  <c r="AF13" i="5"/>
  <c r="AE11" i="5"/>
  <c r="AF12" i="5"/>
  <c r="AF6" i="5"/>
  <c r="AE6" i="5"/>
  <c r="AF5" i="5"/>
  <c r="AE9" i="5"/>
  <c r="AF11" i="5"/>
  <c r="AE13" i="5"/>
  <c r="AE8" i="5"/>
  <c r="AF16" i="5"/>
  <c r="AF9" i="5"/>
  <c r="AF8" i="5"/>
  <c r="AE5" i="5"/>
  <c r="AE12" i="5"/>
  <c r="AF7" i="5"/>
  <c r="AE16" i="5"/>
  <c r="AF10" i="5"/>
  <c r="AE10" i="5"/>
  <c r="C120" i="3"/>
  <c r="I23" i="3"/>
  <c r="I48" i="3"/>
  <c r="C156" i="3"/>
  <c r="I35" i="3"/>
  <c r="C150" i="3"/>
  <c r="C127" i="3"/>
  <c r="I25" i="3"/>
  <c r="I70" i="3"/>
  <c r="AK12" i="5"/>
  <c r="AM12" i="1"/>
  <c r="I47" i="3"/>
  <c r="C93" i="3"/>
  <c r="I29" i="3"/>
  <c r="C113" i="3"/>
  <c r="C118" i="3"/>
  <c r="C125" i="3"/>
  <c r="I73" i="3"/>
  <c r="C71" i="3"/>
  <c r="C134" i="3"/>
  <c r="C46" i="3"/>
  <c r="C17" i="3"/>
  <c r="C121" i="3"/>
  <c r="C22" i="3"/>
  <c r="C119" i="3"/>
  <c r="C101" i="3"/>
  <c r="C105" i="3"/>
  <c r="I72" i="3"/>
  <c r="C115" i="3"/>
  <c r="I38" i="3"/>
  <c r="C99" i="3"/>
  <c r="I39" i="3"/>
  <c r="C70" i="3"/>
  <c r="C40" i="3"/>
  <c r="C88" i="3"/>
  <c r="C51" i="3"/>
  <c r="C154" i="3"/>
  <c r="AK10" i="5"/>
  <c r="AM10" i="1"/>
  <c r="C151" i="3"/>
  <c r="C136" i="3"/>
  <c r="C123" i="3"/>
  <c r="I26" i="3"/>
  <c r="C6" i="3"/>
  <c r="I71" i="3"/>
  <c r="C142" i="3"/>
  <c r="AF16" i="1"/>
  <c r="AF14" i="5"/>
  <c r="AF15" i="5"/>
  <c r="AE15" i="5"/>
  <c r="AE14" i="5"/>
  <c r="AF4" i="5"/>
  <c r="AE4" i="5"/>
  <c r="AE17" i="5"/>
  <c r="C86" i="3"/>
  <c r="AG16" i="1"/>
  <c r="AF17" i="5"/>
  <c r="V5" i="5" a="1"/>
  <c r="V5" i="5"/>
  <c r="V8" i="5" a="1"/>
  <c r="V8" i="5"/>
  <c r="W8" i="5"/>
  <c r="W5" i="5"/>
  <c r="X8" i="1"/>
  <c r="X12" i="1"/>
  <c r="W8" i="1" a="1"/>
  <c r="W8" i="1"/>
  <c r="W14" i="1" a="1"/>
  <c r="W14" i="1"/>
  <c r="I3" i="3"/>
  <c r="I11" i="3"/>
  <c r="W4" i="1" a="1"/>
  <c r="W4" i="1"/>
  <c r="W10" i="1" a="1"/>
  <c r="W10" i="1"/>
  <c r="C83" i="3"/>
  <c r="I4" i="3"/>
  <c r="W13" i="1" a="1"/>
  <c r="W13" i="1"/>
  <c r="I9" i="3"/>
  <c r="I13" i="3"/>
  <c r="W11" i="1" a="1"/>
  <c r="W11" i="1"/>
  <c r="W15" i="1" a="1"/>
  <c r="W15" i="1"/>
  <c r="W5" i="1" a="1"/>
  <c r="W5" i="1"/>
  <c r="I12" i="3"/>
  <c r="I10" i="3"/>
  <c r="I7" i="3"/>
  <c r="W6" i="1" a="1"/>
  <c r="W6" i="1"/>
  <c r="I8" i="3"/>
  <c r="W7" i="1" a="1"/>
  <c r="W7" i="1"/>
  <c r="I2" i="3"/>
  <c r="C74" i="3"/>
  <c r="AG5" i="1"/>
  <c r="C78" i="3"/>
  <c r="AG9" i="1"/>
  <c r="AF15" i="1"/>
  <c r="C85" i="3"/>
  <c r="AG15" i="1"/>
  <c r="C77" i="3"/>
  <c r="AG8" i="1"/>
  <c r="AF4" i="1"/>
  <c r="C82" i="3"/>
  <c r="AG13" i="1"/>
  <c r="AF11" i="1"/>
  <c r="AF7" i="1"/>
  <c r="C80" i="3"/>
  <c r="AG11" i="1"/>
  <c r="C87" i="3"/>
  <c r="AG17" i="1"/>
  <c r="AF6" i="1"/>
  <c r="AF14" i="1"/>
  <c r="AF5" i="1"/>
  <c r="AF17" i="1"/>
  <c r="C75" i="3"/>
  <c r="AG6" i="1"/>
  <c r="AF9" i="1"/>
  <c r="AF8" i="1"/>
  <c r="C84" i="3"/>
  <c r="AG14" i="1"/>
  <c r="C76" i="3"/>
  <c r="AG7" i="1"/>
  <c r="C73" i="3"/>
  <c r="AG4" i="1"/>
  <c r="C79" i="3"/>
  <c r="AG10" i="1"/>
  <c r="AF12" i="1"/>
  <c r="C81" i="3"/>
  <c r="AG12" i="1"/>
  <c r="AF10" i="1"/>
  <c r="AF13" i="1"/>
  <c r="I6" i="3"/>
  <c r="W9" i="1" a="1"/>
  <c r="W9" i="1"/>
  <c r="I5" i="3"/>
  <c r="W12" i="1" a="1"/>
  <c r="W12" i="1"/>
  <c r="U15" i="1"/>
  <c r="T15" i="1" a="1"/>
  <c r="T15" i="1"/>
  <c r="E8" i="1" l="1"/>
  <c r="E10" i="1"/>
  <c r="L3" i="1" s="1" a="1"/>
  <c r="L3" i="1" s="1"/>
  <c r="AI5" i="1"/>
  <c r="AI6" i="1"/>
  <c r="AI7" i="1"/>
  <c r="AI8" i="1"/>
  <c r="AI9" i="1"/>
  <c r="AI10" i="1"/>
  <c r="AI11" i="1"/>
  <c r="AI12" i="1"/>
  <c r="AI13" i="1"/>
  <c r="D22" i="1"/>
  <c r="C31" i="1"/>
  <c r="C33" i="1"/>
  <c r="D27" i="1"/>
  <c r="E27" i="1" s="1" a="1"/>
  <c r="E27" i="1" s="1"/>
  <c r="V4" i="1" a="1"/>
  <c r="V4" i="1" s="1"/>
  <c r="V15" i="1" a="1"/>
  <c r="V15" i="1" s="1"/>
  <c r="X15" i="5"/>
  <c r="X5" i="5"/>
  <c r="T5" i="5"/>
  <c r="T9" i="5"/>
  <c r="T13" i="5"/>
  <c r="T6" i="5"/>
  <c r="T10" i="5"/>
  <c r="T14" i="5"/>
  <c r="T7" i="5"/>
  <c r="T11" i="5"/>
  <c r="T15" i="5"/>
  <c r="T4" i="5"/>
  <c r="T8" i="5"/>
  <c r="T12" i="5"/>
  <c r="U4" i="1"/>
  <c r="U5" i="1"/>
  <c r="U6" i="1"/>
  <c r="U7" i="1"/>
  <c r="U8" i="1"/>
  <c r="U9" i="1"/>
  <c r="U10" i="1"/>
  <c r="U11" i="1"/>
  <c r="U12" i="1"/>
  <c r="U13" i="1"/>
  <c r="U14" i="1"/>
  <c r="Y5" i="1"/>
  <c r="K36" i="1"/>
  <c r="M36" i="1" s="1"/>
  <c r="O21" i="1"/>
  <c r="V14" i="1" a="1"/>
  <c r="V14" i="1" s="1"/>
  <c r="T14" i="1" a="1"/>
  <c r="T14" i="1" s="1"/>
  <c r="V13" i="1" a="1"/>
  <c r="V13" i="1" s="1"/>
  <c r="T13" i="1" a="1"/>
  <c r="T13" i="1" s="1"/>
  <c r="V12" i="1" a="1"/>
  <c r="V12" i="1" s="1"/>
  <c r="T12" i="1" a="1"/>
  <c r="T12" i="1" s="1"/>
  <c r="V11" i="1" a="1"/>
  <c r="V11" i="1" s="1"/>
  <c r="T11" i="1" a="1"/>
  <c r="T11" i="1" s="1"/>
  <c r="V10" i="1" a="1"/>
  <c r="V10" i="1" s="1"/>
  <c r="T10" i="1" a="1"/>
  <c r="T10" i="1" s="1"/>
  <c r="AE9" i="1"/>
  <c r="V9" i="1" a="1"/>
  <c r="V9" i="1" s="1"/>
  <c r="T9" i="1" a="1"/>
  <c r="T9" i="1" s="1"/>
  <c r="AE8" i="1"/>
  <c r="V8" i="1" a="1"/>
  <c r="V8" i="1" s="1"/>
  <c r="T8" i="1" a="1"/>
  <c r="T8" i="1" s="1"/>
  <c r="AE7" i="1"/>
  <c r="V7" i="1" a="1"/>
  <c r="V7" i="1" s="1"/>
  <c r="T7" i="1" a="1"/>
  <c r="T7" i="1" s="1"/>
  <c r="AE6" i="1"/>
  <c r="V6" i="1" a="1"/>
  <c r="V6" i="1" s="1"/>
  <c r="T6" i="1" a="1"/>
  <c r="T6" i="1" s="1"/>
  <c r="AE5" i="1"/>
  <c r="V5" i="1" a="1"/>
  <c r="V5" i="1" s="1"/>
  <c r="T5" i="1" a="1"/>
  <c r="T5" i="1" s="1"/>
  <c r="AE4" i="1"/>
  <c r="T4" i="1" a="1"/>
  <c r="T4" i="1" s="1"/>
  <c r="AB2" i="1"/>
  <c r="AA2" i="1"/>
  <c r="D15" i="5" a="1"/>
  <c r="C46" i="1" l="1" a="1"/>
  <c r="D47" i="1" s="1" a="1"/>
  <c r="D47" i="1" s="1"/>
  <c r="B22" i="1"/>
  <c r="D21" i="1" a="1"/>
  <c r="D21" i="1" s="1"/>
  <c r="E21" i="1" s="1" a="1"/>
  <c r="E21" i="1" s="1"/>
  <c r="E22" i="1" a="1"/>
  <c r="E22" i="1" s="1"/>
  <c r="C22" i="1"/>
  <c r="AH11" i="1" a="1"/>
  <c r="AH11" i="1" s="1"/>
  <c r="AH4" i="1" a="1"/>
  <c r="AH4" i="1" s="1"/>
  <c r="AH7" i="1" a="1"/>
  <c r="AH7" i="1" s="1"/>
  <c r="AH5" i="1" a="1"/>
  <c r="AH5" i="1" s="1"/>
  <c r="AH6" i="1" a="1"/>
  <c r="AH6" i="1" s="1"/>
  <c r="AH8" i="1" a="1"/>
  <c r="AH8" i="1" s="1"/>
  <c r="AH9" i="1" a="1"/>
  <c r="AH9" i="1" s="1"/>
  <c r="AH10" i="1" a="1"/>
  <c r="AH10" i="1" s="1"/>
  <c r="AH12" i="1" a="1"/>
  <c r="AH12" i="1" s="1"/>
  <c r="AH13" i="1" a="1"/>
  <c r="AH13" i="1" s="1"/>
  <c r="AH14" i="1" a="1"/>
  <c r="AH14" i="1" s="1"/>
  <c r="AH15" i="1" a="1"/>
  <c r="AH15" i="1" s="1"/>
  <c r="AH16" i="1" a="1"/>
  <c r="AH16" i="1" s="1"/>
  <c r="AH17" i="1" a="1"/>
  <c r="AH17" i="1" s="1"/>
  <c r="X6" i="5"/>
  <c r="X7" i="5"/>
  <c r="X14" i="5"/>
  <c r="AA15" i="1"/>
  <c r="AA14" i="1"/>
  <c r="AA13" i="1"/>
  <c r="AA12" i="1"/>
  <c r="AA11" i="1"/>
  <c r="AA10" i="1"/>
  <c r="AA9" i="1"/>
  <c r="AB9" i="1" s="1"/>
  <c r="AA8" i="1"/>
  <c r="AB8" i="1" s="1"/>
  <c r="AA7" i="1"/>
  <c r="AB7" i="1" s="1"/>
  <c r="AA6" i="1"/>
  <c r="AB6" i="1" s="1"/>
  <c r="AA5" i="1"/>
  <c r="AB5" i="1" s="1"/>
  <c r="AA4" i="1"/>
  <c r="AB4" i="1" s="1"/>
  <c r="A22" i="1"/>
  <c r="D23" i="1"/>
  <c r="E23" i="1" s="1" a="1"/>
  <c r="E23" i="1" s="1"/>
  <c r="C23" i="1"/>
  <c r="D33" i="1"/>
  <c r="E33" i="1" s="1" a="1"/>
  <c r="E33" i="1" s="1"/>
  <c r="D24" i="1"/>
  <c r="E24" i="1" s="1" a="1"/>
  <c r="E24" i="1" s="1"/>
  <c r="C24" i="1"/>
  <c r="Y6" i="1"/>
  <c r="D34" i="1"/>
  <c r="E34" i="1" s="1" a="1"/>
  <c r="E34" i="1" s="1"/>
  <c r="C34" i="1"/>
  <c r="D25" i="1"/>
  <c r="E25" i="1" s="1" a="1"/>
  <c r="E25" i="1" s="1"/>
  <c r="C25" i="1"/>
  <c r="Y7" i="1"/>
  <c r="D35" i="1"/>
  <c r="E35" i="1" s="1" a="1"/>
  <c r="E35" i="1" s="1"/>
  <c r="C35" i="1"/>
  <c r="D26" i="1"/>
  <c r="E26" i="1" s="1" a="1"/>
  <c r="E26" i="1" s="1"/>
  <c r="C26" i="1"/>
  <c r="Y8" i="1"/>
  <c r="D36" i="1"/>
  <c r="E36" i="1" s="1" a="1"/>
  <c r="E36" i="1" s="1"/>
  <c r="C36" i="1"/>
  <c r="B27" i="1"/>
  <c r="A27" i="1" s="1"/>
  <c r="C27" i="1"/>
  <c r="Y9" i="1"/>
  <c r="D37" i="1"/>
  <c r="E37" i="1" s="1" a="1"/>
  <c r="E37" i="1" s="1"/>
  <c r="C37" i="1"/>
  <c r="P20" i="1"/>
  <c r="AE17" i="1"/>
  <c r="AE16" i="1"/>
  <c r="AE15" i="1"/>
  <c r="AB15" i="1"/>
  <c r="AE14" i="1"/>
  <c r="AB14" i="1"/>
  <c r="AE13" i="1"/>
  <c r="AB13" i="1"/>
  <c r="AE12" i="1"/>
  <c r="AB12" i="1"/>
  <c r="AE11" i="1"/>
  <c r="AB11" i="1"/>
  <c r="E11" i="1" a="1"/>
  <c r="E11" i="1" s="1"/>
  <c r="AE10" i="1"/>
  <c r="AB10" i="1"/>
  <c r="D28" i="1"/>
  <c r="E28" i="1" s="1" a="1"/>
  <c r="E28" i="1" s="1"/>
  <c r="C28" i="1"/>
  <c r="Y10" i="1"/>
  <c r="D38" i="1"/>
  <c r="E38" i="1" s="1" a="1"/>
  <c r="E38" i="1" s="1"/>
  <c r="C38" i="1"/>
  <c r="D29" i="1"/>
  <c r="E29" i="1" s="1" a="1"/>
  <c r="E29" i="1" s="1"/>
  <c r="C29" i="1"/>
  <c r="Y11" i="1"/>
  <c r="D39" i="1"/>
  <c r="E39" i="1" s="1" a="1"/>
  <c r="E39" i="1" s="1"/>
  <c r="C39" i="1"/>
  <c r="D30" i="1"/>
  <c r="E30" i="1" s="1" a="1"/>
  <c r="E30" i="1" s="1"/>
  <c r="C30" i="1"/>
  <c r="Y12" i="1"/>
  <c r="D40" i="1"/>
  <c r="E40" i="1" s="1" a="1"/>
  <c r="E40" i="1" s="1"/>
  <c r="C40" i="1"/>
  <c r="D31" i="1"/>
  <c r="E31" i="1" s="1" a="1"/>
  <c r="E31" i="1" s="1"/>
  <c r="Y13" i="1"/>
  <c r="D41" i="1"/>
  <c r="E41" i="1" s="1" a="1"/>
  <c r="E41" i="1" s="1"/>
  <c r="C41" i="1"/>
  <c r="D32" i="1"/>
  <c r="E32" i="1" s="1" a="1"/>
  <c r="E32" i="1" s="1"/>
  <c r="C32" i="1"/>
  <c r="Y14" i="1"/>
  <c r="D42" i="1"/>
  <c r="E42" i="1" s="1" a="1"/>
  <c r="E42" i="1" s="1"/>
  <c r="C42" i="1"/>
  <c r="Y15" i="1"/>
  <c r="D43" i="1"/>
  <c r="E43" i="1" s="1" a="1"/>
  <c r="E43" i="1" s="1"/>
  <c r="C43" i="1"/>
  <c r="D44" i="1"/>
  <c r="E44" i="1" s="1" a="1"/>
  <c r="E44" i="1" s="1"/>
  <c r="C44" i="1"/>
  <c r="O22" i="1"/>
  <c r="P21" i="1"/>
  <c r="D15" i="5"/>
  <c r="J36" i="5"/>
  <c r="L36" i="5" s="1"/>
  <c r="N21" i="5"/>
  <c r="D10" i="5"/>
  <c r="K3" i="5" s="1" a="1"/>
  <c r="K3" i="5" s="1"/>
  <c r="AE29" i="5"/>
  <c r="AG5" i="5"/>
  <c r="AG6" i="5" s="1"/>
  <c r="AG7" i="5" s="1"/>
  <c r="AG8" i="5" s="1"/>
  <c r="U7" i="5" a="1"/>
  <c r="S15" i="5" a="1"/>
  <c r="S11" i="5" a="1"/>
  <c r="U14" i="5" a="1"/>
  <c r="U12" i="5" a="1"/>
  <c r="U10" i="5" a="1"/>
  <c r="U9" i="5" a="1"/>
  <c r="U8" i="5" a="1"/>
  <c r="S7" i="5" a="1"/>
  <c r="S6" i="5" a="1"/>
  <c r="S14" i="5" a="1"/>
  <c r="S12" i="5" a="1"/>
  <c r="S10" i="5" a="1"/>
  <c r="S8" i="5" a="1"/>
  <c r="U4" i="5" a="1"/>
  <c r="S13" i="5" a="1"/>
  <c r="S9" i="5" a="1"/>
  <c r="S5" i="5" a="1"/>
  <c r="U15" i="5" a="1"/>
  <c r="U13" i="5" a="1"/>
  <c r="U11" i="5" a="1"/>
  <c r="U6" i="5" a="1"/>
  <c r="U5" i="5" a="1"/>
  <c r="S4" i="5" a="1"/>
  <c r="D55" i="1" l="1" a="1"/>
  <c r="D55" i="1" s="1"/>
  <c r="D48" i="1" a="1"/>
  <c r="D48" i="1" s="1"/>
  <c r="C46" i="1"/>
  <c r="D46" i="1" s="1" a="1"/>
  <c r="D46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B43" i="1"/>
  <c r="A43" i="1" s="1"/>
  <c r="B42" i="1"/>
  <c r="A42" i="1" s="1"/>
  <c r="B32" i="1"/>
  <c r="B41" i="1"/>
  <c r="A41" i="1" s="1"/>
  <c r="B31" i="1"/>
  <c r="A31" i="1" s="1"/>
  <c r="B40" i="1"/>
  <c r="A40" i="1" s="1"/>
  <c r="B30" i="1"/>
  <c r="A30" i="1" s="1"/>
  <c r="B39" i="1"/>
  <c r="A39" i="1" s="1"/>
  <c r="B29" i="1"/>
  <c r="A29" i="1" s="1"/>
  <c r="B38" i="1"/>
  <c r="A38" i="1" s="1"/>
  <c r="B28" i="1"/>
  <c r="A28" i="1" s="1"/>
  <c r="B37" i="1"/>
  <c r="A37" i="1" s="1"/>
  <c r="B36" i="1"/>
  <c r="A36" i="1" s="1"/>
  <c r="B26" i="1"/>
  <c r="A26" i="1" s="1"/>
  <c r="B35" i="1"/>
  <c r="A35" i="1" s="1"/>
  <c r="B34" i="1"/>
  <c r="A34" i="1" s="1"/>
  <c r="B33" i="1"/>
  <c r="A33" i="1" s="1"/>
  <c r="B23" i="1"/>
  <c r="A23" i="1" s="1"/>
  <c r="B24" i="1"/>
  <c r="A24" i="1" s="1"/>
  <c r="B25" i="1"/>
  <c r="A25" i="1" s="1"/>
  <c r="O23" i="1"/>
  <c r="P22" i="1"/>
  <c r="B44" i="1"/>
  <c r="A44" i="1" s="1"/>
  <c r="D20" i="1"/>
  <c r="E20" i="1" s="1" a="1"/>
  <c r="E20" i="1" s="1"/>
  <c r="E12" i="1" a="1"/>
  <c r="E12" i="1" s="1"/>
  <c r="AD7" i="5"/>
  <c r="S4" i="5"/>
  <c r="U5" i="5"/>
  <c r="U6" i="5"/>
  <c r="U11" i="5"/>
  <c r="U13" i="5"/>
  <c r="U15" i="5"/>
  <c r="S5" i="5"/>
  <c r="S9" i="5"/>
  <c r="S13" i="5"/>
  <c r="U4" i="5"/>
  <c r="S8" i="5"/>
  <c r="S10" i="5"/>
  <c r="S12" i="5"/>
  <c r="S14" i="5"/>
  <c r="S6" i="5"/>
  <c r="S7" i="5"/>
  <c r="U8" i="5"/>
  <c r="U9" i="5"/>
  <c r="U10" i="5"/>
  <c r="U12" i="5"/>
  <c r="U14" i="5"/>
  <c r="S11" i="5"/>
  <c r="S15" i="5"/>
  <c r="U7" i="5"/>
  <c r="AD5" i="5"/>
  <c r="AD6" i="5"/>
  <c r="AD4" i="5"/>
  <c r="AD8" i="5"/>
  <c r="AD9" i="5"/>
  <c r="B22" i="5"/>
  <c r="C21" i="5"/>
  <c r="E21" i="5" s="1" a="1"/>
  <c r="E21" i="5" s="1"/>
  <c r="B23" i="5"/>
  <c r="C22" i="5"/>
  <c r="E22" i="5" s="1" a="1"/>
  <c r="E22" i="5" s="1"/>
  <c r="C33" i="5"/>
  <c r="E33" i="5" s="1" a="1"/>
  <c r="E33" i="5" s="1"/>
  <c r="B33" i="5"/>
  <c r="AF30" i="5"/>
  <c r="AG9" i="5"/>
  <c r="AG10" i="5" s="1"/>
  <c r="AG11" i="5" s="1"/>
  <c r="AG12" i="5" s="1"/>
  <c r="AG13" i="5" s="1"/>
  <c r="B24" i="5"/>
  <c r="C23" i="5"/>
  <c r="E23" i="5" s="1" a="1"/>
  <c r="E23" i="5" s="1"/>
  <c r="C34" i="5"/>
  <c r="E34" i="5" s="1" a="1"/>
  <c r="E34" i="5" s="1"/>
  <c r="B34" i="5"/>
  <c r="B25" i="5"/>
  <c r="C24" i="5"/>
  <c r="E24" i="5" s="1" a="1"/>
  <c r="E24" i="5" s="1"/>
  <c r="C35" i="5"/>
  <c r="E35" i="5" s="1" a="1"/>
  <c r="E35" i="5" s="1"/>
  <c r="B35" i="5"/>
  <c r="B26" i="5"/>
  <c r="C25" i="5"/>
  <c r="E25" i="5" s="1" a="1"/>
  <c r="E25" i="5" s="1"/>
  <c r="X8" i="5"/>
  <c r="C36" i="5"/>
  <c r="E36" i="5" s="1" a="1"/>
  <c r="E36" i="5" s="1"/>
  <c r="B36" i="5"/>
  <c r="AF29" i="5"/>
  <c r="B27" i="5"/>
  <c r="C26" i="5"/>
  <c r="E26" i="5" s="1" a="1"/>
  <c r="E26" i="5" s="1"/>
  <c r="X9" i="5"/>
  <c r="C37" i="5"/>
  <c r="E37" i="5" s="1" a="1"/>
  <c r="E37" i="5" s="1"/>
  <c r="B37" i="5"/>
  <c r="O20" i="5"/>
  <c r="AD17" i="5"/>
  <c r="AD16" i="5"/>
  <c r="AD15" i="5"/>
  <c r="AD14" i="5"/>
  <c r="AD13" i="5"/>
  <c r="AD12" i="5"/>
  <c r="AD11" i="5"/>
  <c r="AD10" i="5"/>
  <c r="B28" i="5"/>
  <c r="C27" i="5"/>
  <c r="E27" i="5" s="1" a="1"/>
  <c r="E27" i="5" s="1"/>
  <c r="X10" i="5"/>
  <c r="C38" i="5"/>
  <c r="E38" i="5" s="1" a="1"/>
  <c r="E38" i="5" s="1"/>
  <c r="B38" i="5"/>
  <c r="B29" i="5"/>
  <c r="C28" i="5"/>
  <c r="E28" i="5" s="1" a="1"/>
  <c r="E28" i="5" s="1"/>
  <c r="X11" i="5"/>
  <c r="C39" i="5"/>
  <c r="E39" i="5" s="1" a="1"/>
  <c r="E39" i="5" s="1"/>
  <c r="B39" i="5"/>
  <c r="B30" i="5"/>
  <c r="C29" i="5"/>
  <c r="E29" i="5" s="1" a="1"/>
  <c r="E29" i="5" s="1"/>
  <c r="X12" i="5"/>
  <c r="C40" i="5"/>
  <c r="E40" i="5" s="1" a="1"/>
  <c r="E40" i="5" s="1"/>
  <c r="B40" i="5"/>
  <c r="B31" i="5"/>
  <c r="C30" i="5"/>
  <c r="E30" i="5" s="1" a="1"/>
  <c r="E30" i="5" s="1"/>
  <c r="X13" i="5"/>
  <c r="C41" i="5"/>
  <c r="E41" i="5" s="1" a="1"/>
  <c r="E41" i="5" s="1"/>
  <c r="B41" i="5"/>
  <c r="B32" i="5"/>
  <c r="C31" i="5"/>
  <c r="E31" i="5" s="1" a="1"/>
  <c r="E31" i="5" s="1"/>
  <c r="C42" i="5"/>
  <c r="E42" i="5" s="1" a="1"/>
  <c r="E42" i="5" s="1"/>
  <c r="B42" i="5"/>
  <c r="C32" i="5"/>
  <c r="E32" i="5" s="1" a="1"/>
  <c r="E32" i="5" s="1"/>
  <c r="B21" i="5"/>
  <c r="C43" i="5"/>
  <c r="E43" i="5" s="1" a="1"/>
  <c r="E43" i="5" s="1"/>
  <c r="B43" i="5"/>
  <c r="C44" i="5"/>
  <c r="E44" i="5" s="1" a="1"/>
  <c r="E44" i="5" s="1"/>
  <c r="B44" i="5"/>
  <c r="N22" i="5"/>
  <c r="O21" i="5"/>
  <c r="J98" i="1" l="1"/>
  <c r="J97" i="1"/>
  <c r="J96" i="1"/>
  <c r="J95" i="1"/>
  <c r="J94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C20" i="1"/>
  <c r="B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O24" i="1"/>
  <c r="P23" i="1"/>
  <c r="D11" i="5" a="1"/>
  <c r="D11" i="5" s="1"/>
  <c r="AA23" i="5"/>
  <c r="AB23" i="5" s="1"/>
  <c r="AC23" i="5" s="1"/>
  <c r="AD26" i="5"/>
  <c r="AD24" i="5"/>
  <c r="AA26" i="5"/>
  <c r="AB26" i="5" s="1"/>
  <c r="AC26" i="5" s="1"/>
  <c r="AA24" i="5"/>
  <c r="AB24" i="5" s="1"/>
  <c r="AC24" i="5" s="1"/>
  <c r="AD27" i="5"/>
  <c r="AD25" i="5"/>
  <c r="AD23" i="5"/>
  <c r="AA27" i="5"/>
  <c r="AB27" i="5" s="1"/>
  <c r="AC27" i="5" s="1"/>
  <c r="AA25" i="5"/>
  <c r="AB25" i="5" s="1"/>
  <c r="AC25" i="5" s="1"/>
  <c r="AE26" i="5" s="1"/>
  <c r="A43" i="5"/>
  <c r="A32" i="5"/>
  <c r="A42" i="5"/>
  <c r="A31" i="5"/>
  <c r="A41" i="5"/>
  <c r="A30" i="5"/>
  <c r="A40" i="5"/>
  <c r="A29" i="5"/>
  <c r="A39" i="5"/>
  <c r="A28" i="5"/>
  <c r="A38" i="5"/>
  <c r="A27" i="5"/>
  <c r="A37" i="5"/>
  <c r="A26" i="5"/>
  <c r="A36" i="5"/>
  <c r="A25" i="5"/>
  <c r="A35" i="5"/>
  <c r="A24" i="5"/>
  <c r="A34" i="5"/>
  <c r="A23" i="5"/>
  <c r="A33" i="5"/>
  <c r="A22" i="5"/>
  <c r="A21" i="5"/>
  <c r="AA2" i="5"/>
  <c r="Z2" i="5"/>
  <c r="N23" i="5"/>
  <c r="O22" i="5"/>
  <c r="A44" i="5"/>
  <c r="B21" i="1" l="1"/>
  <c r="O25" i="1"/>
  <c r="Q24" i="1" a="1"/>
  <c r="Q24" i="1" s="1"/>
  <c r="P24" i="1"/>
  <c r="R24" i="1" s="1"/>
  <c r="Q20" i="1" a="1"/>
  <c r="Q20" i="1" s="1"/>
  <c r="Q21" i="1" a="1"/>
  <c r="Q21" i="1" s="1"/>
  <c r="Q22" i="1" a="1"/>
  <c r="Q22" i="1" s="1"/>
  <c r="AE25" i="5"/>
  <c r="AF25" i="5" s="1"/>
  <c r="AE24" i="5"/>
  <c r="AE27" i="5"/>
  <c r="C20" i="5"/>
  <c r="E20" i="5" s="1" a="1"/>
  <c r="E20" i="5" s="1"/>
  <c r="N24" i="5"/>
  <c r="O23" i="5"/>
  <c r="Z15" i="5"/>
  <c r="AA15" i="5" s="1"/>
  <c r="Z14" i="5"/>
  <c r="AA14" i="5" s="1"/>
  <c r="Z13" i="5"/>
  <c r="AA13" i="5" s="1"/>
  <c r="Z12" i="5"/>
  <c r="AA12" i="5" s="1"/>
  <c r="Z11" i="5"/>
  <c r="AA11" i="5" s="1"/>
  <c r="Z10" i="5"/>
  <c r="AA10" i="5" s="1"/>
  <c r="Z9" i="5"/>
  <c r="AA9" i="5" s="1"/>
  <c r="Z8" i="5"/>
  <c r="AA8" i="5" s="1"/>
  <c r="Z7" i="5"/>
  <c r="AA7" i="5" s="1"/>
  <c r="Z6" i="5"/>
  <c r="AA6" i="5" s="1"/>
  <c r="Z5" i="5"/>
  <c r="AA5" i="5" s="1"/>
  <c r="Z4" i="5"/>
  <c r="AA4" i="5" s="1"/>
  <c r="A21" i="1" l="1"/>
  <c r="Q23" i="1" a="1"/>
  <c r="Q23" i="1" s="1"/>
  <c r="R23" i="1" s="1"/>
  <c r="S22" i="1"/>
  <c r="R22" i="1"/>
  <c r="S21" i="1"/>
  <c r="R21" i="1"/>
  <c r="R20" i="1"/>
  <c r="S23" i="1"/>
  <c r="S24" i="1"/>
  <c r="O26" i="1"/>
  <c r="Q25" i="1" a="1"/>
  <c r="Q25" i="1" s="1"/>
  <c r="P25" i="1"/>
  <c r="R25" i="1" s="1"/>
  <c r="AG29" i="5"/>
  <c r="AG30" i="5"/>
  <c r="I10" i="5"/>
  <c r="I40" i="5"/>
  <c r="I29" i="5"/>
  <c r="B20" i="5"/>
  <c r="I41" i="5"/>
  <c r="I20" i="5"/>
  <c r="I52" i="5"/>
  <c r="I11" i="5"/>
  <c r="I31" i="5"/>
  <c r="I55" i="5"/>
  <c r="I5" i="5"/>
  <c r="I15" i="5"/>
  <c r="I24" i="5"/>
  <c r="I35" i="5"/>
  <c r="I45" i="5"/>
  <c r="I68" i="5"/>
  <c r="I6" i="5"/>
  <c r="I17" i="5"/>
  <c r="I25" i="5"/>
  <c r="I36" i="5"/>
  <c r="I47" i="5"/>
  <c r="I73" i="5"/>
  <c r="I7" i="5"/>
  <c r="I13" i="5"/>
  <c r="I18" i="5"/>
  <c r="I21" i="5"/>
  <c r="I27" i="5"/>
  <c r="I32" i="5"/>
  <c r="I37" i="5"/>
  <c r="I43" i="5"/>
  <c r="I48" i="5"/>
  <c r="I57" i="5"/>
  <c r="I79" i="5"/>
  <c r="I3" i="5"/>
  <c r="I9" i="5"/>
  <c r="I14" i="5"/>
  <c r="I19" i="5"/>
  <c r="I23" i="5"/>
  <c r="I28" i="5"/>
  <c r="I33" i="5"/>
  <c r="I39" i="5"/>
  <c r="I44" i="5"/>
  <c r="I49" i="5"/>
  <c r="I63" i="5"/>
  <c r="I84" i="5"/>
  <c r="I51" i="5"/>
  <c r="I56" i="5"/>
  <c r="I61" i="5"/>
  <c r="I67" i="5"/>
  <c r="I72" i="5"/>
  <c r="I77" i="5"/>
  <c r="I83" i="5"/>
  <c r="I53" i="5"/>
  <c r="I59" i="5"/>
  <c r="I64" i="5"/>
  <c r="I69" i="5"/>
  <c r="I75" i="5"/>
  <c r="I80" i="5"/>
  <c r="I85" i="5"/>
  <c r="I60" i="5"/>
  <c r="I65" i="5"/>
  <c r="I71" i="5"/>
  <c r="I76" i="5"/>
  <c r="I81" i="5"/>
  <c r="I87" i="5"/>
  <c r="I4" i="5"/>
  <c r="I8" i="5"/>
  <c r="I12" i="5"/>
  <c r="I16" i="5"/>
  <c r="A20" i="5"/>
  <c r="I22" i="5"/>
  <c r="I26" i="5"/>
  <c r="I30" i="5"/>
  <c r="I34" i="5"/>
  <c r="I38" i="5"/>
  <c r="I42" i="5"/>
  <c r="I46" i="5"/>
  <c r="I50" i="5"/>
  <c r="I54" i="5"/>
  <c r="I58" i="5"/>
  <c r="I62" i="5"/>
  <c r="I66" i="5"/>
  <c r="I70" i="5"/>
  <c r="I74" i="5"/>
  <c r="I78" i="5"/>
  <c r="I82" i="5"/>
  <c r="I86" i="5"/>
  <c r="I2" i="5"/>
  <c r="N25" i="5"/>
  <c r="O24" i="5"/>
  <c r="D12" i="5" a="1"/>
  <c r="S25" i="1" l="1"/>
  <c r="O27" i="1"/>
  <c r="Q26" i="1" a="1"/>
  <c r="Q26" i="1" s="1"/>
  <c r="P26" i="1"/>
  <c r="R26" i="1" s="1"/>
  <c r="D12" i="5"/>
  <c r="D20" i="5" s="1"/>
  <c r="N26" i="5"/>
  <c r="O25" i="5"/>
  <c r="S26" i="1" l="1"/>
  <c r="O28" i="1"/>
  <c r="Q27" i="1" a="1"/>
  <c r="Q27" i="1" s="1"/>
  <c r="P27" i="1"/>
  <c r="R27" i="1" s="1"/>
  <c r="N27" i="5"/>
  <c r="O26" i="5"/>
  <c r="S27" i="1" l="1"/>
  <c r="O29" i="1"/>
  <c r="Q28" i="1" a="1"/>
  <c r="Q28" i="1" s="1"/>
  <c r="P28" i="1"/>
  <c r="R28" i="1" s="1"/>
  <c r="N28" i="5"/>
  <c r="O27" i="5"/>
  <c r="S28" i="1" l="1"/>
  <c r="O30" i="1"/>
  <c r="Q29" i="1" a="1"/>
  <c r="Q29" i="1" s="1"/>
  <c r="P29" i="1"/>
  <c r="R29" i="1" s="1"/>
  <c r="N29" i="5"/>
  <c r="O28" i="5"/>
  <c r="S29" i="1" l="1"/>
  <c r="O31" i="1"/>
  <c r="Q30" i="1" a="1"/>
  <c r="Q30" i="1" s="1"/>
  <c r="P30" i="1"/>
  <c r="R30" i="1" s="1"/>
  <c r="N30" i="5"/>
  <c r="O29" i="5"/>
  <c r="S30" i="1" l="1"/>
  <c r="O32" i="1"/>
  <c r="Q31" i="1" a="1"/>
  <c r="Q31" i="1" s="1"/>
  <c r="P31" i="1"/>
  <c r="R31" i="1" s="1"/>
  <c r="N31" i="5"/>
  <c r="O30" i="5"/>
  <c r="S31" i="1" l="1"/>
  <c r="O33" i="1"/>
  <c r="Q32" i="1" a="1"/>
  <c r="Q32" i="1" s="1"/>
  <c r="P32" i="1"/>
  <c r="R32" i="1" s="1"/>
  <c r="N32" i="5"/>
  <c r="O31" i="5"/>
  <c r="S32" i="1" l="1"/>
  <c r="O34" i="1"/>
  <c r="Q33" i="1" a="1"/>
  <c r="Q33" i="1" s="1"/>
  <c r="P33" i="1"/>
  <c r="R33" i="1" s="1"/>
  <c r="N33" i="5"/>
  <c r="O32" i="5"/>
  <c r="S33" i="1" l="1"/>
  <c r="O35" i="1"/>
  <c r="Q34" i="1" a="1"/>
  <c r="Q34" i="1" s="1"/>
  <c r="P34" i="1"/>
  <c r="R34" i="1" s="1"/>
  <c r="N34" i="5"/>
  <c r="O33" i="5"/>
  <c r="S34" i="1" l="1"/>
  <c r="O36" i="1"/>
  <c r="Q35" i="1" a="1"/>
  <c r="Q35" i="1" s="1"/>
  <c r="P35" i="1"/>
  <c r="R35" i="1" s="1"/>
  <c r="N35" i="5"/>
  <c r="O34" i="5"/>
  <c r="S35" i="1" l="1"/>
  <c r="O37" i="1"/>
  <c r="Q36" i="1" a="1"/>
  <c r="Q36" i="1" s="1"/>
  <c r="P36" i="1"/>
  <c r="R36" i="1" s="1"/>
  <c r="N36" i="5"/>
  <c r="O35" i="5"/>
  <c r="S36" i="1" l="1"/>
  <c r="O38" i="1"/>
  <c r="Q37" i="1" a="1"/>
  <c r="Q37" i="1" s="1"/>
  <c r="P37" i="1"/>
  <c r="R37" i="1" s="1"/>
  <c r="N37" i="5"/>
  <c r="O36" i="5"/>
  <c r="S37" i="1" l="1"/>
  <c r="O39" i="1"/>
  <c r="Q38" i="1" a="1"/>
  <c r="Q38" i="1" s="1"/>
  <c r="P38" i="1"/>
  <c r="R38" i="1" s="1"/>
  <c r="N38" i="5"/>
  <c r="O37" i="5"/>
  <c r="S38" i="1" l="1"/>
  <c r="O40" i="1"/>
  <c r="Q39" i="1" a="1"/>
  <c r="Q39" i="1" s="1"/>
  <c r="P39" i="1"/>
  <c r="R39" i="1" s="1"/>
  <c r="N39" i="5"/>
  <c r="O38" i="5"/>
  <c r="S39" i="1" l="1"/>
  <c r="O41" i="1"/>
  <c r="Q40" i="1" a="1"/>
  <c r="Q40" i="1" s="1"/>
  <c r="P40" i="1"/>
  <c r="R40" i="1" s="1"/>
  <c r="N40" i="5"/>
  <c r="O39" i="5"/>
  <c r="S40" i="1" l="1"/>
  <c r="O42" i="1"/>
  <c r="Q41" i="1" a="1"/>
  <c r="Q41" i="1" s="1"/>
  <c r="P41" i="1"/>
  <c r="R41" i="1" s="1"/>
  <c r="N41" i="5"/>
  <c r="O40" i="5"/>
  <c r="S41" i="1" l="1"/>
  <c r="O43" i="1"/>
  <c r="Q42" i="1" a="1"/>
  <c r="Q42" i="1" s="1"/>
  <c r="P42" i="1"/>
  <c r="R42" i="1" s="1"/>
  <c r="N42" i="5"/>
  <c r="O41" i="5"/>
  <c r="S42" i="1" l="1"/>
  <c r="O44" i="1"/>
  <c r="Q43" i="1" a="1"/>
  <c r="Q43" i="1" s="1"/>
  <c r="P43" i="1"/>
  <c r="R43" i="1" s="1"/>
  <c r="N43" i="5"/>
  <c r="O42" i="5"/>
  <c r="S43" i="1" l="1"/>
  <c r="O45" i="1"/>
  <c r="Q44" i="1" a="1"/>
  <c r="Q44" i="1" s="1"/>
  <c r="P44" i="1"/>
  <c r="R44" i="1" s="1"/>
  <c r="N44" i="5"/>
  <c r="O43" i="5"/>
  <c r="S44" i="1" l="1"/>
  <c r="O46" i="1"/>
  <c r="Q45" i="1" a="1"/>
  <c r="Q45" i="1" s="1"/>
  <c r="P45" i="1"/>
  <c r="R45" i="1" s="1"/>
  <c r="N45" i="5"/>
  <c r="O44" i="5"/>
  <c r="S45" i="1" l="1"/>
  <c r="O47" i="1"/>
  <c r="Q46" i="1" a="1"/>
  <c r="Q46" i="1" s="1"/>
  <c r="P46" i="1"/>
  <c r="R46" i="1" s="1"/>
  <c r="N46" i="5"/>
  <c r="O45" i="5"/>
  <c r="S46" i="1" l="1"/>
  <c r="O48" i="1"/>
  <c r="Q47" i="1" a="1"/>
  <c r="Q47" i="1" s="1"/>
  <c r="P47" i="1"/>
  <c r="R47" i="1" s="1"/>
  <c r="N47" i="5"/>
  <c r="O46" i="5"/>
  <c r="S47" i="1" l="1"/>
  <c r="O49" i="1"/>
  <c r="Q48" i="1" a="1"/>
  <c r="Q48" i="1" s="1"/>
  <c r="P48" i="1"/>
  <c r="R48" i="1" s="1"/>
  <c r="N48" i="5"/>
  <c r="O47" i="5"/>
  <c r="S48" i="1" l="1"/>
  <c r="O50" i="1"/>
  <c r="Q49" i="1" a="1"/>
  <c r="Q49" i="1" s="1"/>
  <c r="P49" i="1"/>
  <c r="R49" i="1" s="1"/>
  <c r="N49" i="5"/>
  <c r="O48" i="5"/>
  <c r="S49" i="1" l="1"/>
  <c r="O51" i="1"/>
  <c r="Q50" i="1" a="1"/>
  <c r="Q50" i="1" s="1"/>
  <c r="P50" i="1"/>
  <c r="R50" i="1" s="1"/>
  <c r="N50" i="5"/>
  <c r="O49" i="5"/>
  <c r="S50" i="1" l="1"/>
  <c r="O52" i="1"/>
  <c r="Q51" i="1" a="1"/>
  <c r="Q51" i="1" s="1"/>
  <c r="P51" i="1"/>
  <c r="R51" i="1" s="1"/>
  <c r="N51" i="5"/>
  <c r="O50" i="5"/>
  <c r="S51" i="1" l="1"/>
  <c r="O53" i="1"/>
  <c r="Q52" i="1" a="1"/>
  <c r="Q52" i="1" s="1"/>
  <c r="P52" i="1"/>
  <c r="R52" i="1" s="1"/>
  <c r="N52" i="5"/>
  <c r="O51" i="5"/>
  <c r="S52" i="1" l="1"/>
  <c r="O54" i="1"/>
  <c r="Q53" i="1" a="1"/>
  <c r="Q53" i="1" s="1"/>
  <c r="P53" i="1"/>
  <c r="R53" i="1" s="1"/>
  <c r="N53" i="5"/>
  <c r="O52" i="5"/>
  <c r="S53" i="1" l="1"/>
  <c r="O55" i="1"/>
  <c r="Q54" i="1" a="1"/>
  <c r="Q54" i="1" s="1"/>
  <c r="P54" i="1"/>
  <c r="R54" i="1" s="1"/>
  <c r="N54" i="5"/>
  <c r="O53" i="5"/>
  <c r="S54" i="1" l="1"/>
  <c r="O56" i="1"/>
  <c r="Q55" i="1" a="1"/>
  <c r="Q55" i="1" s="1"/>
  <c r="P55" i="1"/>
  <c r="R55" i="1" s="1"/>
  <c r="N55" i="5"/>
  <c r="O54" i="5"/>
  <c r="S55" i="1" l="1"/>
  <c r="O57" i="1"/>
  <c r="Q56" i="1" a="1"/>
  <c r="Q56" i="1" s="1"/>
  <c r="P56" i="1"/>
  <c r="R56" i="1" s="1"/>
  <c r="N56" i="5"/>
  <c r="O55" i="5"/>
  <c r="S56" i="1" l="1"/>
  <c r="O58" i="1"/>
  <c r="Q57" i="1" a="1"/>
  <c r="Q57" i="1" s="1"/>
  <c r="P57" i="1"/>
  <c r="R57" i="1" s="1"/>
  <c r="N57" i="5"/>
  <c r="O56" i="5"/>
  <c r="S57" i="1" l="1"/>
  <c r="O59" i="1"/>
  <c r="Q58" i="1" a="1"/>
  <c r="Q58" i="1" s="1"/>
  <c r="P58" i="1"/>
  <c r="R58" i="1" s="1"/>
  <c r="N58" i="5"/>
  <c r="O57" i="5"/>
  <c r="S58" i="1" l="1"/>
  <c r="O60" i="1"/>
  <c r="Q59" i="1" a="1"/>
  <c r="Q59" i="1" s="1"/>
  <c r="P59" i="1"/>
  <c r="R59" i="1" s="1"/>
  <c r="N59" i="5"/>
  <c r="O58" i="5"/>
  <c r="S59" i="1" l="1"/>
  <c r="O61" i="1"/>
  <c r="Q60" i="1" a="1"/>
  <c r="Q60" i="1" s="1"/>
  <c r="P60" i="1"/>
  <c r="R60" i="1" s="1"/>
  <c r="N60" i="5"/>
  <c r="O59" i="5"/>
  <c r="S60" i="1" l="1"/>
  <c r="O62" i="1"/>
  <c r="Q61" i="1" a="1"/>
  <c r="Q61" i="1" s="1"/>
  <c r="P61" i="1"/>
  <c r="R61" i="1" s="1"/>
  <c r="N61" i="5"/>
  <c r="O60" i="5"/>
  <c r="S61" i="1" l="1"/>
  <c r="O63" i="1"/>
  <c r="Q62" i="1" a="1"/>
  <c r="Q62" i="1" s="1"/>
  <c r="P62" i="1"/>
  <c r="R62" i="1" s="1"/>
  <c r="N62" i="5"/>
  <c r="O61" i="5"/>
  <c r="S62" i="1" l="1"/>
  <c r="O64" i="1"/>
  <c r="Q63" i="1" a="1"/>
  <c r="Q63" i="1" s="1"/>
  <c r="P63" i="1"/>
  <c r="R63" i="1" s="1"/>
  <c r="N63" i="5"/>
  <c r="O62" i="5"/>
  <c r="S63" i="1" l="1"/>
  <c r="O65" i="1"/>
  <c r="Q64" i="1" a="1"/>
  <c r="Q64" i="1" s="1"/>
  <c r="P64" i="1"/>
  <c r="R64" i="1" s="1"/>
  <c r="N64" i="5"/>
  <c r="O63" i="5"/>
  <c r="S64" i="1" l="1"/>
  <c r="O66" i="1"/>
  <c r="Q65" i="1" a="1"/>
  <c r="Q65" i="1" s="1"/>
  <c r="P65" i="1"/>
  <c r="R65" i="1" s="1"/>
  <c r="N65" i="5"/>
  <c r="O64" i="5"/>
  <c r="S65" i="1" l="1"/>
  <c r="O67" i="1"/>
  <c r="Q66" i="1" a="1"/>
  <c r="Q66" i="1" s="1"/>
  <c r="P66" i="1"/>
  <c r="R66" i="1" s="1"/>
  <c r="N66" i="5"/>
  <c r="O65" i="5"/>
  <c r="S66" i="1" l="1"/>
  <c r="O68" i="1"/>
  <c r="Q67" i="1" a="1"/>
  <c r="Q67" i="1" s="1"/>
  <c r="P67" i="1"/>
  <c r="R67" i="1" s="1"/>
  <c r="N67" i="5"/>
  <c r="O66" i="5"/>
  <c r="S67" i="1" l="1"/>
  <c r="O69" i="1"/>
  <c r="Q68" i="1" a="1"/>
  <c r="Q68" i="1" s="1"/>
  <c r="P68" i="1"/>
  <c r="R68" i="1" s="1"/>
  <c r="N68" i="5"/>
  <c r="O67" i="5"/>
  <c r="S68" i="1" l="1"/>
  <c r="O70" i="1"/>
  <c r="Q69" i="1" a="1"/>
  <c r="Q69" i="1" s="1"/>
  <c r="P69" i="1"/>
  <c r="R69" i="1" s="1"/>
  <c r="N69" i="5"/>
  <c r="O68" i="5"/>
  <c r="S69" i="1" l="1"/>
  <c r="O71" i="1"/>
  <c r="Q70" i="1" a="1"/>
  <c r="Q70" i="1" s="1"/>
  <c r="P70" i="1"/>
  <c r="R70" i="1" s="1"/>
  <c r="N70" i="5"/>
  <c r="O69" i="5"/>
  <c r="S70" i="1" l="1"/>
  <c r="O72" i="1"/>
  <c r="Q71" i="1" a="1"/>
  <c r="Q71" i="1" s="1"/>
  <c r="P71" i="1"/>
  <c r="R71" i="1" s="1"/>
  <c r="N71" i="5"/>
  <c r="O70" i="5"/>
  <c r="S71" i="1" l="1"/>
  <c r="O73" i="1"/>
  <c r="Q72" i="1" a="1"/>
  <c r="Q72" i="1" s="1"/>
  <c r="P72" i="1"/>
  <c r="R72" i="1" s="1"/>
  <c r="N72" i="5"/>
  <c r="O71" i="5"/>
  <c r="S72" i="1" l="1"/>
  <c r="O74" i="1"/>
  <c r="Q73" i="1" a="1"/>
  <c r="Q73" i="1" s="1"/>
  <c r="P73" i="1"/>
  <c r="R73" i="1" s="1"/>
  <c r="N73" i="5"/>
  <c r="O72" i="5"/>
  <c r="S73" i="1" l="1"/>
  <c r="O75" i="1"/>
  <c r="Q74" i="1" a="1"/>
  <c r="Q74" i="1" s="1"/>
  <c r="P74" i="1"/>
  <c r="R74" i="1" s="1"/>
  <c r="N74" i="5"/>
  <c r="O73" i="5"/>
  <c r="S74" i="1" l="1"/>
  <c r="O76" i="1"/>
  <c r="Q75" i="1" a="1"/>
  <c r="Q75" i="1" s="1"/>
  <c r="P75" i="1"/>
  <c r="R75" i="1" s="1"/>
  <c r="N75" i="5"/>
  <c r="O74" i="5"/>
  <c r="S75" i="1" l="1"/>
  <c r="O77" i="1"/>
  <c r="Q76" i="1" a="1"/>
  <c r="Q76" i="1" s="1"/>
  <c r="P76" i="1"/>
  <c r="R76" i="1" s="1"/>
  <c r="N76" i="5"/>
  <c r="O75" i="5"/>
  <c r="S76" i="1" l="1"/>
  <c r="O78" i="1"/>
  <c r="Q77" i="1" a="1"/>
  <c r="Q77" i="1" s="1"/>
  <c r="P77" i="1"/>
  <c r="R77" i="1" s="1"/>
  <c r="N77" i="5"/>
  <c r="O76" i="5"/>
  <c r="S77" i="1" l="1"/>
  <c r="O79" i="1"/>
  <c r="Q78" i="1" a="1"/>
  <c r="Q78" i="1" s="1"/>
  <c r="P78" i="1"/>
  <c r="R78" i="1" s="1"/>
  <c r="N78" i="5"/>
  <c r="O77" i="5"/>
  <c r="S78" i="1" l="1"/>
  <c r="O80" i="1"/>
  <c r="Q79" i="1" a="1"/>
  <c r="Q79" i="1" s="1"/>
  <c r="P79" i="1"/>
  <c r="R79" i="1" s="1"/>
  <c r="N79" i="5"/>
  <c r="O78" i="5"/>
  <c r="S79" i="1" l="1"/>
  <c r="O81" i="1"/>
  <c r="Q80" i="1" a="1"/>
  <c r="Q80" i="1" s="1"/>
  <c r="P80" i="1"/>
  <c r="R80" i="1" s="1"/>
  <c r="N80" i="5"/>
  <c r="O79" i="5"/>
  <c r="S80" i="1" l="1"/>
  <c r="O82" i="1"/>
  <c r="Q81" i="1" a="1"/>
  <c r="Q81" i="1" s="1"/>
  <c r="P81" i="1"/>
  <c r="R81" i="1" s="1"/>
  <c r="N81" i="5"/>
  <c r="O80" i="5"/>
  <c r="S81" i="1" l="1"/>
  <c r="O83" i="1"/>
  <c r="Q82" i="1" a="1"/>
  <c r="Q82" i="1" s="1"/>
  <c r="P82" i="1"/>
  <c r="R82" i="1" s="1"/>
  <c r="N82" i="5"/>
  <c r="O81" i="5"/>
  <c r="S82" i="1" l="1"/>
  <c r="O84" i="1"/>
  <c r="Q83" i="1" a="1"/>
  <c r="Q83" i="1" s="1"/>
  <c r="P83" i="1"/>
  <c r="R83" i="1" s="1"/>
  <c r="N83" i="5"/>
  <c r="O82" i="5"/>
  <c r="S83" i="1" l="1"/>
  <c r="O85" i="1"/>
  <c r="Q84" i="1" a="1"/>
  <c r="Q84" i="1" s="1"/>
  <c r="P84" i="1"/>
  <c r="R84" i="1" s="1"/>
  <c r="N84" i="5"/>
  <c r="O83" i="5"/>
  <c r="S84" i="1" l="1"/>
  <c r="O86" i="1"/>
  <c r="Q85" i="1" a="1"/>
  <c r="Q85" i="1" s="1"/>
  <c r="P85" i="1"/>
  <c r="R85" i="1" s="1"/>
  <c r="N85" i="5"/>
  <c r="O84" i="5"/>
  <c r="S85" i="1" l="1"/>
  <c r="O87" i="1"/>
  <c r="Q86" i="1" a="1"/>
  <c r="Q86" i="1" s="1"/>
  <c r="P86" i="1"/>
  <c r="R86" i="1" s="1"/>
  <c r="N86" i="5"/>
  <c r="O85" i="5"/>
  <c r="S86" i="1" l="1"/>
  <c r="O88" i="1"/>
  <c r="Q87" i="1" a="1"/>
  <c r="Q87" i="1" s="1"/>
  <c r="P87" i="1"/>
  <c r="R87" i="1" s="1"/>
  <c r="N87" i="5"/>
  <c r="O86" i="5"/>
  <c r="S87" i="1" l="1"/>
  <c r="O89" i="1"/>
  <c r="Q88" i="1" a="1"/>
  <c r="Q88" i="1" s="1"/>
  <c r="P88" i="1"/>
  <c r="R88" i="1" s="1"/>
  <c r="N88" i="5"/>
  <c r="O87" i="5"/>
  <c r="S88" i="1" l="1"/>
  <c r="O90" i="1"/>
  <c r="Q89" i="1" a="1"/>
  <c r="Q89" i="1" s="1"/>
  <c r="P89" i="1"/>
  <c r="R89" i="1" s="1"/>
  <c r="N89" i="5"/>
  <c r="O88" i="5"/>
  <c r="S89" i="1" l="1"/>
  <c r="O91" i="1"/>
  <c r="Q90" i="1" a="1"/>
  <c r="Q90" i="1" s="1"/>
  <c r="P90" i="1"/>
  <c r="R90" i="1" s="1"/>
  <c r="N90" i="5"/>
  <c r="O89" i="5"/>
  <c r="S90" i="1" l="1"/>
  <c r="O92" i="1"/>
  <c r="Q91" i="1" a="1"/>
  <c r="Q91" i="1" s="1"/>
  <c r="P91" i="1"/>
  <c r="R91" i="1" s="1"/>
  <c r="N91" i="5"/>
  <c r="O90" i="5"/>
  <c r="S91" i="1" l="1"/>
  <c r="O93" i="1"/>
  <c r="Q92" i="1" a="1"/>
  <c r="Q92" i="1" s="1"/>
  <c r="P92" i="1"/>
  <c r="R92" i="1" s="1"/>
  <c r="N92" i="5"/>
  <c r="O91" i="5"/>
  <c r="S92" i="1" l="1"/>
  <c r="Q93" i="1" a="1"/>
  <c r="Q93" i="1" s="1"/>
  <c r="P93" i="1"/>
  <c r="R93" i="1" s="1"/>
  <c r="N93" i="5"/>
  <c r="O92" i="5"/>
  <c r="S93" i="1" l="1"/>
  <c r="O93" i="5"/>
  <c r="D33" i="5" l="1"/>
  <c r="D34" i="5"/>
  <c r="D35" i="5"/>
  <c r="D36" i="5"/>
  <c r="D37" i="5"/>
  <c r="D38" i="5"/>
  <c r="D39" i="5"/>
  <c r="D40" i="5"/>
  <c r="D41" i="5"/>
  <c r="D42" i="5"/>
  <c r="D43" i="5"/>
  <c r="D44" i="5"/>
  <c r="P92" i="5" l="1" a="1"/>
  <c r="P88" i="5" a="1"/>
  <c r="P84" i="5" a="1"/>
  <c r="P80" i="5" a="1"/>
  <c r="P76" i="5" a="1"/>
  <c r="P72" i="5" a="1"/>
  <c r="P68" i="5" a="1"/>
  <c r="P64" i="5" a="1"/>
  <c r="P60" i="5" a="1"/>
  <c r="P56" i="5" a="1"/>
  <c r="P52" i="5" a="1"/>
  <c r="P48" i="5" a="1"/>
  <c r="P44" i="5" a="1"/>
  <c r="P40" i="5" a="1"/>
  <c r="P36" i="5" a="1"/>
  <c r="P32" i="5" a="1"/>
  <c r="P28" i="5" a="1"/>
  <c r="P21" i="5" a="1"/>
  <c r="P91" i="5" a="1"/>
  <c r="P87" i="5" a="1"/>
  <c r="P83" i="5" a="1"/>
  <c r="P79" i="5" a="1"/>
  <c r="P75" i="5" a="1"/>
  <c r="P71" i="5" a="1"/>
  <c r="P67" i="5" a="1"/>
  <c r="P63" i="5" a="1"/>
  <c r="P59" i="5" a="1"/>
  <c r="P55" i="5" a="1"/>
  <c r="P51" i="5" a="1"/>
  <c r="P47" i="5" a="1"/>
  <c r="P43" i="5" a="1"/>
  <c r="P39" i="5" a="1"/>
  <c r="P35" i="5" a="1"/>
  <c r="P31" i="5" a="1"/>
  <c r="P27" i="5" a="1"/>
  <c r="P22" i="5" a="1"/>
  <c r="P89" i="5" a="1"/>
  <c r="P77" i="5" a="1"/>
  <c r="P65" i="5" a="1"/>
  <c r="P57" i="5" a="1"/>
  <c r="P49" i="5" a="1"/>
  <c r="P45" i="5" a="1"/>
  <c r="P37" i="5" a="1"/>
  <c r="P29" i="5" a="1"/>
  <c r="P23" i="5" a="1"/>
  <c r="P69" i="5" a="1"/>
  <c r="P20" i="5" a="1"/>
  <c r="P90" i="5" a="1"/>
  <c r="P86" i="5" a="1"/>
  <c r="P82" i="5" a="1"/>
  <c r="P78" i="5" a="1"/>
  <c r="P74" i="5" a="1"/>
  <c r="P70" i="5" a="1"/>
  <c r="P66" i="5" a="1"/>
  <c r="P62" i="5" a="1"/>
  <c r="P58" i="5" a="1"/>
  <c r="P54" i="5" a="1"/>
  <c r="P50" i="5" a="1"/>
  <c r="P46" i="5" a="1"/>
  <c r="P42" i="5" a="1"/>
  <c r="P38" i="5" a="1"/>
  <c r="P34" i="5" a="1"/>
  <c r="P30" i="5" a="1"/>
  <c r="P26" i="5" a="1"/>
  <c r="P24" i="5" a="1"/>
  <c r="P93" i="5" a="1"/>
  <c r="P85" i="5" a="1"/>
  <c r="P81" i="5" a="1"/>
  <c r="P73" i="5" a="1"/>
  <c r="P61" i="5" a="1"/>
  <c r="P53" i="5" a="1"/>
  <c r="P41" i="5" a="1"/>
  <c r="P33" i="5" a="1"/>
  <c r="P25" i="5" a="1"/>
  <c r="P25" i="5" l="1"/>
  <c r="Q25" i="5" s="1"/>
  <c r="P33" i="5"/>
  <c r="P41" i="5"/>
  <c r="Q41" i="5" s="1"/>
  <c r="P53" i="5"/>
  <c r="Q53" i="5" s="1"/>
  <c r="P61" i="5"/>
  <c r="Q61" i="5" s="1"/>
  <c r="P73" i="5"/>
  <c r="P81" i="5"/>
  <c r="Q81" i="5" s="1"/>
  <c r="P85" i="5"/>
  <c r="Q85" i="5" s="1"/>
  <c r="P93" i="5"/>
  <c r="Q93" i="5" s="1"/>
  <c r="P24" i="5"/>
  <c r="P26" i="5"/>
  <c r="Q26" i="5" s="1"/>
  <c r="P30" i="5"/>
  <c r="P34" i="5"/>
  <c r="P38" i="5"/>
  <c r="P42" i="5"/>
  <c r="Q42" i="5" s="1"/>
  <c r="P46" i="5"/>
  <c r="P50" i="5"/>
  <c r="P54" i="5"/>
  <c r="P58" i="5"/>
  <c r="Q58" i="5" s="1"/>
  <c r="P62" i="5"/>
  <c r="P66" i="5"/>
  <c r="P70" i="5"/>
  <c r="P74" i="5"/>
  <c r="Q74" i="5" s="1"/>
  <c r="P78" i="5"/>
  <c r="P82" i="5"/>
  <c r="P86" i="5"/>
  <c r="P90" i="5"/>
  <c r="Q90" i="5" s="1"/>
  <c r="P20" i="5"/>
  <c r="Q20" i="5" s="1"/>
  <c r="P69" i="5"/>
  <c r="Q69" i="5" s="1"/>
  <c r="P23" i="5"/>
  <c r="P29" i="5"/>
  <c r="Q29" i="5" s="1"/>
  <c r="P37" i="5"/>
  <c r="Q37" i="5" s="1"/>
  <c r="P45" i="5"/>
  <c r="Q45" i="5" s="1"/>
  <c r="P49" i="5"/>
  <c r="P57" i="5"/>
  <c r="Q57" i="5" s="1"/>
  <c r="P65" i="5"/>
  <c r="Q65" i="5" s="1"/>
  <c r="P77" i="5"/>
  <c r="Q77" i="5" s="1"/>
  <c r="P89" i="5"/>
  <c r="P22" i="5"/>
  <c r="P27" i="5"/>
  <c r="Q27" i="5" s="1"/>
  <c r="P31" i="5"/>
  <c r="Q31" i="5" s="1"/>
  <c r="P35" i="5"/>
  <c r="P39" i="5"/>
  <c r="Q39" i="5" s="1"/>
  <c r="P43" i="5"/>
  <c r="Q43" i="5" s="1"/>
  <c r="P47" i="5"/>
  <c r="Q47" i="5" s="1"/>
  <c r="P51" i="5"/>
  <c r="P55" i="5"/>
  <c r="Q55" i="5" s="1"/>
  <c r="P59" i="5"/>
  <c r="Q59" i="5" s="1"/>
  <c r="P63" i="5"/>
  <c r="Q63" i="5" s="1"/>
  <c r="P67" i="5"/>
  <c r="P71" i="5"/>
  <c r="Q71" i="5" s="1"/>
  <c r="P75" i="5"/>
  <c r="Q75" i="5" s="1"/>
  <c r="P79" i="5"/>
  <c r="Q79" i="5" s="1"/>
  <c r="P83" i="5"/>
  <c r="P87" i="5"/>
  <c r="Q87" i="5" s="1"/>
  <c r="P91" i="5"/>
  <c r="Q91" i="5" s="1"/>
  <c r="P21" i="5"/>
  <c r="Q21" i="5" s="1"/>
  <c r="P28" i="5"/>
  <c r="P32" i="5"/>
  <c r="Q32" i="5" s="1"/>
  <c r="P36" i="5"/>
  <c r="R36" i="5" s="1"/>
  <c r="P40" i="5"/>
  <c r="P44" i="5"/>
  <c r="P48" i="5"/>
  <c r="Q48" i="5" s="1"/>
  <c r="P52" i="5"/>
  <c r="R52" i="5" s="1"/>
  <c r="P56" i="5"/>
  <c r="P60" i="5"/>
  <c r="P64" i="5"/>
  <c r="P68" i="5"/>
  <c r="R68" i="5" s="1"/>
  <c r="P72" i="5"/>
  <c r="P76" i="5"/>
  <c r="P80" i="5"/>
  <c r="Q80" i="5" s="1"/>
  <c r="P84" i="5"/>
  <c r="R84" i="5" s="1"/>
  <c r="P88" i="5"/>
  <c r="P92" i="5"/>
  <c r="Q23" i="5"/>
  <c r="Q24" i="5"/>
  <c r="Q22" i="5"/>
  <c r="R25" i="5"/>
  <c r="R27" i="5"/>
  <c r="Q28" i="5"/>
  <c r="Q30" i="5"/>
  <c r="R31" i="5"/>
  <c r="R33" i="5"/>
  <c r="Q33" i="5"/>
  <c r="R35" i="5"/>
  <c r="Q35" i="5"/>
  <c r="R37" i="5"/>
  <c r="Q38" i="5"/>
  <c r="R39" i="5"/>
  <c r="R43" i="5"/>
  <c r="Q44" i="5"/>
  <c r="R45" i="5"/>
  <c r="Q46" i="5"/>
  <c r="R47" i="5"/>
  <c r="R49" i="5"/>
  <c r="Q49" i="5"/>
  <c r="R51" i="5"/>
  <c r="Q51" i="5"/>
  <c r="Q52" i="5"/>
  <c r="R53" i="5"/>
  <c r="Q54" i="5"/>
  <c r="R59" i="5"/>
  <c r="Q60" i="5"/>
  <c r="R61" i="5"/>
  <c r="Q62" i="5"/>
  <c r="R63" i="5"/>
  <c r="Q64" i="5"/>
  <c r="R65" i="5"/>
  <c r="R67" i="5"/>
  <c r="Q67" i="5"/>
  <c r="Q68" i="5"/>
  <c r="R69" i="5"/>
  <c r="Q70" i="5"/>
  <c r="R73" i="5"/>
  <c r="Q73" i="5"/>
  <c r="R75" i="5"/>
  <c r="Q76" i="5"/>
  <c r="R77" i="5"/>
  <c r="Q78" i="5"/>
  <c r="R79" i="5"/>
  <c r="R83" i="5"/>
  <c r="Q83" i="5"/>
  <c r="Q84" i="5"/>
  <c r="R85" i="5"/>
  <c r="Q86" i="5"/>
  <c r="R89" i="5"/>
  <c r="Q89" i="5"/>
  <c r="R91" i="5"/>
  <c r="Q92" i="5"/>
  <c r="R93" i="5"/>
  <c r="R55" i="5" l="1"/>
  <c r="R22" i="5"/>
  <c r="Q36" i="5"/>
  <c r="R88" i="5"/>
  <c r="R72" i="5"/>
  <c r="R56" i="5"/>
  <c r="R40" i="5"/>
  <c r="R82" i="5"/>
  <c r="R81" i="5"/>
  <c r="R57" i="5"/>
  <c r="R41" i="5"/>
  <c r="R29" i="5"/>
  <c r="R78" i="5"/>
  <c r="R62" i="5"/>
  <c r="R46" i="5"/>
  <c r="R30" i="5"/>
  <c r="R71" i="5"/>
  <c r="R87" i="5"/>
  <c r="R66" i="5"/>
  <c r="R50" i="5"/>
  <c r="R34" i="5"/>
  <c r="Q88" i="5"/>
  <c r="Q82" i="5"/>
  <c r="Q72" i="5"/>
  <c r="Q66" i="5"/>
  <c r="Q56" i="5"/>
  <c r="Q50" i="5"/>
  <c r="Q40" i="5"/>
  <c r="Q34" i="5"/>
  <c r="R21" i="5"/>
  <c r="R92" i="5"/>
  <c r="R90" i="5"/>
  <c r="R86" i="5"/>
  <c r="R80" i="5"/>
  <c r="R76" i="5"/>
  <c r="R74" i="5"/>
  <c r="R70" i="5"/>
  <c r="R64" i="5"/>
  <c r="R60" i="5"/>
  <c r="R58" i="5"/>
  <c r="R54" i="5"/>
  <c r="R48" i="5"/>
  <c r="R44" i="5"/>
  <c r="R42" i="5"/>
  <c r="R38" i="5"/>
  <c r="R32" i="5"/>
  <c r="R28" i="5"/>
  <c r="R26" i="5"/>
  <c r="R24" i="5"/>
  <c r="R2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<sst xmlns="http://schemas.openxmlformats.org/spreadsheetml/2006/main" count="644" uniqueCount="550">
  <si>
    <t>SpotDate</t>
  </si>
  <si>
    <t>Bllomberg:</t>
  </si>
  <si>
    <t>Start d ate</t>
  </si>
  <si>
    <t>Reset Date</t>
  </si>
  <si>
    <t>CPI:</t>
  </si>
  <si>
    <t>YOY Swap</t>
  </si>
  <si>
    <t>Reset Date of Start Date</t>
  </si>
  <si>
    <t xml:space="preserve">Start Date </t>
  </si>
  <si>
    <t>Reset Date of End Date</t>
  </si>
  <si>
    <t>End Date</t>
  </si>
  <si>
    <t>Quote</t>
  </si>
  <si>
    <t>ZC Swap</t>
  </si>
  <si>
    <t>Start Date</t>
  </si>
  <si>
    <t>ZC Infla</t>
  </si>
  <si>
    <t>Month</t>
  </si>
  <si>
    <t>Seasonality</t>
  </si>
  <si>
    <t>Value</t>
  </si>
  <si>
    <t>USSWIF8 Curncy</t>
  </si>
  <si>
    <t>AUG</t>
  </si>
  <si>
    <t>USSWIT1 Curncy</t>
  </si>
  <si>
    <t>USSWMJAN Curncy</t>
  </si>
  <si>
    <t>USSWIF9 Curncy</t>
  </si>
  <si>
    <t>SEP</t>
  </si>
  <si>
    <t>USSWIT2 Curncy</t>
  </si>
  <si>
    <t>USSWMFEB Curncy</t>
  </si>
  <si>
    <t>USSWIF10 Curncy</t>
  </si>
  <si>
    <t>OCT</t>
  </si>
  <si>
    <t>USSWIT3 Curncy</t>
  </si>
  <si>
    <t>USSWMMAR Curncy</t>
  </si>
  <si>
    <t>USSWIF11 Curncy</t>
  </si>
  <si>
    <t>NOV</t>
  </si>
  <si>
    <t>USSWIT4 Curncy</t>
  </si>
  <si>
    <t>USSWMAPR Curncy</t>
  </si>
  <si>
    <t>USSWIF12 Curncy</t>
  </si>
  <si>
    <t>DEC</t>
  </si>
  <si>
    <t>USSWIT5 Curncy</t>
  </si>
  <si>
    <t>USSWMMAY Curncy</t>
  </si>
  <si>
    <t>Index</t>
  </si>
  <si>
    <t>CPURNSA Index</t>
  </si>
  <si>
    <t>USSWIF1 Curncy</t>
  </si>
  <si>
    <t>JAN</t>
  </si>
  <si>
    <t>USSWIT6 Curncy</t>
  </si>
  <si>
    <t>USSWMJUN Curncy</t>
  </si>
  <si>
    <t>Stripping Date</t>
  </si>
  <si>
    <t>USSWIF2 Curncy</t>
  </si>
  <si>
    <t>FEB</t>
  </si>
  <si>
    <t>USSWIT7 Curncy</t>
  </si>
  <si>
    <t>USSWMJUL Curncy</t>
  </si>
  <si>
    <t>USSWIF3 Curncy</t>
  </si>
  <si>
    <t>MAR</t>
  </si>
  <si>
    <t>USSWIT8 Curncy</t>
  </si>
  <si>
    <t>USSWMAUG Curncy</t>
  </si>
  <si>
    <t>Lagged EOM</t>
  </si>
  <si>
    <t>USSWIF4 Curncy</t>
  </si>
  <si>
    <t>APR</t>
  </si>
  <si>
    <t>USSWIT9 Curncy</t>
  </si>
  <si>
    <t>USSWMSEP Curncy</t>
  </si>
  <si>
    <t>Period</t>
  </si>
  <si>
    <t>M</t>
  </si>
  <si>
    <t>USSWIF5 Curncy</t>
  </si>
  <si>
    <t>MAY</t>
  </si>
  <si>
    <t>USSWIT10 Curncy</t>
  </si>
  <si>
    <t>USSWMOCT Curncy</t>
  </si>
  <si>
    <t>Lag</t>
  </si>
  <si>
    <t>USSWIF6 Curncy</t>
  </si>
  <si>
    <t>JUN</t>
  </si>
  <si>
    <t>USSWIT15 Curncy</t>
  </si>
  <si>
    <t>USSWMNOV Curncy</t>
  </si>
  <si>
    <t>USSWIF7 Curncy</t>
  </si>
  <si>
    <t>JUL</t>
  </si>
  <si>
    <t>USSWIT20 Curncy</t>
  </si>
  <si>
    <t>USSWMDEC Curncy</t>
  </si>
  <si>
    <t>USSWIT25 Curncy</t>
  </si>
  <si>
    <t>USSWIT30 Curncy</t>
  </si>
  <si>
    <t>Reset/fixing Date</t>
  </si>
  <si>
    <t>Term Date</t>
  </si>
  <si>
    <t>Recomputation</t>
  </si>
  <si>
    <t>CPIFwd</t>
  </si>
  <si>
    <t>Quot Date</t>
  </si>
  <si>
    <t>Frst of Month</t>
  </si>
  <si>
    <t>Lag Date</t>
  </si>
  <si>
    <t>curve rate from excel</t>
  </si>
  <si>
    <t>curve rate from BBG Screen</t>
  </si>
  <si>
    <t>BPSWIF7 Curncy</t>
  </si>
  <si>
    <t>BPSWIT1 Curncy</t>
  </si>
  <si>
    <t>BPSWIF8 Curncy</t>
  </si>
  <si>
    <t>BPSWIT2 Curncy</t>
  </si>
  <si>
    <t>BPSWIF9 Curncy</t>
  </si>
  <si>
    <t>BPSWIT3 Curncy</t>
  </si>
  <si>
    <t>BPSWIF10 Curncy</t>
  </si>
  <si>
    <t>BPSWIT4 Curncy</t>
  </si>
  <si>
    <t>BPSWIF11 Curncy</t>
  </si>
  <si>
    <t>BPSWIT5 Curncy</t>
  </si>
  <si>
    <t>UKRPI Index</t>
  </si>
  <si>
    <t>BPSWIF12 Curncy</t>
  </si>
  <si>
    <t>BPSWIT6 Curncy</t>
  </si>
  <si>
    <t>BPSWIF1 Curncy</t>
  </si>
  <si>
    <t>BPSWIT7 Curncy</t>
  </si>
  <si>
    <t>BPSWIF2 Curncy</t>
  </si>
  <si>
    <t>BPSWIT8 Curncy</t>
  </si>
  <si>
    <t>BPSWIF3 Curncy</t>
  </si>
  <si>
    <t>BPSWIT9 Curncy</t>
  </si>
  <si>
    <t>BPSWIF4 Curncy</t>
  </si>
  <si>
    <t>BPSWIT10 Curncy</t>
  </si>
  <si>
    <t>BPSWIF5 Curncy</t>
  </si>
  <si>
    <t>BPSWIT15 Curncy</t>
  </si>
  <si>
    <t>BPSWIF6 Curncy</t>
  </si>
  <si>
    <t>BPSWIT20 Curncy</t>
  </si>
  <si>
    <t>BPSWIT25 Curncy</t>
  </si>
  <si>
    <t>BPSWIT30 Curncy</t>
  </si>
  <si>
    <t>Security</t>
  </si>
  <si>
    <t>Description</t>
  </si>
  <si>
    <t>USSWIC Curncy</t>
  </si>
  <si>
    <t>USD Swap CRV SA 9M3M</t>
  </si>
  <si>
    <t>USD Inflation CPI FIX Jul 1Y</t>
  </si>
  <si>
    <t>USSWIV3 Curncy</t>
  </si>
  <si>
    <t>USD Swap (vs 3M LIBOR ) 9MO</t>
  </si>
  <si>
    <t>USD Inflation CPI FIX Sep 1Y</t>
  </si>
  <si>
    <t>USSWIA Curncy</t>
  </si>
  <si>
    <t>USD Swap Annual (VS 1M) 9M</t>
  </si>
  <si>
    <t>USD Inflation CPI FIX Dec 1Y</t>
  </si>
  <si>
    <t>USSWI Curncy</t>
  </si>
  <si>
    <t>USD Swap Semi-Annual 30/360 9M</t>
  </si>
  <si>
    <t>USD Inflation CPI FIX Apr 1Y</t>
  </si>
  <si>
    <t>USSWIVA Curncy</t>
  </si>
  <si>
    <t>USD Swap v3M ACT/360 9MO</t>
  </si>
  <si>
    <t>USD Inflation CPI FIX Jan 1Y</t>
  </si>
  <si>
    <t>USSWIYL Curncy</t>
  </si>
  <si>
    <t>USD Swap SA (VS 12M) 9M</t>
  </si>
  <si>
    <t>USD Inflation CPI FIX Jun 1Y</t>
  </si>
  <si>
    <t>USSWIAPR Curncy</t>
  </si>
  <si>
    <t>USD Inflation SEASONAL HA Apr</t>
  </si>
  <si>
    <t>USD Inflation CPI FIX Mar 1Y</t>
  </si>
  <si>
    <t>USSWIAUG Curncy</t>
  </si>
  <si>
    <t>USD Inflation SEASONAL HA Aug</t>
  </si>
  <si>
    <t>USD Inflation CPI FIX May 1Y</t>
  </si>
  <si>
    <t>USSWIJAN Curncy</t>
  </si>
  <si>
    <t>USD Inflation SEASONAL HA Jan</t>
  </si>
  <si>
    <t>USD Inflation CPI FIX Oct 1Y</t>
  </si>
  <si>
    <t>USSWINOV Curncy</t>
  </si>
  <si>
    <t>USD Inflation SEASONAL HA Nov</t>
  </si>
  <si>
    <t>USD Inflation CPI FIX Feb 1Y</t>
  </si>
  <si>
    <t>USSWIFEB Curncy</t>
  </si>
  <si>
    <t>USD Inflation SEASONAL HA Feb</t>
  </si>
  <si>
    <t>USD Inflation CPI FIX Aug 1Y</t>
  </si>
  <si>
    <t>USSWISEP Curncy</t>
  </si>
  <si>
    <t>USD Inflation SEASONAL HA Sep</t>
  </si>
  <si>
    <t>USD Inflation CPI FIX Nov 1Y</t>
  </si>
  <si>
    <t>USSWIMAR Curncy</t>
  </si>
  <si>
    <t>USD Inflation SEASONAL HA Mar</t>
  </si>
  <si>
    <t>USSWIH11 Curncy</t>
  </si>
  <si>
    <t>USD Inflation CPI FIX Nov 2Y</t>
  </si>
  <si>
    <t>USSWIMAY Curncy</t>
  </si>
  <si>
    <t>USD Inflation SEASONAL HA May</t>
  </si>
  <si>
    <t>USSWIH6 Curncy</t>
  </si>
  <si>
    <t>USD Inflation CPI FIX Jun 2Y</t>
  </si>
  <si>
    <t>USSWIOCT Curncy</t>
  </si>
  <si>
    <t>USD Inflation SEASONAL HA Oct</t>
  </si>
  <si>
    <t>USSWIH7 Curncy</t>
  </si>
  <si>
    <t>USD Inflation CPI FIX Jul 2Y</t>
  </si>
  <si>
    <t>USSWIJUL Curncy</t>
  </si>
  <si>
    <t>USD Inflation SEASONAL HA Jul</t>
  </si>
  <si>
    <t>USSWIH8 Curncy</t>
  </si>
  <si>
    <t>USD Inflation CPI FIX Aug 2Y</t>
  </si>
  <si>
    <t>USSWIJUN Curncy</t>
  </si>
  <si>
    <t>USD Inflation SEASONAL HA Jun</t>
  </si>
  <si>
    <t>USSWIH9 Curncy</t>
  </si>
  <si>
    <t>USD Inflation CPI FIX Sep 2Y</t>
  </si>
  <si>
    <t>USSWIDEC Curncy</t>
  </si>
  <si>
    <t>USD Inflation SEASONAL HA Dec</t>
  </si>
  <si>
    <t>USSWIH1 Curncy</t>
  </si>
  <si>
    <t>USD Inflation CPI FIX Jan 2Y</t>
  </si>
  <si>
    <t>USSWIC10 Curncy</t>
  </si>
  <si>
    <t>USD Inflation Urban CONS 10Y</t>
  </si>
  <si>
    <t>USSWIH10 Curncy</t>
  </si>
  <si>
    <t>USD Inflation CPI FIX Oct 2Y</t>
  </si>
  <si>
    <t>USSWIC12 Curncy</t>
  </si>
  <si>
    <t>USD Inflation Urban CONS 12Y</t>
  </si>
  <si>
    <t>USSWIH12 Curncy</t>
  </si>
  <si>
    <t>USD Inflation CPI FIX Dec 2Y</t>
  </si>
  <si>
    <t>USSWIC15 Curncy</t>
  </si>
  <si>
    <t>USD Inflation Urban CONS 15Y</t>
  </si>
  <si>
    <t>USSWIH2 Curncy</t>
  </si>
  <si>
    <t>USD Inflation CPI FIX Feb 2Y</t>
  </si>
  <si>
    <t>USSWIC2 Curncy</t>
  </si>
  <si>
    <t>USD Inflation Urban CONS 2Y</t>
  </si>
  <si>
    <t>USSWIH3 Curncy</t>
  </si>
  <si>
    <t>USD Inflation CPI FIX Mar 2Y</t>
  </si>
  <si>
    <t>USSWIC20 Curncy</t>
  </si>
  <si>
    <t>USD Inflation Urban CONS 20Y</t>
  </si>
  <si>
    <t>USSWIH4 Curncy</t>
  </si>
  <si>
    <t>USD Inflation CPI FIX Apr 2Y</t>
  </si>
  <si>
    <t>USSWIC25 Curncy</t>
  </si>
  <si>
    <t>USD Inflation Urban CONS 25Y</t>
  </si>
  <si>
    <t>USSWIH5 Curncy</t>
  </si>
  <si>
    <t>USD Inflation CPI FIX May 2Y</t>
  </si>
  <si>
    <t>USSWIC3 Curncy</t>
  </si>
  <si>
    <t>USD Inflation Urban CONS 3Y</t>
  </si>
  <si>
    <t>USSWII1 Curncy</t>
  </si>
  <si>
    <t>USD Inflation Swap Zero Coupon BPS 1Y</t>
  </si>
  <si>
    <t>USSWIC30 Curncy</t>
  </si>
  <si>
    <t>USD Inflation Urban CONS 30Y</t>
  </si>
  <si>
    <t>USSWII10 Curncy</t>
  </si>
  <si>
    <t>USD Inflation Swap Zero Coupon BPS 10Y</t>
  </si>
  <si>
    <t>USSWIC4 Curncy</t>
  </si>
  <si>
    <t>USD Inflation Urban CONS 4Y</t>
  </si>
  <si>
    <t>USSWII2 Curncy</t>
  </si>
  <si>
    <t>USD Inflation Swap Zero Coupon BPS 2Y</t>
  </si>
  <si>
    <t>USSWIC40 Curncy</t>
  </si>
  <si>
    <t>USD Inflation Urban CONS 40Y</t>
  </si>
  <si>
    <t>USSWII20 Curncy</t>
  </si>
  <si>
    <t>USD Inflation Swap Zero Coupon BPS 20Y</t>
  </si>
  <si>
    <t>USSWIC5 Curncy</t>
  </si>
  <si>
    <t>USD Inflation Urban CONS 5Y</t>
  </si>
  <si>
    <t>USSWII3 Curncy</t>
  </si>
  <si>
    <t>USD Inflation Swap Zero Coupon BPS 3Y</t>
  </si>
  <si>
    <t>USSWIC6 Curncy</t>
  </si>
  <si>
    <t>USD Inflation Urban CONS 6Y</t>
  </si>
  <si>
    <t>USSWII5 Curncy</t>
  </si>
  <si>
    <t>USD Inflation Swap Zero Coupon BPS 5Y</t>
  </si>
  <si>
    <t>USSWIC7 Curncy</t>
  </si>
  <si>
    <t>USD Inflation Urban CONS 7Y</t>
  </si>
  <si>
    <t>USSWII6 Curncy</t>
  </si>
  <si>
    <t>USD Inflation Swap Zero Coupon BPS 6Y</t>
  </si>
  <si>
    <t>USSWIC8 Curncy</t>
  </si>
  <si>
    <t>USD Inflation Urban CONS 8Y</t>
  </si>
  <si>
    <t>USSWII7 Curncy</t>
  </si>
  <si>
    <t>USD Inflation Swap Zero Coupon BPS 7Y</t>
  </si>
  <si>
    <t>USSWIC9 Curncy</t>
  </si>
  <si>
    <t>USD Inflation Urban CONS 9Y</t>
  </si>
  <si>
    <t>USSWII12 Curncy</t>
  </si>
  <si>
    <t>USD Inflation Swap Zero Coupon BPS 12Y</t>
  </si>
  <si>
    <t>USSWIC1 Curncy</t>
  </si>
  <si>
    <t>USD Inflation Urban CONS 1Y</t>
  </si>
  <si>
    <t>USSWII15 Curncy</t>
  </si>
  <si>
    <t>USD Inflation Swap Zero Coupon BPS 15Y</t>
  </si>
  <si>
    <t>USSWIM1 Curncy</t>
  </si>
  <si>
    <t>USD Swap IMM 1ST YR 1CNT</t>
  </si>
  <si>
    <t>USSWII25 Curncy</t>
  </si>
  <si>
    <t>USD Inflation Swap Zero Coupon BPS 25Y</t>
  </si>
  <si>
    <t>USSWIM2 Curncy</t>
  </si>
  <si>
    <t>USD Swap IMM 1ST YR 2CNT</t>
  </si>
  <si>
    <t>USSWII30 Curncy</t>
  </si>
  <si>
    <t>USD Inflation Swap Zero Coupon BPS 30Y</t>
  </si>
  <si>
    <t>USSWIM3 Curncy</t>
  </si>
  <si>
    <t>USD Swap IMM 1ST YR 3CNT</t>
  </si>
  <si>
    <t>USSWII4 Curncy</t>
  </si>
  <si>
    <t>USD Inflation Swap Zero Coupon BPS 4Y</t>
  </si>
  <si>
    <t>USSWIM4 Curncy</t>
  </si>
  <si>
    <t>USD Swap IMM 1ST YR 4CNT</t>
  </si>
  <si>
    <t>USSWII8 Curncy</t>
  </si>
  <si>
    <t>USD Inflation Swap Zero Coupon BPS 8Y</t>
  </si>
  <si>
    <t>USSWIM5 Curncy</t>
  </si>
  <si>
    <t>USD Swap IMM 1ST YR 5CNT</t>
  </si>
  <si>
    <t>USSWII9 Curncy</t>
  </si>
  <si>
    <t>USD Inflation Swap Zero Coupon BPS 9Y</t>
  </si>
  <si>
    <t>USSWIY11 Curncy</t>
  </si>
  <si>
    <t>USD Inflation Swap YOY 11Y</t>
  </si>
  <si>
    <t>USSWIP1A Curncy</t>
  </si>
  <si>
    <t>USD Inflation Swap Zero Coupon PCSWS 1</t>
  </si>
  <si>
    <t>USSWIY12 Curncy</t>
  </si>
  <si>
    <t>USD Inflation Swap YOY 12Y</t>
  </si>
  <si>
    <t>USSWIP1B Curncy</t>
  </si>
  <si>
    <t>USSWIY13 Curncy</t>
  </si>
  <si>
    <t>USD Inflation Swap YOY 13Y</t>
  </si>
  <si>
    <t>USSWIP1C Curncy</t>
  </si>
  <si>
    <t>USSWIY14 Curncy</t>
  </si>
  <si>
    <t>USD Inflation Swap YOY 14Y</t>
  </si>
  <si>
    <t>USSWIP1D Curncy</t>
  </si>
  <si>
    <t>USSWIY15 Curncy</t>
  </si>
  <si>
    <t>USD Inflation Swap YOY 15Y</t>
  </si>
  <si>
    <t>USSWIP1E Curncy</t>
  </si>
  <si>
    <t>USSWIY16 Curncy</t>
  </si>
  <si>
    <t>USD Inflation Swap YOY 16Y</t>
  </si>
  <si>
    <t>USSWIP1G Curncy</t>
  </si>
  <si>
    <t>USSWIY17 Curncy</t>
  </si>
  <si>
    <t>USD Inflation Swap YOY 17Y</t>
  </si>
  <si>
    <t>USSWIP1H Curncy</t>
  </si>
  <si>
    <t>USD Inflation Swap Zero Coupon PCSWS 2</t>
  </si>
  <si>
    <t>USSWIY18 Curncy</t>
  </si>
  <si>
    <t>USD Inflation Swap YOY 18Y</t>
  </si>
  <si>
    <t>USSWIP1I Curncy</t>
  </si>
  <si>
    <t>USSWIY19 Curncy</t>
  </si>
  <si>
    <t>USD Inflation Swap YOY 19Y</t>
  </si>
  <si>
    <t>USSWIP1J Curncy</t>
  </si>
  <si>
    <t>USSWIY20 Curncy</t>
  </si>
  <si>
    <t>USD Inflation Swap YOY 20Y</t>
  </si>
  <si>
    <t>USSWIP1K Curncy</t>
  </si>
  <si>
    <t>USSWIY21 Curncy</t>
  </si>
  <si>
    <t>USD Inflation Swap YOY 21Y</t>
  </si>
  <si>
    <t>USSWIP4 Curncy</t>
  </si>
  <si>
    <t>USD Inflation Swap Zero Coupon PCSWS 4</t>
  </si>
  <si>
    <t>USSWIY22 Curncy</t>
  </si>
  <si>
    <t>USD Inflation Swap YOY 22Y</t>
  </si>
  <si>
    <t>USSWIPB Curncy</t>
  </si>
  <si>
    <t>USSWIY23 Curncy</t>
  </si>
  <si>
    <t>USD Inflation Swap YOY 23Y</t>
  </si>
  <si>
    <t>USSWIPC Curncy</t>
  </si>
  <si>
    <t>USD Inflation Swap Zero Coupon PCSWS 3</t>
  </si>
  <si>
    <t>USSWIY24 Curncy</t>
  </si>
  <si>
    <t>USD Inflation Swap YOY 24Y</t>
  </si>
  <si>
    <t>USSWIPD Curncy</t>
  </si>
  <si>
    <t>USSWIY25 Curncy</t>
  </si>
  <si>
    <t>USD Inflation Swap YOY 25Y</t>
  </si>
  <si>
    <t>USSWIPE Curncy</t>
  </si>
  <si>
    <t>USD Inflation Swap Zero Coupon PCSWS 5</t>
  </si>
  <si>
    <t>USSWIY26 Curncy</t>
  </si>
  <si>
    <t>USD Inflation Swap YOY 26Y</t>
  </si>
  <si>
    <t>USSWIPF Curncy</t>
  </si>
  <si>
    <t>USD Inflation Swap Zero Coupon PCSWS 6</t>
  </si>
  <si>
    <t>USSWIY27 Curncy</t>
  </si>
  <si>
    <t>USD Inflation Swap YOY 27Y</t>
  </si>
  <si>
    <t>USSWIPG Curncy</t>
  </si>
  <si>
    <t>USD Inflation Swap Zero Coupon PCSWS 7</t>
  </si>
  <si>
    <t>USSWIY28 Curncy</t>
  </si>
  <si>
    <t>USD Inflation Swap YOY 28Y</t>
  </si>
  <si>
    <t>USSWIPH Curncy</t>
  </si>
  <si>
    <t>USD Inflation Swap Zero Coupon PCSWS 8</t>
  </si>
  <si>
    <t>USSWIY29 Curncy</t>
  </si>
  <si>
    <t>USD Inflation Swap YOY 29Y</t>
  </si>
  <si>
    <t>USSWIPI Curncy</t>
  </si>
  <si>
    <t>USD Inflation Swap Zero Coupon PCSWS 9</t>
  </si>
  <si>
    <t>USSWIY30 Curncy</t>
  </si>
  <si>
    <t>USD Inflation Swap YOY 30Y</t>
  </si>
  <si>
    <t>USSWIPJ Curncy</t>
  </si>
  <si>
    <t>USSWIY4 Curncy</t>
  </si>
  <si>
    <t>USD Inflation Swap YOY 4Y</t>
  </si>
  <si>
    <t>USSWIPK Curncy</t>
  </si>
  <si>
    <t>USSWIY40 Curncy</t>
  </si>
  <si>
    <t>USD Inflation Swap YOY 40Y</t>
  </si>
  <si>
    <t>USSWIPA Curncy</t>
  </si>
  <si>
    <t>USSWIY50 Curncy</t>
  </si>
  <si>
    <t>USD Inflation Swap YOY 50Y</t>
  </si>
  <si>
    <t>USSWIP1 Curncy</t>
  </si>
  <si>
    <t>USSWIY6 Curncy</t>
  </si>
  <si>
    <t>USD Inflation Swap YOY 6Y</t>
  </si>
  <si>
    <t>USSWIP1F Curncy</t>
  </si>
  <si>
    <t>USSWIY7 Curncy</t>
  </si>
  <si>
    <t>USD Inflation Swap YOY 7Y</t>
  </si>
  <si>
    <t>USSWIP2 Curncy</t>
  </si>
  <si>
    <t>USSWIY8 Curncy</t>
  </si>
  <si>
    <t>USD Inflation Swap YOY 8Y</t>
  </si>
  <si>
    <t>USSWI10 Curncy</t>
  </si>
  <si>
    <t>USD Swap 9M vs 10Y</t>
  </si>
  <si>
    <t>USSWIY9 Curncy</t>
  </si>
  <si>
    <t>USD Inflation Swap YOY 9Y</t>
  </si>
  <si>
    <t>USSWI30 Curncy</t>
  </si>
  <si>
    <t>USD Swap 9M vs 30Y</t>
  </si>
  <si>
    <t>USSWIY3 Curncy</t>
  </si>
  <si>
    <t>USD Inflation Swap YOY 3Y</t>
  </si>
  <si>
    <t>USSWI01 Curncy</t>
  </si>
  <si>
    <t>USD Swap 9M vs 1Y</t>
  </si>
  <si>
    <t>USSWIY10 Curncy</t>
  </si>
  <si>
    <t>USD Inflation Swap YOY 10Y</t>
  </si>
  <si>
    <t>USSWI02 Curncy</t>
  </si>
  <si>
    <t>USD Swap 9M vs 2Y</t>
  </si>
  <si>
    <t>USSWIY1 Curncy</t>
  </si>
  <si>
    <t>USD Inflation Swap YOY 1Y</t>
  </si>
  <si>
    <t>USSWI03 Curncy</t>
  </si>
  <si>
    <t>USD Swap 9M vs 3Y</t>
  </si>
  <si>
    <t>USSWIY2 Curncy</t>
  </si>
  <si>
    <t>USD Inflation Swap YOY 2Y</t>
  </si>
  <si>
    <t>USSWI04 Curncy</t>
  </si>
  <si>
    <t>USD Swap 9M vs 4Y</t>
  </si>
  <si>
    <t>USSWIY5 Curncy</t>
  </si>
  <si>
    <t>USD Inflation Swap YOY 5Y</t>
  </si>
  <si>
    <t>USSWI05 Curncy</t>
  </si>
  <si>
    <t>USD Swap 9M vs 5Y</t>
  </si>
  <si>
    <t>USD Inflation Swap Zero Coupon 1Y</t>
  </si>
  <si>
    <t>USSWI06 Curncy</t>
  </si>
  <si>
    <t>USD Swap 9M vs 6Y</t>
  </si>
  <si>
    <t>USD Inflation Swap Zero Coupon 2Y</t>
  </si>
  <si>
    <t>USSWI07 Curncy</t>
  </si>
  <si>
    <t>USD Swap 9M vs 7Y</t>
  </si>
  <si>
    <t>USD Inflation Swap Zero Coupon 3Y</t>
  </si>
  <si>
    <t>USSWI08 Curncy</t>
  </si>
  <si>
    <t>USD Swap 9M vs 8Y</t>
  </si>
  <si>
    <t>USD Inflation Swap Zero Coupon 4Y</t>
  </si>
  <si>
    <t>USSWI09 Curncy</t>
  </si>
  <si>
    <t>USD Swap 9M vs 9Y</t>
  </si>
  <si>
    <t>USD Inflation Swap Zero Coupon 5Y</t>
  </si>
  <si>
    <t>USSWI15 Curncy</t>
  </si>
  <si>
    <t>USD Swap 9M vs 15Y</t>
  </si>
  <si>
    <t>USD Inflation Swap Zero Coupon 6Y</t>
  </si>
  <si>
    <t>USSWI20 Curncy</t>
  </si>
  <si>
    <t>USD Swap 9M vs 20Y</t>
  </si>
  <si>
    <t>USD Inflation Swap Zero Coupon 7Y</t>
  </si>
  <si>
    <t>USSWI25 Curncy</t>
  </si>
  <si>
    <t>USD Swap 9M vs 25Y</t>
  </si>
  <si>
    <t>USD Inflation Swap Zero Coupon 8Y</t>
  </si>
  <si>
    <t>USD Inflation Swap Zero Coupon 9Y</t>
  </si>
  <si>
    <t>USD Inflation Swap Zero Coupon 10Y</t>
  </si>
  <si>
    <t>USSWIT12 Curncy</t>
  </si>
  <si>
    <t>USD Inflation Swap Zero Coupon 12Y</t>
  </si>
  <si>
    <t>USD Inflation Swap Zero Coupon 15Y</t>
  </si>
  <si>
    <t>USD Inflation Swap Zero Coupon 20Y</t>
  </si>
  <si>
    <t>USD Inflation Swap Zero Coupon 25Y</t>
  </si>
  <si>
    <t>USD Inflation Swap Zero Coupon 30Y</t>
  </si>
  <si>
    <t>USSWITF Curncy</t>
  </si>
  <si>
    <t>USD Inflation Swap Zero Coupon 6M</t>
  </si>
  <si>
    <t>USSWITB Curncy</t>
  </si>
  <si>
    <t>USD Inflation Swap Zero Coupon 2M</t>
  </si>
  <si>
    <t>USSWIT2G Curncy</t>
  </si>
  <si>
    <t>USD Inflation Swap Zero Coupon 31M</t>
  </si>
  <si>
    <t>USSWITE Curncy</t>
  </si>
  <si>
    <t>USD Inflation Swap Zero Coupon 5M</t>
  </si>
  <si>
    <t>USSWITK Curncy</t>
  </si>
  <si>
    <t>USD Inflation Swap Zero Coupon 11M</t>
  </si>
  <si>
    <t>USSWIT1A Curncy</t>
  </si>
  <si>
    <t>USD Inflation Swap Zero Coupon 13M</t>
  </si>
  <si>
    <t>USSWIT1D Curncy</t>
  </si>
  <si>
    <t>USD Inflation Swap Zero Coupon 16M</t>
  </si>
  <si>
    <t>USSWIT1E Curncy</t>
  </si>
  <si>
    <t>USD Inflation Swap Zero Coupon 17M</t>
  </si>
  <si>
    <t>USSWIT1H Curncy</t>
  </si>
  <si>
    <t>USD Inflation Swap Zero Coupon 20M</t>
  </si>
  <si>
    <t>USSWIT1J Curncy</t>
  </si>
  <si>
    <t>USD Inflation Swap Zero Coupon 22M</t>
  </si>
  <si>
    <t>USSWIT1K Curncy</t>
  </si>
  <si>
    <t>USD Inflation Swap Zero Coupon 23M</t>
  </si>
  <si>
    <t>USSWIT22 Curncy</t>
  </si>
  <si>
    <t>USD Inflation Swap Zero Coupon 22Y</t>
  </si>
  <si>
    <t>USSWIT23 Curncy</t>
  </si>
  <si>
    <t>USD Inflation Swap Zero Coupon 23Y</t>
  </si>
  <si>
    <t>USSWIT24 Curncy</t>
  </si>
  <si>
    <t>USD Inflation Swap Zero Coupon 24Y</t>
  </si>
  <si>
    <t>USSWIT26 Curncy</t>
  </si>
  <si>
    <t>USD Inflation Swap Zero Coupon 26Y</t>
  </si>
  <si>
    <t>USSWIT27 Curncy</t>
  </si>
  <si>
    <t>USD Inflation Swap Zero Coupon 27Y</t>
  </si>
  <si>
    <t>USSWIT2A Curncy</t>
  </si>
  <si>
    <t>USD Inflation Swap Zero Coupon 25M</t>
  </si>
  <si>
    <t>USSWIT2B Curncy</t>
  </si>
  <si>
    <t>USD Inflation Swap Zero Coupon 26M</t>
  </si>
  <si>
    <t>USSWIT2C Curncy</t>
  </si>
  <si>
    <t>USD Inflation Swap Zero Coupon 27M</t>
  </si>
  <si>
    <t>USSWIT2D Curncy</t>
  </si>
  <si>
    <t>USD Inflation Swap Zero Coupon 28M</t>
  </si>
  <si>
    <t>USSWIT2E Curncy</t>
  </si>
  <si>
    <t>USD Inflation Swap Zero Coupon 29M</t>
  </si>
  <si>
    <t>USSWIT2F Curncy</t>
  </si>
  <si>
    <t>USD Inflation Swap Zero Coupon 30M</t>
  </si>
  <si>
    <t>USSWIT2H Curncy</t>
  </si>
  <si>
    <t>USD Inflation Swap Zero Coupon 32M</t>
  </si>
  <si>
    <t>USSWIT2I Curncy</t>
  </si>
  <si>
    <t>USD Inflation Swap Zero Coupon 33M</t>
  </si>
  <si>
    <t>USSWIT2J Curncy</t>
  </si>
  <si>
    <t>USD Inflation Swap Zero Coupon 34M</t>
  </si>
  <si>
    <t>USSWIT2K Curncy</t>
  </si>
  <si>
    <t>USD Inflation Swap Zero Coupon 35M</t>
  </si>
  <si>
    <t>USSWIT35 Curncy</t>
  </si>
  <si>
    <t>USD Inflation Swap Zero Coupon 35Y</t>
  </si>
  <si>
    <t>USSWIT3A Curncy</t>
  </si>
  <si>
    <t>USD Inflation Swap Zero Coupon 37M</t>
  </si>
  <si>
    <t>USSWIT3B Curncy</t>
  </si>
  <si>
    <t>USD Inflation Swap Zero Coupon 38M</t>
  </si>
  <si>
    <t>USSWIT3C Curncy</t>
  </si>
  <si>
    <t>USD Inflation Swap Zero Coupon 39M</t>
  </si>
  <si>
    <t>USSWIT3D Curncy</t>
  </si>
  <si>
    <t>USD Inflation Swap Zero Coupon 40M</t>
  </si>
  <si>
    <t>USSWIT3E Curncy</t>
  </si>
  <si>
    <t>USD Inflation Swap Zero Coupon 41M</t>
  </si>
  <si>
    <t>USSWIT3F Curncy</t>
  </si>
  <si>
    <t>USD Inflation Swap Zero Coupon 42M</t>
  </si>
  <si>
    <t>USSWIT3G Curncy</t>
  </si>
  <si>
    <t>USD Inflation Swap Zero Coupon 43M</t>
  </si>
  <si>
    <t>USSWIT3H Curncy</t>
  </si>
  <si>
    <t>USD Inflation Swap Zero Coupon 44M</t>
  </si>
  <si>
    <t>USSWIT3I Curncy</t>
  </si>
  <si>
    <t>USD Inflation Swap Zero Coupon 45M</t>
  </si>
  <si>
    <t>USSWIT3J Curncy</t>
  </si>
  <si>
    <t>USD Inflation Swap Zero Coupon 46M</t>
  </si>
  <si>
    <t>USSWIT3K Curncy</t>
  </si>
  <si>
    <t>USD Inflation Swap Zero Coupon 47M</t>
  </si>
  <si>
    <t>USSWIT4A Curncy</t>
  </si>
  <si>
    <t>USD Inflation Swap Zero Coupon 49M</t>
  </si>
  <si>
    <t>USSWIT4B Curncy</t>
  </si>
  <si>
    <t>USD Inflation Swap Zero Coupon 50M</t>
  </si>
  <si>
    <t>USSWIT4C Curncy</t>
  </si>
  <si>
    <t>USD Inflation Swap Zero Coupon 51M</t>
  </si>
  <si>
    <t>USSWIT4D Curncy</t>
  </si>
  <si>
    <t>USD Inflation Swap Zero Coupon 52M</t>
  </si>
  <si>
    <t>USSWIT4E Curncy</t>
  </si>
  <si>
    <t>USD Inflation Swap Zero Coupon 53M</t>
  </si>
  <si>
    <t>USSWIT4F Curncy</t>
  </si>
  <si>
    <t>USD Inflation Swap Zero Coupon 54M</t>
  </si>
  <si>
    <t>USSWIT4G Curncy</t>
  </si>
  <si>
    <t>USD Inflation Swap Zero Coupon 55M</t>
  </si>
  <si>
    <t>USSWIT4H Curncy</t>
  </si>
  <si>
    <t>USD Inflation Swap Zero Coupon 56M</t>
  </si>
  <si>
    <t>USSWIT4J Curncy</t>
  </si>
  <si>
    <t>USD Inflation Swap Zero Coupon 58M</t>
  </si>
  <si>
    <t>USSWIT4K Curncy</t>
  </si>
  <si>
    <t>USD Inflation Swap Zero Coupon 59M</t>
  </si>
  <si>
    <t>USSWITG Curncy</t>
  </si>
  <si>
    <t>USD Inflation Swap Zero Coupon 7M</t>
  </si>
  <si>
    <t>USSWIT11 Curncy</t>
  </si>
  <si>
    <t>USD Inflation Swap Zero Coupon 11Y</t>
  </si>
  <si>
    <t>USSWIT1C Curncy</t>
  </si>
  <si>
    <t>USD Inflation Swap Zero Coupon 15M</t>
  </si>
  <si>
    <t>USSWITI Curncy</t>
  </si>
  <si>
    <t>USD Inflation Swap Zero Coupon 9M</t>
  </si>
  <si>
    <t>USSWIT13 Curncy</t>
  </si>
  <si>
    <t>USD Inflation Swap Zero Coupon 13Y</t>
  </si>
  <si>
    <t>USSWIT14 Curncy</t>
  </si>
  <si>
    <t>USD Inflation Swap Zero Coupon 14Y</t>
  </si>
  <si>
    <t>USSWIT16 Curncy</t>
  </si>
  <si>
    <t>USD Inflation Swap Zero Coupon 16Y</t>
  </si>
  <si>
    <t>USSWIT17 Curncy</t>
  </si>
  <si>
    <t>USD Inflation Swap Zero Coupon 17Y</t>
  </si>
  <si>
    <t>USSWIT18 Curncy</t>
  </si>
  <si>
    <t>USD Inflation Swap Zero Coupon 18Y</t>
  </si>
  <si>
    <t>USSWIT19 Curncy</t>
  </si>
  <si>
    <t>USD Inflation Swap Zero Coupon 19Y</t>
  </si>
  <si>
    <t>USSWIT1B Curncy</t>
  </si>
  <si>
    <t>USD Inflation Swap Zero Coupon 14M</t>
  </si>
  <si>
    <t>USSWIT1F Curncy</t>
  </si>
  <si>
    <t>USD Inflation Swap Zero Coupon 18M</t>
  </si>
  <si>
    <t>USSWIT1G Curncy</t>
  </si>
  <si>
    <t>USD Inflation Swap Zero Coupon 19M</t>
  </si>
  <si>
    <t>USSWIT1I Curncy</t>
  </si>
  <si>
    <t>USD Inflation Swap Zero Coupon 21M</t>
  </si>
  <si>
    <t>USSWIT21 Curncy</t>
  </si>
  <si>
    <t>USD Inflation Swap Zero Coupon 21Y</t>
  </si>
  <si>
    <t>USSWIT28 Curncy</t>
  </si>
  <si>
    <t>USD Inflation Swap Zero Coupon 28Y</t>
  </si>
  <si>
    <t>USSWIT29 Curncy</t>
  </si>
  <si>
    <t>USD Inflation Swap Zero Coupon 29Y</t>
  </si>
  <si>
    <t>USSWIT40 Curncy</t>
  </si>
  <si>
    <t>USD Inflation Swap Zero Coupon 40Y</t>
  </si>
  <si>
    <t>USSWIT45 Curncy</t>
  </si>
  <si>
    <t>USD Inflation Swap Zero Coupon 45Y</t>
  </si>
  <si>
    <t>USSWIT4I Curncy</t>
  </si>
  <si>
    <t>USD Inflation Swap Zero Coupon 57M</t>
  </si>
  <si>
    <t>USSWIT50 Curncy</t>
  </si>
  <si>
    <t>USD Inflation Swap Zero Coupon 50Y</t>
  </si>
  <si>
    <t>USSWIT55 Curncy</t>
  </si>
  <si>
    <t>USD Inflation Swap Zero Coupon 55Y</t>
  </si>
  <si>
    <t>USSWITD Curncy</t>
  </si>
  <si>
    <t>USD Inflation Swap Zero Coupon 4M</t>
  </si>
  <si>
    <t>USSWITH Curncy</t>
  </si>
  <si>
    <t>USD Inflation Swap Zero Coupon 8M</t>
  </si>
  <si>
    <t>USSWITJ Curncy</t>
  </si>
  <si>
    <t>USD Inflation Swap Zero Coupon 10M</t>
  </si>
  <si>
    <t>USSWITA Curncy</t>
  </si>
  <si>
    <t>USD Inflation Swap Zero Coupon 1M</t>
  </si>
  <si>
    <t>USSWITC Curncy</t>
  </si>
  <si>
    <t>USD Inflation Swap Zero Coupon 3M</t>
  </si>
  <si>
    <t>ZC Infla RealTime</t>
  </si>
  <si>
    <t>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</si>
</sst>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[$-409]dd\-mmm\-yy;@"/>
    <numFmt numFmtId="165" formatCode="0.0000"/>
    <numFmt numFmtId="166" formatCode="0.00000"/>
    <numFmt numFmtId="167" formatCode="0.0000000"/>
    <numFmt numFmtId="168" formatCode="_(* #,##0.00000_);_(* \(#,##0.00000\);_(* &quot;-&quot;??_);_(@_)"/>
    <numFmt numFmtId="169" formatCode="[$-F800]dddd\,\ mmmm\ dd\,\ yyyy"/>
    <numFmt numFmtId="170" formatCode="0.000"/>
    <numFmt numFmtId="171" formatCode="_(* #,##0.0_);_(* \(#,##0.0\);_(* &quot;-&quot;??_);_(@_)"/>
    <numFmt numFmtId="172" formatCode="_(* #,##0.0_);_(* \(#,##0.0\);_(* &quot;-&quot;?_);_(@_)"/>
    <numFmt numFmtId="173" formatCode="_(* #,##0.000000_);_(* \(#,##0.000000\);_(* &quot;-&quot;??_);_(@_)"/>
    <numFmt numFmtId="174" formatCode="0.000000"/>
    <numFmt numFmtId="175" formatCode="_(* #,##0.0000000_);_(* \(#,##0.0000000\);_(* &quot;-&quot;??_);_(@_)"/>
    <numFmt numFmtId="176" formatCode="0.00000%"/>
    <numFmt numFmtId="177" formatCode="0.00000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43" fontId="1" fillId="0" borderId="0" applyFont="0" applyFill="0" applyBorder="0" applyAlignment="0" applyProtection="0"/>
    <xf numFmtId="22" fontId="3" fillId="0" borderId="0"/>
    <xf numFmtId="0" fontId="5" fillId="3" borderId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9" borderId="0" applyNumberFormat="0" applyBorder="0" applyAlignment="0" applyProtection="0"/>
    <xf numFmtId="0" fontId="15" fillId="10" borderId="9" applyNumberFormat="0" applyAlignment="0" applyProtection="0"/>
    <xf numFmtId="0" fontId="16" fillId="11" borderId="10" applyNumberFormat="0" applyAlignment="0" applyProtection="0"/>
    <xf numFmtId="0" fontId="17" fillId="11" borderId="9" applyNumberFormat="0" applyAlignment="0" applyProtection="0"/>
    <xf numFmtId="0" fontId="18" fillId="0" borderId="11" applyNumberFormat="0" applyFill="0" applyAlignment="0" applyProtection="0"/>
    <xf numFmtId="0" fontId="19" fillId="12" borderId="12" applyNumberFormat="0" applyAlignment="0" applyProtection="0"/>
    <xf numFmtId="0" fontId="7" fillId="0" borderId="0" applyNumberFormat="0" applyFill="0" applyBorder="0" applyAlignment="0" applyProtection="0"/>
    <xf numFmtId="0" fontId="1" fillId="13" borderId="13" applyNumberFormat="0" applyFont="0" applyAlignment="0" applyProtection="0"/>
    <xf numFmtId="0" fontId="20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22" fontId="3" fillId="0" borderId="0" xfId="2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14" fontId="0" fillId="0" borderId="0" xfId="1" applyNumberFormat="1" applyFont="1"/>
    <xf numFmtId="0" fontId="0" fillId="2" borderId="0" xfId="0" applyFill="1"/>
    <xf numFmtId="0" fontId="5" fillId="3" borderId="0" xfId="3"/>
    <xf numFmtId="0" fontId="2" fillId="0" borderId="0" xfId="0" applyFont="1"/>
    <xf numFmtId="0" fontId="0" fillId="4" borderId="0" xfId="0" applyFill="1"/>
    <xf numFmtId="0" fontId="0" fillId="5" borderId="0" xfId="0" applyFill="1"/>
    <xf numFmtId="0" fontId="6" fillId="0" borderId="0" xfId="0" applyFont="1"/>
    <xf numFmtId="164" fontId="0" fillId="4" borderId="0" xfId="0" applyNumberFormat="1" applyFill="1"/>
    <xf numFmtId="14" fontId="0" fillId="5" borderId="0" xfId="0" applyNumberFormat="1" applyFill="1"/>
    <xf numFmtId="0" fontId="0" fillId="6" borderId="0" xfId="0" applyFill="1"/>
    <xf numFmtId="165" fontId="0" fillId="0" borderId="0" xfId="0" applyNumberFormat="1"/>
    <xf numFmtId="166" fontId="6" fillId="2" borderId="0" xfId="0" applyNumberFormat="1" applyFont="1" applyFill="1"/>
    <xf numFmtId="165" fontId="0" fillId="5" borderId="0" xfId="0" applyNumberFormat="1" applyFill="1"/>
    <xf numFmtId="167" fontId="6" fillId="2" borderId="0" xfId="0" applyNumberFormat="1" applyFont="1" applyFill="1"/>
    <xf numFmtId="168" fontId="0" fillId="2" borderId="0" xfId="1" applyNumberFormat="1" applyFont="1" applyFill="1"/>
    <xf numFmtId="169" fontId="0" fillId="0" borderId="0" xfId="0" applyNumberFormat="1"/>
    <xf numFmtId="169" fontId="7" fillId="0" borderId="0" xfId="0" applyNumberFormat="1" applyFont="1"/>
    <xf numFmtId="0" fontId="7" fillId="0" borderId="0" xfId="0" applyFont="1"/>
    <xf numFmtId="169" fontId="0" fillId="2" borderId="0" xfId="0" applyNumberFormat="1" applyFill="1"/>
    <xf numFmtId="169" fontId="0" fillId="4" borderId="0" xfId="0" applyNumberFormat="1" applyFill="1"/>
    <xf numFmtId="169" fontId="0" fillId="5" borderId="0" xfId="0" applyNumberFormat="1" applyFill="1"/>
    <xf numFmtId="168" fontId="0" fillId="0" borderId="0" xfId="0" applyNumberFormat="1"/>
    <xf numFmtId="166" fontId="0" fillId="0" borderId="0" xfId="0" applyNumberFormat="1"/>
    <xf numFmtId="168" fontId="7" fillId="0" borderId="0" xfId="0" applyNumberFormat="1" applyFont="1"/>
    <xf numFmtId="170" fontId="7" fillId="0" borderId="0" xfId="0" applyNumberFormat="1" applyFont="1"/>
    <xf numFmtId="22" fontId="0" fillId="0" borderId="0" xfId="0" applyNumberFormat="1"/>
    <xf numFmtId="0" fontId="0" fillId="4" borderId="1" xfId="0" applyFill="1" applyBorder="1"/>
    <xf numFmtId="164" fontId="0" fillId="4" borderId="1" xfId="0" applyNumberFormat="1" applyFill="1" applyBorder="1"/>
    <xf numFmtId="14" fontId="0" fillId="4" borderId="0" xfId="0" applyNumberFormat="1" applyFill="1"/>
    <xf numFmtId="14" fontId="0" fillId="2" borderId="0" xfId="0" applyNumberFormat="1" applyFill="1"/>
    <xf numFmtId="166" fontId="0" fillId="4" borderId="0" xfId="0" applyNumberFormat="1" applyFill="1"/>
    <xf numFmtId="173" fontId="0" fillId="5" borderId="0" xfId="1" applyNumberFormat="1" applyFont="1" applyFill="1"/>
    <xf numFmtId="171" fontId="0" fillId="0" borderId="2" xfId="1" applyNumberFormat="1" applyFont="1" applyBorder="1"/>
    <xf numFmtId="0" fontId="0" fillId="0" borderId="3" xfId="0" applyBorder="1"/>
    <xf numFmtId="172" fontId="0" fillId="0" borderId="4" xfId="0" applyNumberFormat="1" applyBorder="1"/>
    <xf numFmtId="14" fontId="0" fillId="0" borderId="5" xfId="0" applyNumberFormat="1" applyBorder="1"/>
    <xf numFmtId="173" fontId="0" fillId="0" borderId="0" xfId="1" applyNumberFormat="1" applyFont="1"/>
    <xf numFmtId="43" fontId="0" fillId="2" borderId="0" xfId="1" applyFont="1" applyFill="1"/>
    <xf numFmtId="174" fontId="0" fillId="4" borderId="0" xfId="0" applyNumberFormat="1" applyFill="1"/>
    <xf numFmtId="175" fontId="0" fillId="0" borderId="0" xfId="1" applyNumberFormat="1" applyFont="1"/>
    <xf numFmtId="164" fontId="0" fillId="2" borderId="0" xfId="0" applyNumberFormat="1" applyFill="1"/>
    <xf numFmtId="176" fontId="0" fillId="0" borderId="0" xfId="45" applyNumberFormat="1" applyFont="1"/>
    <xf numFmtId="177" fontId="0" fillId="0" borderId="0" xfId="45" applyNumberFormat="1" applyFont="1"/>
  </cellXfs>
  <cellStyles count="46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blp_column_header" xfId="3" xr:uid="{7E45C141-DC45-44C9-A945-11B318FEE6FC}"/>
    <cellStyle name="blp_datetime" xfId="2" xr:uid="{FBF863B6-B38E-4A5A-9EB5-7FA9B4DF5CDF}"/>
    <cellStyle name="Calculation" xfId="14" builtinId="22" customBuiltin="1"/>
    <cellStyle name="Check Cell" xfId="16" builtinId="23" customBuiltin="1"/>
    <cellStyle name="Comma" xfId="1" builtinId="3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45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Data...4080574137</v>
        <stp/>
        <stp>BDP|13875284538879770162</stp>
        <tr r="V10" s="5"/>
      </tp>
      <tp t="s">
        <v>#N/A Requesting Data...4149311827</v>
        <stp/>
        <stp>BDP|16992731541288536763</stp>
        <tr r="C47" s="3"/>
      </tp>
      <tp t="s">
        <v>#N/A Requesting Data...4269022399</v>
        <stp/>
        <stp>BDP|12606006377218841743</stp>
        <tr r="W15" s="5"/>
      </tp>
      <tp t="s">
        <v>#N/A Requesting Data...4238160169</v>
        <stp/>
        <stp>BDP|17441981385548469415</stp>
        <tr r="C147" s="3"/>
      </tp>
      <tp t="s">
        <v>#N/A N/A</v>
        <stp/>
        <stp>BDP|16823300664420383917</stp>
        <tr r="AG15" s="1"/>
        <tr r="C85" s="3"/>
      </tp>
      <tp t="s">
        <v>#N/A Requesting Data...3855770716</v>
        <stp/>
        <stp>BDP|16104534607308324160</stp>
        <tr r="C94" s="3"/>
      </tp>
      <tp t="s">
        <v>#N/A Requesting Data...3975174961</v>
        <stp/>
        <stp>BDP|11135120175338466523</stp>
        <tr r="W11" s="5"/>
      </tp>
      <tp t="s">
        <v>#N/A Requesting Data...4276149776</v>
        <stp/>
        <stp>BDP|14000381530049220788</stp>
        <tr r="I25" s="3"/>
      </tp>
      <tp t="s">
        <v>#N/A Requesting Data...4003248008</v>
        <stp/>
        <stp>BDP|14820901098146301867</stp>
        <tr r="W8" s="5"/>
      </tp>
      <tp t="s">
        <v>#N/A Requesting Data...3858308997</v>
        <stp/>
        <stp>BDP|13935861832612900028</stp>
        <tr r="V11" s="5"/>
      </tp>
      <tp t="s">
        <v>#N/A Requesting Data...3852922636</v>
        <stp/>
        <stp>BDP|13618062996597023700</stp>
        <tr r="C133" s="3"/>
      </tp>
      <tp t="s">
        <v>#N/A N/A</v>
        <stp/>
        <stp>BDP|17796553259829473542</stp>
        <tr r="AG5" s="1"/>
        <tr r="C74" s="3"/>
      </tp>
      <tp t="s">
        <v>#N/A Requesting Data...4274321104</v>
        <stp/>
        <stp>BDP|13802540385535783000</stp>
        <tr r="AE14" s="5"/>
      </tp>
      <tp t="s">
        <v>#N/A Requesting Data...3954704576</v>
        <stp/>
        <stp>BDP|11686869327268789806</stp>
        <tr r="C93" s="3"/>
      </tp>
      <tp t="s">
        <v>#N/A Requesting Data...4163552961</v>
        <stp/>
        <stp>BDP|11254996630569760992</stp>
        <tr r="C125" s="3"/>
      </tp>
      <tp t="s">
        <v>#N/A N/A</v>
        <stp/>
        <stp>BDP|13612015264399033752</stp>
        <tr r="W9" s="1"/>
      </tp>
      <tp t="s">
        <v>#N/A Requesting Data...3924706624</v>
        <stp/>
        <stp>BDP|14079966014713726781</stp>
        <tr r="C127" s="3"/>
      </tp>
      <tp t="s">
        <v>#N/A Requesting Data...4257562639</v>
        <stp/>
        <stp>BDP|11610845028872276145</stp>
        <tr r="I29" s="3"/>
      </tp>
      <tp t="s">
        <v>#N/A Requesting Data...4135452486</v>
        <stp/>
        <stp>BDP|14672533486751855074</stp>
        <tr r="C124" s="3"/>
      </tp>
      <tp t="s">
        <v>#N/A Requesting Data...4209318473</v>
        <stp/>
        <stp>BDP|17211020683026650195</stp>
        <tr r="C138" s="3"/>
      </tp>
      <tp t="s">
        <v>#N/A Requesting Data...3909764718</v>
        <stp/>
        <stp>BDP|17146298083513155669</stp>
        <tr r="V8" s="5"/>
      </tp>
      <tp t="s">
        <v>#N/A Requesting Data...3940439021</v>
        <stp/>
        <stp>BDP|15922667237158126089</stp>
        <tr r="C39" s="3"/>
      </tp>
      <tp t="s">
        <v>#N/A Requesting Data...4015177387</v>
        <stp/>
        <stp>BDP|16094027085626196074</stp>
        <tr r="C11" s="3"/>
      </tp>
      <tp t="s">
        <v>#N/A Requesting Data...4048995535</v>
        <stp/>
        <stp>BDP|15407879862292613179</stp>
        <tr r="C137" s="3"/>
      </tp>
      <tp t="s">
        <v>#N/A N/A</v>
        <stp/>
        <stp>BDP|15985719489993665142</stp>
        <tr r="I6" s="3"/>
      </tp>
      <tp t="s">
        <v>#N/A Requesting Data...4126720557</v>
        <stp/>
        <stp>BDP|12763602035166936982</stp>
        <tr r="C148" s="3"/>
      </tp>
      <tp t="s">
        <v>#N/A Requesting Data...4258424705</v>
        <stp/>
        <stp>BDP|11802507194110897566</stp>
        <tr r="W10" s="5"/>
      </tp>
      <tp t="s">
        <v>1/1/2026</v>
        <stp/>
        <stp>BDP|18024206404748167547|22</stp>
        <stp>USSWIF10 Curncy</stp>
        <stp>SWAP_EFFECTIVE_DATE_RT</stp>
        <tr r="U6" s="1"/>
      </tp>
      <tp t="s">
        <v>#N/A Requesting Data...4085301913</v>
        <stp/>
        <stp>BDP|16166135517967557952</stp>
        <tr r="C132" s="3"/>
      </tp>
      <tp t="s">
        <v>#N/A Requesting Data...4177155375</v>
        <stp/>
        <stp>BDP|17940409158619316760</stp>
        <tr r="C142" s="3"/>
      </tp>
      <tp t="s">
        <v>#N/A Requesting Data...4293308554</v>
        <stp/>
        <stp>BDP|13014580240103657879</stp>
        <tr r="W6" s="5"/>
      </tp>
      <tp t="s">
        <v>#N/A Requesting Data...4068468274</v>
        <stp/>
        <stp>BDP|17216665397240952135</stp>
        <tr r="I17" s="3"/>
      </tp>
      <tp t="s">
        <v>#N/A Requesting Data...3937244855</v>
        <stp/>
        <stp>BDP|18019433634783990550</stp>
        <tr r="X11" s="1"/>
      </tp>
      <tp t="s">
        <v>#N/A Requesting Data...4267409940</v>
        <stp/>
        <stp>BDP|18103056307516801704</stp>
        <tr r="I26" s="3"/>
      </tp>
      <tp t="s">
        <v>#N/A Requesting Data...4073725249</v>
        <stp/>
        <stp>BDP|10391992824295341769</stp>
        <tr r="I39" s="3"/>
      </tp>
      <tp t="s">
        <v>#N/A Requesting Data...4249806750</v>
        <stp/>
        <stp>BDP|16844649074268040624</stp>
        <tr r="AF16" s="1"/>
      </tp>
      <tp t="s">
        <v>#N/A N/A</v>
        <stp/>
        <stp>BDP|10096235586877124490</stp>
        <tr r="I13" s="3"/>
      </tp>
      <tp t="s">
        <v>#N/A Requesting Data...4248734262</v>
        <stp/>
        <stp>BDP|10266403270799696389</stp>
        <tr r="C40" s="3"/>
      </tp>
      <tp t="s">
        <v>#N/A Requesting Data...3957733653</v>
        <stp/>
        <stp>BDP|11425990669214060384</stp>
        <tr r="I47" s="3"/>
      </tp>
      <tp t="s">
        <v>#N/A Requesting Data...3933828831</v>
        <stp/>
        <stp>BDP|10949768593410598761</stp>
        <tr r="I73" s="3"/>
      </tp>
      <tp t="s">
        <v>#N/A Requesting Data...4095244088</v>
        <stp/>
        <stp>BDP|10439160437642326946</stp>
        <tr r="AG16" s="1"/>
        <tr r="C86" s="3"/>
      </tp>
      <tp t="s">
        <v>#N/A Requesting Data...4139731910</v>
        <stp/>
        <stp>BDP|16882700591339832859</stp>
        <tr r="C111" s="3"/>
      </tp>
      <tp t="s">
        <v>#N/A Requesting Data...3932911683</v>
        <stp/>
        <stp>BDP|10479890314625477590</stp>
        <tr r="V15" s="5"/>
      </tp>
      <tp t="s">
        <v>#N/A N/A</v>
        <stp/>
        <stp>BDP|14170015680415757018</stp>
        <tr r="AF7" s="1"/>
      </tp>
      <tp t="s">
        <v>4/15/2026</v>
        <stp/>
        <stp>BDP|16372180985992327237|22</stp>
        <stp>BPSWIF2 Curncy</stp>
        <stp>SWAP_EFFECTIVE_DATE_RT</stp>
        <tr r="T11" s="5"/>
      </tp>
      <tp t="s">
        <v>#N/A Requesting Data...3971346762</v>
        <stp/>
        <stp>BDP|17611243686320531382</stp>
        <tr r="I59" s="3"/>
      </tp>
      <tp t="s">
        <v>#N/A Requesting Data...4160961874</v>
        <stp/>
        <stp>BDP|11918829406737250071</stp>
        <tr r="I14" s="3"/>
      </tp>
      <tp t="s">
        <v>#N/A Requesting Data...3969544907</v>
        <stp/>
        <stp>BDP|16854832033436138544</stp>
        <tr r="C155" s="3"/>
      </tp>
      <tp t="s">
        <v>#N/A Requesting Data...3966839067</v>
        <stp/>
        <stp>BDP|17825438187797607240</stp>
        <tr r="V5" s="5"/>
      </tp>
      <tp t="s">
        <v>#N/A Requesting Data...4181483452</v>
        <stp/>
        <stp>BDP|17277042607970816970</stp>
        <tr r="C107" s="3"/>
      </tp>
      <tp t="s">
        <v>#N/A Requesting Data...4006345797</v>
        <stp/>
        <stp>BDP|17998578082714402060</stp>
        <tr r="C6" s="3"/>
      </tp>
      <tp t="s">
        <v>#N/A Requesting Data...4129130795</v>
        <stp/>
        <stp>BDP|10193350955170613871</stp>
        <tr r="C88" s="3"/>
      </tp>
      <tp t="s">
        <v>#N/A Requesting Data...3982078032</v>
        <stp/>
        <stp>BDP|18190172375590154027</stp>
        <tr r="X8" s="1"/>
      </tp>
      <tp t="s">
        <v>#N/A Requesting Data...4108491561</v>
        <stp/>
        <stp>BDP|15409909570243670676</stp>
        <tr r="C7" s="3"/>
      </tp>
      <tp t="s">
        <v>6/15/2026</v>
        <stp/>
        <stp>BDP|10126711531606867602|22</stp>
        <stp>BPSWIF4 Curncy</stp>
        <stp>SWAP_EFFECTIVE_DATE_RT</stp>
        <tr r="T13" s="5"/>
      </tp>
      <tp t="s">
        <v>#N/A Requesting Data...3989848084</v>
        <stp/>
        <stp>BDP|16936231982807383423</stp>
        <tr r="V9" s="5"/>
      </tp>
      <tp t="s">
        <v>#N/A Requesting Data...3982182142</v>
        <stp/>
        <stp>BDP|15569719439659786703</stp>
        <tr r="C31" s="3"/>
      </tp>
      <tp t="s">
        <v>#N/A Requesting Data...4060434695</v>
        <stp/>
        <stp>BDP|13008418403139983145</stp>
        <tr r="I46" s="3"/>
      </tp>
      <tp t="s">
        <v>#N/A N/A</v>
        <stp/>
        <stp>BDP|15405122576505065908</stp>
        <tr r="W4" s="1"/>
      </tp>
      <tp t="s">
        <v>#N/A N/A</v>
        <stp/>
        <stp>BDP|17170955494088651062</stp>
        <tr r="AF15" s="1"/>
      </tp>
      <tp t="s">
        <v>#N/A N/A</v>
        <stp/>
        <stp>BDP|13376976025412533562</stp>
        <tr r="W12" s="1"/>
      </tp>
      <tp t="e">
        <v>#N/A</v>
        <stp/>
        <stp>BDH|18261406550205303324</stp>
        <tr r="K3" s="5"/>
      </tp>
      <tp t="s">
        <v>#N/A Requesting Data...4194762614</v>
        <stp/>
        <stp>BDP|10161399052818535276</stp>
        <tr r="C51" s="3"/>
      </tp>
      <tp t="s">
        <v>#N/A Requesting Data...4037099272</v>
        <stp/>
        <stp>BDP|18169528328365199626</stp>
        <tr r="X12" s="1"/>
      </tp>
      <tp t="s">
        <v>#N/A N/A</v>
        <stp/>
        <stp>BDP|10201197039248094690</stp>
        <tr r="I9" s="3"/>
      </tp>
      <tp t="s">
        <v>#N/A Requesting Data...4269357465</v>
        <stp/>
        <stp>BDP|11001100885122995664</stp>
        <tr r="V7" s="5"/>
      </tp>
      <tp t="s">
        <v>#N/A Requesting Data...4246823891</v>
        <stp/>
        <stp>BDP|10089418345044912817</stp>
        <tr r="C154" s="3"/>
      </tp>
      <tp t="s">
        <v>#N/A Requesting Data...4147482033</v>
        <stp/>
        <stp>BDP|14277400349200350878</stp>
        <tr r="X9" s="1"/>
      </tp>
      <tp t="s">
        <v>#N/A Requesting Data...4089364069</v>
        <stp/>
        <stp>BDP|17860502365648676055</stp>
        <tr r="AE7" s="5"/>
      </tp>
      <tp t="s">
        <v>#N/A N/A</v>
        <stp/>
        <stp>BDP|17122786846908926017</stp>
        <tr r="W8" s="1"/>
      </tp>
      <tp t="s">
        <v>#N/A Requesting Data...4217300270</v>
        <stp/>
        <stp>BDP|11642867411470738417</stp>
        <tr r="V4" s="5"/>
      </tp>
      <tp t="s">
        <v>#N/A Requesting Data...4270408467</v>
        <stp/>
        <stp>BDP|16368593729568206565</stp>
        <tr r="I27" s="3"/>
      </tp>
      <tp t="s">
        <v>8/15/2026</v>
        <stp/>
        <stp>BDP|18086026639400565770|22</stp>
        <stp>BPSWIF6 Curncy</stp>
        <stp>SWAP_EFFECTIVE_DATE_RT</stp>
        <tr r="T15" s="5"/>
      </tp>
      <tp t="s">
        <v>#N/A Requesting Data...4276711973</v>
        <stp/>
        <stp>BDP|10032345779771028858</stp>
        <tr r="AF17" s="5"/>
      </tp>
      <tp t="s">
        <v>#N/A Requesting Data...4158411091</v>
        <stp/>
        <stp>BDP|12771767702650217891</stp>
        <tr r="C122" s="3"/>
      </tp>
      <tp t="s">
        <v>#N/A N/A</v>
        <stp/>
        <stp>BDP|15688574989692869788</stp>
        <tr r="AF4" s="1"/>
      </tp>
      <tp t="s">
        <v>#N/A Requesting Data...4245851822</v>
        <stp/>
        <stp>BDP|10069874117551329525</stp>
        <tr r="AM10" s="1"/>
        <tr r="AK10" s="5"/>
      </tp>
      <tp t="s">
        <v>#N/A Requesting Data...4069176731</v>
        <stp/>
        <stp>BDP|13723237952388691137</stp>
        <tr r="I60" s="3"/>
      </tp>
      <tp t="s">
        <v>#N/A Requesting Data...4127403898</v>
        <stp/>
        <stp>BDP|15792251865835196930</stp>
        <tr r="C61" s="3"/>
      </tp>
      <tp t="s">
        <v>#N/A N/A</v>
        <stp/>
        <stp>BDP|17348010560575754900</stp>
        <tr r="AG9" s="1"/>
        <tr r="C78" s="3"/>
      </tp>
      <tp t="s">
        <v>#N/A Requesting Data...4216537374</v>
        <stp/>
        <stp>BDP|16464626762409494242</stp>
        <tr r="V14" s="5"/>
      </tp>
      <tp t="s">
        <v>#N/A Requesting Data...4179349623</v>
        <stp/>
        <stp>BDP|13850828028222234643</stp>
        <tr r="AM12" s="1"/>
        <tr r="AK12" s="5"/>
      </tp>
      <tp t="s">
        <v>10/15/2025</v>
        <stp/>
        <stp>BDP|15243785691453614551|22</stp>
        <stp>BPSWIF8 Curncy</stp>
        <stp>SWAP_EFFECTIVE_DATE_RT</stp>
        <tr r="T5" s="5"/>
      </tp>
      <tp t="s">
        <v>#N/A Requesting Data...4255625562</v>
        <stp/>
        <stp>BDP|11843315733840319306</stp>
        <tr r="C30" s="3"/>
      </tp>
      <tp t="s">
        <v>#N/A N/A</v>
        <stp/>
        <stp>BDP|12539778833923851723</stp>
        <tr r="I4" s="3"/>
      </tp>
      <tp t="s">
        <v>#N/A Requesting Data...4207063648</v>
        <stp/>
        <stp>BDP|13294504960777093583</stp>
        <tr r="AE11" s="5"/>
      </tp>
      <tp t="s">
        <v>#N/A Requesting Data...4135206789</v>
        <stp/>
        <stp>BDP|15948974743108575243</stp>
        <tr r="C139" s="3"/>
      </tp>
      <tp t="s">
        <v>#N/A Requesting Data...4223595407</v>
        <stp/>
        <stp>BDP|14510679863436763091</stp>
        <tr r="C120" s="3"/>
      </tp>
      <tp t="s">
        <v>#N/A Requesting Data...4208372398</v>
        <stp/>
        <stp>BDP|15423337468220010200</stp>
        <tr r="C48" s="3"/>
      </tp>
      <tp t="s">
        <v>#N/A Requesting Data...4177542649</v>
        <stp/>
        <stp>BDP|16554250964053323391</stp>
        <tr r="C140" s="3"/>
      </tp>
      <tp t="s">
        <v>#N/A N/A</v>
        <stp/>
        <stp>BDP|16592160652608667810</stp>
        <tr r="AG8" s="1"/>
        <tr r="C77" s="3"/>
      </tp>
      <tp t="s">
        <v>#N/A Requesting Data...4208435829</v>
        <stp/>
        <stp>BDP|17581209526214633130</stp>
        <tr r="I22" s="3"/>
      </tp>
      <tp t="s">
        <v>#N/A Requesting Data...4196648720</v>
        <stp/>
        <stp>BDP|14757784000595174540</stp>
        <tr r="W9" s="5"/>
      </tp>
      <tp t="s">
        <v>#N/A Requesting Data...4151315476</v>
        <stp/>
        <stp>BDP|15915696213866875764</stp>
        <tr r="AF13" s="5"/>
      </tp>
      <tp t="s">
        <v>#N/A Requesting Data...4126413711</v>
        <stp/>
        <stp>BDP|17790067849286391665</stp>
        <tr r="C153" s="3"/>
      </tp>
      <tp t="s">
        <v>#N/A Requesting Data...4294447074</v>
        <stp/>
        <stp>BDP|13848414330300524717</stp>
        <tr r="C25" s="3"/>
      </tp>
      <tp t="s">
        <v>#N/A Requesting Data...4251932096</v>
        <stp/>
        <stp>BDP|14414742449277677333</stp>
        <tr r="I48" s="3"/>
      </tp>
      <tp t="s">
        <v>#N/A N/A</v>
        <stp/>
        <stp>BDP|10431525984949135731</stp>
        <tr r="AF6" s="1"/>
      </tp>
      <tp t="s">
        <v>#N/A Requesting Data...4240657929</v>
        <stp/>
        <stp>BDP|15245373431663059562</stp>
        <tr r="C45" s="3"/>
      </tp>
      <tp t="s">
        <v>#N/A Requesting Data...4175003649</v>
        <stp/>
        <stp>BDP|16400223992249703771</stp>
        <tr r="C36" s="3"/>
      </tp>
      <tp t="s">
        <v>#N/A Requesting Data...4168715280</v>
        <stp/>
        <stp>BDP|14794445259886846066</stp>
        <tr r="AE15" s="5"/>
      </tp>
      <tp t="s">
        <v>#N/A Requesting Data...4142664653</v>
        <stp/>
        <stp>BDP|13306033102620776023</stp>
        <tr r="I56" s="3"/>
      </tp>
      <tp t="s">
        <v>#N/A Requesting Data...4289343766</v>
        <stp/>
        <stp>BDP|14212899810107505982</stp>
        <tr r="I35" s="3"/>
      </tp>
      <tp t="s">
        <v>#N/A N/A</v>
        <stp/>
        <stp>BDP|15868782608511683085</stp>
        <tr r="I11" s="3"/>
      </tp>
      <tp t="s">
        <v>#N/A Requesting Data...4265880311</v>
        <stp/>
        <stp>BDP|17979515276474716106</stp>
        <tr r="I71" s="3"/>
      </tp>
      <tp t="s">
        <v>#N/A Requesting Data...4165125889</v>
        <stp/>
        <stp>BDP|15025963567552334891</stp>
        <tr r="AF15" s="5"/>
      </tp>
      <tp t="s">
        <v>#N/A Requesting Data...4250667739</v>
        <stp/>
        <stp>BDP|10778957143819306480</stp>
        <tr r="C71" s="3"/>
      </tp>
      <tp t="s">
        <v>#N/A Requesting Data...4217798440</v>
        <stp/>
        <stp>BDP|10757056029420508237</stp>
        <tr r="AE17" s="5"/>
      </tp>
      <tp t="s">
        <v>#N/A Requesting Data...4162153463</v>
        <stp/>
        <stp>BDP|12688448013157483092</stp>
        <tr r="C63" s="3"/>
      </tp>
      <tp t="s">
        <v>#N/A Requesting Data...4279936242</v>
        <stp/>
        <stp>BDP|15253478243057113298</stp>
        <tr r="W4" s="5"/>
      </tp>
      <tp t="s">
        <v>#N/A N/A</v>
        <stp/>
        <stp>BDP|12731169093339220353</stp>
        <tr r="AG17" s="1"/>
        <tr r="C87" s="3"/>
      </tp>
      <tp t="s">
        <v>#N/A Requesting Data...4240091458</v>
        <stp/>
        <stp>BDP|12647196816636675482</stp>
        <tr r="C13" s="3"/>
      </tp>
      <tp t="s">
        <v>#N/A N/A</v>
        <stp/>
        <stp>BDP|11165722673805264442</stp>
        <tr r="W13" s="1"/>
      </tp>
      <tp t="s">
        <v>#N/A Requesting Data...4173349273</v>
        <stp/>
        <stp>BDP|15304390986719897723</stp>
        <tr r="I76" s="3"/>
      </tp>
      <tp t="s">
        <v>#N/A Requesting Data...4276574604</v>
        <stp/>
        <stp>BDP|18413130184763009257</stp>
        <tr r="W12" s="5"/>
      </tp>
      <tp t="s">
        <v>9/1/2026</v>
        <stp/>
        <stp>BDP|11495316686715134876|22</stp>
        <stp>USSWIF6 Curncy</stp>
        <stp>SWAP_EFFECTIVE_DATE_RT</stp>
        <tr r="U14" s="1"/>
      </tp>
      <tp t="s">
        <v>#N/A Requesting Data...4286324846</v>
        <stp/>
        <stp>BDP|17056094946115101730</stp>
        <tr r="C50" s="3"/>
      </tp>
      <tp t="s">
        <v>#N/A Requesting Data...4270927964</v>
        <stp/>
        <stp>BDP|12482341349384741022</stp>
        <tr r="C92" s="3"/>
      </tp>
      <tp t="s">
        <v>#N/A Requesting Data...4274695793</v>
        <stp/>
        <stp>BDP|10035372776576778398</stp>
        <tr r="C151" s="3"/>
      </tp>
      <tp t="s">
        <v>#N/A Requesting Data...4283983276</v>
        <stp/>
        <stp>BDP|10572518377996429593</stp>
        <tr r="C134" s="3"/>
      </tp>
      <tp t="s">
        <v>2/1/2026</v>
        <stp/>
        <stp>BDP|15053128436861195786|22</stp>
        <stp>USSWIF11 Curncy</stp>
        <stp>SWAP_EFFECTIVE_DATE_RT</stp>
        <tr r="U7" s="1"/>
      </tp>
      <tp t="s">
        <v>#N/A Requesting Data...4290386204</v>
        <stp/>
        <stp>BDP|14768933006195229921</stp>
        <tr r="W5" s="5"/>
      </tp>
      <tp t="s">
        <v>#N/A Requesting Data...4294130361</v>
        <stp/>
        <stp>BDP|14164033904596541345</stp>
        <tr r="C150" s="3"/>
      </tp>
      <tp t="s">
        <v>#N/A Requesting Data...4289239819</v>
        <stp/>
        <stp>BDP|10277563748234944425</stp>
        <tr r="C70" s="3"/>
      </tp>
      <tp t="s">
        <v>1/15/2026</v>
        <stp/>
        <stp>BDP|15465190706822623026|22</stp>
        <stp>BPSWIF11 Curncy</stp>
        <stp>SWAP_EFFECTIVE_DATE_RT</stp>
        <tr r="T8" s="5"/>
      </tp>
      <tp t="s">
        <v>9/15/2026</v>
        <stp/>
        <stp>BDP|14356108765007176943|22</stp>
        <stp>BPSWIF7 Curncy</stp>
        <stp>SWAP_EFFECTIVE_DATE_RT</stp>
        <tr r="T4" s="5"/>
      </tp>
      <tp t="s">
        <v>#N/A Requesting Data...4290955369</v>
        <stp/>
        <stp>BDP|15558992728378959052</stp>
        <tr r="C157" s="3"/>
      </tp>
      <tp t="s">
        <v>#N/A N/A</v>
        <stp/>
        <stp>BDP|16966155604549938892</stp>
        <tr r="W14" s="1"/>
      </tp>
      <tp t="s">
        <v>#N/A Requesting Data...4292128059</v>
        <stp/>
        <stp>BDP|16630171868172310578</stp>
        <tr r="C116" s="3"/>
      </tp>
      <tp t="s">
        <v>#N/A N/A</v>
        <stp/>
        <stp>BDP|14911167774876199256</stp>
        <tr r="AF11" s="1"/>
      </tp>
      <tp t="s">
        <v>#N/A Requesting Data...4294907263</v>
        <stp/>
        <stp>BDP|18140782390732147273</stp>
        <tr r="X5" s="1"/>
      </tp>
      <tp t="s">
        <v>#N/A Requesting Data...2300082883</v>
        <stp/>
        <stp>BDP|12873367947594410739</stp>
        <tr r="AE4" s="5"/>
      </tp>
      <tp t="s">
        <v>#N/A Requesting Data...286281464</v>
        <stp/>
        <stp>BDP|14358713536591913732</stp>
        <tr r="C156" s="3"/>
      </tp>
      <tp t="s">
        <v>#N/A Requesting Data...2525428554</v>
        <stp/>
        <stp>BDP|16141034773411586653</stp>
        <tr r="C33" s="3"/>
      </tp>
      <tp t="s">
        <v>#N/A N/A</v>
        <stp/>
        <stp>BDP|10200710664763406425</stp>
        <tr r="AF14" s="1"/>
      </tp>
      <tp t="s">
        <v>#N/A Requesting Data...1084171585</v>
        <stp/>
        <stp>BDP|12094558219224430496</stp>
        <tr r="I49" s="3"/>
      </tp>
      <tp t="s">
        <v>#N/A Requesting Data...4195186632</v>
        <stp/>
        <stp>BDP|16156359880729322243</stp>
        <tr r="C32" s="3"/>
      </tp>
      <tp t="s">
        <v>#N/A N/A</v>
        <stp/>
        <stp>BDP|15948321080311984908</stp>
        <tr r="I5" s="3"/>
      </tp>
      <tp t="s">
        <v>#N/A Requesting Data...1235906703</v>
        <stp/>
        <stp>BDP|17218052059356947231</stp>
        <tr r="I53" s="3"/>
      </tp>
      <tp t="s">
        <v>#N/A Requesting Data...1276120290</v>
        <stp/>
        <stp>BDP|16811994797920872091</stp>
        <tr r="I30" s="3"/>
      </tp>
      <tp t="e">
        <v>#N/A</v>
        <stp/>
        <stp>BDH|16315797622055334032</stp>
        <tr r="L3" s="1"/>
      </tp>
      <tp t="s">
        <v>#N/A Requesting Data...3207634592</v>
        <stp/>
        <stp>BDP|14453384572801610619</stp>
        <tr r="I23" s="3"/>
      </tp>
      <tp t="s">
        <v>#N/A N/A</v>
        <stp/>
        <stp>BDP|14133672355676181691</stp>
        <tr r="AG11" s="1"/>
        <tr r="C80" s="3"/>
      </tp>
      <tp t="s">
        <v>#N/A Requesting Data...71631688</v>
        <stp/>
        <stp>BDP|14384754075557672487</stp>
        <tr r="V12" s="5"/>
      </tp>
      <tp t="s">
        <v>#N/A Requesting Data...4181383668</v>
        <stp/>
        <stp>BDP|14412490661036598757</stp>
        <tr r="X13" s="1"/>
      </tp>
      <tp t="s">
        <v>#N/A Requesting Data...1271736583</v>
        <stp/>
        <stp>BDP|15170971991113066182</stp>
        <tr r="C52" s="3"/>
      </tp>
      <tp t="s">
        <v>#N/A Requesting Data...3074450011</v>
        <stp/>
        <stp>BDP|13094539436803451123</stp>
        <tr r="AF4" s="5"/>
      </tp>
      <tp t="s">
        <v>#N/A Requesting Data...640126039</v>
        <stp/>
        <stp>BDP|13697562200646106730</stp>
        <tr r="C95" s="3"/>
      </tp>
      <tp t="s">
        <v>#N/A Requesting Data...3466918784</v>
        <stp/>
        <stp>BDP|15636417672138478943</stp>
        <tr r="C10" s="3"/>
      </tp>
      <tp t="s">
        <v>#N/A N/A</v>
        <stp/>
        <stp>BDP|16484417675794106582</stp>
        <tr r="I3" s="3"/>
      </tp>
      <tp t="s">
        <v>#N/A Requesting Data...4193450241</v>
        <stp/>
        <stp>BDP|12975895672638204195</stp>
        <tr r="C114" s="3"/>
      </tp>
      <tp t="s">
        <v>#N/A Requesting Data...400222406</v>
        <stp/>
        <stp>BDP|11600197301772388656</stp>
        <tr r="C118" s="3"/>
      </tp>
      <tp t="s">
        <v>#N/A Requesting Data...1727778417</v>
        <stp/>
        <stp>BDP|13197414718614244628</stp>
        <tr r="I52" s="3"/>
      </tp>
      <tp t="s">
        <v>#N/A Requesting Data...3118694631</v>
        <stp/>
        <stp>BDP|16134319015750831018</stp>
        <tr r="C12" s="3"/>
      </tp>
      <tp t="s">
        <v>#N/A Requesting Data...3038170216</v>
        <stp/>
        <stp>BDP|13916844794424712219</stp>
        <tr r="I70" s="3"/>
      </tp>
      <tp t="s">
        <v>#N/A Requesting Data...493127007</v>
        <stp/>
        <stp>BDP|13001255852371146195</stp>
        <tr r="C18" s="3"/>
      </tp>
      <tp t="s">
        <v>#N/A Requesting Data...1345811119</v>
        <stp/>
        <stp>BDP|10472707553534432264</stp>
        <tr r="C46" s="3"/>
      </tp>
      <tp t="s">
        <v>#N/A Requesting Data...4212561558</v>
        <stp/>
        <stp>BDP|13672224711066528251</stp>
        <tr r="C131" s="3"/>
      </tp>
      <tp t="s">
        <v>#N/A Requesting Data...1012071579</v>
        <stp/>
        <stp>BDP|12536746671673215567</stp>
        <tr r="AM4" s="1"/>
        <tr r="AK4" s="5"/>
      </tp>
      <tp t="s">
        <v>4/1/2026</v>
        <stp/>
        <stp>BDP|12877192853191719630|22</stp>
        <stp>USSWIF1 Curncy</stp>
        <stp>SWAP_EFFECTIVE_DATE_RT</stp>
        <tr r="U9" s="1"/>
      </tp>
      <tp t="s">
        <v>#N/A N/A</v>
        <stp/>
        <stp>BDP|15629013929185250743</stp>
        <tr r="AG13" s="1"/>
        <tr r="C82" s="3"/>
      </tp>
      <tp t="s">
        <v>#N/A Requesting Data...2510937377</v>
        <stp/>
        <stp>BDP|15561826719479490000</stp>
        <tr r="I32" s="3"/>
      </tp>
      <tp t="s">
        <v>#N/A Requesting Data...3256766887</v>
        <stp/>
        <stp>BDP|11603244106841953730</stp>
        <tr r="C113" s="3"/>
      </tp>
      <tp t="s">
        <v>#N/A Requesting Data...848391095</v>
        <stp/>
        <stp>BDP|10982893394443299785</stp>
        <tr r="X6" s="1"/>
      </tp>
      <tp t="s">
        <v>#N/A Requesting Data...3580994217</v>
        <stp/>
        <stp>BDP|16143099209500009324</stp>
        <tr r="AF14" s="5"/>
      </tp>
      <tp t="s">
        <v>#N/A Requesting Data...3679493345</v>
        <stp/>
        <stp>BDP|16846227505238851942</stp>
        <tr r="I66" s="3"/>
      </tp>
      <tp t="s">
        <v>#N/A N/A</v>
        <stp/>
        <stp>BDP|12955848023335935850</stp>
        <tr r="W10" s="1"/>
      </tp>
      <tp t="s">
        <v>#N/A Requesting Data...746095123</v>
        <stp/>
        <stp>BDP|15789438722520061638</stp>
        <tr r="C56" s="3"/>
      </tp>
      <tp t="s">
        <v>#N/A Requesting Data...1303605349</v>
        <stp/>
        <stp>BDP|16132012335723119300</stp>
        <tr r="I51" s="3"/>
      </tp>
      <tp t="s">
        <v>#N/A Requesting Data...1029256522</v>
        <stp/>
        <stp>BDP|13223727566213658474</stp>
        <tr r="C4" s="3"/>
      </tp>
      <tp t="s">
        <v>12/15/2025</v>
        <stp/>
        <stp>BDP|13059646811921020587|22</stp>
        <stp>BPSWIF10 Curncy</stp>
        <stp>SWAP_EFFECTIVE_DATE_RT</stp>
        <tr r="T7" s="5"/>
      </tp>
    </main>
    <main first="bofaddin.rtdserver">
      <tp t="s">
        <v>2/15/2026</v>
        <stp/>
        <stp>BDP|2969985835173327245|22</stp>
        <stp>BPSWIF12 Curncy</stp>
        <stp>SWAP_EFFECTIVE_DATE_RT</stp>
        <tr r="T9" s="5"/>
      </tp>
      <tp t="s">
        <v>3/1/2026</v>
        <stp/>
        <stp>BDP|9129543431975639621|22</stp>
        <stp>USSWIF12 Curncy</stp>
        <stp>SWAP_EFFECTIVE_DATE_RT</stp>
        <tr r="U8" s="1"/>
      </tp>
      <tp t="s">
        <v>5/1/2026</v>
        <stp/>
        <stp>BDP|903597428535209691|22</stp>
        <stp>USSWIF2 Curncy</stp>
        <stp>SWAP_EFFECTIVE_DATE_RT</stp>
        <tr r="U10" s="1"/>
      </tp>
      <tp t="s">
        <v>#N/A Requesting Data...1985120408</v>
        <stp/>
        <stp>BDP|6754322867846951927</stp>
        <tr r="W7" s="5"/>
      </tp>
      <tp t="s">
        <v>#N/A Requesting Data...263624753</v>
        <stp/>
        <stp>BDP|8883858632779658642</stp>
        <tr r="C35" s="3"/>
      </tp>
      <tp t="s">
        <v>#N/A Requesting Data...3633389638</v>
        <stp/>
        <stp>BDP|6886925328183712269</stp>
        <tr r="AF5" s="5"/>
      </tp>
      <tp t="s">
        <v>#N/A Requesting Data...1523773546</v>
        <stp/>
        <stp>BDP|3086350895877252240</stp>
        <tr r="C16" s="3"/>
      </tp>
      <tp t="s">
        <v>#N/A Requesting Data...2277178590</v>
        <stp/>
        <stp>BDP|8438578538283438076</stp>
        <tr r="C141" s="3"/>
      </tp>
      <tp t="s">
        <v>#N/A Requesting Data...3497683697</v>
        <stp/>
        <stp>BDP|6588650681734761183</stp>
        <tr r="C27" s="3"/>
      </tp>
      <tp t="s">
        <v>#N/A Requesting Data...710853447</v>
        <stp/>
        <stp>BDP|3444084880003121533</stp>
        <tr r="C60" s="3"/>
      </tp>
      <tp t="s">
        <v>#N/A Requesting Data...1271457657</v>
        <stp/>
        <stp>BDP|6909868581922049918</stp>
        <tr r="C110" s="3"/>
      </tp>
      <tp t="s">
        <v>#N/A Requesting Data...2520462425</v>
        <stp/>
        <stp>BDP|1445557879826346863</stp>
        <tr r="I40" s="3"/>
      </tp>
      <tp t="s">
        <v>#N/A Requesting Data...3716026436</v>
        <stp/>
        <stp>BDP|9950524043497247294</stp>
        <tr r="C136" s="3"/>
      </tp>
      <tp t="s">
        <v>#N/A Requesting Data...1283089226</v>
        <stp/>
        <stp>BDP|9710156432571566758</stp>
        <tr r="I37" s="3"/>
      </tp>
      <tp t="s">
        <v>#N/A Requesting Data...1871053065</v>
        <stp/>
        <stp>BDP|5663303020590277926</stp>
        <tr r="C98" s="3"/>
      </tp>
      <tp t="s">
        <v>#N/A Requesting Data...804538779</v>
        <stp/>
        <stp>BDP|2199406980220213375</stp>
        <tr r="C5" s="3"/>
      </tp>
      <tp t="s">
        <v>#N/A Requesting Data...521290589</v>
        <stp/>
        <stp>BDP|4217561534179612625</stp>
        <tr r="C58" s="3"/>
      </tp>
      <tp t="s">
        <v>#N/A Requesting Data...2457290346</v>
        <stp/>
        <stp>BDP|2180948075766112744</stp>
        <tr r="C130" s="3"/>
      </tp>
      <tp t="s">
        <v>#N/A Requesting Data...532449018</v>
        <stp/>
        <stp>BDP|7901956006278721869</stp>
        <tr r="C104" s="3"/>
      </tp>
      <tp t="s">
        <v>#N/A Requesting Data...2436925201</v>
        <stp/>
        <stp>BDP|7411893423245165667</stp>
        <tr r="C2" s="3"/>
      </tp>
      <tp t="s">
        <v>#N/A Requesting Data...2183133537</v>
        <stp/>
        <stp>BDP|5391621699753663705</stp>
        <tr r="C100" s="3"/>
      </tp>
      <tp t="s">
        <v>#N/A N/A</v>
        <stp/>
        <stp>BDP|1569781952234888993</stp>
        <tr r="W7" s="1"/>
      </tp>
      <tp t="s">
        <v>#N/A Requesting Data...1720408055</v>
        <stp/>
        <stp>BDP|4672226517939820059</stp>
        <tr r="C117" s="3"/>
      </tp>
      <tp t="s">
        <v>#N/A Requesting Data...865494766</v>
        <stp/>
        <stp>BDP|3800842490174647867</stp>
        <tr r="C109" s="3"/>
      </tp>
      <tp t="s">
        <v>#N/A Requesting Data...2702863003</v>
        <stp/>
        <stp>BDP|5709225380357404601</stp>
        <tr r="C149" s="3"/>
      </tp>
      <tp t="s">
        <v>#N/A Requesting Data...837534543</v>
        <stp/>
        <stp>BDP|5085189328000745819</stp>
        <tr r="C112" s="3"/>
      </tp>
      <tp t="s">
        <v>#N/A Requesting Data...2618587022</v>
        <stp/>
        <stp>BDP|3368900554792380338</stp>
        <tr r="AF9" s="5"/>
      </tp>
      <tp t="s">
        <v>#N/A N/A</v>
        <stp/>
        <stp>BDP|9382709674166745175</stp>
        <tr r="AF5" s="1"/>
      </tp>
      <tp t="s">
        <v>#N/A Requesting Data...3551461877</v>
        <stp/>
        <stp>BDP|2340626784505790767</stp>
        <tr r="I64" s="3"/>
      </tp>
      <tp t="s">
        <v>#N/A Requesting Data...922273405</v>
        <stp/>
        <stp>BDP|8152802095095796271</stp>
        <tr r="C146" s="3"/>
      </tp>
      <tp t="s">
        <v>#N/A Requesting Data...1050220905</v>
        <stp/>
        <stp>BDP|9651250663630176343</stp>
        <tr r="X7" s="1"/>
      </tp>
      <tp t="s">
        <v>#N/A N/A</v>
        <stp/>
        <stp>BDP|5586141029318235107</stp>
        <tr r="I8" s="3"/>
      </tp>
      <tp t="s">
        <v>#N/A Requesting Data...3877796421</v>
        <stp/>
        <stp>BDP|5844444686314981282</stp>
        <tr r="AE9" s="5"/>
      </tp>
      <tp t="s">
        <v>#N/A Requesting Data...3038825165</v>
        <stp/>
        <stp>BDP|3942884404210820458</stp>
        <tr r="I67" s="3"/>
      </tp>
      <tp t="s">
        <v>#N/A Requesting Data...3562492535</v>
        <stp/>
        <stp>BDP|3410021422558947640</stp>
        <tr r="I41" s="3"/>
      </tp>
      <tp t="s">
        <v>#N/A N/A</v>
        <stp/>
        <stp>BDP|7821635165939358110</stp>
        <tr r="AG6" s="1"/>
        <tr r="C75" s="3"/>
      </tp>
      <tp t="s">
        <v>#N/A Requesting Data...2237237668</v>
        <stp/>
        <stp>BDP|8099192118667719026</stp>
        <tr r="C42" s="3"/>
      </tp>
      <tp t="s">
        <v>#N/A Requesting Data...420104154</v>
        <stp/>
        <stp>BDP|7564342032061205950</stp>
        <tr r="C145" s="3"/>
      </tp>
      <tp t="s">
        <v>#N/A Requesting Data...820622344</v>
        <stp/>
        <stp>BDP|9310797969617293047</stp>
        <tr r="AF6" s="5"/>
      </tp>
      <tp t="s">
        <v>#N/A Requesting Data...4201753262</v>
        <stp/>
        <stp>BDP|6558427909622035868</stp>
        <tr r="C15" s="3"/>
      </tp>
      <tp t="s">
        <v>#N/A N/A</v>
        <stp/>
        <stp>BDP|9888060838461771394</stp>
        <tr r="W15" s="1"/>
      </tp>
      <tp t="s">
        <v>#N/A Requesting Data...4076866157</v>
        <stp/>
        <stp>BDP|2941820153800894785</stp>
        <tr r="AF8" s="5"/>
      </tp>
      <tp t="s">
        <v>#N/A Requesting Data...925460989</v>
        <stp/>
        <stp>BDP|8314771832905317181</stp>
        <tr r="C128" s="3"/>
      </tp>
      <tp t="s">
        <v>#N/A Requesting Data...4225763330</v>
        <stp/>
        <stp>BDP|1153972519841731087</stp>
        <tr r="AE10" s="5"/>
      </tp>
      <tp t="s">
        <v>#N/A Requesting Data...2194808894</v>
        <stp/>
        <stp>BDP|1996573356248002191</stp>
        <tr r="AM5" s="1"/>
        <tr r="AK5" s="5"/>
      </tp>
      <tp t="s">
        <v>#N/A Requesting Data...1222912951</v>
        <stp/>
        <stp>BDP|4081049616208229565</stp>
        <tr r="C20" s="3"/>
      </tp>
      <tp t="s">
        <v>#N/A Requesting Data...3813661531</v>
        <stp/>
        <stp>BDP|1377186698529462809</stp>
        <tr r="I75" s="3"/>
      </tp>
      <tp t="s">
        <v>#N/A Requesting Data...3283410239</v>
        <stp/>
        <stp>BDP|5083165645249889039</stp>
        <tr r="C91" s="3"/>
      </tp>
      <tp t="s">
        <v>#N/A Requesting Data...3713276582</v>
        <stp/>
        <stp>BDP|4536059193783666790</stp>
        <tr r="C135" s="3"/>
      </tp>
      <tp t="s">
        <v>#N/A Requesting Data...2290385435</v>
        <stp/>
        <stp>BDP|1058017446765192947</stp>
        <tr r="X14" s="1"/>
      </tp>
      <tp t="s">
        <v>#N/A Requesting Data...733944980</v>
        <stp/>
        <stp>BDP|4749656183205678650</stp>
        <tr r="C38" s="3"/>
      </tp>
      <tp t="s">
        <v>#N/A Requesting Data...438755398</v>
        <stp/>
        <stp>BDP|8594765946847731528</stp>
        <tr r="I16" s="3"/>
      </tp>
      <tp t="s">
        <v>#N/A Requesting Data...2484121143</v>
        <stp/>
        <stp>BDP|9272224747107497120</stp>
        <tr r="I54" s="3"/>
      </tp>
      <tp t="s">
        <v>#N/A Requesting Data...4105050364</v>
        <stp/>
        <stp>BDP|1041774784140013721</stp>
        <tr r="C64" s="3"/>
      </tp>
      <tp t="s">
        <v>#N/A Requesting Data...3703341825</v>
        <stp/>
        <stp>BDP|1031635446673217915</stp>
        <tr r="I50" s="3"/>
      </tp>
      <tp t="s">
        <v>#N/A Requesting Data...283004944</v>
        <stp/>
        <stp>BDP|9518744973899580904</stp>
        <tr r="C54" s="3"/>
      </tp>
      <tp t="s">
        <v>#N/A Requesting Data...3417768169</v>
        <stp/>
        <stp>BDP|5406820151140268124</stp>
        <tr r="I63" s="3"/>
      </tp>
      <tp t="s">
        <v>#N/A Requesting Data...654483189</v>
        <stp/>
        <stp>BDP|1694830350593957686</stp>
        <tr r="I62" s="3"/>
      </tp>
      <tp t="s">
        <v>#N/A Requesting Data...2632338455</v>
        <stp/>
        <stp>BDP|7500666667194702990</stp>
        <tr r="C66" s="3"/>
      </tp>
      <tp t="s">
        <v>#N/A Requesting Data...885361450</v>
        <stp/>
        <stp>BDP|3833953673663160479</stp>
        <tr r="C69" s="3"/>
      </tp>
      <tp t="s">
        <v>#N/A Requesting Data...2902745214</v>
        <stp/>
        <stp>BDP|9567701714471945402</stp>
        <tr r="I20" s="3"/>
      </tp>
      <tp t="s">
        <v>#N/A Requesting Data...979936387</v>
        <stp/>
        <stp>BDP|6985157280997075252</stp>
        <tr r="C53" s="3"/>
      </tp>
      <tp t="s">
        <v>#N/A Requesting Data...2398007047</v>
        <stp/>
        <stp>BDP|2456785810019057752</stp>
        <tr r="C99" s="3"/>
      </tp>
      <tp t="s">
        <v>#N/A Requesting Data...1769169465</v>
        <stp/>
        <stp>BDP|9838492126827038280</stp>
        <tr r="C8" s="3"/>
      </tp>
      <tp t="s">
        <v>#N/A Requesting Data...1040505364</v>
        <stp/>
        <stp>BDP|8937076405480531228</stp>
        <tr r="I44" s="3"/>
      </tp>
      <tp t="s">
        <v>#N/A Requesting Data...3556648592</v>
        <stp/>
        <stp>BDP|7712524477676613982</stp>
        <tr r="I57" s="3"/>
      </tp>
      <tp t="s">
        <v>#N/A Requesting Data...4166617081</v>
        <stp/>
        <stp>BDP|1770314253739696401</stp>
        <tr r="AE16" s="5"/>
      </tp>
      <tp t="s">
        <v>#N/A Requesting Data...2810992470</v>
        <stp/>
        <stp>BDP|1719299799386153607</stp>
        <tr r="AM7" s="1"/>
        <tr r="AK7" s="5"/>
      </tp>
      <tp t="s">
        <v>#N/A Requesting Data...3178394461</v>
        <stp/>
        <stp>BDP|1429354032568056352</stp>
        <tr r="C24" s="3"/>
      </tp>
      <tp t="s">
        <v>#N/A Requesting Data...3080167045</v>
        <stp/>
        <stp>BDP|2329033316398197102</stp>
        <tr r="V6" s="5"/>
      </tp>
      <tp t="s">
        <v>#N/A Requesting Data...3147400005</v>
        <stp/>
        <stp>BDP|8014457710991160601</stp>
        <tr r="I28" s="3"/>
      </tp>
      <tp t="s">
        <v>#N/A Requesting Data...2867261494</v>
        <stp/>
        <stp>BDP|3033880618804365593</stp>
        <tr r="C121" s="3"/>
      </tp>
      <tp t="s">
        <v>#N/A Requesting Data...4126412230</v>
        <stp/>
        <stp>BDP|1706011192993813054</stp>
        <tr r="C96" s="3"/>
      </tp>
      <tp t="s">
        <v>#N/A N/A</v>
        <stp/>
        <stp>BDP|4435771694765996413</stp>
        <tr r="C83" s="3"/>
      </tp>
      <tp t="s">
        <v>#N/A Requesting Data...663148034</v>
        <stp/>
        <stp>BDP|8140233211939841992</stp>
        <tr r="AM6" s="1"/>
        <tr r="AK6" s="5"/>
      </tp>
      <tp t="s">
        <v>#N/A Requesting Data...3770869723</v>
        <stp/>
        <stp>BDP|1861014768014580864</stp>
        <tr r="C89" s="3"/>
      </tp>
      <tp t="s">
        <v>#N/A N/A</v>
        <stp/>
        <stp>BDP|7491589793132824247</stp>
        <tr r="AF9" s="1"/>
      </tp>
      <tp t="s">
        <v>#N/A Requesting Data...3796720494</v>
        <stp/>
        <stp>BDP|8239565527673146722</stp>
        <tr r="C144" s="3"/>
      </tp>
      <tp t="s">
        <v>#N/A Requesting Data...3864806768</v>
        <stp/>
        <stp>BDP|8403458650990508239</stp>
        <tr r="C59" s="3"/>
      </tp>
      <tp t="s">
        <v>#N/A Requesting Data...2731306223</v>
        <stp/>
        <stp>BDP|9839159273063333794</stp>
        <tr r="C29" s="3"/>
      </tp>
      <tp t="s">
        <v>#N/A Requesting Data...2895112191</v>
        <stp/>
        <stp>BDP|6567984001629018265</stp>
        <tr r="C162" s="3"/>
      </tp>
      <tp t="s">
        <v>#N/A Requesting Data...2667768372</v>
        <stp/>
        <stp>BDP|1818082544567658696</stp>
        <tr r="I36" s="3"/>
      </tp>
      <tp t="s">
        <v>#N/A Requesting Data...3543986888</v>
        <stp/>
        <stp>BDP|6993846849007577980</stp>
        <tr r="I43" s="3"/>
      </tp>
      <tp t="s">
        <v>#N/A Requesting Data...2361432211</v>
        <stp/>
        <stp>BDP|4351081083971715968</stp>
        <tr r="C68" s="3"/>
      </tp>
      <tp t="s">
        <v>#N/A Requesting Data...3504594943</v>
        <stp/>
        <stp>BDP|1704371763125928545</stp>
        <tr r="C43" s="3"/>
      </tp>
      <tp t="s">
        <v>#N/A Requesting Data...3961366978</v>
        <stp/>
        <stp>BDP|2814041733612431765</stp>
        <tr r="C105" s="3"/>
      </tp>
      <tp t="s">
        <v>#N/A Requesting Data...640057721</v>
        <stp/>
        <stp>BDP|7829998593746821592</stp>
        <tr r="C102" s="3"/>
      </tp>
      <tp t="s">
        <v>#N/A Requesting Data...3637871293</v>
        <stp/>
        <stp>BDP|6258056741615792371</stp>
        <tr r="C106" s="3"/>
      </tp>
      <tp t="s">
        <v>#N/A Requesting Data...3199571274</v>
        <stp/>
        <stp>BDP|4617042838635235721</stp>
        <tr r="C152" s="3"/>
      </tp>
      <tp t="s">
        <v>#N/A Requesting Data...2095491921</v>
        <stp/>
        <stp>BDP|1240404019180728146</stp>
        <tr r="C65" s="3"/>
      </tp>
      <tp t="s">
        <v>#N/A Requesting Data...3126808820</v>
        <stp/>
        <stp>BDP|2330938495090261788</stp>
        <tr r="AM8" s="1"/>
        <tr r="AK8" s="5"/>
      </tp>
      <tp t="s">
        <v>#N/A Requesting Data...902839550</v>
        <stp/>
        <stp>BDP|8465946647526914636</stp>
        <tr r="I42" s="3"/>
      </tp>
      <tp t="s">
        <v>#N/A Requesting Data...1192568012</v>
        <stp/>
        <stp>BDP|9950496650399002439</stp>
        <tr r="C123" s="3"/>
      </tp>
      <tp t="s">
        <v>#N/A Requesting Data...2066646523</v>
        <stp/>
        <stp>BDP|2667683450453794790</stp>
        <tr r="C115" s="3"/>
      </tp>
      <tp t="s">
        <v>#N/A N/A</v>
        <stp/>
        <stp>BDP|7273482579447089634</stp>
        <tr r="I10" s="3"/>
      </tp>
      <tp t="s">
        <v>#N/A Requesting Data...1232522677</v>
        <stp/>
        <stp>BDP|5025328525011211047</stp>
        <tr r="C34" s="3"/>
      </tp>
      <tp t="s">
        <v>#N/A Requesting Data...659848610</v>
        <stp/>
        <stp>BDP|3834658410891383085</stp>
        <tr r="C9" s="3"/>
      </tp>
      <tp t="s">
        <v>#N/A Requesting Data...2867894542</v>
        <stp/>
        <stp>BDP|5204453854055475411</stp>
        <tr r="C72" s="3"/>
      </tp>
      <tp t="s">
        <v>#N/A Requesting Data...3960470518</v>
        <stp/>
        <stp>BDP|4788424420704423360</stp>
        <tr r="X4" s="1"/>
      </tp>
      <tp t="s">
        <v>#N/A Requesting Data...442795027</v>
        <stp/>
        <stp>BDP|7184509443593036063</stp>
        <tr r="I18" s="3"/>
      </tp>
      <tp t="s">
        <v>#N/A N/A</v>
        <stp/>
        <stp>BDP|4409571100871585532</stp>
        <tr r="AG4" s="1"/>
        <tr r="C73" s="3"/>
      </tp>
      <tp t="s">
        <v>#N/A Requesting Data...858719695</v>
        <stp/>
        <stp>BDP|5129492451040215207</stp>
        <tr r="AE13" s="5"/>
      </tp>
      <tp t="s">
        <v>#N/A Requesting Data...2710250145</v>
        <stp/>
        <stp>BDP|9147095673928589078</stp>
        <tr r="I24" s="3"/>
      </tp>
      <tp t="s">
        <v>#N/A Requesting Data...1342868880</v>
        <stp/>
        <stp>BDP|6751685416204293341</stp>
        <tr r="C159" s="3"/>
      </tp>
      <tp t="s">
        <v>#N/A Requesting Data...1972575217</v>
        <stp/>
        <stp>BDP|2646981305435776837</stp>
        <tr r="I38" s="3"/>
      </tp>
      <tp t="s">
        <v>#N/A Requesting Data...725160478</v>
        <stp/>
        <stp>BDP|5538226760447497012</stp>
        <tr r="I15" s="3"/>
      </tp>
      <tp t="s">
        <v>#N/A Requesting Data...858990288</v>
        <stp/>
        <stp>BDP|4410242283930284836</stp>
        <tr r="C108" s="3"/>
      </tp>
      <tp t="s">
        <v>#N/A N/A</v>
        <stp/>
        <stp>BDP|5599646844690725120</stp>
        <tr r="W6" s="1"/>
      </tp>
      <tp t="s">
        <v>#N/A N/A</v>
        <stp/>
        <stp>BDP|7323562495194409926</stp>
        <tr r="AF8" s="1"/>
      </tp>
      <tp t="s">
        <v>#N/A Requesting Data...1808001475</v>
        <stp/>
        <stp>BDP|7374532107885772173</stp>
        <tr r="AE6" s="5"/>
      </tp>
      <tp t="s">
        <v>#N/A Requesting Data...1279222446</v>
        <stp/>
        <stp>BDP|4433046404986412449</stp>
        <tr r="C158" s="3"/>
      </tp>
      <tp t="s">
        <v>#N/A Requesting Data...4123326101</v>
        <stp/>
        <stp>BDP|2382374971599643898</stp>
        <tr r="C26" s="3"/>
      </tp>
      <tp t="s">
        <v>#N/A N/A</v>
        <stp/>
        <stp>BDP|5510498631210704517</stp>
        <tr r="AG14" s="1"/>
        <tr r="C84" s="3"/>
      </tp>
      <tp t="s">
        <v>#N/A Requesting Data...1895167849</v>
        <stp/>
        <stp>BDP|2706238703894800347</stp>
        <tr r="AE5" s="5"/>
      </tp>
      <tp t="s">
        <v>#N/A N/A</v>
        <stp/>
        <stp>BDP|9026898305143148551</stp>
        <tr r="W5" s="1"/>
      </tp>
      <tp t="s">
        <v>#N/A Requesting Data...4111269234</v>
        <stp/>
        <stp>BDP|7449967289015704458</stp>
        <tr r="I34" s="3"/>
      </tp>
      <tp t="s">
        <v>#N/A Requesting Data...688120246</v>
        <stp/>
        <stp>BDP|7128217049024788278</stp>
        <tr r="C126" s="3"/>
      </tp>
      <tp t="s">
        <v>#N/A Requesting Data...3937960357</v>
        <stp/>
        <stp>BDP|1225789237812079036</stp>
        <tr r="AM13" s="1"/>
        <tr r="AK13" s="5"/>
      </tp>
      <tp t="s">
        <v>#N/A Requesting Data...2785543400</v>
        <stp/>
        <stp>BDP|2688398335815461032</stp>
        <tr r="I72" s="3"/>
      </tp>
      <tp t="s">
        <v>#N/A Requesting Data...2359282390</v>
        <stp/>
        <stp>BDP|5407744553420709092</stp>
        <tr r="I45" s="3"/>
      </tp>
      <tp t="s">
        <v>#N/A Requesting Data...2302613604</v>
        <stp/>
        <stp>BDP|3301994951851485995</stp>
        <tr r="C103" s="3"/>
      </tp>
      <tp t="s">
        <v>#N/A N/A</v>
        <stp/>
        <stp>BDP|1715692313415242487</stp>
        <tr r="AF10" s="1"/>
      </tp>
      <tp t="s">
        <v>#N/A Requesting Data...4249991233</v>
        <stp/>
        <stp>BDP|7787511640980270100</stp>
        <tr r="C19" s="3"/>
      </tp>
      <tp t="s">
        <v>#N/A Requesting Data...1741079680</v>
        <stp/>
        <stp>BDP|5881769373931552438</stp>
        <tr r="C37" s="3"/>
      </tp>
      <tp t="s">
        <v>#N/A Requesting Data...3656003265</v>
        <stp/>
        <stp>BDP|8775887083928455015</stp>
        <tr r="I65" s="3"/>
      </tp>
      <tp t="s">
        <v>#N/A Requesting Data...3201651915</v>
        <stp/>
        <stp>BDP|2999354362923182419</stp>
        <tr r="C119" s="3"/>
      </tp>
      <tp t="s">
        <v>#N/A N/A</v>
        <stp/>
        <stp>BDP|7144957155592866969</stp>
        <tr r="I7" s="3"/>
      </tp>
      <tp t="s">
        <v>#N/A Requesting Data...1366316291</v>
        <stp/>
        <stp>BDP|7376321538937352077</stp>
        <tr r="I31" s="3"/>
      </tp>
      <tp t="s">
        <v>#N/A Requesting Data...2258030642</v>
        <stp/>
        <stp>BDP|6067526931230468040</stp>
        <tr r="C41" s="3"/>
      </tp>
      <tp t="s">
        <v>#N/A Requesting Data...1918643956</v>
        <stp/>
        <stp>BDP|4583763296699195352</stp>
        <tr r="C90" s="3"/>
      </tp>
      <tp t="s">
        <v>#N/A N/A</v>
        <stp/>
        <stp>BDP|9013230294690428273</stp>
        <tr r="W11" s="1"/>
      </tp>
      <tp t="s">
        <v>#N/A Requesting Data...3971798161</v>
        <stp/>
        <stp>BDP|2884216262693648467</stp>
        <tr r="C101" s="3"/>
      </tp>
      <tp t="s">
        <v>#N/A Requesting Data...1457905494</v>
        <stp/>
        <stp>BDP|6653931085044954226</stp>
        <tr r="C49" s="3"/>
      </tp>
      <tp t="s">
        <v>#N/A Requesting Data...4161932776</v>
        <stp/>
        <stp>BDP|5581636058732096512</stp>
        <tr r="AF11" s="5"/>
      </tp>
      <tp t="s">
        <v>#N/A N/A</v>
        <stp/>
        <stp>BDP|8816274015493202973</stp>
        <tr r="AF17" s="1"/>
      </tp>
      <tp t="s">
        <v>#N/A Requesting Data...1978727389</v>
        <stp/>
        <stp>BDP|4442406327391170217</stp>
        <tr r="I69" s="3"/>
      </tp>
      <tp t="s">
        <v>#N/A Requesting Data...1889020779</v>
        <stp/>
        <stp>BDP|1565835345078461478</stp>
        <tr r="AF10" s="5"/>
      </tp>
      <tp t="s">
        <v>#N/A Requesting Data...2924617194</v>
        <stp/>
        <stp>BDP|2160522543402219031</stp>
        <tr r="C44" s="3"/>
      </tp>
      <tp t="s">
        <v>#N/A N/A</v>
        <stp/>
        <stp>BDP|8134386539959622001</stp>
        <tr r="I12" s="3"/>
      </tp>
      <tp t="s">
        <v>#N/A Requesting Data...1181655471</v>
        <stp/>
        <stp>BDP|5175596859875743108</stp>
        <tr r="C160" s="3"/>
      </tp>
      <tp t="s">
        <v>#N/A Requesting Data...2606646147</v>
        <stp/>
        <stp>BDP|9057379067935091879</stp>
        <tr r="W13" s="5"/>
      </tp>
      <tp t="s">
        <v>#N/A Requesting Data...1691083230</v>
        <stp/>
        <stp>BDP|2381414770074385446</stp>
        <tr r="AF7" s="5"/>
      </tp>
      <tp t="s">
        <v>#N/A Requesting Data...2699255292</v>
        <stp/>
        <stp>BDP|9549672801729908449</stp>
        <tr r="AF12" s="5"/>
      </tp>
      <tp t="s">
        <v>#N/A Requesting Data...827450418</v>
        <stp/>
        <stp>BDP|4275782724320760373</stp>
        <tr r="AF16" s="5"/>
      </tp>
      <tp t="s">
        <v>#N/A Requesting Data...1365697007</v>
        <stp/>
        <stp>BDP|6213448269441194717</stp>
        <tr r="I33" s="3"/>
      </tp>
      <tp t="s">
        <v>#N/A Requesting Data...2247595310</v>
        <stp/>
        <stp>BDP|9203340293449607800</stp>
        <tr r="X15" s="1"/>
      </tp>
      <tp t="s">
        <v>#N/A Requesting Data...2032589183</v>
        <stp/>
        <stp>BDP|1674630257287785748</stp>
        <tr r="C21" s="3"/>
      </tp>
      <tp t="s">
        <v>#N/A Requesting Data...2206226896</v>
        <stp/>
        <stp>BDP|6722538765332235541</stp>
        <tr r="I79" s="3"/>
      </tp>
      <tp t="s">
        <v>#N/A Requesting Data...3600122126</v>
        <stp/>
        <stp>BDP|4321930751773162948</stp>
        <tr r="C143" s="3"/>
      </tp>
      <tp t="s">
        <v>#N/A N/A</v>
        <stp/>
        <stp>BDP|2465770666370232132</stp>
        <tr r="AG12" s="1"/>
        <tr r="C81" s="3"/>
      </tp>
      <tp t="s">
        <v>#N/A Requesting Data...1320407081</v>
        <stp/>
        <stp>BDP|4405337543078616960</stp>
        <tr r="AE8" s="5"/>
      </tp>
      <tp t="s">
        <v>#N/A N/A</v>
        <stp/>
        <stp>BDP|3614236909801232351</stp>
        <tr r="AG10" s="1"/>
        <tr r="C79" s="3"/>
      </tp>
      <tp t="s">
        <v>#N/A Requesting Data...1519568426</v>
        <stp/>
        <stp>BDP|9264525602047863819</stp>
        <tr r="C129" s="3"/>
      </tp>
      <tp t="s">
        <v>#N/A Requesting Data...704002642</v>
        <stp/>
        <stp>BDP|3022564266265232698</stp>
        <tr r="C22" s="3"/>
      </tp>
      <tp t="s">
        <v>#N/A Requesting Data...1322936453</v>
        <stp/>
        <stp>BDP|2586870807391867856</stp>
        <tr r="AE12" s="5"/>
      </tp>
      <tp t="s">
        <v>#N/A Requesting Data...2742725165</v>
        <stp/>
        <stp>BDP|5700308272663263182</stp>
        <tr r="W14" s="5"/>
      </tp>
      <tp t="s">
        <v>#N/A Requesting Data...1201182605</v>
        <stp/>
        <stp>BDP|3065289322003110341</stp>
        <tr r="C17" s="3"/>
      </tp>
      <tp t="s">
        <v>#N/A Requesting Data...2571877796</v>
        <stp/>
        <stp>BDP|3488562983458433575</stp>
        <tr r="C97" s="3"/>
      </tp>
      <tp t="s">
        <v>#N/A Requesting Data...2539295330</v>
        <stp/>
        <stp>BDP|8883686451619078120</stp>
        <tr r="I78" s="3"/>
      </tp>
      <tp t="s">
        <v>#N/A N/A</v>
        <stp/>
        <stp>BDP|3169607923705567144</stp>
        <tr r="AF12" s="1"/>
      </tp>
      <tp t="s">
        <v>#N/A Requesting Data...2589492185</v>
        <stp/>
        <stp>BDP|5066211127374524238</stp>
        <tr r="C23" s="3"/>
      </tp>
      <tp t="s">
        <v>#N/A N/A</v>
        <stp/>
        <stp>BDP|4981558656002856539</stp>
        <tr r="AG7" s="1"/>
        <tr r="C76" s="3"/>
      </tp>
      <tp t="s">
        <v>#N/A Requesting Data...1105937948</v>
        <stp/>
        <stp>BDP|1175608250980429144</stp>
        <tr r="AM11" s="1"/>
        <tr r="AK11" s="5"/>
      </tp>
      <tp t="s">
        <v>#N/A Requesting Data...2950764726</v>
        <stp/>
        <stp>BDP|4365340775557570411</stp>
        <tr r="C161" s="3"/>
      </tp>
      <tp t="s">
        <v>#N/A Requesting Data...1543736402</v>
        <stp/>
        <stp>BDP|1345751232810291632</stp>
        <tr r="C57" s="3"/>
      </tp>
      <tp t="s">
        <v>11/1/2025</v>
        <stp/>
        <stp>BDP|4207405402146429574|22</stp>
        <stp>USSWIF8 Curncy</stp>
        <stp>SWAP_EFFECTIVE_DATE_RT</stp>
        <tr r="U4" s="1"/>
      </tp>
      <tp t="s">
        <v>11/15/2025</v>
        <stp/>
        <stp>BDP|3300119416934283541|22</stp>
        <stp>BPSWIF9 Curncy</stp>
        <stp>SWAP_EFFECTIVE_DATE_RT</stp>
        <tr r="T6" s="5"/>
      </tp>
      <tp t="s">
        <v>#N/A N/A</v>
        <stp/>
        <stp>BDP|531173126430871456</stp>
        <tr r="AF13" s="1"/>
      </tp>
      <tp t="s">
        <v>#N/A Requesting Data...2616372235</v>
        <stp/>
        <stp>BDP|437360509784535044</stp>
        <tr r="C28" s="3"/>
      </tp>
      <tp t="s">
        <v>5/15/2026</v>
        <stp/>
        <stp>BDP|4675988265549942283|22</stp>
        <stp>BPSWIF3 Curncy</stp>
        <stp>SWAP_EFFECTIVE_DATE_RT</stp>
        <tr r="T12" s="5"/>
      </tp>
      <tp t="s">
        <v>#N/A Requesting Data...2593825803</v>
        <stp/>
        <stp>BDP|719920997835819372</stp>
        <tr r="I21" s="3"/>
      </tp>
      <tp t="s">
        <v>#N/A Requesting Data...1052749381</v>
        <stp/>
        <stp>BDP|220158664486763756</stp>
        <tr r="I68" s="3"/>
      </tp>
      <tp t="s">
        <v>#N/A Requesting Data...4142068110</v>
        <stp/>
        <stp>BDP|705222811757759499</stp>
        <tr r="V13" s="5"/>
      </tp>
      <tp t="s">
        <v>#N/A Requesting Data...1688725620</v>
        <stp/>
        <stp>BDP|327790706290079409</stp>
        <tr r="C62" s="3"/>
      </tp>
      <tp t="s">
        <v>#N/A Requesting Data...1685777064</v>
        <stp/>
        <stp>BDP|598255408960214169</stp>
        <tr r="AM14" s="1"/>
        <tr r="AK14" s="5"/>
      </tp>
      <tp t="s">
        <v>#N/A Requesting Data...4285158567</v>
        <stp/>
        <stp>BDP|752544571119749831</stp>
        <tr r="I74" s="3"/>
      </tp>
      <tp t="s">
        <v>#N/A Requesting Data...3782442074</v>
        <stp/>
        <stp>BDP|314325233504172733</stp>
        <tr r="C3" s="3"/>
      </tp>
      <tp t="s">
        <v>#N/A Requesting Data...771461876</v>
        <stp/>
        <stp>BDP|535673656531239152</stp>
        <tr r="C14" s="3"/>
      </tp>
      <tp t="s">
        <v>3/15/2026</v>
        <stp/>
        <stp>BDP|6661643719846248044|22</stp>
        <stp>BPSWIF1 Curncy</stp>
        <stp>SWAP_EFFECTIVE_DATE_RT</stp>
        <tr r="T10" s="5"/>
      </tp>
      <tp t="s">
        <v>#N/A Requesting Data...3286036833</v>
        <stp/>
        <stp>BDP|215538495568786816</stp>
        <tr r="C67" s="3"/>
      </tp>
      <tp t="s">
        <v>#N/A Requesting Data...2146008948</v>
        <stp/>
        <stp>BDP|165287045318738295</stp>
        <tr r="I61" s="3"/>
      </tp>
      <tp t="s">
        <v>#N/A Requesting Data...3635658113</v>
        <stp/>
        <stp>BDP|760657431968210265</stp>
        <tr r="I58" s="3"/>
      </tp>
      <tp t="s">
        <v>7/15/2026</v>
        <stp/>
        <stp>BDP|9767767479099895646|22</stp>
        <stp>BPSWIF5 Curncy</stp>
        <stp>SWAP_EFFECTIVE_DATE_RT</stp>
        <tr r="T14" s="5"/>
      </tp>
      <tp t="s">
        <v>#N/A Requesting Data...1549676241</v>
        <stp/>
        <stp>BDP|116642544894402895</stp>
        <tr r="X10" s="1"/>
      </tp>
      <tp t="s">
        <v>#N/A Requesting Data...2316452413</v>
        <stp/>
        <stp>BDP|379626236869393287</stp>
        <tr r="I77" s="3"/>
      </tp>
      <tp t="s">
        <v>#N/A Requesting Data...2780963804</v>
        <stp/>
        <stp>BDP|408866569944722468</stp>
        <tr r="AM15" s="1"/>
        <tr r="AK15" s="5"/>
      </tp>
      <tp t="s">
        <v>#N/A Requesting Data...2640198839</v>
        <stp/>
        <stp>BDP|890144082077292780</stp>
        <tr r="I19" s="3"/>
      </tp>
      <tp t="s">
        <v>#N/A Requesting Data...899116269</v>
        <stp/>
        <stp>BDP|390385784833233012</stp>
        <tr r="AM9" s="1"/>
        <tr r="AK9" s="5"/>
      </tp>
      <tp t="s">
        <v>#N/A N/A</v>
        <stp/>
        <stp>BDP|487608147160746983</stp>
        <tr r="I2" s="3"/>
      </tp>
      <tp t="s">
        <v>12/1/2025</v>
        <stp/>
        <stp>BDP|3701838488086202223|22</stp>
        <stp>USSWIF9 Curncy</stp>
        <stp>SWAP_EFFECTIVE_DATE_RT</stp>
        <tr r="U5" s="1"/>
      </tp>
      <tp t="s">
        <v>8/1/2026</v>
        <stp/>
        <stp>BDP|8239038693000518075|22</stp>
        <stp>USSWIF5 Curncy</stp>
        <stp>SWAP_EFFECTIVE_DATE_RT</stp>
        <tr r="U13" s="1"/>
      </tp>
      <tp t="s">
        <v>#N/A Requesting Data...2877831086</v>
        <stp/>
        <stp>BDP|930696567893770943</stp>
        <tr r="C55" s="3"/>
      </tp>
      <tp t="s">
        <v>#N/A Requesting Data...3386860288</v>
        <stp/>
        <stp>BDP|267021441459137755</stp>
        <tr r="I55" s="3"/>
      </tp>
      <tp t="s">
        <v>10/1/2026</v>
        <stp/>
        <stp>BDP|9561094173690841543|22</stp>
        <stp>USSWIF7 Curncy</stp>
        <stp>SWAP_EFFECTIVE_DATE_RT</stp>
        <tr r="U15" s="1"/>
      </tp>
      <tp t="s">
        <v>6/1/2026</v>
        <stp/>
        <stp>BDP|9158504087751232435|22</stp>
        <stp>USSWIF3 Curncy</stp>
        <stp>SWAP_EFFECTIVE_DATE_RT</stp>
        <tr r="U11" s="1"/>
      </tp>
      <tp t="s">
        <v>7/1/2026</v>
        <stp/>
        <stp>BDP|5771426158732892451|22</stp>
        <stp>USSWIF4 Curncy</stp>
        <stp>SWAP_EFFECTIVE_DATE_RT</stp>
        <tr r="U1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CPURNSA!$S$21:$S$53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AE-45F1-B075-74B26D9B7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756000"/>
        <c:axId val="1396757440"/>
      </c:lineChart>
      <c:catAx>
        <c:axId val="1396756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757440"/>
        <c:crosses val="autoZero"/>
        <c:auto val="1"/>
        <c:lblAlgn val="ctr"/>
        <c:lblOffset val="100"/>
        <c:noMultiLvlLbl val="0"/>
      </c:catAx>
      <c:valAx>
        <c:axId val="139675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75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CPURNSA!$F$21:$F$44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44-4868-A927-FD58385AB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303919"/>
        <c:axId val="791247615"/>
      </c:lineChart>
      <c:catAx>
        <c:axId val="1133303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247615"/>
        <c:crosses val="autoZero"/>
        <c:auto val="1"/>
        <c:lblAlgn val="ctr"/>
        <c:lblOffset val="100"/>
        <c:noMultiLvlLbl val="0"/>
      </c:catAx>
      <c:valAx>
        <c:axId val="79124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30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CPURNSA!$S$21:$S$53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5-41A7-804A-2D3049AAA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756000"/>
        <c:axId val="1396757440"/>
      </c:lineChart>
      <c:catAx>
        <c:axId val="1396756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757440"/>
        <c:crosses val="autoZero"/>
        <c:auto val="1"/>
        <c:lblAlgn val="ctr"/>
        <c:lblOffset val="100"/>
        <c:noMultiLvlLbl val="0"/>
      </c:catAx>
      <c:valAx>
        <c:axId val="139675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75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B$1" max="194" page="10" val="0"/>
</file>

<file path=xl/ctrlProps/ctrlProp2.xml><?xml version="1.0" encoding="utf-8"?>
<formControlPr xmlns="http://schemas.microsoft.com/office/spreadsheetml/2009/9/main" objectType="Scroll" dx="22" fmlaLink="$A$1" max="194" page="10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500228</xdr:colOff>
      <xdr:row>19</xdr:row>
      <xdr:rowOff>74228</xdr:rowOff>
    </xdr:from>
    <xdr:to>
      <xdr:col>29</xdr:col>
      <xdr:colOff>265058</xdr:colOff>
      <xdr:row>33</xdr:row>
      <xdr:rowOff>150428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D2B58D46-5858-CDD0-1D8E-78CE8A3E7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457200</xdr:colOff>
          <xdr:row>2</xdr:row>
          <xdr:rowOff>28575</xdr:rowOff>
        </xdr:from>
        <xdr:to>
          <xdr:col>5</xdr:col>
          <xdr:colOff>733425</xdr:colOff>
          <xdr:row>16</xdr:row>
          <xdr:rowOff>114300</xdr:rowOff>
        </xdr:to>
        <xdr:sp macro="" textlink="">
          <xdr:nvSpPr>
            <xdr:cNvPr id="1032" name="Scroll Bar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619125</xdr:colOff>
      <xdr:row>21</xdr:row>
      <xdr:rowOff>28575</xdr:rowOff>
    </xdr:from>
    <xdr:to>
      <xdr:col>12</xdr:col>
      <xdr:colOff>1066800</xdr:colOff>
      <xdr:row>35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984F71-43DC-C287-2F05-BC5AED882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1138403</xdr:colOff>
      <xdr:row>18</xdr:row>
      <xdr:rowOff>188528</xdr:rowOff>
    </xdr:from>
    <xdr:to>
      <xdr:col>26</xdr:col>
      <xdr:colOff>217433</xdr:colOff>
      <xdr:row>33</xdr:row>
      <xdr:rowOff>74228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3B2FE1D-B9F4-459B-8919-EF70435C3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31</xdr:col>
      <xdr:colOff>0</xdr:colOff>
      <xdr:row>51</xdr:row>
      <xdr:rowOff>0</xdr:rowOff>
    </xdr:from>
    <xdr:to>
      <xdr:col>42</xdr:col>
      <xdr:colOff>91207</xdr:colOff>
      <xdr:row>76</xdr:row>
      <xdr:rowOff>153086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8E6F71-69FE-43FF-9518-CB6F25779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274500" y="9391650"/>
          <a:ext cx="7292107" cy="475683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2</xdr:row>
          <xdr:rowOff>28575</xdr:rowOff>
        </xdr:from>
        <xdr:to>
          <xdr:col>4</xdr:col>
          <xdr:colOff>733425</xdr:colOff>
          <xdr:row>16</xdr:row>
          <xdr:rowOff>114300</xdr:rowOff>
        </xdr:to>
        <xdr:sp macro="" textlink="">
          <xdr:nvSpPr>
            <xdr:cNvPr id="2049" name="Scroll Ba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DA2B-B009-413B-B470-30E482D4C08C}">
  <dimension ref="A1:AM210"/>
  <sheetViews>
    <sheetView tabSelected="1" zoomScaleNormal="100" workbookViewId="0">
      <selection activeCell="E49" sqref="E49"/>
    </sheetView>
  </sheetViews>
  <sheetFormatPr defaultRowHeight="15" x14ac:dyDescent="0.25"/>
  <cols>
    <col min="1" max="1" width="4.5703125" bestFit="1" customWidth="1"/>
    <col min="2" max="2" width="9.5703125" bestFit="1" customWidth="1"/>
    <col min="3" max="3" width="25.5703125" bestFit="1" customWidth="1"/>
    <col min="4" max="4" width="32" bestFit="1" customWidth="1"/>
    <col min="5" max="5" width="26.42578125" bestFit="1" customWidth="1"/>
    <col min="6" max="7" width="16.42578125" customWidth="1"/>
    <col min="8" max="8" width="28.42578125" bestFit="1" customWidth="1"/>
    <col min="9" max="10" width="16.42578125" customWidth="1"/>
    <col min="11" max="11" width="12.5703125" customWidth="1"/>
    <col min="12" max="14" width="16.42578125" customWidth="1"/>
    <col min="15" max="15" width="11.5703125" style="3" bestFit="1" customWidth="1"/>
    <col min="16" max="16" width="12" style="2" bestFit="1" customWidth="1"/>
    <col min="18" max="18" width="18.5703125" bestFit="1" customWidth="1"/>
    <col min="19" max="19" width="16.140625" bestFit="1" customWidth="1"/>
    <col min="20" max="20" width="21.5703125" bestFit="1" customWidth="1"/>
    <col min="21" max="21" width="11.7109375" bestFit="1" customWidth="1"/>
    <col min="22" max="22" width="24.140625" bestFit="1" customWidth="1"/>
    <col min="23" max="23" width="24.140625" customWidth="1"/>
    <col min="24" max="24" width="16.140625" bestFit="1" customWidth="1"/>
    <col min="25" max="25" width="12.85546875" bestFit="1" customWidth="1"/>
    <col min="26" max="26" width="9.85546875" bestFit="1" customWidth="1"/>
    <col min="27" max="27" width="9.5703125" bestFit="1" customWidth="1"/>
    <col min="28" max="28" width="11.140625" bestFit="1" customWidth="1"/>
    <col min="29" max="29" width="11.85546875" customWidth="1"/>
    <col min="30" max="30" width="18.85546875" bestFit="1" customWidth="1"/>
    <col min="31" max="31" width="23.28515625" customWidth="1"/>
    <col min="32" max="32" width="19.28515625" bestFit="1" customWidth="1"/>
    <col min="33" max="34" width="12.28515625" bestFit="1" customWidth="1"/>
    <col min="35" max="35" width="8.42578125" bestFit="1" customWidth="1"/>
  </cols>
  <sheetData>
    <row r="1" spans="2:39" x14ac:dyDescent="0.25">
      <c r="B1">
        <v>0</v>
      </c>
      <c r="H1" t="s">
        <v>0</v>
      </c>
      <c r="I1" t="s">
        <v>1</v>
      </c>
      <c r="J1" s="4"/>
      <c r="K1" s="4"/>
      <c r="AA1" t="s">
        <v>2</v>
      </c>
    </row>
    <row r="2" spans="2:39" x14ac:dyDescent="0.25">
      <c r="H2" s="20">
        <v>46253</v>
      </c>
      <c r="I2">
        <v>334.44306</v>
      </c>
      <c r="J2" s="26">
        <f ca="1">IF((H2=$D$20),#REF!,0)</f>
        <v>0</v>
      </c>
      <c r="L2" t="s">
        <v>3</v>
      </c>
      <c r="M2" t="s">
        <v>4</v>
      </c>
      <c r="AA2" s="37">
        <f ca="1">MONTH(DATE(YEAR(strippingDate),MONTH(strippingDate)-2,1))</f>
        <v>7</v>
      </c>
      <c r="AB2" s="38">
        <f ca="1">IF(DAY(strippingDate)&gt;=15,2,1)</f>
        <v>1</v>
      </c>
    </row>
    <row r="3" spans="2:39" x14ac:dyDescent="0.25">
      <c r="E3" s="2"/>
      <c r="H3" s="20">
        <v>46252</v>
      </c>
      <c r="I3">
        <v>334.48084</v>
      </c>
      <c r="J3" s="26">
        <f ca="1">IF((H3=$D$20),#REF!,0)</f>
        <v>0</v>
      </c>
      <c r="L3" s="2" cm="1">
        <f t="array" aca="1" ref="L3:M26" ca="1">_xll.BDH(E9,"PX_LAST",DATE(YEAR(E10),MONTH(E10)-25,21),E10,"Dir=V","Dts=S","Sort=D",CONCATENATE("Per=c",E13),"DtFmt=D","UseDPDF=Y")</f>
        <v>46265</v>
      </c>
      <c r="M3">
        <f ca="1"/>
        <v>334.98</v>
      </c>
      <c r="R3" s="9" t="s">
        <v>5</v>
      </c>
      <c r="S3" s="9"/>
      <c r="T3" s="12" t="s">
        <v>6</v>
      </c>
      <c r="U3" s="9" t="s">
        <v>7</v>
      </c>
      <c r="V3" s="12" t="s">
        <v>8</v>
      </c>
      <c r="W3" s="9" t="s">
        <v>9</v>
      </c>
      <c r="X3" s="9" t="s">
        <v>10</v>
      </c>
      <c r="AA3" s="39"/>
      <c r="AB3" s="40"/>
      <c r="AD3" s="10" t="s">
        <v>11</v>
      </c>
      <c r="AE3" s="10" t="s">
        <v>12</v>
      </c>
      <c r="AF3" s="10" t="s">
        <v>9</v>
      </c>
      <c r="AG3" s="10" t="s">
        <v>548</v>
      </c>
      <c r="AK3" s="14" t="s">
        <v>14</v>
      </c>
      <c r="AL3" s="14" t="s">
        <v>15</v>
      </c>
      <c r="AM3" s="14" t="s">
        <v>16</v>
      </c>
    </row>
    <row r="4" spans="2:39" x14ac:dyDescent="0.25">
      <c r="E4" s="2"/>
      <c r="H4" s="20">
        <v>46251</v>
      </c>
      <c r="I4">
        <v>334.51861000000002</v>
      </c>
      <c r="J4" s="26">
        <f ca="1">IF((H4=$D$20),#REF!,0)</f>
        <v>0</v>
      </c>
      <c r="K4" s="26"/>
      <c r="L4" s="2">
        <f ca="1"/>
        <v>46234</v>
      </c>
      <c r="M4">
        <f ca="1"/>
        <v>333.91800000000001</v>
      </c>
      <c r="Q4">
        <v>8</v>
      </c>
      <c r="R4" s="9" t="s">
        <v>17</v>
      </c>
      <c r="S4" s="9" t="s">
        <v>18</v>
      </c>
      <c r="T4" s="12" cm="1">
        <f t="array" ref="T4">_xll.qwCalAddMonths("All",U4,-3)</f>
        <v>45870</v>
      </c>
      <c r="U4" s="12">
        <f>DATEVALUE(_xll.BDP(R4, "SWAP_EFFECTIVE_DATE_RT"))</f>
        <v>45962</v>
      </c>
      <c r="V4" s="12" cm="1">
        <f t="array" ref="V4">_xll.qwCalAddMonths("All",W4,-3)</f>
        <v>46235</v>
      </c>
      <c r="W4" s="12" cm="1">
        <f t="array" ref="W4">DATEVALUE((_xll.BDP(R4,"MATURITY")))</f>
        <v>46327</v>
      </c>
      <c r="X4" s="9">
        <f>_xll.BDP(R4, "PX_MID")</f>
        <v>343.34</v>
      </c>
      <c r="AA4" s="39">
        <f ca="1">MOD($AA$2-Q14+12,12)</f>
        <v>1</v>
      </c>
      <c r="AB4" s="40">
        <f t="shared" ref="AB4:AB15" ca="1" si="0">DATE(YEAR(strippingDate),MONTH(DATE(YEAR(strippingDate),MONTH(strippingDate),1))-AA4+$AB$2,1)</f>
        <v>46266</v>
      </c>
      <c r="AD4" s="10" t="s">
        <v>19</v>
      </c>
      <c r="AE4" s="13">
        <f t="shared" ref="AE4:AE17" ca="1" si="1">$E$10+2</f>
        <v>46278</v>
      </c>
      <c r="AF4" s="10" t="str">
        <f>_xll.BDP(AD4, "MATURITY")</f>
        <v>9/15/2027</v>
      </c>
      <c r="AG4" s="10">
        <f>_xll.BDP(AD4, "PX_LAST")</f>
        <v>2.5910000000000002</v>
      </c>
      <c r="AH4" s="46" cm="1">
        <f t="array" ref="AH4">_xll.qwYield($E$8,LEFT(AD4,7))</f>
        <v>2.5824E-2</v>
      </c>
      <c r="AI4" s="10">
        <v>1</v>
      </c>
      <c r="AK4" s="14">
        <v>1</v>
      </c>
      <c r="AL4" s="14" t="s">
        <v>20</v>
      </c>
      <c r="AM4" s="14">
        <f>_xll.BDP(AL4, "PX_LAST")</f>
        <v>0.99619999999999997</v>
      </c>
    </row>
    <row r="5" spans="2:39" x14ac:dyDescent="0.25">
      <c r="E5" s="2"/>
      <c r="H5" s="20">
        <v>46248</v>
      </c>
      <c r="I5">
        <v>334.63193999999999</v>
      </c>
      <c r="J5" s="26">
        <f ca="1">IF((H5=$D$20),#REF!,0)</f>
        <v>0</v>
      </c>
      <c r="K5" s="26"/>
      <c r="L5" s="2">
        <f ca="1"/>
        <v>46203</v>
      </c>
      <c r="M5">
        <f ca="1"/>
        <v>333.952</v>
      </c>
      <c r="Q5">
        <v>9</v>
      </c>
      <c r="R5" s="9" t="s">
        <v>21</v>
      </c>
      <c r="S5" s="9" t="s">
        <v>22</v>
      </c>
      <c r="T5" s="12" cm="1">
        <f t="array" ref="T5">_xll.qwCalAddMonths("All",U5,-3)</f>
        <v>45901</v>
      </c>
      <c r="U5" s="12">
        <f>DATEVALUE(_xll.BDP(R5, "SWAP_EFFECTIVE_DATE_RT"))</f>
        <v>45992</v>
      </c>
      <c r="V5" s="12" cm="1">
        <f t="array" ref="V5">_xll.qwCalAddMonths("All",W5,-3)</f>
        <v>46266</v>
      </c>
      <c r="W5" s="12" cm="1">
        <f t="array" ref="W5">DATEVALUE((_xll.BDP(R5,"MATURITY")))</f>
        <v>46357</v>
      </c>
      <c r="X5" s="9">
        <f>_xll.BDP(R5, "PX_MID")</f>
        <v>336.49984999999998</v>
      </c>
      <c r="Y5" t="b">
        <f>W5&gt;W4</f>
        <v>1</v>
      </c>
      <c r="AA5" s="39">
        <f ca="1">MOD($AA$2-Q15+12,12)</f>
        <v>0</v>
      </c>
      <c r="AB5" s="40">
        <f t="shared" ca="1" si="0"/>
        <v>46296</v>
      </c>
      <c r="AD5" s="10" t="s">
        <v>23</v>
      </c>
      <c r="AE5" s="13">
        <f t="shared" ca="1" si="1"/>
        <v>46278</v>
      </c>
      <c r="AF5" s="10" t="str">
        <f>_xll.BDP(AD5, "MATURITY")</f>
        <v>9/15/2028</v>
      </c>
      <c r="AG5" s="10">
        <f>_xll.BDP(AD5, "PX_LAST")</f>
        <v>2.58</v>
      </c>
      <c r="AH5" s="46" cm="1">
        <f t="array" ref="AH5">_xll.qwYield($E$8,LEFT(AD5,7))</f>
        <v>2.581E-2</v>
      </c>
      <c r="AI5" s="10">
        <f>AI4+1</f>
        <v>2</v>
      </c>
      <c r="AK5" s="14">
        <v>2</v>
      </c>
      <c r="AL5" s="14" t="s">
        <v>24</v>
      </c>
      <c r="AM5" s="14">
        <f>_xll.BDP(AL5, "PX_LAST")</f>
        <v>0.99819999999999998</v>
      </c>
    </row>
    <row r="6" spans="2:39" x14ac:dyDescent="0.25">
      <c r="E6" s="20"/>
      <c r="H6" s="20">
        <v>46247</v>
      </c>
      <c r="I6">
        <v>334.66970967741935</v>
      </c>
      <c r="J6" s="26">
        <f ca="1">IF((H6=$D$20),#REF!,0)</f>
        <v>0</v>
      </c>
      <c r="K6" s="26"/>
      <c r="L6" s="2">
        <f ca="1"/>
        <v>46173</v>
      </c>
      <c r="M6">
        <f ca="1"/>
        <v>335.12299999999999</v>
      </c>
      <c r="Q6">
        <v>10</v>
      </c>
      <c r="R6" s="9" t="s">
        <v>25</v>
      </c>
      <c r="S6" s="9" t="s">
        <v>26</v>
      </c>
      <c r="T6" s="12" cm="1">
        <f t="array" ref="T6">_xll.qwCalAddMonths("All",U6,-3)</f>
        <v>45931</v>
      </c>
      <c r="U6" s="12">
        <f>DATEVALUE(_xll.BDP(R6, "SWAP_EFFECTIVE_DATE_RT"))</f>
        <v>46023</v>
      </c>
      <c r="V6" s="12" cm="1">
        <f t="array" ref="V6">_xll.qwCalAddMonths("All",W6,-3)</f>
        <v>46296</v>
      </c>
      <c r="W6" s="12" cm="1">
        <f t="array" ref="W6">DATEVALUE((_xll.BDP(R6,"MATURITY")))</f>
        <v>46388</v>
      </c>
      <c r="X6" s="9">
        <f>_xll.BDP(R6, "PX_MID")</f>
        <v>336.63985000000002</v>
      </c>
      <c r="Y6" t="b">
        <f t="shared" ref="Y6:Y15" si="2">W6&gt;W5</f>
        <v>1</v>
      </c>
      <c r="AA6" s="39">
        <f t="shared" ref="AA6:AA15" ca="1" si="3">MOD($AA$2-Q4+12,12)</f>
        <v>11</v>
      </c>
      <c r="AB6" s="40">
        <f t="shared" ca="1" si="0"/>
        <v>45962</v>
      </c>
      <c r="AD6" s="10" t="s">
        <v>27</v>
      </c>
      <c r="AE6" s="13">
        <f t="shared" ca="1" si="1"/>
        <v>46278</v>
      </c>
      <c r="AF6" s="10" t="str">
        <f>_xll.BDP(AD6, "MATURITY")</f>
        <v>9/15/2029</v>
      </c>
      <c r="AG6" s="10">
        <f>_xll.BDP(AD6, "PX_LAST")</f>
        <v>2.57</v>
      </c>
      <c r="AH6" s="46" cm="1">
        <f t="array" ref="AH6">_xll.qwYield($E$8,LEFT(AD6,7))</f>
        <v>2.5709999999999997E-2</v>
      </c>
      <c r="AI6" s="10">
        <f t="shared" ref="AI6:AI13" si="4">AI5+1</f>
        <v>3</v>
      </c>
      <c r="AK6" s="14">
        <v>3</v>
      </c>
      <c r="AL6" s="14" t="s">
        <v>28</v>
      </c>
      <c r="AM6" s="14">
        <f>_xll.BDP(AL6, "PX_LAST")</f>
        <v>1.0009999999999999</v>
      </c>
    </row>
    <row r="7" spans="2:39" x14ac:dyDescent="0.25">
      <c r="E7" s="20"/>
      <c r="H7" s="20">
        <v>46246</v>
      </c>
      <c r="I7">
        <v>334.70748387096774</v>
      </c>
      <c r="J7" s="26">
        <f ca="1">IF((H7=$D$20),#REF!,0)</f>
        <v>0</v>
      </c>
      <c r="K7" s="26"/>
      <c r="L7" s="2">
        <f ca="1"/>
        <v>46142</v>
      </c>
      <c r="M7">
        <f ca="1"/>
        <v>333.02</v>
      </c>
      <c r="Q7">
        <v>11</v>
      </c>
      <c r="R7" s="9" t="s">
        <v>29</v>
      </c>
      <c r="S7" s="9" t="s">
        <v>30</v>
      </c>
      <c r="T7" s="12" cm="1">
        <f t="array" ref="T7">_xll.qwCalAddMonths("All",U7,-3)</f>
        <v>45962</v>
      </c>
      <c r="U7" s="12">
        <f>DATEVALUE(_xll.BDP(R7, "SWAP_EFFECTIVE_DATE_RT"))</f>
        <v>46054</v>
      </c>
      <c r="V7" s="12" cm="1">
        <f t="array" ref="V7">_xll.qwCalAddMonths("All",W7,-3)</f>
        <v>46327</v>
      </c>
      <c r="W7" s="12" cm="1">
        <f t="array" ref="W7">DATEVALUE((_xll.BDP(R7,"MATURITY")))</f>
        <v>46419</v>
      </c>
      <c r="X7" s="9">
        <f>_xll.BDP(R7, "PX_MID")</f>
        <v>336.06</v>
      </c>
      <c r="Y7" t="b">
        <f t="shared" si="2"/>
        <v>1</v>
      </c>
      <c r="AA7" s="39">
        <f t="shared" ca="1" si="3"/>
        <v>10</v>
      </c>
      <c r="AB7" s="40">
        <f t="shared" ca="1" si="0"/>
        <v>45992</v>
      </c>
      <c r="AD7" s="10" t="s">
        <v>31</v>
      </c>
      <c r="AE7" s="13">
        <f t="shared" ca="1" si="1"/>
        <v>46278</v>
      </c>
      <c r="AF7" s="10" t="str">
        <f>_xll.BDP(AD7, "MATURITY")</f>
        <v>9/15/2030</v>
      </c>
      <c r="AG7" s="10">
        <f>_xll.BDP(AD7, "PX_LAST")</f>
        <v>2.5581999999999998</v>
      </c>
      <c r="AH7" s="46" cm="1">
        <f t="array" ref="AH7">_xll.qwYield($E$8,LEFT(AD7,7))</f>
        <v>2.5587499999999999E-2</v>
      </c>
      <c r="AI7" s="10">
        <f t="shared" si="4"/>
        <v>4</v>
      </c>
      <c r="AK7" s="14">
        <v>4</v>
      </c>
      <c r="AL7" s="14" t="s">
        <v>32</v>
      </c>
      <c r="AM7" s="14">
        <f>_xll.BDP(AL7, "PX_LAST")</f>
        <v>1.0029999999999999</v>
      </c>
    </row>
    <row r="8" spans="2:39" x14ac:dyDescent="0.25">
      <c r="E8" t="str">
        <f>_xll.qwCtxTrade()</f>
        <v>ctx.46276.Live</v>
      </c>
      <c r="H8" s="20">
        <v>46245</v>
      </c>
      <c r="I8">
        <v>334.74525806451612</v>
      </c>
      <c r="J8" s="26">
        <f ca="1">IF((H8=$D$20),#REF!,0)</f>
        <v>0</v>
      </c>
      <c r="K8" s="26"/>
      <c r="L8" s="5">
        <f ca="1"/>
        <v>46112</v>
      </c>
      <c r="M8">
        <f ca="1"/>
        <v>330.21300000000002</v>
      </c>
      <c r="Q8">
        <v>12</v>
      </c>
      <c r="R8" s="31" t="s">
        <v>33</v>
      </c>
      <c r="S8" s="31" t="s">
        <v>34</v>
      </c>
      <c r="T8" s="32" cm="1">
        <f t="array" ref="T8">_xll.qwCalAddMonths("All",U8,-3)</f>
        <v>45992</v>
      </c>
      <c r="U8" s="32">
        <f>DATEVALUE(_xll.BDP(R8, "SWAP_EFFECTIVE_DATE_RT"))</f>
        <v>46082</v>
      </c>
      <c r="V8" s="32" cm="1">
        <f t="array" ref="V8">_xll.qwCalAddMonths("All",W8,-3)</f>
        <v>46357</v>
      </c>
      <c r="W8" s="32" cm="1">
        <f t="array" ref="W8">DATEVALUE((_xll.BDP(R8,"MATURITY")))</f>
        <v>46447</v>
      </c>
      <c r="X8" s="9">
        <f>_xll.BDP(R8, "PX_MID")</f>
        <v>335.97</v>
      </c>
      <c r="Y8" t="b">
        <f t="shared" si="2"/>
        <v>1</v>
      </c>
      <c r="AA8" s="39">
        <f t="shared" ca="1" si="3"/>
        <v>9</v>
      </c>
      <c r="AB8" s="40">
        <f t="shared" ca="1" si="0"/>
        <v>46023</v>
      </c>
      <c r="AD8" s="10" t="s">
        <v>35</v>
      </c>
      <c r="AE8" s="13">
        <f t="shared" ca="1" si="1"/>
        <v>46278</v>
      </c>
      <c r="AF8" s="10" t="str">
        <f>_xll.BDP(AD8, "MATURITY")</f>
        <v>9/15/2031</v>
      </c>
      <c r="AG8" s="17">
        <f>_xll.BDP(AD8, "PX_LAST")</f>
        <v>2.5459999999999998</v>
      </c>
      <c r="AH8" s="46" cm="1">
        <f t="array" ref="AH8">_xll.qwYield($E$8,LEFT(AD8,7))</f>
        <v>2.545E-2</v>
      </c>
      <c r="AI8" s="10">
        <f t="shared" si="4"/>
        <v>5</v>
      </c>
      <c r="AK8" s="14">
        <v>5</v>
      </c>
      <c r="AL8" s="14" t="s">
        <v>36</v>
      </c>
      <c r="AM8" s="14">
        <f>_xll.BDP(AL8, "PX_LAST")</f>
        <v>1.0029999999999999</v>
      </c>
    </row>
    <row r="9" spans="2:39" x14ac:dyDescent="0.25">
      <c r="D9" t="s">
        <v>37</v>
      </c>
      <c r="E9" s="1" t="s">
        <v>38</v>
      </c>
      <c r="H9" s="20">
        <v>46244</v>
      </c>
      <c r="I9">
        <v>334.78303225806451</v>
      </c>
      <c r="J9" s="26">
        <f ca="1">IF((H9=$D$20),#REF!,0)</f>
        <v>0</v>
      </c>
      <c r="K9" s="26"/>
      <c r="L9" s="5">
        <f ca="1"/>
        <v>46081</v>
      </c>
      <c r="M9">
        <f ca="1"/>
        <v>326.78500000000003</v>
      </c>
      <c r="Q9">
        <v>1</v>
      </c>
      <c r="R9" s="9" t="s">
        <v>39</v>
      </c>
      <c r="S9" s="9" t="s">
        <v>40</v>
      </c>
      <c r="T9" s="12" cm="1">
        <f t="array" ref="T9">_xll.qwCalAddMonths("All",U9,-3)</f>
        <v>46023</v>
      </c>
      <c r="U9" s="12">
        <f>DATEVALUE(_xll.BDP(R9, "SWAP_EFFECTIVE_DATE_RT"))</f>
        <v>46113</v>
      </c>
      <c r="V9" s="12" cm="1">
        <f t="array" ref="V9">_xll.qwCalAddMonths("All",W9,-3)</f>
        <v>46388</v>
      </c>
      <c r="W9" s="12" cm="1">
        <f t="array" ref="W9">DATEVALUE((_xll.BDP(R9,"MATURITY")))</f>
        <v>46478</v>
      </c>
      <c r="X9" s="9">
        <f>_xll.BDP(R9, "PX_MID")</f>
        <v>337.17005</v>
      </c>
      <c r="Y9" t="b">
        <f t="shared" si="2"/>
        <v>1</v>
      </c>
      <c r="AA9" s="39">
        <f t="shared" ca="1" si="3"/>
        <v>8</v>
      </c>
      <c r="AB9" s="40">
        <f t="shared" ca="1" si="0"/>
        <v>46054</v>
      </c>
      <c r="AD9" s="10" t="s">
        <v>41</v>
      </c>
      <c r="AE9" s="13">
        <f t="shared" ca="1" si="1"/>
        <v>46278</v>
      </c>
      <c r="AF9" s="10" t="str">
        <f>_xll.BDP(AD9, "MATURITY")</f>
        <v>9/15/2032</v>
      </c>
      <c r="AG9" s="10">
        <f>_xll.BDP(AD9, "PX_LAST")</f>
        <v>2.5310000000000001</v>
      </c>
      <c r="AH9" s="46" cm="1">
        <f t="array" ref="AH9">_xll.qwYield($E$8,LEFT(AD9,7))</f>
        <v>2.53E-2</v>
      </c>
      <c r="AI9" s="10">
        <f t="shared" si="4"/>
        <v>6</v>
      </c>
      <c r="AK9" s="14">
        <v>6</v>
      </c>
      <c r="AL9" s="14" t="s">
        <v>42</v>
      </c>
      <c r="AM9" s="14">
        <f>_xll.BDP(AL9, "PX_LAST")</f>
        <v>1.0029999999999999</v>
      </c>
    </row>
    <row r="10" spans="2:39" x14ac:dyDescent="0.25">
      <c r="D10" t="s">
        <v>43</v>
      </c>
      <c r="E10" s="20">
        <f ca="1">TODAY()-B1</f>
        <v>46276</v>
      </c>
      <c r="H10" s="20">
        <v>46241</v>
      </c>
      <c r="I10">
        <v>334.89634999999998</v>
      </c>
      <c r="J10" s="26">
        <f ca="1">IF((H10=$D$20),#REF!,0)</f>
        <v>0</v>
      </c>
      <c r="K10" s="26"/>
      <c r="L10" s="5">
        <f ca="1"/>
        <v>46053</v>
      </c>
      <c r="M10">
        <f ca="1"/>
        <v>325.25200000000001</v>
      </c>
      <c r="Q10">
        <v>2</v>
      </c>
      <c r="R10" s="9" t="s">
        <v>44</v>
      </c>
      <c r="S10" s="9" t="s">
        <v>45</v>
      </c>
      <c r="T10" s="12" cm="1">
        <f t="array" ref="T10">_xll.qwCalAddMonths("All",U10,-3)</f>
        <v>46054</v>
      </c>
      <c r="U10" s="12">
        <f>DATEVALUE(_xll.BDP(R10, "SWAP_EFFECTIVE_DATE_RT"))</f>
        <v>46143</v>
      </c>
      <c r="V10" s="12" cm="1">
        <f t="array" ref="V10">_xll.qwCalAddMonths("All",W10,-3)</f>
        <v>46419</v>
      </c>
      <c r="W10" s="12" cm="1">
        <f t="array" ref="W10">DATEVALUE((_xll.BDP(R10,"MATURITY")))</f>
        <v>46508</v>
      </c>
      <c r="X10" s="9">
        <f>_xll.BDP(R10, "PX_MID")</f>
        <v>338.30995000000001</v>
      </c>
      <c r="Y10" t="b">
        <f t="shared" si="2"/>
        <v>1</v>
      </c>
      <c r="AA10" s="39">
        <f t="shared" ca="1" si="3"/>
        <v>7</v>
      </c>
      <c r="AB10" s="40">
        <f t="shared" ca="1" si="0"/>
        <v>46082</v>
      </c>
      <c r="AD10" s="10" t="s">
        <v>46</v>
      </c>
      <c r="AE10" s="13">
        <f t="shared" ca="1" si="1"/>
        <v>46278</v>
      </c>
      <c r="AF10" s="10" t="str">
        <f>_xll.BDP(AD10, "MATURITY")</f>
        <v>9/15/2033</v>
      </c>
      <c r="AG10" s="10">
        <f>_xll.BDP(AD10, "PX_LAST")</f>
        <v>2.5148999999999999</v>
      </c>
      <c r="AH10" s="46" cm="1">
        <f t="array" ref="AH10">_xll.qwYield($E$8,LEFT(AD10,7))</f>
        <v>2.5161500000000003E-2</v>
      </c>
      <c r="AI10" s="10">
        <f t="shared" si="4"/>
        <v>7</v>
      </c>
      <c r="AK10" s="14">
        <v>7</v>
      </c>
      <c r="AL10" s="14" t="s">
        <v>47</v>
      </c>
      <c r="AM10" s="14">
        <f>_xll.BDP(AL10, "PX_LAST")</f>
        <v>1.002</v>
      </c>
    </row>
    <row r="11" spans="2:39" x14ac:dyDescent="0.25">
      <c r="D11" t="s">
        <v>0</v>
      </c>
      <c r="E11" s="20" cm="1">
        <f t="array" aca="1" ref="E11" ca="1">_xll.qwCalAddBusDays("US",strippingDate,2)</f>
        <v>46280</v>
      </c>
      <c r="H11" s="20">
        <v>46240</v>
      </c>
      <c r="I11">
        <v>334.93412999999998</v>
      </c>
      <c r="J11" s="26">
        <f ca="1">IF((H11=$D$20),#REF!,0)</f>
        <v>0</v>
      </c>
      <c r="K11" s="26"/>
      <c r="L11" s="5">
        <f ca="1"/>
        <v>46022</v>
      </c>
      <c r="M11">
        <f ca="1"/>
        <v>324.05399999999997</v>
      </c>
      <c r="Q11">
        <v>3</v>
      </c>
      <c r="R11" s="9" t="s">
        <v>48</v>
      </c>
      <c r="S11" s="9" t="s">
        <v>49</v>
      </c>
      <c r="T11" s="12" cm="1">
        <f t="array" ref="T11">_xll.qwCalAddMonths("All",U11,-3)</f>
        <v>46082</v>
      </c>
      <c r="U11" s="12">
        <f>DATEVALUE(_xll.BDP(R11, "SWAP_EFFECTIVE_DATE_RT"))</f>
        <v>46174</v>
      </c>
      <c r="V11" s="12" cm="1">
        <f t="array" ref="V11">_xll.qwCalAddMonths("All",W11,-3)</f>
        <v>46447</v>
      </c>
      <c r="W11" s="12" cm="1">
        <f t="array" ref="W11">DATEVALUE((_xll.BDP(R11,"MATURITY")))</f>
        <v>46539</v>
      </c>
      <c r="X11" s="9">
        <f>_xll.BDP(R11, "PX_MID")</f>
        <v>339.69</v>
      </c>
      <c r="Y11" t="b">
        <f t="shared" si="2"/>
        <v>1</v>
      </c>
      <c r="AA11" s="39">
        <f t="shared" ca="1" si="3"/>
        <v>6</v>
      </c>
      <c r="AB11" s="40">
        <f t="shared" ca="1" si="0"/>
        <v>46113</v>
      </c>
      <c r="AD11" s="10" t="s">
        <v>50</v>
      </c>
      <c r="AE11" s="13">
        <f t="shared" ca="1" si="1"/>
        <v>46278</v>
      </c>
      <c r="AF11" s="10" t="str">
        <f>_xll.BDP(AD11, "MATURITY")</f>
        <v>9/15/2034</v>
      </c>
      <c r="AG11" s="10">
        <f>_xll.BDP(AD11, "PX_LAST")</f>
        <v>2.5019</v>
      </c>
      <c r="AH11" s="46" cm="1">
        <f t="array" ref="AH11">_xll.qwYield($E$8,LEFT(AD11,7))</f>
        <v>2.5038000000000001E-2</v>
      </c>
      <c r="AI11" s="10">
        <f t="shared" si="4"/>
        <v>8</v>
      </c>
      <c r="AK11" s="14">
        <v>8</v>
      </c>
      <c r="AL11" s="14" t="s">
        <v>51</v>
      </c>
      <c r="AM11" s="14">
        <f>_xll.BDP(AL11, "PX_LAST")</f>
        <v>1.002</v>
      </c>
    </row>
    <row r="12" spans="2:39" x14ac:dyDescent="0.25">
      <c r="D12" t="s">
        <v>52</v>
      </c>
      <c r="E12" s="20" cm="1">
        <f t="array" aca="1" ref="E12" ca="1">IF(MONTH(strippingDate)=MONTH(spotDate),EOMONTH(_xll.qwCalAddMonths("US",E10,-3),0),EOMONTH(_xll.qwCalAddMonths("US",E11,-3),0))</f>
        <v>46203</v>
      </c>
      <c r="H12" s="20">
        <v>46239</v>
      </c>
      <c r="I12">
        <v>334.97190000000001</v>
      </c>
      <c r="J12" s="26">
        <f ca="1">IF((H12=$D$20),#REF!,0)</f>
        <v>0</v>
      </c>
      <c r="K12" s="26"/>
      <c r="L12" s="5">
        <f ca="1"/>
        <v>45991</v>
      </c>
      <c r="M12">
        <f ca="1"/>
        <v>324.12200000000001</v>
      </c>
      <c r="Q12">
        <v>4</v>
      </c>
      <c r="R12" s="6" t="s">
        <v>53</v>
      </c>
      <c r="S12" s="6" t="s">
        <v>54</v>
      </c>
      <c r="T12" s="45" cm="1">
        <f t="array" ref="T12">_xll.qwCalAddMonths("All",U12,-3)</f>
        <v>46113</v>
      </c>
      <c r="U12" s="45">
        <f>DATEVALUE(_xll.BDP(R12, "SWAP_EFFECTIVE_DATE_RT"))</f>
        <v>46204</v>
      </c>
      <c r="V12" s="45" cm="1">
        <f t="array" ref="V12">_xll.qwCalAddMonths("All",W12,-3)</f>
        <v>46478</v>
      </c>
      <c r="W12" s="45" cm="1">
        <f t="array" ref="W12">DATEVALUE((_xll.BDP(R12,"MATURITY")))</f>
        <v>46569</v>
      </c>
      <c r="X12" s="9">
        <f>_xll.BDP(R12, "PX_MID")</f>
        <v>340.6499</v>
      </c>
      <c r="Y12" t="b">
        <f t="shared" si="2"/>
        <v>1</v>
      </c>
      <c r="AA12" s="39">
        <f t="shared" ca="1" si="3"/>
        <v>5</v>
      </c>
      <c r="AB12" s="40">
        <f t="shared" ca="1" si="0"/>
        <v>46143</v>
      </c>
      <c r="AD12" s="10" t="s">
        <v>55</v>
      </c>
      <c r="AE12" s="13">
        <f t="shared" ca="1" si="1"/>
        <v>46278</v>
      </c>
      <c r="AF12" s="10" t="str">
        <f>_xll.BDP(AD12, "MATURITY")</f>
        <v>9/15/2035</v>
      </c>
      <c r="AG12" s="10">
        <f>_xll.BDP(AD12, "PX_LAST")</f>
        <v>2.4912000000000001</v>
      </c>
      <c r="AH12" s="46" cm="1">
        <f t="array" ref="AH12">_xll.qwYield($E$8,LEFT(AD12,7))</f>
        <v>2.49365E-2</v>
      </c>
      <c r="AI12" s="10">
        <f t="shared" si="4"/>
        <v>9</v>
      </c>
      <c r="AK12" s="14">
        <v>9</v>
      </c>
      <c r="AL12" s="14" t="s">
        <v>56</v>
      </c>
      <c r="AM12" s="14">
        <f>_xll.BDP(AL12, "PX_LAST")</f>
        <v>1.002</v>
      </c>
    </row>
    <row r="13" spans="2:39" x14ac:dyDescent="0.25">
      <c r="D13" t="s">
        <v>57</v>
      </c>
      <c r="E13" t="s">
        <v>58</v>
      </c>
      <c r="H13" s="20">
        <v>46238</v>
      </c>
      <c r="I13">
        <v>335.00968</v>
      </c>
      <c r="J13" s="26">
        <f ca="1">IF((H13=$D$20),#REF!,0)</f>
        <v>0</v>
      </c>
      <c r="K13" s="26"/>
      <c r="L13" s="5">
        <f ca="1"/>
        <v>45930</v>
      </c>
      <c r="M13">
        <f ca="1"/>
        <v>324.8</v>
      </c>
      <c r="Q13">
        <v>5</v>
      </c>
      <c r="R13" s="9" t="s">
        <v>59</v>
      </c>
      <c r="S13" s="9" t="s">
        <v>60</v>
      </c>
      <c r="T13" s="12" cm="1">
        <f t="array" ref="T13">_xll.qwCalAddMonths("All",U13,-3)</f>
        <v>46143</v>
      </c>
      <c r="U13" s="12">
        <f>DATEVALUE(_xll.BDP(R13, "SWAP_EFFECTIVE_DATE_RT"))</f>
        <v>46235</v>
      </c>
      <c r="V13" s="12" cm="1">
        <f t="array" ref="V13">_xll.qwCalAddMonths("All",W13,-3)</f>
        <v>46508</v>
      </c>
      <c r="W13" s="12" cm="1">
        <f t="array" ref="W13">DATEVALUE((_xll.BDP(R13,"MATURITY")))</f>
        <v>46600</v>
      </c>
      <c r="X13" s="9">
        <f>_xll.BDP(R13, "PX_MID")</f>
        <v>341.63</v>
      </c>
      <c r="Y13" t="b">
        <f t="shared" si="2"/>
        <v>1</v>
      </c>
      <c r="AA13" s="39">
        <f t="shared" ca="1" si="3"/>
        <v>4</v>
      </c>
      <c r="AB13" s="40">
        <f t="shared" ca="1" si="0"/>
        <v>46174</v>
      </c>
      <c r="AD13" s="10" t="s">
        <v>61</v>
      </c>
      <c r="AE13" s="13">
        <f t="shared" ca="1" si="1"/>
        <v>46278</v>
      </c>
      <c r="AF13" s="10" t="str">
        <f>_xll.BDP(AD13, "MATURITY")</f>
        <v>9/15/2036</v>
      </c>
      <c r="AG13" s="10">
        <f>_xll.BDP(AD13, "PX_LAST")</f>
        <v>2.4866999999999999</v>
      </c>
      <c r="AH13" s="46" cm="1">
        <f t="array" ref="AH13">_xll.qwYield($E$8,LEFT(AD13,7))</f>
        <v>2.5824E-2</v>
      </c>
      <c r="AI13" s="10">
        <f t="shared" si="4"/>
        <v>10</v>
      </c>
      <c r="AK13" s="14">
        <v>10</v>
      </c>
      <c r="AL13" s="14" t="s">
        <v>62</v>
      </c>
      <c r="AM13" s="14">
        <f>_xll.BDP(AL13, "PX_LAST")</f>
        <v>1</v>
      </c>
    </row>
    <row r="14" spans="2:39" x14ac:dyDescent="0.25">
      <c r="D14" t="s">
        <v>63</v>
      </c>
      <c r="E14">
        <v>3</v>
      </c>
      <c r="H14" s="20">
        <v>46237</v>
      </c>
      <c r="I14">
        <v>335.04745000000003</v>
      </c>
      <c r="J14" s="26">
        <f ca="1">IF((H14=$D$20),#REF!,0)</f>
        <v>0</v>
      </c>
      <c r="K14" s="26"/>
      <c r="L14" s="5">
        <f ca="1"/>
        <v>45900</v>
      </c>
      <c r="M14">
        <f ca="1"/>
        <v>323.976</v>
      </c>
      <c r="Q14">
        <v>6</v>
      </c>
      <c r="R14" s="9" t="s">
        <v>64</v>
      </c>
      <c r="S14" s="9" t="s">
        <v>65</v>
      </c>
      <c r="T14" s="12" cm="1">
        <f t="array" ref="T14">_xll.qwCalAddMonths("All",U14,-3)</f>
        <v>46174</v>
      </c>
      <c r="U14" s="12">
        <f>DATEVALUE(_xll.BDP(R14, "SWAP_EFFECTIVE_DATE_RT"))</f>
        <v>46266</v>
      </c>
      <c r="V14" s="12" cm="1">
        <f t="array" ref="V14">_xll.qwCalAddMonths("All",W14,-3)</f>
        <v>46539</v>
      </c>
      <c r="W14" s="12" cm="1">
        <f t="array" ref="W14">DATEVALUE((_xll.BDP(R14,"MATURITY")))</f>
        <v>46631</v>
      </c>
      <c r="X14" s="35">
        <f>_xll.BDP(R14, "PX_MID")</f>
        <v>342.48</v>
      </c>
      <c r="Y14" t="b">
        <f t="shared" si="2"/>
        <v>1</v>
      </c>
      <c r="AA14" s="39">
        <f t="shared" ca="1" si="3"/>
        <v>3</v>
      </c>
      <c r="AB14" s="40">
        <f t="shared" ca="1" si="0"/>
        <v>46204</v>
      </c>
      <c r="AD14" s="10" t="s">
        <v>66</v>
      </c>
      <c r="AE14" s="13">
        <f t="shared" ca="1" si="1"/>
        <v>46278</v>
      </c>
      <c r="AF14" s="10" t="str">
        <f>_xll.BDP(AD14, "MATURITY")</f>
        <v>9/15/2041</v>
      </c>
      <c r="AG14" s="10">
        <f>_xll.BDP(AD14, "PX_LAST")</f>
        <v>2.4542999999999999</v>
      </c>
      <c r="AH14" s="46" cm="1">
        <f t="array" ref="AH14">_xll.qwYield($E$8,LEFT(AD14,7))</f>
        <v>2.5824E-2</v>
      </c>
      <c r="AI14" s="10">
        <v>15</v>
      </c>
      <c r="AK14" s="14">
        <v>11</v>
      </c>
      <c r="AL14" s="14" t="s">
        <v>67</v>
      </c>
      <c r="AM14" s="14">
        <f>_xll.BDP(AL14, "PX_LAST")</f>
        <v>0.997</v>
      </c>
    </row>
    <row r="15" spans="2:39" x14ac:dyDescent="0.25">
      <c r="H15" s="20">
        <v>46234</v>
      </c>
      <c r="I15">
        <v>335.05516129032259</v>
      </c>
      <c r="J15" s="26">
        <f ca="1">IF((H15=$D$20),#REF!,0)</f>
        <v>0</v>
      </c>
      <c r="K15" s="26"/>
      <c r="L15" s="2">
        <f ca="1"/>
        <v>45869</v>
      </c>
      <c r="M15">
        <f ca="1"/>
        <v>323.048</v>
      </c>
      <c r="Q15">
        <v>7</v>
      </c>
      <c r="R15" s="9" t="s">
        <v>68</v>
      </c>
      <c r="S15" s="9" t="s">
        <v>69</v>
      </c>
      <c r="T15" s="12" cm="1">
        <f t="array" ref="T15">_xll.qwCalAddMonths("All",U15,-3)</f>
        <v>46204</v>
      </c>
      <c r="U15" s="12">
        <f>DATEVALUE(_xll.BDP(R15, "SWAP_EFFECTIVE_DATE_RT"))</f>
        <v>46296</v>
      </c>
      <c r="V15" s="12" cm="1">
        <f t="array" ref="V15">_xll.qwCalAddMonths("All",W15,-3)</f>
        <v>46569</v>
      </c>
      <c r="W15" s="12" cm="1">
        <f t="array" ref="W15">DATEVALUE((_xll.BDP(R15,"MATURITY")))</f>
        <v>46661</v>
      </c>
      <c r="X15" s="9">
        <f>_xll.BDP(R15, "PX_MID")</f>
        <v>342.75</v>
      </c>
      <c r="Y15" t="b">
        <f t="shared" si="2"/>
        <v>1</v>
      </c>
      <c r="AA15" s="39">
        <f t="shared" ca="1" si="3"/>
        <v>2</v>
      </c>
      <c r="AB15" s="40">
        <f t="shared" ca="1" si="0"/>
        <v>46235</v>
      </c>
      <c r="AD15" s="10" t="s">
        <v>70</v>
      </c>
      <c r="AE15" s="13">
        <f t="shared" ca="1" si="1"/>
        <v>46278</v>
      </c>
      <c r="AF15" s="10" t="str">
        <f>_xll.BDP(AD15, "MATURITY")</f>
        <v>9/15/2046</v>
      </c>
      <c r="AG15" s="10">
        <f>_xll.BDP(AD15, "PX_LAST")</f>
        <v>2.4260999999999999</v>
      </c>
      <c r="AH15" s="46" cm="1">
        <f t="array" ref="AH15">_xll.qwYield($E$8,LEFT(AD15,7))</f>
        <v>2.581E-2</v>
      </c>
      <c r="AI15" s="10">
        <v>20</v>
      </c>
      <c r="AK15" s="14">
        <v>12</v>
      </c>
      <c r="AL15" s="14" t="s">
        <v>71</v>
      </c>
      <c r="AM15" s="14">
        <f>_xll.BDP(AL15, "PX_LAST")</f>
        <v>0.995</v>
      </c>
    </row>
    <row r="16" spans="2:39" x14ac:dyDescent="0.25">
      <c r="B16" s="2"/>
      <c r="C16" s="2"/>
      <c r="H16" s="20">
        <v>46233</v>
      </c>
      <c r="I16">
        <v>334.98732000000001</v>
      </c>
      <c r="J16" s="26">
        <f ca="1">IF((H16=$D$20),#REF!,0)</f>
        <v>0</v>
      </c>
      <c r="K16" s="26"/>
      <c r="L16" s="5">
        <f ca="1"/>
        <v>45838</v>
      </c>
      <c r="M16">
        <f ca="1"/>
        <v>322.56099999999998</v>
      </c>
      <c r="AD16" s="10" t="s">
        <v>72</v>
      </c>
      <c r="AE16" s="13">
        <f t="shared" ca="1" si="1"/>
        <v>46278</v>
      </c>
      <c r="AF16" s="10" t="str">
        <f>_xll.BDP(AD16, "MATURITY")</f>
        <v>9/15/2051</v>
      </c>
      <c r="AG16" s="10">
        <f>_xll.BDP(AD16, "PX_LAST")</f>
        <v>2.395</v>
      </c>
      <c r="AH16" s="46" cm="1">
        <f t="array" ref="AH16">_xll.qwYield($E$8,LEFT(AD16,7))</f>
        <v>2.581E-2</v>
      </c>
      <c r="AI16" s="10">
        <v>25</v>
      </c>
    </row>
    <row r="17" spans="1:35" x14ac:dyDescent="0.25">
      <c r="E17" s="3"/>
      <c r="H17" s="20">
        <v>46232</v>
      </c>
      <c r="I17">
        <v>334.91948000000002</v>
      </c>
      <c r="J17" s="26">
        <f ca="1">IF((H17=$D$20),#REF!,0)</f>
        <v>0</v>
      </c>
      <c r="K17" s="26"/>
      <c r="L17" s="5">
        <f ca="1"/>
        <v>45808</v>
      </c>
      <c r="M17">
        <f ca="1"/>
        <v>321.46499999999997</v>
      </c>
      <c r="O17"/>
      <c r="AD17" s="10" t="s">
        <v>73</v>
      </c>
      <c r="AE17" s="13">
        <f t="shared" ca="1" si="1"/>
        <v>46278</v>
      </c>
      <c r="AF17" s="10" t="str">
        <f>_xll.BDP(AD17, "MATURITY")</f>
        <v>9/15/2056</v>
      </c>
      <c r="AG17" s="10">
        <f>_xll.BDP(AD17, "PX_LAST")</f>
        <v>2.391</v>
      </c>
      <c r="AH17" s="46" cm="1">
        <f t="array" ref="AH17">_xll.qwYield($E$8,LEFT(AD17,7))</f>
        <v>2.5709999999999997E-2</v>
      </c>
      <c r="AI17" s="10">
        <v>30</v>
      </c>
    </row>
    <row r="18" spans="1:35" x14ac:dyDescent="0.25">
      <c r="E18" s="3"/>
      <c r="F18" s="26"/>
      <c r="H18" s="20">
        <v>46231</v>
      </c>
      <c r="I18">
        <v>334.85165000000001</v>
      </c>
      <c r="J18" s="26">
        <f ca="1">IF((H18=$D$20),#REF!,0)</f>
        <v>0</v>
      </c>
      <c r="K18" s="26"/>
      <c r="L18" s="5">
        <f ca="1"/>
        <v>45777</v>
      </c>
      <c r="M18" s="4">
        <f ca="1"/>
        <v>320.79500000000002</v>
      </c>
      <c r="N18" s="4"/>
    </row>
    <row r="19" spans="1:35" x14ac:dyDescent="0.25">
      <c r="C19" t="s">
        <v>74</v>
      </c>
      <c r="D19" t="s">
        <v>75</v>
      </c>
      <c r="E19" t="s">
        <v>77</v>
      </c>
      <c r="H19" s="20">
        <v>46230</v>
      </c>
      <c r="I19">
        <v>334.78381000000002</v>
      </c>
      <c r="J19" s="26">
        <f ca="1">IF((H19=$D$20),#REF!,0)</f>
        <v>0</v>
      </c>
      <c r="K19" s="26"/>
      <c r="L19" s="5">
        <f ca="1"/>
        <v>45747</v>
      </c>
      <c r="M19">
        <f ca="1"/>
        <v>319.79899999999998</v>
      </c>
    </row>
    <row r="20" spans="1:35" x14ac:dyDescent="0.25">
      <c r="B20" s="6">
        <f t="shared" ref="B20" ca="1" si="5">D20-$E$10</f>
        <v>4</v>
      </c>
      <c r="C20" s="34">
        <f ca="1">DATE(YEAR(D20), MONTH(D20)-3,15)</f>
        <v>46188</v>
      </c>
      <c r="D20" s="23">
        <f ca="1">E11</f>
        <v>46280</v>
      </c>
      <c r="E20" s="44" cm="1">
        <f t="array" aca="1" ref="E20" ca="1">_xll.qwCurveForwardCPI($E$8,"CPURNSA",D20)</f>
        <v>333.93612999999999</v>
      </c>
      <c r="H20" s="20">
        <v>46227</v>
      </c>
      <c r="I20">
        <v>334.58028999999999</v>
      </c>
      <c r="J20" s="26">
        <f ca="1">IF((H20=$D$20),#REF!,0)</f>
        <v>0</v>
      </c>
      <c r="K20" s="26"/>
      <c r="L20" s="5">
        <f ca="1"/>
        <v>45716</v>
      </c>
      <c r="M20">
        <f ca="1"/>
        <v>319.08199999999999</v>
      </c>
      <c r="O20" s="3">
        <v>0</v>
      </c>
      <c r="P20" s="2">
        <f t="shared" ref="P20:P51" ca="1" si="6">O20+$E$10</f>
        <v>46276</v>
      </c>
      <c r="Q20" t="e" cm="1">
        <f t="array" aca="1" ref="Q20" ca="1">_xll.qwDataInterp(O20,$B$20:$B$44,#REF!,4)</f>
        <v>#NUM!</v>
      </c>
      <c r="R20" s="3" t="e">
        <f t="shared" ref="R20:R51" ca="1" si="7">VLOOKUP(MONTH(P20),$AK$4:$AM$15,3,0)*Q20</f>
        <v>#NUM!</v>
      </c>
    </row>
    <row r="21" spans="1:35" ht="14.25" customHeight="1" x14ac:dyDescent="0.25">
      <c r="A21" t="str">
        <f ca="1">TRUNC(B21/30)&amp;"M"</f>
        <v>1M</v>
      </c>
      <c r="B21" s="9">
        <f ca="1">D21-$E$10</f>
        <v>32</v>
      </c>
      <c r="C21" s="33"/>
      <c r="D21" s="24" cm="1">
        <f t="array" aca="1" ref="D21" ca="1">_xll.qwCalAddMonths("US",E10,1)</f>
        <v>46308</v>
      </c>
      <c r="E21" s="44" cm="1">
        <f t="array" aca="1" ref="E21" ca="1">_xll.qwCurveForwardCPI($E$8,"CPURNSA",D21)</f>
        <v>339.5384355319149</v>
      </c>
      <c r="H21" s="20">
        <v>46226</v>
      </c>
      <c r="I21">
        <v>334.51245</v>
      </c>
      <c r="J21" s="26">
        <f ca="1">IF((H21=$D$20),#REF!,0)</f>
        <v>0</v>
      </c>
      <c r="K21" s="26"/>
      <c r="L21" s="5">
        <f ca="1"/>
        <v>45688</v>
      </c>
      <c r="M21" s="4">
        <f ca="1"/>
        <v>317.67099999999999</v>
      </c>
      <c r="N21" s="4"/>
      <c r="O21" s="3">
        <f>O20+100</f>
        <v>100</v>
      </c>
      <c r="P21" s="2">
        <f t="shared" ca="1" si="6"/>
        <v>46376</v>
      </c>
      <c r="Q21" t="e" cm="1">
        <f t="array" aca="1" ref="Q21" ca="1">_xll.qwDataInterp(O21,$B$20:$B$44,#REF!,4)</f>
        <v>#NUM!</v>
      </c>
      <c r="R21" s="3" t="e">
        <f t="shared" ca="1" si="7"/>
        <v>#NUM!</v>
      </c>
      <c r="S21" t="e">
        <f ca="1">EXP(LN(Q21/$Q$20)*1/((P21-$P$20)/365))-1</f>
        <v>#NUM!</v>
      </c>
    </row>
    <row r="22" spans="1:35" x14ac:dyDescent="0.25">
      <c r="A22" t="str">
        <f ca="1">TRUNC(B22/30)&amp;"M"</f>
        <v>1M</v>
      </c>
      <c r="B22" s="9">
        <f ca="1">D22-$E$10</f>
        <v>51</v>
      </c>
      <c r="C22" s="33">
        <f t="shared" ref="C22:C32" si="8">DATE(YEAR(W4), MONTH(W4)-3,15)</f>
        <v>46249</v>
      </c>
      <c r="D22" s="24">
        <f t="shared" ref="D22:D32" si="9">DATE(YEAR(W4), MONTH(W4),DAY(W4))</f>
        <v>46327</v>
      </c>
      <c r="E22" s="44" cm="1">
        <f t="array" ref="E22">_xll.qwCurveForwardCPI($E$8,"CPURNSA",D22)</f>
        <v>343.34</v>
      </c>
      <c r="H22" s="20">
        <v>46225</v>
      </c>
      <c r="I22">
        <v>334.44461290322579</v>
      </c>
      <c r="J22" s="26">
        <f ca="1">IF((H22=$D$20),#REF!,0)</f>
        <v>0</v>
      </c>
      <c r="K22" s="26"/>
      <c r="L22" s="5">
        <f ca="1"/>
        <v>45657</v>
      </c>
      <c r="M22" s="4">
        <f ca="1"/>
        <v>315.60500000000002</v>
      </c>
      <c r="N22" s="4"/>
      <c r="O22" s="3">
        <f>O21+100</f>
        <v>200</v>
      </c>
      <c r="P22" s="2">
        <f ca="1">O22+$E$10</f>
        <v>46476</v>
      </c>
      <c r="Q22" t="e" cm="1">
        <f t="array" aca="1" ref="Q22" ca="1">_xll.qwDataInterp(O22,$B$20:$B$44,#REF!,4)</f>
        <v>#NUM!</v>
      </c>
      <c r="R22" s="3" t="e">
        <f t="shared" ca="1" si="7"/>
        <v>#NUM!</v>
      </c>
      <c r="S22" t="e">
        <f ca="1">EXP(LN(Q22/$Q$20)*1/((P22-$P$20)/365))-1</f>
        <v>#NUM!</v>
      </c>
    </row>
    <row r="23" spans="1:35" x14ac:dyDescent="0.25">
      <c r="A23" t="str">
        <f t="shared" ref="A23:A31" ca="1" si="10">TRUNC(B23/30)&amp;"M"</f>
        <v>2M</v>
      </c>
      <c r="B23" s="9">
        <f ca="1">D23-$E$10</f>
        <v>81</v>
      </c>
      <c r="C23" s="33">
        <f t="shared" si="8"/>
        <v>46280</v>
      </c>
      <c r="D23" s="24">
        <f t="shared" si="9"/>
        <v>46357</v>
      </c>
      <c r="E23" s="44" cm="1">
        <f t="array" ref="E23">_xll.qwCurveForwardCPI($E$8,"CPURNSA",D23)</f>
        <v>336.49990000000003</v>
      </c>
      <c r="H23" s="20">
        <v>46224</v>
      </c>
      <c r="I23">
        <v>334.37677419354839</v>
      </c>
      <c r="J23" s="26">
        <f ca="1">IF((H23=$D$20),#REF!,0)</f>
        <v>0</v>
      </c>
      <c r="K23" s="26"/>
      <c r="L23" s="5">
        <f ca="1"/>
        <v>45626</v>
      </c>
      <c r="M23" s="4">
        <f ca="1"/>
        <v>315.49299999999999</v>
      </c>
      <c r="N23" s="4"/>
      <c r="O23" s="3">
        <f>O22+100</f>
        <v>300</v>
      </c>
      <c r="P23" s="2">
        <f t="shared" ca="1" si="6"/>
        <v>46576</v>
      </c>
      <c r="Q23" t="e" cm="1">
        <f t="array" aca="1" ref="Q23" ca="1">_xll.qwDataInterp(O23,$B$20:$B$44,#REF!,4)</f>
        <v>#NUM!</v>
      </c>
      <c r="R23" s="3" t="e">
        <f t="shared" ca="1" si="7"/>
        <v>#NUM!</v>
      </c>
      <c r="S23" t="e">
        <f t="shared" ref="S23:S52" ca="1" si="11">EXP(LN(Q23/$Q$20)*1/((P23-$P$20)/365))-1</f>
        <v>#NUM!</v>
      </c>
    </row>
    <row r="24" spans="1:35" x14ac:dyDescent="0.25">
      <c r="A24" t="str">
        <f t="shared" ca="1" si="10"/>
        <v>3M</v>
      </c>
      <c r="B24" s="9">
        <f t="shared" ref="B24:B32" ca="1" si="12">D24-$E$10</f>
        <v>112</v>
      </c>
      <c r="C24" s="33">
        <f t="shared" si="8"/>
        <v>46310</v>
      </c>
      <c r="D24" s="24">
        <f t="shared" si="9"/>
        <v>46388</v>
      </c>
      <c r="E24" s="44" cm="1">
        <f t="array" ref="E24">_xll.qwCurveForwardCPI($E$8,"CPURNSA",D24)</f>
        <v>336.64005000000003</v>
      </c>
      <c r="H24" s="20">
        <v>46223</v>
      </c>
      <c r="I24">
        <v>334.30894000000001</v>
      </c>
      <c r="J24" s="26">
        <f ca="1">IF((H24=$D$20),#REF!,0)</f>
        <v>0</v>
      </c>
      <c r="K24" s="26"/>
      <c r="L24" s="5">
        <f ca="1"/>
        <v>45596</v>
      </c>
      <c r="M24" s="4">
        <f ca="1"/>
        <v>315.66399999999999</v>
      </c>
      <c r="N24" s="4"/>
      <c r="O24" s="3">
        <f t="shared" ref="O24:O85" si="13">O23+100</f>
        <v>400</v>
      </c>
      <c r="P24" s="2">
        <f t="shared" ca="1" si="6"/>
        <v>46676</v>
      </c>
      <c r="Q24" t="e" cm="1">
        <f t="array" aca="1" ref="Q24" ca="1">_xll.qwDataInterp(O24,$B$20:$B$44,#REF!,4)</f>
        <v>#NUM!</v>
      </c>
      <c r="R24" s="3" t="e">
        <f t="shared" ca="1" si="7"/>
        <v>#NUM!</v>
      </c>
      <c r="S24" t="e">
        <f ca="1">EXP(LN(Q24/$Q$20)*1/((P24-$P$20)/365))-1</f>
        <v>#NUM!</v>
      </c>
    </row>
    <row r="25" spans="1:35" x14ac:dyDescent="0.25">
      <c r="A25" t="str">
        <f t="shared" ca="1" si="10"/>
        <v>4M</v>
      </c>
      <c r="B25" s="9">
        <f t="shared" ca="1" si="12"/>
        <v>143</v>
      </c>
      <c r="C25" s="33">
        <f t="shared" si="8"/>
        <v>46341</v>
      </c>
      <c r="D25" s="24">
        <f t="shared" si="9"/>
        <v>46419</v>
      </c>
      <c r="E25" s="44" cm="1">
        <f t="array" ref="E25">_xll.qwCurveForwardCPI($E$8,"CPURNSA",D25)</f>
        <v>336.06004999999999</v>
      </c>
      <c r="H25" s="20">
        <v>46220</v>
      </c>
      <c r="I25">
        <v>334.10541999999998</v>
      </c>
      <c r="J25" s="26">
        <f ca="1">IF((H25=$D$20),#REF!,0)</f>
        <v>0</v>
      </c>
      <c r="K25" s="26"/>
      <c r="L25" s="5">
        <f ca="1"/>
        <v>45565</v>
      </c>
      <c r="M25" s="4">
        <f ca="1"/>
        <v>315.30099999999999</v>
      </c>
      <c r="N25" s="4"/>
      <c r="O25" s="3">
        <f t="shared" si="13"/>
        <v>500</v>
      </c>
      <c r="P25" s="2">
        <f t="shared" ca="1" si="6"/>
        <v>46776</v>
      </c>
      <c r="Q25" t="e" cm="1">
        <f t="array" aca="1" ref="Q25" ca="1">_xll.qwDataInterp(O25,$B$20:$B$44,#REF!,4)</f>
        <v>#NUM!</v>
      </c>
      <c r="R25" s="3" t="e">
        <f t="shared" ca="1" si="7"/>
        <v>#NUM!</v>
      </c>
      <c r="S25" t="e">
        <f t="shared" ca="1" si="11"/>
        <v>#NUM!</v>
      </c>
    </row>
    <row r="26" spans="1:35" x14ac:dyDescent="0.25">
      <c r="A26" t="str">
        <f t="shared" ca="1" si="10"/>
        <v>5M</v>
      </c>
      <c r="B26" s="9">
        <f t="shared" ca="1" si="12"/>
        <v>171</v>
      </c>
      <c r="C26" s="33">
        <f t="shared" si="8"/>
        <v>46371</v>
      </c>
      <c r="D26" s="24">
        <f t="shared" si="9"/>
        <v>46447</v>
      </c>
      <c r="E26" s="44" cm="1">
        <f t="array" ref="E26">_xll.qwCurveForwardCPI($E$8,"CPURNSA",D26)</f>
        <v>335.9701</v>
      </c>
      <c r="H26" s="20">
        <v>46219</v>
      </c>
      <c r="I26" s="27">
        <v>334.03758064516097</v>
      </c>
      <c r="J26" s="26">
        <f ca="1">IF((H26=$D$20),#REF!,0)</f>
        <v>0</v>
      </c>
      <c r="K26" s="26"/>
      <c r="L26" s="5">
        <f ca="1"/>
        <v>45535</v>
      </c>
      <c r="M26" s="4">
        <f ca="1"/>
        <v>314.79599999999999</v>
      </c>
      <c r="N26" s="4"/>
      <c r="O26" s="3">
        <f t="shared" si="13"/>
        <v>600</v>
      </c>
      <c r="P26" s="2">
        <f t="shared" ca="1" si="6"/>
        <v>46876</v>
      </c>
      <c r="Q26" t="e" cm="1">
        <f t="array" aca="1" ref="Q26" ca="1">_xll.qwDataInterp(O26,$B$20:$B$44,#REF!,4)</f>
        <v>#NUM!</v>
      </c>
      <c r="R26" s="3" t="e">
        <f t="shared" ca="1" si="7"/>
        <v>#NUM!</v>
      </c>
      <c r="S26" t="e">
        <f t="shared" ca="1" si="11"/>
        <v>#NUM!</v>
      </c>
    </row>
    <row r="27" spans="1:35" x14ac:dyDescent="0.25">
      <c r="A27" t="str">
        <f t="shared" ca="1" si="10"/>
        <v>6M</v>
      </c>
      <c r="B27" s="9">
        <f t="shared" ca="1" si="12"/>
        <v>202</v>
      </c>
      <c r="C27" s="33">
        <f t="shared" si="8"/>
        <v>46402</v>
      </c>
      <c r="D27" s="24">
        <f t="shared" si="9"/>
        <v>46478</v>
      </c>
      <c r="E27" s="44" cm="1">
        <f t="array" ref="E27">_xll.qwCurveForwardCPI($E$8,"CPURNSA",D27)</f>
        <v>337.17005</v>
      </c>
      <c r="H27" s="20">
        <v>46218</v>
      </c>
      <c r="I27">
        <v>333.96974</v>
      </c>
      <c r="J27" s="26">
        <f ca="1">IF((H27=$D$20),#REF!,0)</f>
        <v>0</v>
      </c>
      <c r="K27" s="26"/>
      <c r="L27" s="5"/>
      <c r="M27" s="4"/>
      <c r="N27" s="4"/>
      <c r="O27" s="3">
        <f t="shared" si="13"/>
        <v>700</v>
      </c>
      <c r="P27" s="2">
        <f t="shared" ca="1" si="6"/>
        <v>46976</v>
      </c>
      <c r="Q27" t="e" cm="1">
        <f t="array" aca="1" ref="Q27" ca="1">_xll.qwDataInterp(O27,$B$20:$B$44,#REF!,4)</f>
        <v>#NUM!</v>
      </c>
      <c r="R27" s="3" t="e">
        <f t="shared" ca="1" si="7"/>
        <v>#NUM!</v>
      </c>
      <c r="S27" t="e">
        <f t="shared" ca="1" si="11"/>
        <v>#NUM!</v>
      </c>
    </row>
    <row r="28" spans="1:35" x14ac:dyDescent="0.25">
      <c r="A28" t="str">
        <f t="shared" ca="1" si="10"/>
        <v>7M</v>
      </c>
      <c r="B28" s="9">
        <f t="shared" ca="1" si="12"/>
        <v>232</v>
      </c>
      <c r="C28" s="33">
        <f t="shared" si="8"/>
        <v>46433</v>
      </c>
      <c r="D28" s="24">
        <f t="shared" si="9"/>
        <v>46508</v>
      </c>
      <c r="E28" s="44" cm="1">
        <f t="array" ref="E28">_xll.qwCurveForwardCPI($E$8,"CPURNSA",D28)</f>
        <v>338.30995000000001</v>
      </c>
      <c r="H28" s="20">
        <v>46217</v>
      </c>
      <c r="I28">
        <v>333.90190000000001</v>
      </c>
      <c r="J28" s="26">
        <f ca="1">IF((H28=$D$20),#REF!,0)</f>
        <v>0</v>
      </c>
      <c r="K28" s="26"/>
      <c r="L28" s="5"/>
      <c r="M28" s="4"/>
      <c r="N28" s="4"/>
      <c r="O28" s="3">
        <f t="shared" si="13"/>
        <v>800</v>
      </c>
      <c r="P28" s="2">
        <f t="shared" ca="1" si="6"/>
        <v>47076</v>
      </c>
      <c r="Q28" t="e" cm="1">
        <f t="array" aca="1" ref="Q28" ca="1">_xll.qwDataInterp(O28,$B$20:$B$44,#REF!,4)</f>
        <v>#NUM!</v>
      </c>
      <c r="R28" s="3" t="e">
        <f t="shared" ca="1" si="7"/>
        <v>#NUM!</v>
      </c>
      <c r="S28" t="e">
        <f t="shared" ca="1" si="11"/>
        <v>#NUM!</v>
      </c>
    </row>
    <row r="29" spans="1:35" x14ac:dyDescent="0.25">
      <c r="A29" t="str">
        <f t="shared" ca="1" si="10"/>
        <v>8M</v>
      </c>
      <c r="B29" s="9">
        <f t="shared" ca="1" si="12"/>
        <v>263</v>
      </c>
      <c r="C29" s="33">
        <f t="shared" si="8"/>
        <v>46461</v>
      </c>
      <c r="D29" s="24">
        <f t="shared" si="9"/>
        <v>46539</v>
      </c>
      <c r="E29" s="44" cm="1">
        <f t="array" ref="E29">_xll.qwCurveForwardCPI($E$8,"CPURNSA",D29)</f>
        <v>339.69009999999997</v>
      </c>
      <c r="H29" s="20">
        <v>46216</v>
      </c>
      <c r="I29">
        <v>333.83406451612899</v>
      </c>
      <c r="J29" s="26">
        <f ca="1">IF((H29=$D$20),#REF!,0)</f>
        <v>0</v>
      </c>
      <c r="K29" s="26"/>
      <c r="L29" s="3"/>
      <c r="M29" s="4"/>
      <c r="N29" s="4"/>
      <c r="O29" s="3">
        <f t="shared" si="13"/>
        <v>900</v>
      </c>
      <c r="P29" s="2">
        <f t="shared" ca="1" si="6"/>
        <v>47176</v>
      </c>
      <c r="Q29" t="e" cm="1">
        <f t="array" aca="1" ref="Q29" ca="1">_xll.qwDataInterp(O29,$B$20:$B$44,#REF!,4)</f>
        <v>#NUM!</v>
      </c>
      <c r="R29" s="3" t="e">
        <f t="shared" ca="1" si="7"/>
        <v>#NUM!</v>
      </c>
      <c r="S29" t="e">
        <f t="shared" ca="1" si="11"/>
        <v>#NUM!</v>
      </c>
    </row>
    <row r="30" spans="1:35" x14ac:dyDescent="0.25">
      <c r="A30" t="str">
        <f t="shared" ca="1" si="10"/>
        <v>9M</v>
      </c>
      <c r="B30" s="9">
        <f t="shared" ca="1" si="12"/>
        <v>293</v>
      </c>
      <c r="C30" s="33">
        <f t="shared" si="8"/>
        <v>46492</v>
      </c>
      <c r="D30" s="24">
        <f t="shared" si="9"/>
        <v>46569</v>
      </c>
      <c r="E30" s="44" cm="1">
        <f t="array" ref="E30">_xll.qwCurveForwardCPI($E$8,"CPURNSA",D30)</f>
        <v>340.6499</v>
      </c>
      <c r="H30" s="20">
        <v>46213</v>
      </c>
      <c r="I30">
        <v>333.63055000000003</v>
      </c>
      <c r="J30" s="26">
        <f ca="1">IF((H30=$D$20),#REF!,0)</f>
        <v>0</v>
      </c>
      <c r="K30" s="26"/>
      <c r="L30" s="3"/>
      <c r="M30" s="4"/>
      <c r="N30" s="4"/>
      <c r="O30" s="3">
        <f t="shared" si="13"/>
        <v>1000</v>
      </c>
      <c r="P30" s="2">
        <f t="shared" ca="1" si="6"/>
        <v>47276</v>
      </c>
      <c r="Q30" t="e" cm="1">
        <f t="array" aca="1" ref="Q30" ca="1">_xll.qwDataInterp(O30,$B$20:$B$44,#REF!,4)</f>
        <v>#NUM!</v>
      </c>
      <c r="R30" s="3" t="e">
        <f t="shared" ca="1" si="7"/>
        <v>#NUM!</v>
      </c>
      <c r="S30" t="e">
        <f t="shared" ca="1" si="11"/>
        <v>#NUM!</v>
      </c>
    </row>
    <row r="31" spans="1:35" x14ac:dyDescent="0.25">
      <c r="A31" t="str">
        <f t="shared" ca="1" si="10"/>
        <v>10M</v>
      </c>
      <c r="B31" s="9">
        <f t="shared" ca="1" si="12"/>
        <v>324</v>
      </c>
      <c r="C31" s="33">
        <f t="shared" si="8"/>
        <v>46522</v>
      </c>
      <c r="D31" s="24">
        <f t="shared" si="9"/>
        <v>46600</v>
      </c>
      <c r="E31" s="44" cm="1">
        <f t="array" ref="E31">_xll.qwCurveForwardCPI($E$8,"CPURNSA",D31)</f>
        <v>341.63000000000005</v>
      </c>
      <c r="H31" s="20">
        <v>46212</v>
      </c>
      <c r="I31">
        <v>333.56270999999998</v>
      </c>
      <c r="J31" s="26">
        <f ca="1">IF((H31=$D$20),#REF!,0)</f>
        <v>0</v>
      </c>
      <c r="K31" s="26"/>
      <c r="L31" s="3"/>
      <c r="M31" s="4"/>
      <c r="N31" s="4"/>
      <c r="O31" s="3">
        <f t="shared" si="13"/>
        <v>1100</v>
      </c>
      <c r="P31" s="2">
        <f t="shared" ca="1" si="6"/>
        <v>47376</v>
      </c>
      <c r="Q31" t="e" cm="1">
        <f t="array" aca="1" ref="Q31" ca="1">_xll.qwDataInterp(O31,$B$20:$B$44,#REF!,4)</f>
        <v>#NUM!</v>
      </c>
      <c r="R31" s="3" t="e">
        <f t="shared" ca="1" si="7"/>
        <v>#NUM!</v>
      </c>
      <c r="S31" t="e">
        <f t="shared" ca="1" si="11"/>
        <v>#NUM!</v>
      </c>
    </row>
    <row r="32" spans="1:35" x14ac:dyDescent="0.25">
      <c r="A32" t="s">
        <v>549</v>
      </c>
      <c r="B32" s="10">
        <f t="shared" ca="1" si="12"/>
        <v>355</v>
      </c>
      <c r="C32" s="25">
        <f t="shared" si="8"/>
        <v>46553</v>
      </c>
      <c r="D32" s="25">
        <f t="shared" si="9"/>
        <v>46631</v>
      </c>
      <c r="E32" s="44" cm="1">
        <f t="array" ref="E32">_xll.qwCurveForwardCPI($E$8,"CPURNSA",D32)</f>
        <v>342.47999999999996</v>
      </c>
      <c r="H32" s="20">
        <v>46211</v>
      </c>
      <c r="I32">
        <v>333.49486999999999</v>
      </c>
      <c r="J32" s="26">
        <f ca="1">IF((H32=$D$20),#REF!,0)</f>
        <v>0</v>
      </c>
      <c r="K32" s="26"/>
      <c r="L32" s="3"/>
      <c r="M32" s="4"/>
      <c r="N32" s="4"/>
      <c r="O32" s="3">
        <f t="shared" si="13"/>
        <v>1200</v>
      </c>
      <c r="P32" s="2">
        <f t="shared" ca="1" si="6"/>
        <v>47476</v>
      </c>
      <c r="Q32" t="e" cm="1">
        <f t="array" aca="1" ref="Q32" ca="1">_xll.qwDataInterp(O32,$B$20:$B$44,#REF!,4)</f>
        <v>#NUM!</v>
      </c>
      <c r="R32" s="3" t="e">
        <f t="shared" ca="1" si="7"/>
        <v>#NUM!</v>
      </c>
      <c r="S32" t="e">
        <f t="shared" ca="1" si="11"/>
        <v>#NUM!</v>
      </c>
    </row>
    <row r="33" spans="1:19" x14ac:dyDescent="0.25">
      <c r="A33" t="str">
        <f ca="1">TRUNC(B33/365)&amp;"Y"</f>
        <v>2Y</v>
      </c>
      <c r="B33" s="10">
        <f t="shared" ref="B33:B44" ca="1" si="14">D33-$E$10</f>
        <v>735</v>
      </c>
      <c r="C33" s="25">
        <f t="shared" ref="C33:C44" si="15">DATE(YEAR(AF5), MONTH(AF5)-3,DAY(AF5))</f>
        <v>46919</v>
      </c>
      <c r="D33" s="25">
        <f t="shared" ref="D33:D44" si="16">DATE(YEAR(AF5), MONTH(AF5),DAY(AF5))</f>
        <v>47011</v>
      </c>
      <c r="E33" s="44" cm="1">
        <f t="array" ref="E33">_xll.qwCurveForwardCPI($E$8,"CPURNSA",D33)</f>
        <v>351.39636662060985</v>
      </c>
      <c r="H33" s="20">
        <v>46210</v>
      </c>
      <c r="I33">
        <v>333.42703</v>
      </c>
      <c r="J33" s="26">
        <f ca="1">IF((H33=$D$20),#REF!,0)</f>
        <v>0</v>
      </c>
      <c r="K33" s="26"/>
      <c r="L33" s="5">
        <v>46053</v>
      </c>
      <c r="M33" s="4">
        <v>325.25200000000001</v>
      </c>
      <c r="N33" s="4"/>
      <c r="O33" s="3">
        <f t="shared" si="13"/>
        <v>1300</v>
      </c>
      <c r="P33" s="2">
        <f t="shared" ca="1" si="6"/>
        <v>47576</v>
      </c>
      <c r="Q33" t="e" cm="1">
        <f t="array" aca="1" ref="Q33" ca="1">_xll.qwDataInterp(O33,$B$20:$B$44,#REF!,4)</f>
        <v>#NUM!</v>
      </c>
      <c r="R33" s="3" t="e">
        <f t="shared" ca="1" si="7"/>
        <v>#NUM!</v>
      </c>
      <c r="S33" t="e">
        <f t="shared" ca="1" si="11"/>
        <v>#NUM!</v>
      </c>
    </row>
    <row r="34" spans="1:19" x14ac:dyDescent="0.25">
      <c r="A34" t="str">
        <f t="shared" ref="A34:A44" ca="1" si="17">TRUNC(B34/365)&amp;"Y"</f>
        <v>3Y</v>
      </c>
      <c r="B34" s="10">
        <f t="shared" ca="1" si="14"/>
        <v>1100</v>
      </c>
      <c r="C34" s="25">
        <f t="shared" si="15"/>
        <v>47284</v>
      </c>
      <c r="D34" s="25">
        <f t="shared" si="16"/>
        <v>47376</v>
      </c>
      <c r="E34" s="44" cm="1">
        <f t="array" ref="E34">_xll.qwCurveForwardCPI($E$8,"CPURNSA",D34)</f>
        <v>360.36049820941821</v>
      </c>
      <c r="H34" s="20">
        <v>46209</v>
      </c>
      <c r="I34">
        <v>333.35919000000001</v>
      </c>
      <c r="J34" s="26">
        <f ca="1">IF((H34=$D$20),#REF!,0)</f>
        <v>0</v>
      </c>
      <c r="K34" s="26"/>
      <c r="L34" s="5">
        <v>46022</v>
      </c>
      <c r="M34" s="4">
        <v>324.05399999999997</v>
      </c>
      <c r="N34" s="4"/>
      <c r="O34" s="3">
        <f t="shared" si="13"/>
        <v>1400</v>
      </c>
      <c r="P34" s="2">
        <f t="shared" ca="1" si="6"/>
        <v>47676</v>
      </c>
      <c r="Q34" t="e" cm="1">
        <f t="array" aca="1" ref="Q34" ca="1">_xll.qwDataInterp(O34,$B$20:$B$44,#REF!,4)</f>
        <v>#NUM!</v>
      </c>
      <c r="R34" s="3" t="e">
        <f t="shared" ca="1" si="7"/>
        <v>#NUM!</v>
      </c>
      <c r="S34" t="e">
        <f t="shared" ca="1" si="11"/>
        <v>#NUM!</v>
      </c>
    </row>
    <row r="35" spans="1:19" x14ac:dyDescent="0.25">
      <c r="A35" t="str">
        <f t="shared" ca="1" si="17"/>
        <v>4Y</v>
      </c>
      <c r="B35" s="10">
        <f t="shared" ca="1" si="14"/>
        <v>1465</v>
      </c>
      <c r="C35" s="25">
        <f t="shared" si="15"/>
        <v>47649</v>
      </c>
      <c r="D35" s="25">
        <f t="shared" si="16"/>
        <v>47741</v>
      </c>
      <c r="E35" s="44" cm="1">
        <f t="array" ref="E35">_xll.qwCurveForwardCPI($E$8,"CPURNSA",D35)</f>
        <v>369.44882160442364</v>
      </c>
      <c r="H35" s="20">
        <v>46205</v>
      </c>
      <c r="I35">
        <v>333.08784000000003</v>
      </c>
      <c r="J35" s="26">
        <f ca="1">IF((H35=$D$20),#REF!,0)</f>
        <v>0</v>
      </c>
      <c r="K35" s="26"/>
      <c r="L35" s="5">
        <v>45991</v>
      </c>
      <c r="M35" s="4">
        <v>324.12200000000001</v>
      </c>
      <c r="N35" s="4"/>
      <c r="O35" s="3">
        <f t="shared" si="13"/>
        <v>1500</v>
      </c>
      <c r="P35" s="2">
        <f t="shared" ca="1" si="6"/>
        <v>47776</v>
      </c>
      <c r="Q35" t="e" cm="1">
        <f t="array" aca="1" ref="Q35" ca="1">_xll.qwDataInterp(O35,$B$20:$B$44,#REF!,4)</f>
        <v>#NUM!</v>
      </c>
      <c r="R35" s="3" t="e">
        <f t="shared" ca="1" si="7"/>
        <v>#NUM!</v>
      </c>
      <c r="S35" t="e">
        <f t="shared" ca="1" si="11"/>
        <v>#NUM!</v>
      </c>
    </row>
    <row r="36" spans="1:19" x14ac:dyDescent="0.25">
      <c r="A36" t="str">
        <f t="shared" ca="1" si="17"/>
        <v>5Y</v>
      </c>
      <c r="B36" s="10">
        <f t="shared" ca="1" si="14"/>
        <v>1830</v>
      </c>
      <c r="C36" s="25">
        <f t="shared" si="15"/>
        <v>48014</v>
      </c>
      <c r="D36" s="25">
        <f t="shared" si="16"/>
        <v>48106</v>
      </c>
      <c r="E36" s="44" cm="1">
        <f t="array" ref="E36">_xll.qwCurveForwardCPI($E$8,"CPURNSA",D36)</f>
        <v>378.64816535949245</v>
      </c>
      <c r="F36" s="47"/>
      <c r="H36" s="20">
        <v>46204</v>
      </c>
      <c r="I36">
        <v>333.02</v>
      </c>
      <c r="J36" s="26">
        <f ca="1">IF((H36=$D$20),#REF!,0)</f>
        <v>0</v>
      </c>
      <c r="K36" s="3">
        <f>M63*M64</f>
        <v>105274.82560000001</v>
      </c>
      <c r="L36" s="34">
        <v>45961</v>
      </c>
      <c r="M36" s="42">
        <f>K36^0.5</f>
        <v>324.46082290470758</v>
      </c>
      <c r="N36" s="4"/>
      <c r="O36" s="3">
        <f t="shared" si="13"/>
        <v>1600</v>
      </c>
      <c r="P36" s="2">
        <f t="shared" ca="1" si="6"/>
        <v>47876</v>
      </c>
      <c r="Q36" t="e" cm="1">
        <f t="array" aca="1" ref="Q36" ca="1">_xll.qwDataInterp(O36,$B$20:$B$44,#REF!,4)</f>
        <v>#NUM!</v>
      </c>
      <c r="R36" s="3" t="e">
        <f t="shared" ca="1" si="7"/>
        <v>#NUM!</v>
      </c>
      <c r="S36" t="e">
        <f t="shared" ca="1" si="11"/>
        <v>#NUM!</v>
      </c>
    </row>
    <row r="37" spans="1:19" x14ac:dyDescent="0.25">
      <c r="A37" t="str">
        <f t="shared" ca="1" si="17"/>
        <v>6Y</v>
      </c>
      <c r="B37" s="10">
        <f t="shared" ca="1" si="14"/>
        <v>2196</v>
      </c>
      <c r="C37" s="25">
        <f t="shared" si="15"/>
        <v>48380</v>
      </c>
      <c r="D37" s="25">
        <f t="shared" si="16"/>
        <v>48472</v>
      </c>
      <c r="E37" s="44" cm="1">
        <f t="array" ref="E37">_xll.qwCurveForwardCPI($E$8,"CPURNSA",D37)</f>
        <v>387.9441024168878</v>
      </c>
      <c r="F37" s="47"/>
      <c r="H37" s="20">
        <v>46203</v>
      </c>
      <c r="I37">
        <v>332.92642999999998</v>
      </c>
      <c r="J37" s="26">
        <f ca="1">IF((H37=$D$20),#REF!,0)</f>
        <v>0</v>
      </c>
      <c r="L37" s="5">
        <v>45930</v>
      </c>
      <c r="M37" s="4">
        <v>324.8</v>
      </c>
      <c r="N37" s="4"/>
      <c r="O37" s="3">
        <f t="shared" si="13"/>
        <v>1700</v>
      </c>
      <c r="P37" s="2">
        <f t="shared" ca="1" si="6"/>
        <v>47976</v>
      </c>
      <c r="Q37" t="e" cm="1">
        <f t="array" aca="1" ref="Q37" ca="1">_xll.qwDataInterp(O37,$B$20:$B$44,#REF!,4)</f>
        <v>#NUM!</v>
      </c>
      <c r="R37" s="3" t="e">
        <f t="shared" ca="1" si="7"/>
        <v>#NUM!</v>
      </c>
      <c r="S37" t="e">
        <f t="shared" ca="1" si="11"/>
        <v>#NUM!</v>
      </c>
    </row>
    <row r="38" spans="1:19" x14ac:dyDescent="0.25">
      <c r="A38" t="str">
        <f t="shared" ca="1" si="17"/>
        <v>7Y</v>
      </c>
      <c r="B38" s="10">
        <f t="shared" ca="1" si="14"/>
        <v>2561</v>
      </c>
      <c r="C38" s="25">
        <f t="shared" si="15"/>
        <v>48745</v>
      </c>
      <c r="D38" s="25">
        <f t="shared" si="16"/>
        <v>48837</v>
      </c>
      <c r="E38" s="44" cm="1">
        <f t="array" ref="E38">_xll.qwCurveForwardCPI($E$8,"CPURNSA",D38)</f>
        <v>397.38312878470504</v>
      </c>
      <c r="F38" s="47"/>
      <c r="H38" s="20">
        <v>46202</v>
      </c>
      <c r="I38">
        <v>332.83287000000001</v>
      </c>
      <c r="J38" s="26">
        <f ca="1">IF((H38=$D$20),#REF!,0)</f>
        <v>0</v>
      </c>
      <c r="K38" s="3"/>
      <c r="L38" s="5">
        <v>45900</v>
      </c>
      <c r="M38" s="4">
        <v>323.976</v>
      </c>
      <c r="N38" s="4"/>
      <c r="O38" s="3">
        <f t="shared" si="13"/>
        <v>1800</v>
      </c>
      <c r="P38" s="2">
        <f t="shared" ca="1" si="6"/>
        <v>48076</v>
      </c>
      <c r="Q38" t="e" cm="1">
        <f t="array" aca="1" ref="Q38" ca="1">_xll.qwDataInterp(O38,$B$20:$B$44,#REF!,4)</f>
        <v>#NUM!</v>
      </c>
      <c r="R38" s="3" t="e">
        <f t="shared" ca="1" si="7"/>
        <v>#NUM!</v>
      </c>
      <c r="S38" t="e">
        <f t="shared" ca="1" si="11"/>
        <v>#NUM!</v>
      </c>
    </row>
    <row r="39" spans="1:19" x14ac:dyDescent="0.25">
      <c r="A39" t="str">
        <f t="shared" ca="1" si="17"/>
        <v>8Y</v>
      </c>
      <c r="B39" s="10">
        <f t="shared" ca="1" si="14"/>
        <v>2926</v>
      </c>
      <c r="C39" s="25">
        <f t="shared" si="15"/>
        <v>49110</v>
      </c>
      <c r="D39" s="25">
        <f t="shared" si="16"/>
        <v>49202</v>
      </c>
      <c r="E39" s="44" cm="1">
        <f t="array" ref="E39">_xll.qwCurveForwardCPI($E$8,"CPURNSA",D39)</f>
        <v>406.98943535083981</v>
      </c>
      <c r="F39" s="47"/>
      <c r="H39" s="20">
        <v>46199</v>
      </c>
      <c r="I39">
        <v>332.55216999999999</v>
      </c>
      <c r="J39" s="26">
        <f ca="1">IF((H39=$D$20),#REF!,0)</f>
        <v>0</v>
      </c>
      <c r="K39" s="26"/>
      <c r="L39" s="5">
        <v>45869</v>
      </c>
      <c r="M39" s="4">
        <v>323.048</v>
      </c>
      <c r="N39" s="4"/>
      <c r="O39" s="3">
        <f t="shared" si="13"/>
        <v>1900</v>
      </c>
      <c r="P39" s="2">
        <f t="shared" ca="1" si="6"/>
        <v>48176</v>
      </c>
      <c r="Q39" t="e" cm="1">
        <f t="array" aca="1" ref="Q39" ca="1">_xll.qwDataInterp(O39,$B$20:$B$44,#REF!,4)</f>
        <v>#NUM!</v>
      </c>
      <c r="R39" s="3" t="e">
        <f t="shared" ca="1" si="7"/>
        <v>#NUM!</v>
      </c>
      <c r="S39" t="e">
        <f t="shared" ca="1" si="11"/>
        <v>#NUM!</v>
      </c>
    </row>
    <row r="40" spans="1:19" x14ac:dyDescent="0.25">
      <c r="A40" t="str">
        <f t="shared" ca="1" si="17"/>
        <v>9Y</v>
      </c>
      <c r="B40" s="10">
        <f t="shared" ca="1" si="14"/>
        <v>3291</v>
      </c>
      <c r="C40" s="25">
        <f t="shared" si="15"/>
        <v>49475</v>
      </c>
      <c r="D40" s="25">
        <f t="shared" si="16"/>
        <v>49567</v>
      </c>
      <c r="E40" s="44" cm="1">
        <f t="array" ref="E40">_xll.qwCurveForwardCPI($E$8,"CPURNSA",D40)</f>
        <v>416.80799920755527</v>
      </c>
      <c r="F40" s="47"/>
      <c r="H40" s="20">
        <v>46198</v>
      </c>
      <c r="I40">
        <v>332.45859999999999</v>
      </c>
      <c r="J40" s="26">
        <f ca="1">IF((H40=$D$20),#REF!,0)</f>
        <v>0</v>
      </c>
      <c r="K40" s="26"/>
      <c r="L40" s="5">
        <v>45838</v>
      </c>
      <c r="M40" s="4">
        <v>322.56099999999998</v>
      </c>
      <c r="N40" s="4"/>
      <c r="O40" s="3">
        <f t="shared" si="13"/>
        <v>2000</v>
      </c>
      <c r="P40" s="2">
        <f t="shared" ca="1" si="6"/>
        <v>48276</v>
      </c>
      <c r="Q40" t="e" cm="1">
        <f t="array" aca="1" ref="Q40" ca="1">_xll.qwDataInterp(O40,$B$20:$B$44,#REF!,4)</f>
        <v>#NUM!</v>
      </c>
      <c r="R40" s="3" t="e">
        <f t="shared" ca="1" si="7"/>
        <v>#NUM!</v>
      </c>
      <c r="S40" t="e">
        <f t="shared" ca="1" si="11"/>
        <v>#NUM!</v>
      </c>
    </row>
    <row r="41" spans="1:19" x14ac:dyDescent="0.25">
      <c r="A41" t="str">
        <f t="shared" ca="1" si="17"/>
        <v>10Y</v>
      </c>
      <c r="B41" s="10">
        <f t="shared" ca="1" si="14"/>
        <v>3657</v>
      </c>
      <c r="C41" s="25">
        <f t="shared" si="15"/>
        <v>49841</v>
      </c>
      <c r="D41" s="25">
        <f t="shared" si="16"/>
        <v>49933</v>
      </c>
      <c r="E41" s="44" cm="1">
        <f t="array" ref="E41">_xll.qwCurveForwardCPI($E$8,"CPURNSA",D41)</f>
        <v>427.01003891837041</v>
      </c>
      <c r="F41" s="47"/>
      <c r="H41" s="20">
        <v>46197</v>
      </c>
      <c r="I41">
        <v>332.36502999999999</v>
      </c>
      <c r="J41" s="26">
        <f ca="1">IF((H41=$D$20),#REF!,0)</f>
        <v>0</v>
      </c>
      <c r="K41" s="26"/>
      <c r="L41" s="5">
        <v>45808</v>
      </c>
      <c r="M41" s="4">
        <v>321.46499999999997</v>
      </c>
      <c r="N41" s="4"/>
      <c r="O41" s="3">
        <f t="shared" si="13"/>
        <v>2100</v>
      </c>
      <c r="P41" s="2">
        <f t="shared" ca="1" si="6"/>
        <v>48376</v>
      </c>
      <c r="Q41" t="e" cm="1">
        <f t="array" aca="1" ref="Q41" ca="1">_xll.qwDataInterp(O41,$B$20:$B$44,#REF!,4)</f>
        <v>#NUM!</v>
      </c>
      <c r="R41" s="3" t="e">
        <f t="shared" ca="1" si="7"/>
        <v>#NUM!</v>
      </c>
      <c r="S41" t="e">
        <f t="shared" ca="1" si="11"/>
        <v>#NUM!</v>
      </c>
    </row>
    <row r="42" spans="1:19" x14ac:dyDescent="0.25">
      <c r="A42" t="str">
        <f t="shared" ca="1" si="17"/>
        <v>15Y</v>
      </c>
      <c r="B42" s="10">
        <f t="shared" ca="1" si="14"/>
        <v>5483</v>
      </c>
      <c r="C42" s="25">
        <f t="shared" si="15"/>
        <v>51667</v>
      </c>
      <c r="D42" s="25">
        <f t="shared" si="16"/>
        <v>51759</v>
      </c>
      <c r="E42" s="44" cm="1">
        <f t="array" ref="E42">_xll.qwCurveForwardCPI($E$8,"CPURNSA",D42)</f>
        <v>480.48149972991689</v>
      </c>
      <c r="F42" s="47"/>
      <c r="H42" s="20">
        <v>46196</v>
      </c>
      <c r="I42">
        <v>332.27147000000002</v>
      </c>
      <c r="J42" s="26">
        <f ca="1">IF((H42=$D$20),#REF!,0)</f>
        <v>0</v>
      </c>
      <c r="K42" s="26"/>
      <c r="L42" s="5">
        <v>45777</v>
      </c>
      <c r="M42" s="4">
        <v>320.79500000000002</v>
      </c>
      <c r="N42" s="4"/>
      <c r="O42" s="3">
        <f t="shared" si="13"/>
        <v>2200</v>
      </c>
      <c r="P42" s="2">
        <f t="shared" ca="1" si="6"/>
        <v>48476</v>
      </c>
      <c r="Q42" t="e" cm="1">
        <f t="array" aca="1" ref="Q42" ca="1">_xll.qwDataInterp(O42,$B$20:$B$44,#REF!,4)</f>
        <v>#NUM!</v>
      </c>
      <c r="R42" s="3" t="e">
        <f t="shared" ca="1" si="7"/>
        <v>#NUM!</v>
      </c>
      <c r="S42" t="e">
        <f t="shared" ca="1" si="11"/>
        <v>#NUM!</v>
      </c>
    </row>
    <row r="43" spans="1:19" x14ac:dyDescent="0.25">
      <c r="A43" t="str">
        <f t="shared" ca="1" si="17"/>
        <v>20Y</v>
      </c>
      <c r="B43" s="10">
        <f t="shared" ca="1" si="14"/>
        <v>7309</v>
      </c>
      <c r="C43" s="25">
        <f t="shared" si="15"/>
        <v>53493</v>
      </c>
      <c r="D43" s="25">
        <f t="shared" si="16"/>
        <v>53585</v>
      </c>
      <c r="E43" s="44" cm="1">
        <f t="array" ref="E43">_xll.qwCurveForwardCPI($E$8,"CPURNSA",D43)</f>
        <v>539.66228194330415</v>
      </c>
      <c r="F43" s="47"/>
      <c r="H43" s="20">
        <v>46195</v>
      </c>
      <c r="I43">
        <v>332.17790000000002</v>
      </c>
      <c r="J43" s="26">
        <f ca="1">IF((H43=$D$20),#REF!,0)</f>
        <v>0</v>
      </c>
      <c r="K43" s="26"/>
      <c r="L43" s="5">
        <v>45747</v>
      </c>
      <c r="M43" s="4">
        <v>319.79899999999998</v>
      </c>
      <c r="N43" s="4"/>
      <c r="O43" s="3">
        <f t="shared" si="13"/>
        <v>2300</v>
      </c>
      <c r="P43" s="2">
        <f t="shared" ca="1" si="6"/>
        <v>48576</v>
      </c>
      <c r="Q43" t="e" cm="1">
        <f t="array" aca="1" ref="Q43" ca="1">_xll.qwDataInterp(O43,$B$20:$B$44,#REF!,4)</f>
        <v>#NUM!</v>
      </c>
      <c r="R43" s="3" t="e">
        <f t="shared" ca="1" si="7"/>
        <v>#NUM!</v>
      </c>
      <c r="S43" t="e">
        <f t="shared" ca="1" si="11"/>
        <v>#NUM!</v>
      </c>
    </row>
    <row r="44" spans="1:19" x14ac:dyDescent="0.25">
      <c r="A44" t="str">
        <f t="shared" ca="1" si="17"/>
        <v>25Y</v>
      </c>
      <c r="B44" s="10">
        <f t="shared" ca="1" si="14"/>
        <v>9135</v>
      </c>
      <c r="C44" s="25">
        <f t="shared" si="15"/>
        <v>55319</v>
      </c>
      <c r="D44" s="25">
        <f t="shared" si="16"/>
        <v>55411</v>
      </c>
      <c r="E44" s="44" cm="1">
        <f t="array" ref="E44">_xll.qwCurveForwardCPI($E$8,"CPURNSA",D44)</f>
        <v>608.83777034402897</v>
      </c>
      <c r="F44" s="47"/>
      <c r="H44" s="20">
        <v>46191</v>
      </c>
      <c r="I44">
        <v>331.80363</v>
      </c>
      <c r="J44" s="26">
        <f ca="1">IF((H44=$D$20),#REF!,0)</f>
        <v>0</v>
      </c>
      <c r="K44" s="26"/>
      <c r="L44" s="5">
        <v>45716</v>
      </c>
      <c r="M44" s="4">
        <v>319.08199999999999</v>
      </c>
      <c r="N44" s="4"/>
      <c r="O44" s="3">
        <f t="shared" si="13"/>
        <v>2400</v>
      </c>
      <c r="P44" s="2">
        <f t="shared" ca="1" si="6"/>
        <v>48676</v>
      </c>
      <c r="Q44" t="e" cm="1">
        <f t="array" aca="1" ref="Q44" ca="1">_xll.qwDataInterp(O44,$B$20:$B$44,#REF!,4)</f>
        <v>#NUM!</v>
      </c>
      <c r="R44" s="3" t="e">
        <f t="shared" ca="1" si="7"/>
        <v>#NUM!</v>
      </c>
      <c r="S44" t="e">
        <f t="shared" ca="1" si="11"/>
        <v>#NUM!</v>
      </c>
    </row>
    <row r="45" spans="1:19" x14ac:dyDescent="0.25">
      <c r="E45" s="3"/>
      <c r="F45" s="4"/>
      <c r="H45" s="20">
        <v>46190</v>
      </c>
      <c r="I45">
        <v>331.71006999999997</v>
      </c>
      <c r="J45" s="26">
        <f ca="1">IF((H45=$D$20),#REF!,0)</f>
        <v>0</v>
      </c>
      <c r="K45" s="26"/>
      <c r="L45" s="5">
        <v>45688</v>
      </c>
      <c r="M45" s="4">
        <v>317.67099999999999</v>
      </c>
      <c r="N45" s="4"/>
      <c r="O45" s="3">
        <f t="shared" si="13"/>
        <v>2500</v>
      </c>
      <c r="P45" s="2">
        <f t="shared" ca="1" si="6"/>
        <v>48776</v>
      </c>
      <c r="Q45" t="e" cm="1">
        <f t="array" aca="1" ref="Q45" ca="1">_xll.qwDataInterp(O45,$B$20:$B$44,#REF!,4)</f>
        <v>#NUM!</v>
      </c>
      <c r="R45" s="3" t="e">
        <f t="shared" ca="1" si="7"/>
        <v>#NUM!</v>
      </c>
      <c r="S45" t="e">
        <f t="shared" ca="1" si="11"/>
        <v>#NUM!</v>
      </c>
    </row>
    <row r="46" spans="1:19" x14ac:dyDescent="0.25">
      <c r="C46" s="25" t="str" cm="1">
        <f t="array" ref="C46:C71">_xll.qwCurveBenchmarks(E8,"CPURNSA")</f>
        <v>USSWIF8</v>
      </c>
      <c r="D46" s="47" cm="1">
        <f t="array" ref="D46">_xll.qwYield($E$8,C46)</f>
        <v>0.24069536112598788</v>
      </c>
      <c r="F46" s="4"/>
      <c r="H46" s="20">
        <v>46189</v>
      </c>
      <c r="I46">
        <v>331.61649999999997</v>
      </c>
      <c r="J46" s="26">
        <f ca="1">IF((H46=$D$20),#REF!,0)</f>
        <v>0</v>
      </c>
      <c r="K46" s="26"/>
      <c r="L46" s="5">
        <v>45657</v>
      </c>
      <c r="M46" s="4">
        <v>315.60500000000002</v>
      </c>
      <c r="N46" s="4"/>
      <c r="O46" s="3">
        <f t="shared" si="13"/>
        <v>2600</v>
      </c>
      <c r="P46" s="2">
        <f t="shared" ca="1" si="6"/>
        <v>48876</v>
      </c>
      <c r="Q46" t="e" cm="1">
        <f t="array" aca="1" ref="Q46" ca="1">_xll.qwDataInterp(O46,$B$20:$B$44,#REF!,4)</f>
        <v>#NUM!</v>
      </c>
      <c r="R46" s="3" t="e">
        <f t="shared" ca="1" si="7"/>
        <v>#NUM!</v>
      </c>
      <c r="S46" t="e">
        <f t="shared" ca="1" si="11"/>
        <v>#NUM!</v>
      </c>
    </row>
    <row r="47" spans="1:19" x14ac:dyDescent="0.25">
      <c r="C47" t="str">
        <v>USSWIF9</v>
      </c>
      <c r="D47" s="47" cm="1">
        <f t="array" ref="D47">_xll.qwYield($E$8,C47)</f>
        <v>3.6919193728175426E-2</v>
      </c>
      <c r="E47" s="3"/>
      <c r="F47" s="4"/>
      <c r="H47" s="20">
        <v>46188</v>
      </c>
      <c r="I47">
        <v>331.52292999999997</v>
      </c>
      <c r="J47" s="26">
        <f ca="1">IF((H47=$D$20),#REF!,0)</f>
        <v>0</v>
      </c>
      <c r="K47" s="26"/>
      <c r="L47" s="5">
        <v>45626</v>
      </c>
      <c r="M47" s="4">
        <v>315.49299999999999</v>
      </c>
      <c r="N47" s="4"/>
      <c r="O47" s="3">
        <f t="shared" si="13"/>
        <v>2700</v>
      </c>
      <c r="P47" s="2">
        <f t="shared" ca="1" si="6"/>
        <v>48976</v>
      </c>
      <c r="Q47" t="e" cm="1">
        <f t="array" aca="1" ref="Q47" ca="1">_xll.qwDataInterp(O47,$B$20:$B$44,#REF!,4)</f>
        <v>#NUM!</v>
      </c>
      <c r="R47" s="3" t="e">
        <f t="shared" ca="1" si="7"/>
        <v>#NUM!</v>
      </c>
      <c r="S47" t="e">
        <f t="shared" ca="1" si="11"/>
        <v>#NUM!</v>
      </c>
    </row>
    <row r="48" spans="1:19" x14ac:dyDescent="0.25">
      <c r="C48" t="str">
        <v>USSWIF10</v>
      </c>
      <c r="D48" s="47" cm="1">
        <f t="array" ref="D48">_xll.qwYield($E$8,C48)</f>
        <v>2.7629878652392525E-2</v>
      </c>
      <c r="E48" s="3"/>
      <c r="H48" s="20">
        <v>46185</v>
      </c>
      <c r="I48">
        <v>331.24223000000001</v>
      </c>
      <c r="J48" s="26">
        <f ca="1">IF((H48=$D$20),#REF!,0)</f>
        <v>0</v>
      </c>
      <c r="K48" s="26"/>
      <c r="L48" s="5">
        <v>45596</v>
      </c>
      <c r="M48" s="4">
        <v>315.66399999999999</v>
      </c>
      <c r="N48" s="4"/>
      <c r="O48" s="3">
        <f t="shared" si="13"/>
        <v>2800</v>
      </c>
      <c r="P48" s="2">
        <f t="shared" ca="1" si="6"/>
        <v>49076</v>
      </c>
      <c r="Q48" t="e" cm="1">
        <f t="array" aca="1" ref="Q48" ca="1">_xll.qwDataInterp(O48,$B$20:$B$44,#REF!,4)</f>
        <v>#NUM!</v>
      </c>
      <c r="R48" s="3" t="e">
        <f t="shared" ca="1" si="7"/>
        <v>#NUM!</v>
      </c>
      <c r="S48" t="e">
        <f t="shared" ca="1" si="11"/>
        <v>#NUM!</v>
      </c>
    </row>
    <row r="49" spans="3:19" x14ac:dyDescent="0.25">
      <c r="C49" t="str">
        <v>USSWIF11</v>
      </c>
      <c r="D49" s="47" cm="1">
        <f t="array" ref="D49">_xll.qwYield($E$8,C49)</f>
        <v>1.6787867619983299E-2</v>
      </c>
      <c r="E49" s="3"/>
      <c r="H49" s="20">
        <v>46184</v>
      </c>
      <c r="I49">
        <v>331.14866999999998</v>
      </c>
      <c r="J49" s="26">
        <f ca="1">IF((H49=$D$20),#REF!,0)</f>
        <v>0</v>
      </c>
      <c r="K49" s="26"/>
      <c r="L49" s="5">
        <v>45565</v>
      </c>
      <c r="M49" s="4">
        <v>315.30099999999999</v>
      </c>
      <c r="N49" s="4"/>
      <c r="O49" s="3">
        <f t="shared" si="13"/>
        <v>2900</v>
      </c>
      <c r="P49" s="2">
        <f t="shared" ca="1" si="6"/>
        <v>49176</v>
      </c>
      <c r="Q49" t="e" cm="1">
        <f t="array" aca="1" ref="Q49" ca="1">_xll.qwDataInterp(O49,$B$20:$B$44,#REF!,4)</f>
        <v>#NUM!</v>
      </c>
      <c r="R49" s="3" t="e">
        <f t="shared" ca="1" si="7"/>
        <v>#NUM!</v>
      </c>
      <c r="S49" t="e">
        <f t="shared" ca="1" si="11"/>
        <v>#NUM!</v>
      </c>
    </row>
    <row r="50" spans="3:19" x14ac:dyDescent="0.25">
      <c r="C50" t="str">
        <v>USSWIF12</v>
      </c>
      <c r="D50" s="47" cm="1">
        <f t="array" ref="D50">_xll.qwYield($E$8,C50)</f>
        <v>1.3360522045328338E-2</v>
      </c>
      <c r="E50" s="3"/>
      <c r="H50" s="20">
        <v>46183</v>
      </c>
      <c r="I50">
        <v>331.05509999999998</v>
      </c>
      <c r="J50" s="26">
        <f ca="1">IF((H50=$D$20),#REF!,0)</f>
        <v>0</v>
      </c>
      <c r="K50" s="26"/>
      <c r="L50" s="5">
        <v>45535</v>
      </c>
      <c r="M50" s="4">
        <v>314.79599999999999</v>
      </c>
      <c r="N50" s="4"/>
      <c r="O50" s="3">
        <f t="shared" si="13"/>
        <v>3000</v>
      </c>
      <c r="P50" s="2">
        <f t="shared" ca="1" si="6"/>
        <v>49276</v>
      </c>
      <c r="Q50" t="e" cm="1">
        <f t="array" aca="1" ref="Q50" ca="1">_xll.qwDataInterp(O50,$B$20:$B$44,#REF!,4)</f>
        <v>#NUM!</v>
      </c>
      <c r="R50" s="3" t="e">
        <f t="shared" ca="1" si="7"/>
        <v>#NUM!</v>
      </c>
      <c r="S50" t="e">
        <f t="shared" ca="1" si="11"/>
        <v>#NUM!</v>
      </c>
    </row>
    <row r="51" spans="3:19" x14ac:dyDescent="0.25">
      <c r="C51" t="str">
        <v>USSWIF1</v>
      </c>
      <c r="D51" s="47" cm="1">
        <f t="array" ref="D51">_xll.qwYield($E$8,C51)</f>
        <v>1.7925145879820192E-2</v>
      </c>
      <c r="E51" s="3"/>
      <c r="H51" s="20">
        <v>46182</v>
      </c>
      <c r="I51">
        <v>330.96152999999998</v>
      </c>
      <c r="J51" s="26">
        <f ca="1">IF((H51=$D$20),#REF!,0)</f>
        <v>0</v>
      </c>
      <c r="K51" s="26"/>
      <c r="L51" s="5">
        <v>45504</v>
      </c>
      <c r="M51" s="4">
        <v>314.54000000000002</v>
      </c>
      <c r="N51" s="4"/>
      <c r="O51" s="3">
        <f t="shared" si="13"/>
        <v>3100</v>
      </c>
      <c r="P51" s="2">
        <f t="shared" ca="1" si="6"/>
        <v>49376</v>
      </c>
      <c r="Q51" t="e" cm="1">
        <f t="array" aca="1" ref="Q51" ca="1">_xll.qwDataInterp(O51,$B$20:$B$44,#REF!,4)</f>
        <v>#NUM!</v>
      </c>
      <c r="R51" s="3" t="e">
        <f t="shared" ca="1" si="7"/>
        <v>#NUM!</v>
      </c>
      <c r="S51" t="e">
        <f t="shared" ca="1" si="11"/>
        <v>#NUM!</v>
      </c>
    </row>
    <row r="52" spans="3:19" x14ac:dyDescent="0.25">
      <c r="C52" t="str">
        <v>USSWIF2</v>
      </c>
      <c r="D52" s="47" cm="1">
        <f t="array" ref="D52">_xll.qwYield($E$8,C52)</f>
        <v>2.1050295146451514E-2</v>
      </c>
      <c r="E52" s="3"/>
      <c r="H52" s="20">
        <v>46181</v>
      </c>
      <c r="I52">
        <v>330.86797000000001</v>
      </c>
      <c r="J52" s="26">
        <f ca="1">IF((H52=$D$20),#REF!,0)</f>
        <v>0</v>
      </c>
      <c r="K52" s="26"/>
      <c r="L52" s="5">
        <v>45473</v>
      </c>
      <c r="M52" s="4">
        <v>314.17500000000001</v>
      </c>
      <c r="N52" s="4"/>
      <c r="O52" s="3">
        <f t="shared" si="13"/>
        <v>3200</v>
      </c>
      <c r="P52" s="2">
        <f t="shared" ref="P52:P83" ca="1" si="18">O52+$E$10</f>
        <v>49476</v>
      </c>
      <c r="Q52" t="e" cm="1">
        <f t="array" aca="1" ref="Q52" ca="1">_xll.qwDataInterp(O52,$B$20:$B$44,#REF!,4)</f>
        <v>#NUM!</v>
      </c>
      <c r="R52" s="3" t="e">
        <f t="shared" ref="R52:R83" ca="1" si="19">VLOOKUP(MONTH(P52),$AK$4:$AM$15,3,0)*Q52</f>
        <v>#NUM!</v>
      </c>
      <c r="S52" t="e">
        <f t="shared" ca="1" si="11"/>
        <v>#NUM!</v>
      </c>
    </row>
    <row r="53" spans="3:19" x14ac:dyDescent="0.25">
      <c r="C53" t="str">
        <v>USSWIF3</v>
      </c>
      <c r="D53" s="47" cm="1">
        <f t="array" ref="D53">_xll.qwYield($E$8,C53)</f>
        <v>2.4368049231815014E-2</v>
      </c>
      <c r="E53" s="3"/>
      <c r="H53" s="20">
        <v>46178</v>
      </c>
      <c r="I53">
        <v>330.58726999999999</v>
      </c>
      <c r="J53" s="26">
        <f ca="1">IF((H53=$D$20),#REF!,0)</f>
        <v>0</v>
      </c>
      <c r="K53" s="26"/>
      <c r="L53" s="5">
        <v>45443</v>
      </c>
      <c r="M53" s="4">
        <v>314.06900000000002</v>
      </c>
      <c r="N53" s="4"/>
      <c r="O53" s="3">
        <f t="shared" si="13"/>
        <v>3300</v>
      </c>
      <c r="P53" s="2">
        <f t="shared" ca="1" si="18"/>
        <v>49576</v>
      </c>
      <c r="Q53" t="e" cm="1">
        <f t="array" aca="1" ref="Q53" ca="1">_xll.qwDataInterp(O53,$B$20:$B$44,#REF!,4)</f>
        <v>#NUM!</v>
      </c>
      <c r="R53" s="3" t="e">
        <f t="shared" ca="1" si="19"/>
        <v>#NUM!</v>
      </c>
      <c r="S53" t="e">
        <f t="shared" ref="S53:S84" ca="1" si="20">EXP(LN(Q53/$Q$20)*1/((P53-$P$20)/365))-1</f>
        <v>#NUM!</v>
      </c>
    </row>
    <row r="54" spans="3:19" x14ac:dyDescent="0.25">
      <c r="C54" t="str">
        <v>USSWIF4</v>
      </c>
      <c r="D54" s="47" cm="1">
        <f t="array" ref="D54">_xll.qwYield($E$8,C54)</f>
        <v>2.5458864626716426E-2</v>
      </c>
      <c r="E54" s="3"/>
      <c r="H54" s="20">
        <v>46177</v>
      </c>
      <c r="I54">
        <v>330.49369999999999</v>
      </c>
      <c r="J54" s="26">
        <f ca="1">IF((H54=$D$20),#REF!,0)</f>
        <v>0</v>
      </c>
      <c r="K54" s="26"/>
      <c r="L54" s="5">
        <v>45412</v>
      </c>
      <c r="M54" s="4">
        <v>313.548</v>
      </c>
      <c r="N54" s="4"/>
      <c r="O54" s="3">
        <f t="shared" si="13"/>
        <v>3400</v>
      </c>
      <c r="P54" s="2">
        <f t="shared" ca="1" si="18"/>
        <v>49676</v>
      </c>
      <c r="Q54" t="e" cm="1">
        <f t="array" aca="1" ref="Q54" ca="1">_xll.qwDataInterp(O54,$B$20:$B$44,#REF!,4)</f>
        <v>#NUM!</v>
      </c>
      <c r="R54" s="3" t="e">
        <f t="shared" ca="1" si="19"/>
        <v>#NUM!</v>
      </c>
      <c r="S54" t="e">
        <f t="shared" ca="1" si="20"/>
        <v>#NUM!</v>
      </c>
    </row>
    <row r="55" spans="3:19" x14ac:dyDescent="0.25">
      <c r="C55" t="str">
        <v>USSWIF5</v>
      </c>
      <c r="D55" s="47" cm="1">
        <f t="array" ref="D55">_xll.qwYield($E$8,C55)</f>
        <v>2.6322232413419355E-2</v>
      </c>
      <c r="E55" s="3"/>
      <c r="H55" s="20">
        <v>46176</v>
      </c>
      <c r="I55">
        <v>330.40012999999999</v>
      </c>
      <c r="J55" s="26">
        <f ca="1">IF((H55=$D$20),#REF!,0)</f>
        <v>0</v>
      </c>
      <c r="K55" s="26"/>
      <c r="L55" s="5">
        <v>45382</v>
      </c>
      <c r="M55" s="4">
        <v>312.33199999999999</v>
      </c>
      <c r="N55" s="4"/>
      <c r="O55" s="3">
        <f t="shared" si="13"/>
        <v>3500</v>
      </c>
      <c r="P55" s="2">
        <f t="shared" ca="1" si="18"/>
        <v>49776</v>
      </c>
      <c r="Q55" t="e" cm="1">
        <f t="array" aca="1" ref="Q55" ca="1">_xll.qwDataInterp(O55,$B$20:$B$44,#REF!,4)</f>
        <v>#NUM!</v>
      </c>
      <c r="R55" s="3" t="e">
        <f t="shared" ca="1" si="19"/>
        <v>#NUM!</v>
      </c>
      <c r="S55" t="e">
        <f t="shared" ca="1" si="20"/>
        <v>#NUM!</v>
      </c>
    </row>
    <row r="56" spans="3:19" x14ac:dyDescent="0.25">
      <c r="C56" t="str">
        <v>USSWIF6</v>
      </c>
      <c r="D56" s="47" cm="1">
        <f t="array" ref="D56">_xll.qwYield($E$8,C56)</f>
        <v>2.6619305499016255E-2</v>
      </c>
      <c r="E56" s="3"/>
      <c r="H56" s="21">
        <v>46175</v>
      </c>
      <c r="I56" s="22">
        <v>330.30657000000002</v>
      </c>
      <c r="J56" s="26">
        <f ca="1">IF((H56=$D$20),#REF!,0)</f>
        <v>0</v>
      </c>
      <c r="K56" s="26"/>
      <c r="L56" s="5">
        <v>45351</v>
      </c>
      <c r="M56" s="4">
        <v>310.32600000000002</v>
      </c>
      <c r="N56" s="4"/>
      <c r="O56" s="3">
        <f t="shared" si="13"/>
        <v>3600</v>
      </c>
      <c r="P56" s="2">
        <f t="shared" ca="1" si="18"/>
        <v>49876</v>
      </c>
      <c r="Q56" t="e" cm="1">
        <f t="array" aca="1" ref="Q56" ca="1">_xll.qwDataInterp(O56,$B$20:$B$44,#REF!,4)</f>
        <v>#NUM!</v>
      </c>
      <c r="R56" s="3" t="e">
        <f t="shared" ca="1" si="19"/>
        <v>#NUM!</v>
      </c>
      <c r="S56" t="e">
        <f t="shared" ca="1" si="20"/>
        <v>#NUM!</v>
      </c>
    </row>
    <row r="57" spans="3:19" x14ac:dyDescent="0.25">
      <c r="C57" t="str">
        <v>USSWIT1</v>
      </c>
      <c r="D57" s="47" cm="1">
        <f t="array" ref="D57">_xll.qwYield($E$8,C57)</f>
        <v>2.5824E-2</v>
      </c>
      <c r="E57" s="3"/>
      <c r="H57" s="21">
        <v>46174</v>
      </c>
      <c r="I57" s="29">
        <v>330.21300000000002</v>
      </c>
      <c r="J57" s="26">
        <f ca="1">IF((H57=$D$20),#REF!,0)</f>
        <v>0</v>
      </c>
      <c r="K57" s="26"/>
      <c r="L57" s="5">
        <v>45322</v>
      </c>
      <c r="M57" s="4">
        <v>308.41699999999997</v>
      </c>
      <c r="N57" s="4"/>
      <c r="O57" s="3">
        <f t="shared" si="13"/>
        <v>3700</v>
      </c>
      <c r="P57" s="2">
        <f t="shared" ca="1" si="18"/>
        <v>49976</v>
      </c>
      <c r="Q57" t="e" cm="1">
        <f t="array" aca="1" ref="Q57" ca="1">_xll.qwDataInterp(O57,$B$20:$B$44,#REF!,4)</f>
        <v>#NUM!</v>
      </c>
      <c r="R57" s="3" t="e">
        <f t="shared" ca="1" si="19"/>
        <v>#NUM!</v>
      </c>
      <c r="S57" t="e">
        <f t="shared" ca="1" si="20"/>
        <v>#NUM!</v>
      </c>
    </row>
    <row r="58" spans="3:19" x14ac:dyDescent="0.25">
      <c r="C58" t="str">
        <v>USSWIF7</v>
      </c>
      <c r="D58" s="47" cm="1">
        <f t="array" ref="D58">_xll.qwYield($E$8,C58)</f>
        <v>2.5271588676740508E-2</v>
      </c>
      <c r="E58" s="3"/>
      <c r="H58" s="20">
        <v>46171</v>
      </c>
      <c r="I58">
        <v>329.88126</v>
      </c>
      <c r="J58" s="26">
        <f ca="1">IF((H58=$D$20),#REF!,0)</f>
        <v>0</v>
      </c>
      <c r="K58" s="26"/>
      <c r="L58" s="5"/>
      <c r="M58" s="4"/>
      <c r="N58" s="4"/>
      <c r="O58" s="3">
        <f t="shared" si="13"/>
        <v>3800</v>
      </c>
      <c r="P58" s="2">
        <f t="shared" ca="1" si="18"/>
        <v>50076</v>
      </c>
      <c r="Q58" t="e" cm="1">
        <f t="array" aca="1" ref="Q58" ca="1">_xll.qwDataInterp(O58,$B$20:$B$44,#REF!,4)</f>
        <v>#NUM!</v>
      </c>
      <c r="R58" s="3" t="e">
        <f t="shared" ca="1" si="19"/>
        <v>#NUM!</v>
      </c>
      <c r="S58" t="e">
        <f t="shared" ca="1" si="20"/>
        <v>#NUM!</v>
      </c>
    </row>
    <row r="59" spans="3:19" x14ac:dyDescent="0.25">
      <c r="C59" t="str">
        <v>USSWIT2</v>
      </c>
      <c r="D59" s="47" cm="1">
        <f t="array" ref="D59">_xll.qwYield($E$8,C59)</f>
        <v>2.581E-2</v>
      </c>
      <c r="E59" s="3"/>
      <c r="H59" s="20">
        <v>46170</v>
      </c>
      <c r="I59">
        <v>329.77068000000003</v>
      </c>
      <c r="J59" s="26">
        <f ca="1">IF((H59=$D$20),#REF!,0)</f>
        <v>0</v>
      </c>
      <c r="K59" s="26"/>
      <c r="N59" s="4"/>
      <c r="O59" s="3">
        <f t="shared" si="13"/>
        <v>3900</v>
      </c>
      <c r="P59" s="2">
        <f t="shared" ca="1" si="18"/>
        <v>50176</v>
      </c>
      <c r="Q59" t="e" cm="1">
        <f t="array" aca="1" ref="Q59" ca="1">_xll.qwDataInterp(O59,$B$20:$B$44,#REF!,4)</f>
        <v>#NUM!</v>
      </c>
      <c r="R59" s="3" t="e">
        <f t="shared" ca="1" si="19"/>
        <v>#NUM!</v>
      </c>
      <c r="S59" t="e">
        <f t="shared" ca="1" si="20"/>
        <v>#NUM!</v>
      </c>
    </row>
    <row r="60" spans="3:19" x14ac:dyDescent="0.25">
      <c r="C60" t="str">
        <v>USSWIT3</v>
      </c>
      <c r="D60" s="47" cm="1">
        <f t="array" ref="D60">_xll.qwYield($E$8,C60)</f>
        <v>2.5709999999999997E-2</v>
      </c>
      <c r="E60" s="3"/>
      <c r="H60" s="20">
        <v>46169</v>
      </c>
      <c r="I60">
        <v>329.6601</v>
      </c>
      <c r="J60" s="26">
        <f ca="1">IF((H60=$D$20),#REF!,0)</f>
        <v>0</v>
      </c>
      <c r="K60" s="26"/>
      <c r="L60" s="5"/>
      <c r="M60" s="4"/>
      <c r="N60" s="4"/>
      <c r="O60" s="3">
        <f t="shared" si="13"/>
        <v>4000</v>
      </c>
      <c r="P60" s="2">
        <f t="shared" ca="1" si="18"/>
        <v>50276</v>
      </c>
      <c r="Q60" t="e" cm="1">
        <f t="array" aca="1" ref="Q60" ca="1">_xll.qwDataInterp(O60,$B$20:$B$44,#REF!,4)</f>
        <v>#NUM!</v>
      </c>
      <c r="R60" s="3" t="e">
        <f t="shared" ca="1" si="19"/>
        <v>#NUM!</v>
      </c>
      <c r="S60" t="e">
        <f t="shared" ca="1" si="20"/>
        <v>#NUM!</v>
      </c>
    </row>
    <row r="61" spans="3:19" x14ac:dyDescent="0.25">
      <c r="C61" t="str">
        <v>USSWIT4</v>
      </c>
      <c r="D61" s="47" cm="1">
        <f t="array" ref="D61">_xll.qwYield($E$8,C61)</f>
        <v>2.5587499999999999E-2</v>
      </c>
      <c r="E61" s="3"/>
      <c r="H61" s="20">
        <v>46168</v>
      </c>
      <c r="I61">
        <v>329.54951999999997</v>
      </c>
      <c r="J61" s="26">
        <f ca="1">IF((H61=$D$20),#REF!,0)</f>
        <v>0</v>
      </c>
      <c r="K61" s="26"/>
      <c r="L61" s="5"/>
      <c r="M61" s="4"/>
      <c r="N61" s="4"/>
      <c r="O61" s="3">
        <f t="shared" si="13"/>
        <v>4100</v>
      </c>
      <c r="P61" s="2">
        <f t="shared" ca="1" si="18"/>
        <v>50376</v>
      </c>
      <c r="Q61" t="e" cm="1">
        <f t="array" aca="1" ref="Q61" ca="1">_xll.qwDataInterp(O61,$B$20:$B$44,#REF!,4)</f>
        <v>#NUM!</v>
      </c>
      <c r="R61" s="3" t="e">
        <f t="shared" ca="1" si="19"/>
        <v>#NUM!</v>
      </c>
      <c r="S61" t="e">
        <f t="shared" ca="1" si="20"/>
        <v>#NUM!</v>
      </c>
    </row>
    <row r="62" spans="3:19" x14ac:dyDescent="0.25">
      <c r="C62" t="str">
        <v>USSWIT5</v>
      </c>
      <c r="D62" s="47" cm="1">
        <f t="array" ref="D62">_xll.qwYield($E$8,C62)</f>
        <v>2.545E-2</v>
      </c>
      <c r="E62" s="3"/>
      <c r="H62" s="20">
        <v>46164</v>
      </c>
      <c r="I62">
        <v>329.10719</v>
      </c>
      <c r="J62" s="26">
        <f ca="1">IF((H62=$D$20),#REF!,0)</f>
        <v>0</v>
      </c>
      <c r="K62" s="26"/>
      <c r="L62" s="5"/>
      <c r="M62" s="4"/>
      <c r="N62" s="4"/>
      <c r="O62" s="3">
        <f t="shared" si="13"/>
        <v>4200</v>
      </c>
      <c r="P62" s="2">
        <f t="shared" ca="1" si="18"/>
        <v>50476</v>
      </c>
      <c r="Q62" t="e" cm="1">
        <f t="array" aca="1" ref="Q62" ca="1">_xll.qwDataInterp(O62,$B$20:$B$44,#REF!,4)</f>
        <v>#NUM!</v>
      </c>
      <c r="R62" s="3" t="e">
        <f t="shared" ca="1" si="19"/>
        <v>#NUM!</v>
      </c>
      <c r="S62" t="e">
        <f t="shared" ca="1" si="20"/>
        <v>#NUM!</v>
      </c>
    </row>
    <row r="63" spans="3:19" x14ac:dyDescent="0.25">
      <c r="C63" t="str">
        <v>USSWIT6</v>
      </c>
      <c r="D63" s="47" cm="1">
        <f t="array" ref="D63">_xll.qwYield($E$8,C63)</f>
        <v>2.53E-2</v>
      </c>
      <c r="E63" s="3"/>
      <c r="H63" s="20">
        <v>46163</v>
      </c>
      <c r="I63">
        <v>328.99660999999998</v>
      </c>
      <c r="J63" s="26">
        <f ca="1">IF((H63=$D$20),#REF!,0)</f>
        <v>0</v>
      </c>
      <c r="K63" s="26"/>
      <c r="L63" s="5">
        <v>45991</v>
      </c>
      <c r="M63" s="4">
        <v>324.12200000000001</v>
      </c>
      <c r="N63" s="4"/>
      <c r="O63" s="3">
        <f t="shared" si="13"/>
        <v>4300</v>
      </c>
      <c r="P63" s="2">
        <f t="shared" ca="1" si="18"/>
        <v>50576</v>
      </c>
      <c r="Q63" t="e" cm="1">
        <f t="array" aca="1" ref="Q63" ca="1">_xll.qwDataInterp(O63,$B$20:$B$44,#REF!,4)</f>
        <v>#NUM!</v>
      </c>
      <c r="R63" s="3" t="e">
        <f t="shared" ca="1" si="19"/>
        <v>#NUM!</v>
      </c>
      <c r="S63" t="e">
        <f t="shared" ca="1" si="20"/>
        <v>#NUM!</v>
      </c>
    </row>
    <row r="64" spans="3:19" x14ac:dyDescent="0.25">
      <c r="C64" t="str">
        <v>USSWIT7</v>
      </c>
      <c r="D64" s="47" cm="1">
        <f t="array" ref="D64">_xll.qwYield($E$8,C64)</f>
        <v>2.5161500000000003E-2</v>
      </c>
      <c r="E64" s="3"/>
      <c r="H64" s="20">
        <v>46162</v>
      </c>
      <c r="I64">
        <v>328.88603000000001</v>
      </c>
      <c r="J64" s="26">
        <f ca="1">IF((H64=$D$20),#REF!,0)</f>
        <v>0</v>
      </c>
      <c r="K64" s="26"/>
      <c r="L64" s="5">
        <v>45930</v>
      </c>
      <c r="M64" s="4">
        <v>324.8</v>
      </c>
      <c r="N64" s="4"/>
      <c r="O64" s="3">
        <f t="shared" si="13"/>
        <v>4400</v>
      </c>
      <c r="P64" s="2">
        <f t="shared" ca="1" si="18"/>
        <v>50676</v>
      </c>
      <c r="Q64" t="e" cm="1">
        <f t="array" aca="1" ref="Q64" ca="1">_xll.qwDataInterp(O64,$B$20:$B$44,#REF!,4)</f>
        <v>#NUM!</v>
      </c>
      <c r="R64" s="3" t="e">
        <f t="shared" ca="1" si="19"/>
        <v>#NUM!</v>
      </c>
      <c r="S64" t="e">
        <f t="shared" ca="1" si="20"/>
        <v>#NUM!</v>
      </c>
    </row>
    <row r="65" spans="3:19" x14ac:dyDescent="0.25">
      <c r="C65" t="str">
        <v>USSWIT8</v>
      </c>
      <c r="D65" s="47" cm="1">
        <f t="array" ref="D65">_xll.qwYield($E$8,C65)</f>
        <v>2.5038000000000001E-2</v>
      </c>
      <c r="E65" s="3"/>
      <c r="H65" s="20">
        <v>46161</v>
      </c>
      <c r="I65">
        <v>328.775451612903</v>
      </c>
      <c r="J65" s="26">
        <f ca="1">IF((H65=$D$20),#REF!,0)</f>
        <v>0</v>
      </c>
      <c r="K65" s="26"/>
      <c r="L65" s="3"/>
      <c r="M65" s="4"/>
      <c r="N65" s="4"/>
      <c r="O65" s="3">
        <f t="shared" si="13"/>
        <v>4500</v>
      </c>
      <c r="P65" s="2">
        <f t="shared" ca="1" si="18"/>
        <v>50776</v>
      </c>
      <c r="Q65" t="e" cm="1">
        <f t="array" aca="1" ref="Q65" ca="1">_xll.qwDataInterp(O65,$B$20:$B$44,#REF!,4)</f>
        <v>#NUM!</v>
      </c>
      <c r="R65" s="3" t="e">
        <f t="shared" ca="1" si="19"/>
        <v>#NUM!</v>
      </c>
      <c r="S65" t="e">
        <f t="shared" ca="1" si="20"/>
        <v>#NUM!</v>
      </c>
    </row>
    <row r="66" spans="3:19" x14ac:dyDescent="0.25">
      <c r="C66" t="str">
        <v>USSWIT9</v>
      </c>
      <c r="D66" s="47" cm="1">
        <f t="array" ref="D66">_xll.qwYield($E$8,C66)</f>
        <v>2.49365E-2</v>
      </c>
      <c r="E66" s="3"/>
      <c r="H66" s="20">
        <v>46160</v>
      </c>
      <c r="I66" s="27">
        <v>328.66487000000001</v>
      </c>
      <c r="J66" s="26">
        <f ca="1">IF((H66=$D$20),#REF!,0)</f>
        <v>0</v>
      </c>
      <c r="K66" s="26"/>
      <c r="L66" s="3"/>
      <c r="M66" s="4"/>
      <c r="N66" s="4"/>
      <c r="O66" s="3">
        <f t="shared" si="13"/>
        <v>4600</v>
      </c>
      <c r="P66" s="2">
        <f t="shared" ca="1" si="18"/>
        <v>50876</v>
      </c>
      <c r="Q66" t="e" cm="1">
        <f t="array" aca="1" ref="Q66" ca="1">_xll.qwDataInterp(O66,$B$20:$B$44,#REF!,4)</f>
        <v>#NUM!</v>
      </c>
      <c r="R66" s="3" t="e">
        <f t="shared" ca="1" si="19"/>
        <v>#NUM!</v>
      </c>
      <c r="S66" t="e">
        <f t="shared" ca="1" si="20"/>
        <v>#NUM!</v>
      </c>
    </row>
    <row r="67" spans="3:19" x14ac:dyDescent="0.25">
      <c r="C67" t="str">
        <v>USSWIT10</v>
      </c>
      <c r="D67" s="47" cm="1">
        <f t="array" ref="D67">_xll.qwYield($E$8,C67)</f>
        <v>2.4890500000000003E-2</v>
      </c>
      <c r="E67" s="3"/>
      <c r="H67" s="20">
        <v>46157</v>
      </c>
      <c r="I67">
        <v>328.33312999999998</v>
      </c>
      <c r="J67" s="26">
        <f ca="1">IF((H67=$D$20),#REF!,0)</f>
        <v>0</v>
      </c>
      <c r="K67" s="26"/>
      <c r="L67" s="3"/>
      <c r="M67" s="4"/>
      <c r="N67" s="4"/>
      <c r="O67" s="3">
        <f t="shared" si="13"/>
        <v>4700</v>
      </c>
      <c r="P67" s="2">
        <f t="shared" ca="1" si="18"/>
        <v>50976</v>
      </c>
      <c r="Q67" t="e" cm="1">
        <f t="array" aca="1" ref="Q67" ca="1">_xll.qwDataInterp(O67,$B$20:$B$44,#REF!,4)</f>
        <v>#NUM!</v>
      </c>
      <c r="R67" s="3" t="e">
        <f t="shared" ca="1" si="19"/>
        <v>#NUM!</v>
      </c>
      <c r="S67" t="e">
        <f t="shared" ca="1" si="20"/>
        <v>#NUM!</v>
      </c>
    </row>
    <row r="68" spans="3:19" x14ac:dyDescent="0.25">
      <c r="C68" t="str">
        <v>USSWIT12</v>
      </c>
      <c r="D68" s="47" cm="1">
        <f t="array" ref="D68">_xll.qwYield($E$8,C68)</f>
        <v>2.4752500000000004E-2</v>
      </c>
      <c r="E68" s="3"/>
      <c r="H68" s="20">
        <v>46156</v>
      </c>
      <c r="I68">
        <v>328.22255000000001</v>
      </c>
      <c r="J68" s="26">
        <f ca="1">IF((H68=$D$20),#REF!,0)</f>
        <v>0</v>
      </c>
      <c r="K68" s="26"/>
      <c r="L68" s="3"/>
      <c r="M68" s="4"/>
      <c r="N68" s="4"/>
      <c r="O68" s="3">
        <f t="shared" si="13"/>
        <v>4800</v>
      </c>
      <c r="P68" s="2">
        <f t="shared" ca="1" si="18"/>
        <v>51076</v>
      </c>
      <c r="Q68" t="e" cm="1">
        <f t="array" aca="1" ref="Q68" ca="1">_xll.qwDataInterp(O68,$B$20:$B$44,#REF!,4)</f>
        <v>#NUM!</v>
      </c>
      <c r="R68" s="3" t="e">
        <f t="shared" ca="1" si="19"/>
        <v>#NUM!</v>
      </c>
      <c r="S68" t="e">
        <f t="shared" ca="1" si="20"/>
        <v>#NUM!</v>
      </c>
    </row>
    <row r="69" spans="3:19" x14ac:dyDescent="0.25">
      <c r="C69" t="str">
        <v>USSWIT15</v>
      </c>
      <c r="D69" s="47" cm="1">
        <f t="array" ref="D69">_xll.qwYield($E$8,C69)</f>
        <v>2.4552500000000001E-2</v>
      </c>
      <c r="E69" s="3"/>
      <c r="H69" s="20">
        <v>46155</v>
      </c>
      <c r="I69">
        <v>328.11196999999999</v>
      </c>
      <c r="J69" s="26">
        <f ca="1">IF((H69=$D$20),#REF!,0)</f>
        <v>0</v>
      </c>
      <c r="K69" s="26"/>
      <c r="L69" s="3"/>
      <c r="M69" s="4"/>
      <c r="N69" s="4"/>
      <c r="O69" s="3">
        <f t="shared" si="13"/>
        <v>4900</v>
      </c>
      <c r="P69" s="2">
        <f t="shared" ca="1" si="18"/>
        <v>51176</v>
      </c>
      <c r="Q69" t="e" cm="1">
        <f t="array" aca="1" ref="Q69" ca="1">_xll.qwDataInterp(O69,$B$20:$B$44,#REF!,4)</f>
        <v>#NUM!</v>
      </c>
      <c r="R69" s="3" t="e">
        <f t="shared" ca="1" si="19"/>
        <v>#NUM!</v>
      </c>
      <c r="S69" t="e">
        <f t="shared" ca="1" si="20"/>
        <v>#NUM!</v>
      </c>
    </row>
    <row r="70" spans="3:19" x14ac:dyDescent="0.25">
      <c r="C70" t="str">
        <v>USSWIT20</v>
      </c>
      <c r="D70" s="47" cm="1">
        <f t="array" ref="D70">_xll.qwYield($E$8,C70)</f>
        <v>2.4289999999999999E-2</v>
      </c>
      <c r="E70" s="3"/>
      <c r="H70" s="20">
        <v>46154</v>
      </c>
      <c r="I70">
        <v>328.00139000000001</v>
      </c>
      <c r="J70" s="26">
        <f ca="1">IF((H70=$D$20),#REF!,0)</f>
        <v>0</v>
      </c>
      <c r="K70" s="26"/>
      <c r="L70" s="3"/>
      <c r="M70" s="4"/>
      <c r="N70" s="4"/>
      <c r="O70" s="3">
        <f t="shared" si="13"/>
        <v>5000</v>
      </c>
      <c r="P70" s="2">
        <f t="shared" ca="1" si="18"/>
        <v>51276</v>
      </c>
      <c r="Q70" t="e" cm="1">
        <f t="array" aca="1" ref="Q70" ca="1">_xll.qwDataInterp(O70,$B$20:$B$44,#REF!,4)</f>
        <v>#NUM!</v>
      </c>
      <c r="R70" s="3" t="e">
        <f t="shared" ca="1" si="19"/>
        <v>#NUM!</v>
      </c>
      <c r="S70" t="e">
        <f t="shared" ca="1" si="20"/>
        <v>#NUM!</v>
      </c>
    </row>
    <row r="71" spans="3:19" x14ac:dyDescent="0.25">
      <c r="C71" t="str">
        <v>USSWIT30</v>
      </c>
      <c r="D71" s="47" cm="1">
        <f t="array" ref="D71">_xll.qwYield($E$8,C71)</f>
        <v>2.3890000000000002E-2</v>
      </c>
      <c r="E71" s="3"/>
      <c r="H71" s="20">
        <v>46153</v>
      </c>
      <c r="I71">
        <v>327.89080999999999</v>
      </c>
      <c r="J71" s="26">
        <f ca="1">IF((H71=$D$20),#REF!,0)</f>
        <v>0</v>
      </c>
      <c r="K71" s="26"/>
      <c r="L71" s="3"/>
      <c r="M71" s="4"/>
      <c r="N71" s="4"/>
      <c r="O71" s="3">
        <f t="shared" si="13"/>
        <v>5100</v>
      </c>
      <c r="P71" s="2">
        <f t="shared" ca="1" si="18"/>
        <v>51376</v>
      </c>
      <c r="Q71" t="e" cm="1">
        <f t="array" aca="1" ref="Q71" ca="1">_xll.qwDataInterp(O71,$B$20:$B$44,#REF!,4)</f>
        <v>#NUM!</v>
      </c>
      <c r="R71" s="3" t="e">
        <f t="shared" ca="1" si="19"/>
        <v>#NUM!</v>
      </c>
      <c r="S71" t="e">
        <f t="shared" ca="1" si="20"/>
        <v>#NUM!</v>
      </c>
    </row>
    <row r="72" spans="3:19" x14ac:dyDescent="0.25">
      <c r="D72" s="2"/>
      <c r="E72" s="3"/>
      <c r="H72" s="20">
        <v>46150</v>
      </c>
      <c r="I72">
        <v>327.55905999999999</v>
      </c>
      <c r="J72" s="26">
        <f ca="1">IF((H72=$D$20),#REF!,0)</f>
        <v>0</v>
      </c>
      <c r="K72" s="26"/>
      <c r="L72" s="3"/>
      <c r="M72" s="4"/>
      <c r="N72" s="4"/>
      <c r="O72" s="3">
        <f t="shared" si="13"/>
        <v>5200</v>
      </c>
      <c r="P72" s="2">
        <f t="shared" ca="1" si="18"/>
        <v>51476</v>
      </c>
      <c r="Q72" t="e" cm="1">
        <f t="array" aca="1" ref="Q72" ca="1">_xll.qwDataInterp(O72,$B$20:$B$44,#REF!,4)</f>
        <v>#NUM!</v>
      </c>
      <c r="R72" s="3" t="e">
        <f t="shared" ca="1" si="19"/>
        <v>#NUM!</v>
      </c>
      <c r="S72" t="e">
        <f t="shared" ca="1" si="20"/>
        <v>#NUM!</v>
      </c>
    </row>
    <row r="73" spans="3:19" x14ac:dyDescent="0.25">
      <c r="D73" s="2"/>
      <c r="E73" s="3"/>
      <c r="H73" s="20">
        <v>46149</v>
      </c>
      <c r="I73">
        <v>327.44848000000002</v>
      </c>
      <c r="J73" s="26">
        <f ca="1">IF((H73=$D$20),#REF!,0)</f>
        <v>0</v>
      </c>
      <c r="K73" s="26"/>
      <c r="L73" s="3"/>
      <c r="M73" s="4"/>
      <c r="N73" s="4"/>
      <c r="O73" s="3">
        <f t="shared" si="13"/>
        <v>5300</v>
      </c>
      <c r="P73" s="2">
        <f t="shared" ca="1" si="18"/>
        <v>51576</v>
      </c>
      <c r="Q73" t="e" cm="1">
        <f t="array" aca="1" ref="Q73" ca="1">_xll.qwDataInterp(O73,$B$20:$B$44,#REF!,4)</f>
        <v>#NUM!</v>
      </c>
      <c r="R73" s="3" t="e">
        <f t="shared" ca="1" si="19"/>
        <v>#NUM!</v>
      </c>
      <c r="S73" t="e">
        <f t="shared" ca="1" si="20"/>
        <v>#NUM!</v>
      </c>
    </row>
    <row r="74" spans="3:19" x14ac:dyDescent="0.25">
      <c r="D74" s="2"/>
      <c r="E74" s="3"/>
      <c r="H74" s="20">
        <v>46148</v>
      </c>
      <c r="I74">
        <v>327.33789999999999</v>
      </c>
      <c r="J74" s="26">
        <f ca="1">IF((H74=$D$20),#REF!,0)</f>
        <v>0</v>
      </c>
      <c r="K74" s="26"/>
      <c r="L74" s="3"/>
      <c r="M74" s="4"/>
      <c r="N74" s="4"/>
      <c r="O74" s="3">
        <f t="shared" si="13"/>
        <v>5400</v>
      </c>
      <c r="P74" s="2">
        <f t="shared" ca="1" si="18"/>
        <v>51676</v>
      </c>
      <c r="Q74" t="e" cm="1">
        <f t="array" aca="1" ref="Q74" ca="1">_xll.qwDataInterp(O74,$B$20:$B$44,#REF!,4)</f>
        <v>#NUM!</v>
      </c>
      <c r="R74" s="3" t="e">
        <f t="shared" ca="1" si="19"/>
        <v>#NUM!</v>
      </c>
      <c r="S74" t="e">
        <f t="shared" ca="1" si="20"/>
        <v>#NUM!</v>
      </c>
    </row>
    <row r="75" spans="3:19" x14ac:dyDescent="0.25">
      <c r="D75" s="2"/>
      <c r="E75" s="3"/>
      <c r="H75" s="20">
        <v>46147</v>
      </c>
      <c r="I75">
        <v>327.22732000000002</v>
      </c>
      <c r="J75" s="26">
        <f ca="1">IF((H75=$D$20),#REF!,0)</f>
        <v>0</v>
      </c>
      <c r="K75" s="26"/>
      <c r="L75" s="3"/>
      <c r="M75" s="4"/>
      <c r="N75" s="4"/>
      <c r="O75" s="3">
        <f t="shared" si="13"/>
        <v>5500</v>
      </c>
      <c r="P75" s="2">
        <f t="shared" ca="1" si="18"/>
        <v>51776</v>
      </c>
      <c r="Q75" t="e" cm="1">
        <f t="array" aca="1" ref="Q75" ca="1">_xll.qwDataInterp(O75,$B$20:$B$44,#REF!,4)</f>
        <v>#NUM!</v>
      </c>
      <c r="R75" s="3" t="e">
        <f t="shared" ca="1" si="19"/>
        <v>#NUM!</v>
      </c>
      <c r="S75" t="e">
        <f t="shared" ca="1" si="20"/>
        <v>#NUM!</v>
      </c>
    </row>
    <row r="76" spans="3:19" x14ac:dyDescent="0.25">
      <c r="D76" s="2"/>
      <c r="E76" s="3"/>
      <c r="H76" s="20">
        <v>46146</v>
      </c>
      <c r="I76" s="22">
        <v>327.11673999999999</v>
      </c>
      <c r="J76" s="26">
        <f ca="1">IF((H76=$D$20),#REF!,0)</f>
        <v>0</v>
      </c>
      <c r="K76" s="26"/>
      <c r="L76" s="3"/>
      <c r="M76" s="4"/>
      <c r="N76" s="4"/>
      <c r="O76" s="3">
        <f t="shared" si="13"/>
        <v>5600</v>
      </c>
      <c r="P76" s="2">
        <f t="shared" ca="1" si="18"/>
        <v>51876</v>
      </c>
      <c r="Q76" t="e" cm="1">
        <f t="array" aca="1" ref="Q76" ca="1">_xll.qwDataInterp(O76,$B$20:$B$44,#REF!,4)</f>
        <v>#NUM!</v>
      </c>
      <c r="R76" s="3" t="e">
        <f t="shared" ca="1" si="19"/>
        <v>#NUM!</v>
      </c>
      <c r="S76" t="e">
        <f t="shared" ca="1" si="20"/>
        <v>#NUM!</v>
      </c>
    </row>
    <row r="77" spans="3:19" x14ac:dyDescent="0.25">
      <c r="D77" s="2"/>
      <c r="E77" s="3"/>
      <c r="H77" s="20">
        <v>46143</v>
      </c>
      <c r="I77" s="22">
        <v>326.78500000000003</v>
      </c>
      <c r="J77" s="26">
        <f ca="1">IF((H77=$D$20),#REF!,0)</f>
        <v>0</v>
      </c>
      <c r="K77" s="26"/>
      <c r="L77" s="3"/>
      <c r="M77" s="4"/>
      <c r="N77" s="4"/>
      <c r="O77" s="3">
        <f t="shared" si="13"/>
        <v>5700</v>
      </c>
      <c r="P77" s="2">
        <f t="shared" ca="1" si="18"/>
        <v>51976</v>
      </c>
      <c r="Q77" t="e" cm="1">
        <f t="array" aca="1" ref="Q77" ca="1">_xll.qwDataInterp(O77,$B$20:$B$44,#REF!,4)</f>
        <v>#NUM!</v>
      </c>
      <c r="R77" s="3" t="e">
        <f t="shared" ca="1" si="19"/>
        <v>#NUM!</v>
      </c>
      <c r="S77" t="e">
        <f t="shared" ca="1" si="20"/>
        <v>#NUM!</v>
      </c>
    </row>
    <row r="78" spans="3:19" x14ac:dyDescent="0.25">
      <c r="D78" s="2"/>
      <c r="E78" s="3"/>
      <c r="H78" s="20">
        <v>46142</v>
      </c>
      <c r="I78">
        <v>326.73390000000001</v>
      </c>
      <c r="J78" s="26">
        <f ca="1">IF((H78=$D$20),#REF!,0)</f>
        <v>0</v>
      </c>
      <c r="K78" s="26"/>
      <c r="L78" s="3"/>
      <c r="M78" s="4"/>
      <c r="N78" s="4"/>
      <c r="O78" s="3">
        <f t="shared" si="13"/>
        <v>5800</v>
      </c>
      <c r="P78" s="2">
        <f t="shared" ca="1" si="18"/>
        <v>52076</v>
      </c>
      <c r="Q78" t="e" cm="1">
        <f t="array" aca="1" ref="Q78" ca="1">_xll.qwDataInterp(O78,$B$20:$B$44,#REF!,4)</f>
        <v>#NUM!</v>
      </c>
      <c r="R78" s="3" t="e">
        <f t="shared" ca="1" si="19"/>
        <v>#NUM!</v>
      </c>
      <c r="S78" t="e">
        <f t="shared" ca="1" si="20"/>
        <v>#NUM!</v>
      </c>
    </row>
    <row r="79" spans="3:19" x14ac:dyDescent="0.25">
      <c r="D79" s="2"/>
      <c r="E79" s="3"/>
      <c r="H79" s="20">
        <v>46141</v>
      </c>
      <c r="I79">
        <v>326.68279999999999</v>
      </c>
      <c r="J79" s="26">
        <f ca="1">IF((H79=$D$20),#REF!,0)</f>
        <v>0</v>
      </c>
      <c r="K79" s="26"/>
      <c r="L79" s="3"/>
      <c r="M79" s="4"/>
      <c r="N79" s="4"/>
      <c r="O79" s="3">
        <f t="shared" si="13"/>
        <v>5900</v>
      </c>
      <c r="P79" s="2">
        <f t="shared" ca="1" si="18"/>
        <v>52176</v>
      </c>
      <c r="Q79" t="e" cm="1">
        <f t="array" aca="1" ref="Q79" ca="1">_xll.qwDataInterp(O79,$B$20:$B$44,#REF!,4)</f>
        <v>#NUM!</v>
      </c>
      <c r="R79" s="3" t="e">
        <f t="shared" ca="1" si="19"/>
        <v>#NUM!</v>
      </c>
      <c r="S79" t="e">
        <f t="shared" ca="1" si="20"/>
        <v>#NUM!</v>
      </c>
    </row>
    <row r="80" spans="3:19" x14ac:dyDescent="0.25">
      <c r="D80" s="2"/>
      <c r="E80" s="3"/>
      <c r="H80" s="20">
        <v>46140</v>
      </c>
      <c r="I80">
        <v>326.63170000000002</v>
      </c>
      <c r="J80" s="26">
        <f ca="1">IF((H80=$D$20),#REF!,0)</f>
        <v>0</v>
      </c>
      <c r="K80" s="26"/>
      <c r="L80" s="3"/>
      <c r="M80" s="4"/>
      <c r="N80" s="4"/>
      <c r="O80" s="3">
        <f t="shared" si="13"/>
        <v>6000</v>
      </c>
      <c r="P80" s="2">
        <f t="shared" ca="1" si="18"/>
        <v>52276</v>
      </c>
      <c r="Q80" t="e" cm="1">
        <f t="array" aca="1" ref="Q80" ca="1">_xll.qwDataInterp(O80,$B$20:$B$44,#REF!,4)</f>
        <v>#NUM!</v>
      </c>
      <c r="R80" s="3" t="e">
        <f t="shared" ca="1" si="19"/>
        <v>#NUM!</v>
      </c>
      <c r="S80" t="e">
        <f t="shared" ca="1" si="20"/>
        <v>#NUM!</v>
      </c>
    </row>
    <row r="81" spans="4:19" x14ac:dyDescent="0.25">
      <c r="D81" s="2"/>
      <c r="H81" s="20">
        <v>46139</v>
      </c>
      <c r="I81">
        <v>326.5806</v>
      </c>
      <c r="J81" s="26">
        <f ca="1">IF((H81=$D$20),#REF!,0)</f>
        <v>0</v>
      </c>
      <c r="K81" s="26"/>
      <c r="L81" s="3"/>
      <c r="M81" s="4"/>
      <c r="N81" s="4"/>
      <c r="O81" s="3">
        <f t="shared" si="13"/>
        <v>6100</v>
      </c>
      <c r="P81" s="2">
        <f t="shared" ca="1" si="18"/>
        <v>52376</v>
      </c>
      <c r="Q81" t="e" cm="1">
        <f t="array" aca="1" ref="Q81" ca="1">_xll.qwDataInterp(O81,$B$20:$B$44,#REF!,4)</f>
        <v>#NUM!</v>
      </c>
      <c r="R81" s="3" t="e">
        <f t="shared" ca="1" si="19"/>
        <v>#NUM!</v>
      </c>
      <c r="S81" t="e">
        <f t="shared" ca="1" si="20"/>
        <v>#NUM!</v>
      </c>
    </row>
    <row r="82" spans="4:19" x14ac:dyDescent="0.25">
      <c r="D82" s="2"/>
      <c r="H82" s="20">
        <v>46136</v>
      </c>
      <c r="I82">
        <v>326.4273</v>
      </c>
      <c r="J82" s="26">
        <f ca="1">IF((H82=$D$20),#REF!,0)</f>
        <v>0</v>
      </c>
      <c r="K82" s="26"/>
      <c r="L82" s="3"/>
      <c r="M82" s="4"/>
      <c r="N82" s="4"/>
      <c r="O82" s="3">
        <f t="shared" si="13"/>
        <v>6200</v>
      </c>
      <c r="P82" s="2">
        <f t="shared" ca="1" si="18"/>
        <v>52476</v>
      </c>
      <c r="Q82" t="e" cm="1">
        <f t="array" aca="1" ref="Q82" ca="1">_xll.qwDataInterp(O82,$B$20:$B$44,#REF!,4)</f>
        <v>#NUM!</v>
      </c>
      <c r="R82" s="3" t="e">
        <f t="shared" ca="1" si="19"/>
        <v>#NUM!</v>
      </c>
      <c r="S82" t="e">
        <f t="shared" ca="1" si="20"/>
        <v>#NUM!</v>
      </c>
    </row>
    <row r="83" spans="4:19" x14ac:dyDescent="0.25">
      <c r="D83" s="2"/>
      <c r="H83" s="20">
        <v>46135</v>
      </c>
      <c r="I83" s="26">
        <v>326.37619999999998</v>
      </c>
      <c r="J83" s="26">
        <f ca="1">IF((H83=$D$20),#REF!,0)</f>
        <v>0</v>
      </c>
      <c r="K83" s="26"/>
      <c r="L83" s="3"/>
      <c r="M83" s="4"/>
      <c r="N83" s="4"/>
      <c r="O83" s="3">
        <f t="shared" si="13"/>
        <v>6300</v>
      </c>
      <c r="P83" s="2">
        <f t="shared" ca="1" si="18"/>
        <v>52576</v>
      </c>
      <c r="Q83" t="e" cm="1">
        <f t="array" aca="1" ref="Q83" ca="1">_xll.qwDataInterp(O83,$B$20:$B$44,#REF!,4)</f>
        <v>#NUM!</v>
      </c>
      <c r="R83" s="3" t="e">
        <f t="shared" ca="1" si="19"/>
        <v>#NUM!</v>
      </c>
      <c r="S83" t="e">
        <f t="shared" ca="1" si="20"/>
        <v>#NUM!</v>
      </c>
    </row>
    <row r="84" spans="4:19" x14ac:dyDescent="0.25">
      <c r="D84" s="2"/>
      <c r="H84" s="20">
        <v>46134</v>
      </c>
      <c r="I84">
        <v>326.32510000000002</v>
      </c>
      <c r="J84" s="26">
        <f ca="1">IF((H84=$D$20),#REF!,0)</f>
        <v>0</v>
      </c>
      <c r="K84" s="26"/>
      <c r="L84" s="3"/>
      <c r="M84" s="4"/>
      <c r="N84" s="4"/>
      <c r="O84" s="3">
        <f t="shared" si="13"/>
        <v>6400</v>
      </c>
      <c r="P84" s="2">
        <f t="shared" ref="P84:P93" ca="1" si="21">O84+$E$10</f>
        <v>52676</v>
      </c>
      <c r="Q84" t="e" cm="1">
        <f t="array" aca="1" ref="Q84" ca="1">_xll.qwDataInterp(O84,$B$20:$B$44,#REF!,4)</f>
        <v>#NUM!</v>
      </c>
      <c r="R84" s="3" t="e">
        <f t="shared" ref="R84:R93" ca="1" si="22">VLOOKUP(MONTH(P84),$AK$4:$AM$15,3,0)*Q84</f>
        <v>#NUM!</v>
      </c>
      <c r="S84" t="e">
        <f t="shared" ca="1" si="20"/>
        <v>#NUM!</v>
      </c>
    </row>
    <row r="85" spans="4:19" x14ac:dyDescent="0.25">
      <c r="D85" s="2"/>
      <c r="H85" s="20">
        <v>46133</v>
      </c>
      <c r="I85">
        <v>326.274</v>
      </c>
      <c r="J85" s="26">
        <f ca="1">IF((H85=$D$20),#REF!,0)</f>
        <v>0</v>
      </c>
      <c r="K85" s="26"/>
      <c r="L85" s="3"/>
      <c r="M85" s="4"/>
      <c r="N85" s="4"/>
      <c r="O85" s="3">
        <f t="shared" si="13"/>
        <v>6500</v>
      </c>
      <c r="P85" s="2">
        <f t="shared" ca="1" si="21"/>
        <v>52776</v>
      </c>
      <c r="Q85" t="e" cm="1">
        <f t="array" aca="1" ref="Q85" ca="1">_xll.qwDataInterp(O85,$B$20:$B$44,#REF!,4)</f>
        <v>#NUM!</v>
      </c>
      <c r="R85" s="3" t="e">
        <f t="shared" ca="1" si="22"/>
        <v>#NUM!</v>
      </c>
      <c r="S85" t="e">
        <f t="shared" ref="S85:S93" ca="1" si="23">EXP(LN(Q85/$Q$20)*1/((P85-$P$20)/365))-1</f>
        <v>#NUM!</v>
      </c>
    </row>
    <row r="86" spans="4:19" x14ac:dyDescent="0.25">
      <c r="D86" s="2"/>
      <c r="H86" s="20">
        <v>46132</v>
      </c>
      <c r="I86">
        <v>326.22289999999998</v>
      </c>
      <c r="J86" s="26">
        <f ca="1">IF((H86=$D$20),#REF!,0)</f>
        <v>0</v>
      </c>
      <c r="K86" s="26"/>
      <c r="L86" s="3"/>
      <c r="M86" s="4"/>
      <c r="N86" s="4"/>
      <c r="O86" s="3">
        <f t="shared" ref="O86:O93" si="24">O85+100</f>
        <v>6600</v>
      </c>
      <c r="P86" s="2">
        <f t="shared" ca="1" si="21"/>
        <v>52876</v>
      </c>
      <c r="Q86" t="e" cm="1">
        <f t="array" aca="1" ref="Q86" ca="1">_xll.qwDataInterp(O86,$B$20:$B$44,#REF!,4)</f>
        <v>#NUM!</v>
      </c>
      <c r="R86" s="3" t="e">
        <f t="shared" ca="1" si="22"/>
        <v>#NUM!</v>
      </c>
      <c r="S86" t="e">
        <f t="shared" ca="1" si="23"/>
        <v>#NUM!</v>
      </c>
    </row>
    <row r="87" spans="4:19" x14ac:dyDescent="0.25">
      <c r="D87" s="2"/>
      <c r="H87" s="20">
        <v>46129</v>
      </c>
      <c r="I87">
        <v>326.06959999999998</v>
      </c>
      <c r="J87" s="26">
        <f ca="1">IF((H87=$D$20),#REF!,0)</f>
        <v>0</v>
      </c>
      <c r="K87" s="26"/>
      <c r="L87" s="3"/>
      <c r="M87" s="4"/>
      <c r="N87" s="4"/>
      <c r="O87" s="3">
        <f t="shared" si="24"/>
        <v>6700</v>
      </c>
      <c r="P87" s="2">
        <f t="shared" ca="1" si="21"/>
        <v>52976</v>
      </c>
      <c r="Q87" t="e" cm="1">
        <f t="array" aca="1" ref="Q87" ca="1">_xll.qwDataInterp(O87,$B$20:$B$44,#REF!,4)</f>
        <v>#NUM!</v>
      </c>
      <c r="R87" s="3" t="e">
        <f t="shared" ca="1" si="22"/>
        <v>#NUM!</v>
      </c>
      <c r="S87" t="e">
        <f t="shared" ca="1" si="23"/>
        <v>#NUM!</v>
      </c>
    </row>
    <row r="88" spans="4:19" x14ac:dyDescent="0.25">
      <c r="D88" s="2"/>
      <c r="H88" s="20">
        <v>46128</v>
      </c>
      <c r="I88" s="26">
        <v>326.01850000000002</v>
      </c>
      <c r="J88" s="26">
        <f ca="1">IF((H88=$D$20),#REF!,0)</f>
        <v>0</v>
      </c>
      <c r="K88" s="26"/>
      <c r="L88" s="3"/>
      <c r="M88" s="4"/>
      <c r="N88" s="4"/>
      <c r="O88" s="3">
        <f t="shared" si="24"/>
        <v>6800</v>
      </c>
      <c r="P88" s="2">
        <f t="shared" ca="1" si="21"/>
        <v>53076</v>
      </c>
      <c r="Q88" t="e" cm="1">
        <f t="array" aca="1" ref="Q88" ca="1">_xll.qwDataInterp(O88,$B$20:$B$44,#REF!,4)</f>
        <v>#NUM!</v>
      </c>
      <c r="R88" s="3" t="e">
        <f t="shared" ca="1" si="22"/>
        <v>#NUM!</v>
      </c>
      <c r="S88" t="e">
        <f t="shared" ca="1" si="23"/>
        <v>#NUM!</v>
      </c>
    </row>
    <row r="89" spans="4:19" x14ac:dyDescent="0.25">
      <c r="D89" s="2"/>
      <c r="H89" s="20">
        <v>46127</v>
      </c>
      <c r="I89">
        <v>325.9674</v>
      </c>
      <c r="J89" s="26">
        <f ca="1">IF((H89=$D$20),#REF!,0)</f>
        <v>0</v>
      </c>
      <c r="K89" s="26"/>
      <c r="L89" s="3"/>
      <c r="M89" s="4"/>
      <c r="N89" s="4"/>
      <c r="O89" s="3">
        <f t="shared" si="24"/>
        <v>6900</v>
      </c>
      <c r="P89" s="2">
        <f t="shared" ca="1" si="21"/>
        <v>53176</v>
      </c>
      <c r="Q89" t="e" cm="1">
        <f t="array" aca="1" ref="Q89" ca="1">_xll.qwDataInterp(O89,$B$20:$B$44,#REF!,4)</f>
        <v>#NUM!</v>
      </c>
      <c r="R89" s="3" t="e">
        <f t="shared" ca="1" si="22"/>
        <v>#NUM!</v>
      </c>
      <c r="S89" t="e">
        <f t="shared" ca="1" si="23"/>
        <v>#NUM!</v>
      </c>
    </row>
    <row r="90" spans="4:19" x14ac:dyDescent="0.25">
      <c r="D90" s="2"/>
      <c r="H90" s="20">
        <v>46126</v>
      </c>
      <c r="I90">
        <v>325.91629999999998</v>
      </c>
      <c r="J90" s="26">
        <f ca="1">IF((H90=$D$20),#REF!,0)</f>
        <v>0</v>
      </c>
      <c r="K90" s="26"/>
      <c r="L90" s="3"/>
      <c r="M90" s="4"/>
      <c r="N90" s="4"/>
      <c r="O90" s="3">
        <f t="shared" si="24"/>
        <v>7000</v>
      </c>
      <c r="P90" s="2">
        <f t="shared" ca="1" si="21"/>
        <v>53276</v>
      </c>
      <c r="Q90" t="e" cm="1">
        <f t="array" aca="1" ref="Q90" ca="1">_xll.qwDataInterp(O90,$B$20:$B$44,#REF!,4)</f>
        <v>#NUM!</v>
      </c>
      <c r="R90" s="3" t="e">
        <f t="shared" ca="1" si="22"/>
        <v>#NUM!</v>
      </c>
      <c r="S90" t="e">
        <f t="shared" ca="1" si="23"/>
        <v>#NUM!</v>
      </c>
    </row>
    <row r="91" spans="4:19" x14ac:dyDescent="0.25">
      <c r="D91" s="2"/>
      <c r="H91" s="20">
        <v>46125</v>
      </c>
      <c r="I91">
        <v>325.86520000000002</v>
      </c>
      <c r="J91" s="26">
        <f ca="1">IF((H91=$D$20),#REF!,0)</f>
        <v>0</v>
      </c>
      <c r="K91" s="26"/>
      <c r="L91" s="3"/>
      <c r="M91" s="4"/>
      <c r="N91" s="4"/>
      <c r="O91" s="3">
        <f t="shared" si="24"/>
        <v>7100</v>
      </c>
      <c r="P91" s="2">
        <f t="shared" ca="1" si="21"/>
        <v>53376</v>
      </c>
      <c r="Q91" t="e" cm="1">
        <f t="array" aca="1" ref="Q91" ca="1">_xll.qwDataInterp(O91,$B$20:$B$44,#REF!,4)</f>
        <v>#NUM!</v>
      </c>
      <c r="R91" s="3" t="e">
        <f t="shared" ca="1" si="22"/>
        <v>#NUM!</v>
      </c>
      <c r="S91" t="e">
        <f t="shared" ca="1" si="23"/>
        <v>#NUM!</v>
      </c>
    </row>
    <row r="92" spans="4:19" x14ac:dyDescent="0.25">
      <c r="D92" s="2"/>
      <c r="H92" s="20">
        <v>46122</v>
      </c>
      <c r="I92">
        <v>325.71190000000001</v>
      </c>
      <c r="J92" s="26">
        <f ca="1">IF((H92=$D$20),#REF!,0)</f>
        <v>0</v>
      </c>
      <c r="K92" s="26"/>
      <c r="L92" s="3"/>
      <c r="M92" s="4"/>
      <c r="N92" s="4"/>
      <c r="O92" s="3">
        <f t="shared" si="24"/>
        <v>7200</v>
      </c>
      <c r="P92" s="2">
        <f t="shared" ca="1" si="21"/>
        <v>53476</v>
      </c>
      <c r="Q92" t="e" cm="1">
        <f t="array" aca="1" ref="Q92" ca="1">_xll.qwDataInterp(O92,$B$20:$B$44,#REF!,4)</f>
        <v>#NUM!</v>
      </c>
      <c r="R92" s="3" t="e">
        <f t="shared" ca="1" si="22"/>
        <v>#NUM!</v>
      </c>
      <c r="S92" t="e">
        <f t="shared" ca="1" si="23"/>
        <v>#NUM!</v>
      </c>
    </row>
    <row r="93" spans="4:19" x14ac:dyDescent="0.25">
      <c r="D93" s="20"/>
      <c r="F93" s="26"/>
      <c r="H93" s="20">
        <v>46121</v>
      </c>
      <c r="I93">
        <v>325.66079999999999</v>
      </c>
      <c r="K93" s="26"/>
      <c r="L93" s="3"/>
      <c r="M93" s="4"/>
      <c r="N93" s="4"/>
      <c r="O93" s="3">
        <f t="shared" si="24"/>
        <v>7300</v>
      </c>
      <c r="P93" s="2">
        <f t="shared" ca="1" si="21"/>
        <v>53576</v>
      </c>
      <c r="Q93" t="e" cm="1">
        <f t="array" aca="1" ref="Q93" ca="1">_xll.qwDataInterp(O93,$B$20:$B$44,#REF!,4)</f>
        <v>#NUM!</v>
      </c>
      <c r="R93" s="3" t="e">
        <f t="shared" ca="1" si="22"/>
        <v>#NUM!</v>
      </c>
      <c r="S93" t="e">
        <f t="shared" ca="1" si="23"/>
        <v>#NUM!</v>
      </c>
    </row>
    <row r="94" spans="4:19" x14ac:dyDescent="0.25">
      <c r="D94" s="20"/>
      <c r="F94" s="26"/>
      <c r="G94" s="26"/>
      <c r="H94" s="20">
        <v>46120</v>
      </c>
      <c r="I94">
        <v>325.60969999999998</v>
      </c>
      <c r="J94" s="26">
        <f ca="1">IF((H94=$D$20),#REF!,0)</f>
        <v>0</v>
      </c>
      <c r="K94" s="26"/>
      <c r="L94" s="26"/>
    </row>
    <row r="95" spans="4:19" x14ac:dyDescent="0.25">
      <c r="D95" s="20"/>
      <c r="F95" s="26"/>
      <c r="G95" s="26"/>
      <c r="H95" s="20">
        <v>46119</v>
      </c>
      <c r="I95">
        <v>325.55860000000001</v>
      </c>
      <c r="J95" s="26">
        <f ca="1">IF((H95=$D$20),#REF!,0)</f>
        <v>0</v>
      </c>
      <c r="K95" s="26"/>
      <c r="L95" s="26"/>
    </row>
    <row r="96" spans="4:19" x14ac:dyDescent="0.25">
      <c r="D96" s="2"/>
      <c r="F96" s="26"/>
      <c r="G96" s="26"/>
      <c r="H96" s="20">
        <v>46118</v>
      </c>
      <c r="I96">
        <v>325.50749999999999</v>
      </c>
      <c r="J96" s="26">
        <f ca="1">IF((H96=$D$20),#REF!,0)</f>
        <v>0</v>
      </c>
      <c r="K96" s="26"/>
      <c r="L96" s="26"/>
    </row>
    <row r="97" spans="4:12" x14ac:dyDescent="0.25">
      <c r="D97" s="2"/>
      <c r="F97" s="26"/>
      <c r="G97" s="26"/>
      <c r="H97" s="20">
        <v>46114</v>
      </c>
      <c r="I97" s="22">
        <v>325.30309999999997</v>
      </c>
      <c r="J97" s="26">
        <f ca="1">IF((H97=$D$20),#REF!,0)</f>
        <v>0</v>
      </c>
      <c r="K97" s="26"/>
      <c r="L97" s="26"/>
    </row>
    <row r="98" spans="4:12" x14ac:dyDescent="0.25">
      <c r="D98" s="2"/>
      <c r="F98" s="26"/>
      <c r="G98" s="26"/>
      <c r="H98" s="20">
        <v>46113</v>
      </c>
      <c r="I98" s="28">
        <v>325.25200000000001</v>
      </c>
      <c r="J98" s="26">
        <f ca="1">IF((H98=$D$20),#REF!,0)</f>
        <v>0</v>
      </c>
      <c r="K98" s="26"/>
      <c r="L98" s="26"/>
    </row>
    <row r="99" spans="4:12" x14ac:dyDescent="0.25">
      <c r="D99" s="2"/>
      <c r="F99" s="26"/>
      <c r="G99" s="26"/>
      <c r="H99" s="20">
        <v>46112</v>
      </c>
      <c r="I99" s="26">
        <v>325.21334999999999</v>
      </c>
      <c r="J99" s="26"/>
      <c r="K99" s="26"/>
      <c r="L99" s="26"/>
    </row>
    <row r="100" spans="4:12" x14ac:dyDescent="0.25">
      <c r="D100" s="2"/>
      <c r="F100" s="26"/>
      <c r="G100" s="26"/>
      <c r="K100" s="26"/>
      <c r="L100" s="26"/>
    </row>
    <row r="101" spans="4:12" x14ac:dyDescent="0.25">
      <c r="D101" s="30"/>
      <c r="F101" s="26"/>
      <c r="G101" s="26"/>
      <c r="K101" s="26"/>
      <c r="L101" s="26"/>
    </row>
    <row r="102" spans="4:12" x14ac:dyDescent="0.25">
      <c r="D102" s="2"/>
      <c r="F102" s="26"/>
      <c r="G102" s="26"/>
      <c r="K102" s="26"/>
      <c r="L102" s="26"/>
    </row>
    <row r="103" spans="4:12" x14ac:dyDescent="0.25">
      <c r="D103" s="2"/>
      <c r="F103" s="26"/>
      <c r="G103" s="26"/>
      <c r="H103" s="26"/>
      <c r="I103" s="26"/>
      <c r="J103" s="26"/>
      <c r="K103" s="26"/>
      <c r="L103" s="26"/>
    </row>
    <row r="104" spans="4:12" x14ac:dyDescent="0.25">
      <c r="D104" s="2"/>
      <c r="F104" s="26"/>
      <c r="G104" s="26"/>
      <c r="H104" s="26"/>
      <c r="I104" s="26"/>
      <c r="J104" s="26"/>
      <c r="K104" s="26"/>
      <c r="L104" s="26"/>
    </row>
    <row r="105" spans="4:12" x14ac:dyDescent="0.25">
      <c r="D105" s="2"/>
      <c r="F105" s="26"/>
      <c r="G105" s="26"/>
      <c r="H105" s="26"/>
      <c r="I105" s="26"/>
      <c r="J105" s="26"/>
      <c r="K105" s="26"/>
      <c r="L105" s="26"/>
    </row>
    <row r="106" spans="4:12" x14ac:dyDescent="0.25">
      <c r="D106" s="2"/>
      <c r="F106" s="26"/>
      <c r="G106" s="26"/>
      <c r="H106" s="26"/>
      <c r="I106" s="26"/>
      <c r="J106" s="26"/>
      <c r="K106" s="26"/>
      <c r="L106" s="26"/>
    </row>
    <row r="107" spans="4:12" x14ac:dyDescent="0.25">
      <c r="D107" s="2"/>
      <c r="F107" s="26"/>
      <c r="G107" s="26"/>
      <c r="H107" s="26"/>
      <c r="I107" s="26"/>
      <c r="J107" s="26"/>
      <c r="K107" s="26"/>
      <c r="L107" s="26"/>
    </row>
    <row r="108" spans="4:12" x14ac:dyDescent="0.25">
      <c r="D108" s="2"/>
      <c r="F108" s="26"/>
      <c r="G108" s="26"/>
      <c r="H108" s="26"/>
      <c r="I108" s="26"/>
      <c r="J108" s="26"/>
      <c r="K108" s="26"/>
      <c r="L108" s="26"/>
    </row>
    <row r="109" spans="4:12" x14ac:dyDescent="0.25">
      <c r="D109" s="2"/>
      <c r="F109" s="26"/>
      <c r="G109" s="26"/>
      <c r="H109" s="26"/>
      <c r="I109" s="26"/>
      <c r="J109" s="26"/>
      <c r="K109" s="26"/>
      <c r="L109" s="26"/>
    </row>
    <row r="110" spans="4:12" x14ac:dyDescent="0.25">
      <c r="D110" s="2"/>
      <c r="F110" s="26"/>
      <c r="G110" s="26"/>
      <c r="H110" s="26"/>
      <c r="I110" s="26"/>
      <c r="J110" s="26"/>
      <c r="K110" s="26"/>
      <c r="L110" s="26"/>
    </row>
    <row r="111" spans="4:12" x14ac:dyDescent="0.25">
      <c r="D111" s="2"/>
      <c r="F111" s="26"/>
      <c r="G111" s="26"/>
      <c r="H111" s="26"/>
      <c r="I111" s="26"/>
      <c r="J111" s="26"/>
      <c r="K111" s="26"/>
      <c r="L111" s="26"/>
    </row>
    <row r="112" spans="4:12" x14ac:dyDescent="0.25">
      <c r="D112" s="2"/>
      <c r="F112" s="26"/>
      <c r="G112" s="26"/>
      <c r="H112" s="26"/>
      <c r="I112" s="26"/>
      <c r="J112" s="26"/>
      <c r="K112" s="26"/>
      <c r="L112" s="26"/>
    </row>
    <row r="113" spans="4:12" x14ac:dyDescent="0.25">
      <c r="D113" s="2"/>
      <c r="F113" s="26"/>
      <c r="G113" s="26"/>
      <c r="H113" s="26"/>
      <c r="I113" s="26"/>
      <c r="J113" s="26"/>
      <c r="K113" s="26"/>
      <c r="L113" s="26"/>
    </row>
    <row r="114" spans="4:12" x14ac:dyDescent="0.25">
      <c r="D114" s="2"/>
      <c r="F114" s="26"/>
      <c r="G114" s="26"/>
      <c r="H114" s="26"/>
      <c r="I114" s="26"/>
      <c r="J114" s="26"/>
      <c r="K114" s="26"/>
      <c r="L114" s="26"/>
    </row>
    <row r="115" spans="4:12" x14ac:dyDescent="0.25">
      <c r="D115" s="2"/>
      <c r="F115" s="26"/>
      <c r="G115" s="26"/>
      <c r="H115" s="26"/>
      <c r="I115" s="26"/>
      <c r="J115" s="26"/>
      <c r="K115" s="26"/>
      <c r="L115" s="26"/>
    </row>
    <row r="116" spans="4:12" x14ac:dyDescent="0.25">
      <c r="D116" s="2"/>
      <c r="F116" s="26"/>
      <c r="G116" s="26"/>
      <c r="H116" s="26"/>
      <c r="I116" s="26"/>
      <c r="J116" s="26"/>
      <c r="K116" s="26"/>
      <c r="L116" s="26"/>
    </row>
    <row r="117" spans="4:12" x14ac:dyDescent="0.25">
      <c r="D117" s="2"/>
      <c r="F117" s="26"/>
      <c r="G117" s="26"/>
      <c r="H117" s="26"/>
      <c r="I117" s="26"/>
      <c r="J117" s="26"/>
      <c r="K117" s="26"/>
      <c r="L117" s="26"/>
    </row>
    <row r="118" spans="4:12" x14ac:dyDescent="0.25">
      <c r="D118" s="2"/>
      <c r="F118" s="26"/>
      <c r="G118" s="26"/>
      <c r="H118" s="26"/>
      <c r="I118" s="26"/>
      <c r="J118" s="26"/>
      <c r="K118" s="26"/>
      <c r="L118" s="26"/>
    </row>
    <row r="119" spans="4:12" x14ac:dyDescent="0.25">
      <c r="D119" s="2"/>
      <c r="F119" s="26"/>
      <c r="G119" s="26"/>
      <c r="H119" s="26"/>
      <c r="I119" s="26"/>
      <c r="J119" s="26"/>
      <c r="K119" s="26"/>
      <c r="L119" s="26"/>
    </row>
    <row r="120" spans="4:12" x14ac:dyDescent="0.25">
      <c r="D120" s="2"/>
      <c r="F120" s="26"/>
      <c r="G120" s="26"/>
      <c r="H120" s="26"/>
      <c r="I120" s="26"/>
      <c r="J120" s="26"/>
      <c r="K120" s="26"/>
      <c r="L120" s="26"/>
    </row>
    <row r="121" spans="4:12" x14ac:dyDescent="0.25">
      <c r="D121" s="2"/>
      <c r="F121" s="26"/>
      <c r="G121" s="26"/>
      <c r="H121" s="26"/>
      <c r="I121" s="26"/>
      <c r="J121" s="26"/>
      <c r="K121" s="26"/>
      <c r="L121" s="26"/>
    </row>
    <row r="122" spans="4:12" x14ac:dyDescent="0.25">
      <c r="D122" s="2"/>
      <c r="F122" s="26"/>
      <c r="G122" s="26"/>
      <c r="H122" s="26"/>
      <c r="I122" s="26"/>
      <c r="J122" s="26"/>
      <c r="K122" s="26"/>
      <c r="L122" s="26"/>
    </row>
    <row r="123" spans="4:12" x14ac:dyDescent="0.25">
      <c r="D123" s="2"/>
      <c r="F123" s="26"/>
      <c r="G123" s="26"/>
      <c r="H123" s="26"/>
      <c r="I123" s="26"/>
      <c r="J123" s="26"/>
      <c r="K123" s="26"/>
      <c r="L123" s="26"/>
    </row>
    <row r="124" spans="4:12" x14ac:dyDescent="0.25">
      <c r="D124" s="2"/>
      <c r="F124" s="26"/>
      <c r="G124" s="26"/>
      <c r="H124" s="26"/>
      <c r="I124" s="26"/>
      <c r="J124" s="26"/>
      <c r="K124" s="26"/>
      <c r="L124" s="26"/>
    </row>
    <row r="125" spans="4:12" x14ac:dyDescent="0.25">
      <c r="D125" s="2"/>
      <c r="F125" s="26"/>
      <c r="G125" s="26"/>
      <c r="H125" s="26"/>
      <c r="I125" s="26"/>
      <c r="J125" s="26"/>
      <c r="K125" s="26"/>
      <c r="L125" s="26"/>
    </row>
    <row r="126" spans="4:12" x14ac:dyDescent="0.25">
      <c r="D126" s="2"/>
      <c r="F126" s="26"/>
      <c r="G126" s="26"/>
      <c r="H126" s="26"/>
      <c r="I126" s="26"/>
      <c r="J126" s="26"/>
      <c r="K126" s="26"/>
      <c r="L126" s="26"/>
    </row>
    <row r="127" spans="4:12" x14ac:dyDescent="0.25">
      <c r="D127" s="2"/>
      <c r="F127" s="26"/>
      <c r="G127" s="26"/>
      <c r="H127" s="26"/>
      <c r="I127" s="26"/>
      <c r="J127" s="26"/>
      <c r="K127" s="26"/>
      <c r="L127" s="26"/>
    </row>
    <row r="128" spans="4:12" x14ac:dyDescent="0.25">
      <c r="D128" s="2"/>
      <c r="F128" s="26"/>
      <c r="G128" s="26"/>
      <c r="H128" s="26"/>
      <c r="I128" s="26"/>
      <c r="J128" s="26"/>
      <c r="K128" s="26"/>
      <c r="L128" s="26"/>
    </row>
    <row r="129" spans="4:12" x14ac:dyDescent="0.25">
      <c r="D129" s="2"/>
      <c r="F129" s="26"/>
      <c r="G129" s="26"/>
      <c r="H129" s="26"/>
      <c r="I129" s="26"/>
      <c r="J129" s="26"/>
      <c r="K129" s="26"/>
      <c r="L129" s="26"/>
    </row>
    <row r="130" spans="4:12" x14ac:dyDescent="0.25">
      <c r="D130" s="2"/>
      <c r="F130" s="26"/>
      <c r="G130" s="26"/>
      <c r="H130" s="26"/>
      <c r="I130" s="26"/>
      <c r="J130" s="26"/>
      <c r="K130" s="26"/>
      <c r="L130" s="26"/>
    </row>
    <row r="131" spans="4:12" x14ac:dyDescent="0.25">
      <c r="D131" s="2"/>
      <c r="F131" s="26"/>
      <c r="G131" s="26"/>
      <c r="H131" s="26"/>
      <c r="I131" s="26"/>
      <c r="J131" s="26"/>
      <c r="K131" s="26"/>
      <c r="L131" s="26"/>
    </row>
    <row r="132" spans="4:12" x14ac:dyDescent="0.25">
      <c r="D132" s="2"/>
      <c r="F132" s="26"/>
      <c r="G132" s="26"/>
      <c r="H132" s="26"/>
      <c r="I132" s="26"/>
      <c r="J132" s="26"/>
      <c r="K132" s="26"/>
      <c r="L132" s="26"/>
    </row>
    <row r="133" spans="4:12" x14ac:dyDescent="0.25">
      <c r="D133" s="2"/>
      <c r="F133" s="26"/>
      <c r="G133" s="26"/>
      <c r="H133" s="26"/>
      <c r="I133" s="26"/>
      <c r="J133" s="26"/>
      <c r="K133" s="26"/>
      <c r="L133" s="26"/>
    </row>
    <row r="134" spans="4:12" x14ac:dyDescent="0.25">
      <c r="D134" s="2"/>
      <c r="F134" s="26"/>
      <c r="G134" s="26"/>
      <c r="H134" s="26"/>
      <c r="I134" s="26"/>
      <c r="J134" s="26"/>
      <c r="K134" s="26"/>
      <c r="L134" s="26"/>
    </row>
    <row r="135" spans="4:12" x14ac:dyDescent="0.25">
      <c r="D135" s="2"/>
      <c r="F135" s="26"/>
      <c r="G135" s="26"/>
      <c r="H135" s="26"/>
      <c r="I135" s="26"/>
      <c r="J135" s="26"/>
      <c r="K135" s="26"/>
      <c r="L135" s="26"/>
    </row>
    <row r="136" spans="4:12" x14ac:dyDescent="0.25">
      <c r="D136" s="2"/>
      <c r="F136" s="26"/>
      <c r="G136" s="26"/>
      <c r="H136" s="26"/>
      <c r="I136" s="26"/>
      <c r="J136" s="26"/>
      <c r="K136" s="26"/>
      <c r="L136" s="26"/>
    </row>
    <row r="137" spans="4:12" x14ac:dyDescent="0.25">
      <c r="D137" s="2"/>
      <c r="F137" s="26"/>
      <c r="G137" s="26"/>
      <c r="H137" s="26"/>
      <c r="I137" s="26"/>
      <c r="J137" s="26"/>
      <c r="K137" s="26"/>
      <c r="L137" s="26"/>
    </row>
    <row r="138" spans="4:12" x14ac:dyDescent="0.25">
      <c r="D138" s="2"/>
      <c r="F138" s="26"/>
      <c r="G138" s="26"/>
      <c r="H138" s="26"/>
      <c r="I138" s="26"/>
      <c r="J138" s="26"/>
      <c r="K138" s="26"/>
      <c r="L138" s="26"/>
    </row>
    <row r="139" spans="4:12" x14ac:dyDescent="0.25">
      <c r="D139" s="2"/>
      <c r="F139" s="26"/>
      <c r="G139" s="26"/>
      <c r="H139" s="26"/>
      <c r="I139" s="26"/>
      <c r="J139" s="26"/>
      <c r="K139" s="26"/>
      <c r="L139" s="26"/>
    </row>
    <row r="140" spans="4:12" x14ac:dyDescent="0.25">
      <c r="D140" s="2"/>
      <c r="F140" s="26"/>
      <c r="G140" s="26"/>
      <c r="H140" s="26"/>
      <c r="I140" s="26"/>
      <c r="J140" s="26"/>
      <c r="K140" s="26"/>
      <c r="L140" s="26"/>
    </row>
    <row r="141" spans="4:12" x14ac:dyDescent="0.25">
      <c r="D141" s="2"/>
      <c r="F141" s="26"/>
      <c r="G141" s="26"/>
      <c r="H141" s="26"/>
      <c r="I141" s="26"/>
      <c r="J141" s="26"/>
      <c r="K141" s="26"/>
      <c r="L141" s="26"/>
    </row>
    <row r="142" spans="4:12" x14ac:dyDescent="0.25">
      <c r="D142" s="2"/>
      <c r="F142" s="26"/>
      <c r="G142" s="26"/>
      <c r="H142" s="26"/>
      <c r="I142" s="26"/>
      <c r="J142" s="26"/>
      <c r="K142" s="26"/>
      <c r="L142" s="26"/>
    </row>
    <row r="143" spans="4:12" x14ac:dyDescent="0.25">
      <c r="D143" s="2"/>
      <c r="F143" s="26"/>
      <c r="G143" s="26"/>
      <c r="H143" s="26"/>
      <c r="I143" s="26"/>
      <c r="J143" s="26"/>
      <c r="K143" s="26"/>
      <c r="L143" s="26"/>
    </row>
    <row r="144" spans="4:12" x14ac:dyDescent="0.25">
      <c r="D144" s="2"/>
      <c r="F144" s="26"/>
      <c r="G144" s="26"/>
      <c r="H144" s="26"/>
      <c r="I144" s="26"/>
      <c r="J144" s="26"/>
      <c r="K144" s="26"/>
      <c r="L144" s="26"/>
    </row>
    <row r="145" spans="4:12" x14ac:dyDescent="0.25">
      <c r="D145" s="2"/>
      <c r="F145" s="26"/>
      <c r="G145" s="26"/>
      <c r="H145" s="26"/>
      <c r="I145" s="26"/>
      <c r="J145" s="26"/>
      <c r="K145" s="26"/>
      <c r="L145" s="26"/>
    </row>
    <row r="146" spans="4:12" x14ac:dyDescent="0.25">
      <c r="D146" s="2"/>
      <c r="F146" s="26"/>
      <c r="G146" s="26"/>
      <c r="H146" s="26"/>
      <c r="I146" s="26"/>
      <c r="J146" s="26"/>
      <c r="K146" s="26"/>
      <c r="L146" s="26"/>
    </row>
    <row r="147" spans="4:12" x14ac:dyDescent="0.25">
      <c r="D147" s="2"/>
      <c r="F147" s="26"/>
      <c r="G147" s="26"/>
      <c r="H147" s="26"/>
      <c r="I147" s="26"/>
      <c r="J147" s="26"/>
      <c r="K147" s="26"/>
      <c r="L147" s="26"/>
    </row>
    <row r="148" spans="4:12" x14ac:dyDescent="0.25">
      <c r="D148" s="2"/>
      <c r="F148" s="26"/>
      <c r="G148" s="26"/>
      <c r="H148" s="26"/>
      <c r="I148" s="26"/>
      <c r="J148" s="26"/>
      <c r="K148" s="26"/>
      <c r="L148" s="26"/>
    </row>
    <row r="149" spans="4:12" x14ac:dyDescent="0.25">
      <c r="D149" s="2"/>
      <c r="F149" s="26"/>
      <c r="G149" s="26"/>
      <c r="H149" s="26"/>
      <c r="I149" s="26"/>
      <c r="J149" s="26"/>
      <c r="K149" s="26"/>
      <c r="L149" s="26"/>
    </row>
    <row r="150" spans="4:12" x14ac:dyDescent="0.25">
      <c r="D150" s="2"/>
      <c r="F150" s="26"/>
      <c r="G150" s="26"/>
      <c r="H150" s="26"/>
      <c r="I150" s="26"/>
      <c r="J150" s="26"/>
      <c r="K150" s="26"/>
      <c r="L150" s="26"/>
    </row>
    <row r="151" spans="4:12" x14ac:dyDescent="0.25">
      <c r="D151" s="2"/>
      <c r="F151" s="26"/>
      <c r="G151" s="26"/>
      <c r="H151" s="26"/>
      <c r="I151" s="26"/>
      <c r="J151" s="26"/>
      <c r="K151" s="26"/>
      <c r="L151" s="26"/>
    </row>
    <row r="152" spans="4:12" x14ac:dyDescent="0.25">
      <c r="D152" s="2"/>
      <c r="F152" s="26"/>
      <c r="G152" s="26"/>
      <c r="H152" s="26"/>
      <c r="I152" s="26"/>
      <c r="J152" s="26"/>
      <c r="K152" s="26"/>
      <c r="L152" s="26"/>
    </row>
    <row r="153" spans="4:12" x14ac:dyDescent="0.25">
      <c r="D153" s="2"/>
      <c r="F153" s="26"/>
      <c r="G153" s="26"/>
      <c r="H153" s="26"/>
      <c r="I153" s="26"/>
      <c r="J153" s="26"/>
      <c r="K153" s="26"/>
      <c r="L153" s="26"/>
    </row>
    <row r="154" spans="4:12" x14ac:dyDescent="0.25">
      <c r="D154" s="2"/>
      <c r="F154" s="26"/>
      <c r="G154" s="26"/>
      <c r="H154" s="26"/>
      <c r="I154" s="26"/>
      <c r="J154" s="26"/>
      <c r="K154" s="26"/>
      <c r="L154" s="26"/>
    </row>
    <row r="155" spans="4:12" x14ac:dyDescent="0.25">
      <c r="D155" s="2"/>
      <c r="F155" s="26"/>
      <c r="G155" s="26"/>
      <c r="H155" s="26"/>
      <c r="I155" s="26"/>
      <c r="J155" s="26"/>
      <c r="K155" s="26"/>
      <c r="L155" s="26"/>
    </row>
    <row r="156" spans="4:12" x14ac:dyDescent="0.25">
      <c r="D156" s="2"/>
      <c r="F156" s="26"/>
      <c r="G156" s="26"/>
      <c r="H156" s="26"/>
      <c r="I156" s="26"/>
      <c r="J156" s="26"/>
      <c r="K156" s="26"/>
      <c r="L156" s="26"/>
    </row>
    <row r="157" spans="4:12" x14ac:dyDescent="0.25">
      <c r="D157" s="2"/>
      <c r="F157" s="26"/>
      <c r="G157" s="26"/>
      <c r="H157" s="26"/>
      <c r="I157" s="26"/>
      <c r="J157" s="26"/>
      <c r="K157" s="26"/>
      <c r="L157" s="26"/>
    </row>
    <row r="158" spans="4:12" x14ac:dyDescent="0.25">
      <c r="D158" s="30"/>
      <c r="F158" s="26"/>
      <c r="G158" s="26"/>
      <c r="H158" s="26"/>
      <c r="I158" s="26"/>
      <c r="J158" s="26"/>
      <c r="K158" s="26"/>
      <c r="L158" s="26"/>
    </row>
    <row r="159" spans="4:12" x14ac:dyDescent="0.25">
      <c r="F159" s="26"/>
      <c r="G159" s="26"/>
      <c r="H159" s="26"/>
      <c r="I159" s="26"/>
      <c r="J159" s="26"/>
      <c r="K159" s="26"/>
      <c r="L159" s="26"/>
    </row>
    <row r="160" spans="4:12" x14ac:dyDescent="0.25">
      <c r="F160" s="26"/>
      <c r="G160" s="26"/>
      <c r="H160" s="26"/>
      <c r="I160" s="26"/>
      <c r="J160" s="26"/>
      <c r="K160" s="26"/>
      <c r="L160" s="26"/>
    </row>
    <row r="161" spans="6:12" x14ac:dyDescent="0.25">
      <c r="F161" s="26"/>
      <c r="G161" s="26"/>
      <c r="H161" s="26"/>
      <c r="I161" s="26"/>
      <c r="J161" s="26"/>
      <c r="K161" s="26"/>
      <c r="L161" s="26"/>
    </row>
    <row r="162" spans="6:12" x14ac:dyDescent="0.25">
      <c r="F162" s="26"/>
      <c r="G162" s="26"/>
      <c r="H162" s="26"/>
      <c r="I162" s="26"/>
      <c r="J162" s="26"/>
      <c r="K162" s="26"/>
      <c r="L162" s="26"/>
    </row>
    <row r="163" spans="6:12" x14ac:dyDescent="0.25">
      <c r="F163" s="26"/>
      <c r="G163" s="26"/>
      <c r="H163" s="26"/>
      <c r="I163" s="26"/>
      <c r="J163" s="26"/>
      <c r="K163" s="26"/>
      <c r="L163" s="26"/>
    </row>
    <row r="164" spans="6:12" x14ac:dyDescent="0.25">
      <c r="F164" s="26"/>
      <c r="G164" s="26"/>
      <c r="H164" s="26"/>
      <c r="I164" s="26"/>
      <c r="J164" s="26"/>
      <c r="K164" s="26"/>
      <c r="L164" s="26"/>
    </row>
    <row r="165" spans="6:12" x14ac:dyDescent="0.25">
      <c r="F165" s="26"/>
      <c r="G165" s="26"/>
      <c r="H165" s="26"/>
      <c r="I165" s="26"/>
      <c r="J165" s="26"/>
      <c r="K165" s="26"/>
      <c r="L165" s="26"/>
    </row>
    <row r="166" spans="6:12" x14ac:dyDescent="0.25">
      <c r="F166" s="26"/>
      <c r="G166" s="26"/>
      <c r="H166" s="26"/>
      <c r="I166" s="26"/>
      <c r="J166" s="26"/>
      <c r="K166" s="26"/>
      <c r="L166" s="26"/>
    </row>
    <row r="167" spans="6:12" x14ac:dyDescent="0.25">
      <c r="F167" s="26"/>
      <c r="G167" s="26"/>
      <c r="H167" s="26"/>
      <c r="I167" s="26"/>
      <c r="J167" s="26"/>
      <c r="K167" s="26"/>
      <c r="L167" s="26"/>
    </row>
    <row r="168" spans="6:12" x14ac:dyDescent="0.25">
      <c r="F168" s="26"/>
      <c r="G168" s="26"/>
      <c r="H168" s="26"/>
      <c r="I168" s="26"/>
      <c r="J168" s="26"/>
      <c r="K168" s="26"/>
      <c r="L168" s="26"/>
    </row>
    <row r="169" spans="6:12" x14ac:dyDescent="0.25">
      <c r="F169" s="26"/>
      <c r="G169" s="26"/>
      <c r="H169" s="26"/>
      <c r="I169" s="26"/>
      <c r="J169" s="26"/>
      <c r="K169" s="26"/>
      <c r="L169" s="26"/>
    </row>
    <row r="170" spans="6:12" x14ac:dyDescent="0.25">
      <c r="F170" s="26"/>
      <c r="G170" s="26"/>
      <c r="H170" s="26"/>
      <c r="I170" s="26"/>
      <c r="J170" s="26"/>
      <c r="K170" s="26"/>
      <c r="L170" s="26"/>
    </row>
    <row r="171" spans="6:12" x14ac:dyDescent="0.25">
      <c r="F171" s="26"/>
      <c r="G171" s="26"/>
      <c r="H171" s="26"/>
      <c r="I171" s="26"/>
      <c r="J171" s="26"/>
      <c r="K171" s="26"/>
      <c r="L171" s="26"/>
    </row>
    <row r="172" spans="6:12" x14ac:dyDescent="0.25">
      <c r="F172" s="26"/>
      <c r="G172" s="26"/>
      <c r="H172" s="26"/>
      <c r="I172" s="26"/>
      <c r="J172" s="26"/>
      <c r="K172" s="26"/>
      <c r="L172" s="26"/>
    </row>
    <row r="173" spans="6:12" x14ac:dyDescent="0.25">
      <c r="F173" s="26"/>
      <c r="G173" s="26"/>
      <c r="H173" s="26"/>
      <c r="I173" s="26"/>
      <c r="J173" s="26"/>
      <c r="K173" s="26"/>
      <c r="L173" s="26"/>
    </row>
    <row r="174" spans="6:12" x14ac:dyDescent="0.25">
      <c r="F174" s="26"/>
      <c r="G174" s="26"/>
      <c r="H174" s="26"/>
      <c r="I174" s="26"/>
      <c r="J174" s="26"/>
      <c r="K174" s="26"/>
      <c r="L174" s="26"/>
    </row>
    <row r="175" spans="6:12" x14ac:dyDescent="0.25">
      <c r="F175" s="26"/>
      <c r="G175" s="26"/>
      <c r="H175" s="26"/>
      <c r="I175" s="26"/>
      <c r="J175" s="26"/>
      <c r="K175" s="26"/>
      <c r="L175" s="26"/>
    </row>
    <row r="176" spans="6:12" x14ac:dyDescent="0.25">
      <c r="F176" s="26"/>
      <c r="G176" s="26"/>
      <c r="H176" s="26"/>
      <c r="I176" s="26"/>
      <c r="J176" s="26"/>
      <c r="K176" s="26"/>
      <c r="L176" s="26"/>
    </row>
    <row r="177" spans="6:12" x14ac:dyDescent="0.25">
      <c r="F177" s="26"/>
      <c r="G177" s="26"/>
      <c r="H177" s="26"/>
      <c r="I177" s="26"/>
      <c r="J177" s="26"/>
      <c r="K177" s="26"/>
      <c r="L177" s="26"/>
    </row>
    <row r="178" spans="6:12" x14ac:dyDescent="0.25">
      <c r="F178" s="26"/>
      <c r="G178" s="26"/>
      <c r="H178" s="26"/>
      <c r="I178" s="26"/>
      <c r="J178" s="26"/>
      <c r="K178" s="26"/>
      <c r="L178" s="26"/>
    </row>
    <row r="179" spans="6:12" x14ac:dyDescent="0.25">
      <c r="F179" s="26"/>
      <c r="G179" s="26"/>
      <c r="H179" s="26"/>
      <c r="I179" s="26"/>
      <c r="J179" s="26"/>
      <c r="K179" s="26"/>
      <c r="L179" s="26"/>
    </row>
    <row r="180" spans="6:12" x14ac:dyDescent="0.25">
      <c r="F180" s="26"/>
      <c r="G180" s="26"/>
      <c r="H180" s="26"/>
      <c r="I180" s="26"/>
      <c r="J180" s="26"/>
      <c r="K180" s="26"/>
      <c r="L180" s="26"/>
    </row>
    <row r="181" spans="6:12" x14ac:dyDescent="0.25">
      <c r="F181" s="26"/>
      <c r="G181" s="26"/>
      <c r="H181" s="26"/>
      <c r="I181" s="26"/>
      <c r="J181" s="26"/>
      <c r="K181" s="26"/>
      <c r="L181" s="26"/>
    </row>
    <row r="182" spans="6:12" x14ac:dyDescent="0.25">
      <c r="F182" s="26"/>
      <c r="G182" s="26"/>
      <c r="H182" s="26"/>
      <c r="I182" s="26"/>
      <c r="J182" s="26"/>
      <c r="K182" s="26"/>
      <c r="L182" s="26"/>
    </row>
    <row r="183" spans="6:12" x14ac:dyDescent="0.25">
      <c r="F183" s="26"/>
      <c r="G183" s="26"/>
      <c r="H183" s="26"/>
      <c r="I183" s="26"/>
      <c r="J183" s="26"/>
      <c r="K183" s="26"/>
      <c r="L183" s="26"/>
    </row>
    <row r="184" spans="6:12" x14ac:dyDescent="0.25">
      <c r="F184" s="26"/>
      <c r="G184" s="26"/>
      <c r="H184" s="26"/>
      <c r="I184" s="26"/>
      <c r="J184" s="26"/>
      <c r="K184" s="26"/>
      <c r="L184" s="26"/>
    </row>
    <row r="185" spans="6:12" x14ac:dyDescent="0.25">
      <c r="F185" s="26"/>
      <c r="G185" s="26"/>
      <c r="H185" s="26"/>
      <c r="I185" s="26"/>
      <c r="J185" s="26"/>
      <c r="K185" s="26"/>
      <c r="L185" s="26"/>
    </row>
    <row r="186" spans="6:12" x14ac:dyDescent="0.25">
      <c r="F186" s="26"/>
      <c r="G186" s="26"/>
      <c r="H186" s="26"/>
      <c r="I186" s="26"/>
      <c r="J186" s="26"/>
      <c r="K186" s="26"/>
      <c r="L186" s="26"/>
    </row>
    <row r="187" spans="6:12" x14ac:dyDescent="0.25">
      <c r="F187" s="26"/>
      <c r="G187" s="26"/>
      <c r="H187" s="26"/>
      <c r="I187" s="26"/>
      <c r="J187" s="26"/>
      <c r="K187" s="26"/>
      <c r="L187" s="26"/>
    </row>
    <row r="188" spans="6:12" x14ac:dyDescent="0.25">
      <c r="F188" s="26"/>
      <c r="G188" s="26"/>
      <c r="H188" s="26"/>
      <c r="I188" s="26"/>
      <c r="J188" s="26"/>
      <c r="K188" s="26"/>
      <c r="L188" s="26"/>
    </row>
    <row r="189" spans="6:12" x14ac:dyDescent="0.25">
      <c r="F189" s="26"/>
      <c r="G189" s="26"/>
      <c r="H189" s="26"/>
      <c r="I189" s="26"/>
      <c r="J189" s="26"/>
      <c r="K189" s="26"/>
      <c r="L189" s="26"/>
    </row>
    <row r="190" spans="6:12" x14ac:dyDescent="0.25">
      <c r="F190" s="26"/>
      <c r="G190" s="26"/>
      <c r="H190" s="26"/>
      <c r="I190" s="26"/>
      <c r="J190" s="26"/>
      <c r="K190" s="26"/>
      <c r="L190" s="26"/>
    </row>
    <row r="191" spans="6:12" x14ac:dyDescent="0.25">
      <c r="F191" s="26"/>
      <c r="G191" s="26"/>
      <c r="H191" s="26"/>
      <c r="I191" s="26"/>
      <c r="J191" s="26"/>
      <c r="K191" s="26"/>
      <c r="L191" s="26"/>
    </row>
    <row r="192" spans="6:12" x14ac:dyDescent="0.25">
      <c r="F192" s="26"/>
      <c r="G192" s="26"/>
      <c r="H192" s="26"/>
      <c r="I192" s="26"/>
      <c r="J192" s="26"/>
      <c r="K192" s="26"/>
      <c r="L192" s="26"/>
    </row>
    <row r="193" spans="6:12" x14ac:dyDescent="0.25">
      <c r="F193" s="26"/>
      <c r="G193" s="26"/>
      <c r="H193" s="26"/>
      <c r="I193" s="26"/>
      <c r="J193" s="26"/>
      <c r="K193" s="26"/>
      <c r="L193" s="26"/>
    </row>
    <row r="194" spans="6:12" x14ac:dyDescent="0.25">
      <c r="F194" s="26"/>
      <c r="G194" s="26"/>
      <c r="H194" s="26"/>
      <c r="I194" s="26"/>
      <c r="J194" s="26"/>
      <c r="K194" s="26"/>
      <c r="L194" s="26"/>
    </row>
    <row r="195" spans="6:12" x14ac:dyDescent="0.25">
      <c r="F195" s="26"/>
      <c r="G195" s="26"/>
      <c r="H195" s="26"/>
      <c r="I195" s="26"/>
      <c r="J195" s="26"/>
      <c r="K195" s="26"/>
      <c r="L195" s="26"/>
    </row>
    <row r="196" spans="6:12" x14ac:dyDescent="0.25">
      <c r="F196" s="26"/>
      <c r="G196" s="26"/>
      <c r="H196" s="26"/>
      <c r="I196" s="26"/>
      <c r="J196" s="26"/>
      <c r="K196" s="26"/>
      <c r="L196" s="26"/>
    </row>
    <row r="197" spans="6:12" x14ac:dyDescent="0.25">
      <c r="F197" s="26"/>
      <c r="G197" s="26"/>
      <c r="H197" s="26"/>
      <c r="I197" s="26"/>
      <c r="J197" s="26"/>
      <c r="K197" s="26"/>
      <c r="L197" s="26"/>
    </row>
    <row r="198" spans="6:12" x14ac:dyDescent="0.25">
      <c r="F198" s="26"/>
      <c r="G198" s="26"/>
      <c r="H198" s="26"/>
      <c r="I198" s="26"/>
      <c r="J198" s="26"/>
      <c r="K198" s="26"/>
      <c r="L198" s="26"/>
    </row>
    <row r="199" spans="6:12" x14ac:dyDescent="0.25">
      <c r="F199" s="26"/>
      <c r="G199" s="26"/>
      <c r="H199" s="26"/>
      <c r="I199" s="26"/>
      <c r="J199" s="26"/>
      <c r="K199" s="26"/>
      <c r="L199" s="26"/>
    </row>
    <row r="200" spans="6:12" x14ac:dyDescent="0.25">
      <c r="F200" s="26"/>
      <c r="G200" s="26"/>
      <c r="H200" s="26"/>
      <c r="I200" s="26"/>
      <c r="J200" s="26"/>
      <c r="K200" s="26"/>
      <c r="L200" s="26"/>
    </row>
    <row r="201" spans="6:12" x14ac:dyDescent="0.25">
      <c r="F201" s="26"/>
      <c r="G201" s="26"/>
      <c r="H201" s="26"/>
      <c r="I201" s="26"/>
      <c r="J201" s="26"/>
      <c r="K201" s="26"/>
      <c r="L201" s="26"/>
    </row>
    <row r="202" spans="6:12" x14ac:dyDescent="0.25">
      <c r="F202" s="26"/>
      <c r="G202" s="26"/>
      <c r="H202" s="26"/>
      <c r="I202" s="26"/>
      <c r="J202" s="26"/>
      <c r="K202" s="26"/>
      <c r="L202" s="26"/>
    </row>
    <row r="203" spans="6:12" x14ac:dyDescent="0.25">
      <c r="F203" s="26"/>
      <c r="G203" s="26"/>
      <c r="H203" s="26"/>
      <c r="I203" s="26"/>
      <c r="J203" s="26"/>
      <c r="K203" s="26"/>
      <c r="L203" s="26"/>
    </row>
    <row r="204" spans="6:12" x14ac:dyDescent="0.25">
      <c r="F204" s="26"/>
      <c r="G204" s="26"/>
      <c r="H204" s="26"/>
      <c r="I204" s="26"/>
      <c r="J204" s="26"/>
      <c r="K204" s="26"/>
      <c r="L204" s="26"/>
    </row>
    <row r="205" spans="6:12" x14ac:dyDescent="0.25">
      <c r="F205" s="26"/>
      <c r="G205" s="26"/>
      <c r="H205" s="26"/>
      <c r="I205" s="26"/>
      <c r="J205" s="26"/>
      <c r="K205" s="26"/>
      <c r="L205" s="26"/>
    </row>
    <row r="206" spans="6:12" x14ac:dyDescent="0.25">
      <c r="F206" s="26"/>
      <c r="G206" s="26"/>
      <c r="H206" s="26"/>
      <c r="I206" s="26"/>
      <c r="J206" s="26"/>
      <c r="K206" s="26"/>
      <c r="L206" s="26"/>
    </row>
    <row r="207" spans="6:12" x14ac:dyDescent="0.25">
      <c r="F207" s="26"/>
      <c r="G207" s="26"/>
      <c r="H207" s="26"/>
      <c r="I207" s="26"/>
      <c r="J207" s="26"/>
      <c r="K207" s="26"/>
      <c r="L207" s="26"/>
    </row>
    <row r="208" spans="6:12" x14ac:dyDescent="0.25">
      <c r="F208" s="26"/>
      <c r="G208" s="26"/>
      <c r="H208" s="26"/>
      <c r="I208" s="26"/>
      <c r="J208" s="26"/>
      <c r="K208" s="26"/>
      <c r="L208" s="26"/>
    </row>
    <row r="209" spans="6:12" x14ac:dyDescent="0.25">
      <c r="F209" s="26"/>
      <c r="G209" s="26"/>
      <c r="H209" s="26"/>
      <c r="I209" s="26"/>
      <c r="J209" s="26"/>
      <c r="K209" s="26"/>
      <c r="L209" s="26"/>
    </row>
    <row r="210" spans="6:12" x14ac:dyDescent="0.25">
      <c r="F210" s="26"/>
      <c r="G210" s="26"/>
      <c r="H210" s="26"/>
      <c r="I210" s="26"/>
      <c r="J210" s="26"/>
      <c r="K210" s="26"/>
      <c r="L210" s="26"/>
    </row>
  </sheetData>
  <phoneticPr fontId="4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Scroll Bar 8">
              <controlPr defaultSize="0" autoPict="0">
                <anchor moveWithCells="1">
                  <from>
                    <xdr:col>5</xdr:col>
                    <xdr:colOff>457200</xdr:colOff>
                    <xdr:row>2</xdr:row>
                    <xdr:rowOff>28575</xdr:rowOff>
                  </from>
                  <to>
                    <xdr:col>5</xdr:col>
                    <xdr:colOff>733425</xdr:colOff>
                    <xdr:row>16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7A4E-7A58-43CC-9C6A-AE9BC4797FAE}">
  <dimension ref="A1:AK210"/>
  <sheetViews>
    <sheetView zoomScale="85" zoomScaleNormal="85" workbookViewId="0">
      <selection activeCell="I30" sqref="B29:I30"/>
    </sheetView>
  </sheetViews>
  <sheetFormatPr defaultRowHeight="15" x14ac:dyDescent="0.25"/>
  <cols>
    <col min="1" max="1" width="9.5703125" bestFit="1" customWidth="1"/>
    <col min="2" max="2" width="25.5703125" bestFit="1" customWidth="1"/>
    <col min="3" max="3" width="32" bestFit="1" customWidth="1"/>
    <col min="4" max="4" width="29" bestFit="1" customWidth="1"/>
    <col min="5" max="6" width="16.42578125" customWidth="1"/>
    <col min="7" max="7" width="28.42578125" bestFit="1" customWidth="1"/>
    <col min="8" max="9" width="16.42578125" customWidth="1"/>
    <col min="10" max="10" width="12.5703125" customWidth="1"/>
    <col min="11" max="13" width="16.42578125" customWidth="1"/>
    <col min="14" max="14" width="11.5703125" style="3" bestFit="1" customWidth="1"/>
    <col min="15" max="15" width="12" style="2" bestFit="1" customWidth="1"/>
    <col min="17" max="17" width="18.5703125" bestFit="1" customWidth="1"/>
    <col min="18" max="18" width="16.140625" bestFit="1" customWidth="1"/>
    <col min="19" max="19" width="21.5703125" bestFit="1" customWidth="1"/>
    <col min="20" max="20" width="11.7109375" bestFit="1" customWidth="1"/>
    <col min="21" max="21" width="24.140625" bestFit="1" customWidth="1"/>
    <col min="22" max="22" width="24.140625" customWidth="1"/>
    <col min="23" max="23" width="16.140625" bestFit="1" customWidth="1"/>
    <col min="24" max="24" width="12.85546875" bestFit="1" customWidth="1"/>
    <col min="25" max="25" width="9.85546875" bestFit="1" customWidth="1"/>
    <col min="26" max="26" width="9.5703125" bestFit="1" customWidth="1"/>
    <col min="27" max="27" width="11.140625" bestFit="1" customWidth="1"/>
    <col min="28" max="28" width="11.85546875" customWidth="1"/>
    <col min="29" max="29" width="18.85546875" bestFit="1" customWidth="1"/>
    <col min="30" max="30" width="23.28515625" customWidth="1"/>
    <col min="31" max="31" width="19.28515625" bestFit="1" customWidth="1"/>
    <col min="32" max="33" width="12.28515625" bestFit="1" customWidth="1"/>
  </cols>
  <sheetData>
    <row r="1" spans="1:37" x14ac:dyDescent="0.25">
      <c r="A1">
        <v>0</v>
      </c>
      <c r="G1" t="s">
        <v>0</v>
      </c>
      <c r="I1" s="4"/>
      <c r="J1" s="4"/>
      <c r="Z1" t="s">
        <v>2</v>
      </c>
    </row>
    <row r="2" spans="1:37" x14ac:dyDescent="0.25">
      <c r="G2" s="20"/>
      <c r="I2" s="26">
        <f t="shared" ref="I2:I12" ca="1" si="0">IF((G2=$C$20),$D$20,0)</f>
        <v>0</v>
      </c>
      <c r="K2" t="s">
        <v>3</v>
      </c>
      <c r="L2" t="s">
        <v>4</v>
      </c>
      <c r="Z2" s="37">
        <f ca="1">MONTH(DATE(YEAR(strippingDate),MONTH(strippingDate)-2,1))</f>
        <v>7</v>
      </c>
      <c r="AA2" s="38">
        <f ca="1">IF(DAY(strippingDate)&gt;=15,2,1)</f>
        <v>1</v>
      </c>
    </row>
    <row r="3" spans="1:37" x14ac:dyDescent="0.25">
      <c r="D3" s="2"/>
      <c r="G3" s="20"/>
      <c r="I3" s="26">
        <f t="shared" ca="1" si="0"/>
        <v>0</v>
      </c>
      <c r="K3" s="2" cm="1">
        <f t="array" aca="1" ref="K3:L26" ca="1">_xll.BDH(D9,"PX_LAST",DATE(YEAR(D10),MONTH(D10)-25,21),D10,"Dir=V","Dts=S","Sort=D",CONCATENATE("Per=c",D13),"DtFmt=D","UseDPDF=Y")</f>
        <v>46234</v>
      </c>
      <c r="L3">
        <f ca="1"/>
        <v>419.1</v>
      </c>
      <c r="Q3" s="9" t="s">
        <v>5</v>
      </c>
      <c r="R3" s="9"/>
      <c r="S3" s="12" t="s">
        <v>6</v>
      </c>
      <c r="T3" s="9" t="s">
        <v>7</v>
      </c>
      <c r="U3" s="12" t="s">
        <v>8</v>
      </c>
      <c r="V3" s="9" t="s">
        <v>9</v>
      </c>
      <c r="W3" s="9" t="s">
        <v>10</v>
      </c>
      <c r="Z3" s="39"/>
      <c r="AA3" s="40"/>
      <c r="AC3" s="10" t="s">
        <v>11</v>
      </c>
      <c r="AD3" s="10" t="s">
        <v>12</v>
      </c>
      <c r="AE3" s="10" t="s">
        <v>9</v>
      </c>
      <c r="AF3" s="10" t="s">
        <v>13</v>
      </c>
      <c r="AI3" s="14" t="s">
        <v>14</v>
      </c>
      <c r="AJ3" s="14" t="s">
        <v>15</v>
      </c>
      <c r="AK3" s="14" t="s">
        <v>16</v>
      </c>
    </row>
    <row r="4" spans="1:37" x14ac:dyDescent="0.25">
      <c r="D4" s="2"/>
      <c r="G4" s="20"/>
      <c r="I4" s="26">
        <f t="shared" ca="1" si="0"/>
        <v>0</v>
      </c>
      <c r="J4" s="26"/>
      <c r="K4" s="2">
        <f ca="1"/>
        <v>46203</v>
      </c>
      <c r="L4">
        <f ca="1"/>
        <v>416.5</v>
      </c>
      <c r="P4">
        <v>7</v>
      </c>
      <c r="Q4" s="9" t="s">
        <v>83</v>
      </c>
      <c r="R4" s="9" t="s">
        <v>69</v>
      </c>
      <c r="S4" s="12" cm="1">
        <f t="array" ref="S4">_xll.qwCalAddMonths("All",T4,-3)</f>
        <v>46188</v>
      </c>
      <c r="T4" s="12">
        <f>DATEVALUE(_xll.BDP(Q4, "SWAP_EFFECTIVE_DATE_RT"))</f>
        <v>46280</v>
      </c>
      <c r="U4" s="12" cm="1">
        <f t="array" ref="U4">_xll.qwCalAddMonths("All",V4,-3)</f>
        <v>46553</v>
      </c>
      <c r="V4" s="12" cm="1">
        <f t="array" ref="V4">DATEVALUE((_xll.BDP(Q4,"MATURITY")))</f>
        <v>46645</v>
      </c>
      <c r="W4" s="9">
        <f>_xll.BDP(Q4, "PX_MID")</f>
        <v>459.5</v>
      </c>
      <c r="Z4" s="39">
        <f ca="1">MOD($Z$2-P15+12,12)</f>
        <v>1</v>
      </c>
      <c r="AA4" s="40">
        <f t="shared" ref="AA4:AA15" ca="1" si="1">DATE(YEAR(strippingDate),MONTH(DATE(YEAR(strippingDate),MONTH(strippingDate),1))-Z4+$AA$2,1)</f>
        <v>46266</v>
      </c>
      <c r="AC4" s="10" t="s">
        <v>84</v>
      </c>
      <c r="AD4" s="13">
        <f t="shared" ref="AD4:AD17" ca="1" si="2">$D$10+2</f>
        <v>46278</v>
      </c>
      <c r="AE4" s="10" t="str">
        <f>_xll.BDP(AC4, "MATURITY")</f>
        <v>9/15/2027</v>
      </c>
      <c r="AF4" s="10">
        <f>_xll.BDP(AC4, "PX_LAST")</f>
        <v>4.6025</v>
      </c>
      <c r="AG4" s="10">
        <v>1</v>
      </c>
      <c r="AI4" s="14">
        <v>1</v>
      </c>
      <c r="AJ4" s="14" t="s">
        <v>20</v>
      </c>
      <c r="AK4" s="14">
        <f>_xll.BDP(AJ4, "PX_LAST")</f>
        <v>0.99619999999999997</v>
      </c>
    </row>
    <row r="5" spans="1:37" x14ac:dyDescent="0.25">
      <c r="D5" s="2"/>
      <c r="G5" s="20"/>
      <c r="I5" s="26">
        <f t="shared" ca="1" si="0"/>
        <v>0</v>
      </c>
      <c r="J5" s="26"/>
      <c r="K5" s="2">
        <f ca="1"/>
        <v>46173</v>
      </c>
      <c r="L5">
        <f ca="1"/>
        <v>415.3</v>
      </c>
      <c r="P5">
        <v>8</v>
      </c>
      <c r="Q5" s="9" t="s">
        <v>85</v>
      </c>
      <c r="R5" s="9" t="s">
        <v>18</v>
      </c>
      <c r="S5" s="12" cm="1">
        <f t="array" ref="S5">_xll.qwCalAddMonths("All",T5,-3)</f>
        <v>45853</v>
      </c>
      <c r="T5" s="12">
        <f>DATEVALUE(_xll.BDP(Q5, "SWAP_EFFECTIVE_DATE_RT"))</f>
        <v>45945</v>
      </c>
      <c r="U5" s="12" cm="1">
        <f t="array" ref="U5">_xll.qwCalAddMonths("All",V5,-3)</f>
        <v>46218</v>
      </c>
      <c r="V5" s="12" cm="1">
        <f t="array" ref="V5">DATEVALUE((_xll.BDP(Q5,"MATURITY")))</f>
        <v>46310</v>
      </c>
      <c r="W5" s="9">
        <f>_xll.BDP(Q5, "PX_MID")</f>
        <v>359</v>
      </c>
      <c r="X5" t="b">
        <f>V5&gt;V4</f>
        <v>0</v>
      </c>
      <c r="Z5" s="39">
        <f t="shared" ref="Z5:Z15" ca="1" si="3">MOD($Z$2-P4+12,12)</f>
        <v>0</v>
      </c>
      <c r="AA5" s="40">
        <f t="shared" ca="1" si="1"/>
        <v>46296</v>
      </c>
      <c r="AC5" s="10" t="s">
        <v>86</v>
      </c>
      <c r="AD5" s="13">
        <f t="shared" ca="1" si="2"/>
        <v>46278</v>
      </c>
      <c r="AE5" s="10" t="str">
        <f>_xll.BDP(AC5, "MATURITY")</f>
        <v>9/15/2028</v>
      </c>
      <c r="AF5" s="10">
        <f>_xll.BDP(AC5, "PX_LAST")</f>
        <v>4.21</v>
      </c>
      <c r="AG5" s="10">
        <f>AG4+1</f>
        <v>2</v>
      </c>
      <c r="AI5" s="14">
        <v>2</v>
      </c>
      <c r="AJ5" s="14" t="s">
        <v>24</v>
      </c>
      <c r="AK5" s="14">
        <f>_xll.BDP(AJ5, "PX_LAST")</f>
        <v>0.99819999999999998</v>
      </c>
    </row>
    <row r="6" spans="1:37" x14ac:dyDescent="0.25">
      <c r="D6" s="20"/>
      <c r="G6" s="20"/>
      <c r="I6" s="26">
        <f t="shared" ca="1" si="0"/>
        <v>0</v>
      </c>
      <c r="J6" s="26"/>
      <c r="K6" s="2">
        <f ca="1"/>
        <v>46142</v>
      </c>
      <c r="L6">
        <f ca="1"/>
        <v>414.4</v>
      </c>
      <c r="P6">
        <v>9</v>
      </c>
      <c r="Q6" s="9" t="s">
        <v>87</v>
      </c>
      <c r="R6" s="9" t="s">
        <v>22</v>
      </c>
      <c r="S6" s="12" cm="1">
        <f t="array" ref="S6">_xll.qwCalAddMonths("All",T6,-3)</f>
        <v>45884</v>
      </c>
      <c r="T6" s="12">
        <f>DATEVALUE(_xll.BDP(Q6, "SWAP_EFFECTIVE_DATE_RT"))</f>
        <v>45976</v>
      </c>
      <c r="U6" s="12" cm="1">
        <f t="array" ref="U6">_xll.qwCalAddMonths("All",V6,-3)</f>
        <v>46249</v>
      </c>
      <c r="V6" s="12" cm="1">
        <f t="array" ref="V6">DATEVALUE((_xll.BDP(Q6,"MATURITY")))</f>
        <v>46341</v>
      </c>
      <c r="W6" s="9">
        <f>_xll.BDP(Q6, "PX_MID")</f>
        <v>395</v>
      </c>
      <c r="X6" t="b">
        <f>V6&gt;V5</f>
        <v>1</v>
      </c>
      <c r="Z6" s="39">
        <f t="shared" ca="1" si="3"/>
        <v>11</v>
      </c>
      <c r="AA6" s="40">
        <f t="shared" ca="1" si="1"/>
        <v>45962</v>
      </c>
      <c r="AC6" s="10" t="s">
        <v>88</v>
      </c>
      <c r="AD6" s="13">
        <f t="shared" ca="1" si="2"/>
        <v>46278</v>
      </c>
      <c r="AE6" s="10" t="str">
        <f>_xll.BDP(AC6, "MATURITY")</f>
        <v>9/15/2029</v>
      </c>
      <c r="AF6" s="10">
        <f>_xll.BDP(AC6, "PX_LAST")</f>
        <v>4.0875000000000004</v>
      </c>
      <c r="AG6" s="10">
        <f t="shared" ref="AG6:AG13" si="4">AG5+1</f>
        <v>3</v>
      </c>
      <c r="AI6" s="14">
        <v>3</v>
      </c>
      <c r="AJ6" s="14" t="s">
        <v>28</v>
      </c>
      <c r="AK6" s="14">
        <f>_xll.BDP(AJ6, "PX_LAST")</f>
        <v>1.0009999999999999</v>
      </c>
    </row>
    <row r="7" spans="1:37" x14ac:dyDescent="0.25">
      <c r="D7" s="20"/>
      <c r="G7" s="20"/>
      <c r="I7" s="26">
        <f t="shared" ca="1" si="0"/>
        <v>0</v>
      </c>
      <c r="J7" s="26"/>
      <c r="K7" s="2">
        <f ca="1"/>
        <v>46112</v>
      </c>
      <c r="L7">
        <f ca="1"/>
        <v>411.4</v>
      </c>
      <c r="P7">
        <v>10</v>
      </c>
      <c r="Q7" s="9" t="s">
        <v>89</v>
      </c>
      <c r="R7" s="9" t="s">
        <v>26</v>
      </c>
      <c r="S7" s="12" cm="1">
        <f t="array" ref="S7">_xll.qwCalAddMonths("All",T7,-3)</f>
        <v>45915</v>
      </c>
      <c r="T7" s="12">
        <f>DATEVALUE(_xll.BDP(Q7, "SWAP_EFFECTIVE_DATE_RT"))</f>
        <v>46006</v>
      </c>
      <c r="U7" s="12" cm="1">
        <f t="array" ref="U7">_xll.qwCalAddMonths("All",V7,-3)</f>
        <v>46280</v>
      </c>
      <c r="V7" s="12" cm="1">
        <f t="array" ref="V7">DATEVALUE((_xll.BDP(Q7,"MATURITY")))</f>
        <v>46371</v>
      </c>
      <c r="W7" s="9">
        <f>_xll.BDP(Q7, "PX_MID")</f>
        <v>426.5</v>
      </c>
      <c r="X7" t="b">
        <f>V7&gt;V6</f>
        <v>1</v>
      </c>
      <c r="Z7" s="39">
        <f t="shared" ca="1" si="3"/>
        <v>10</v>
      </c>
      <c r="AA7" s="40">
        <f t="shared" ca="1" si="1"/>
        <v>45992</v>
      </c>
      <c r="AC7" s="10" t="s">
        <v>90</v>
      </c>
      <c r="AD7" s="13">
        <f t="shared" ca="1" si="2"/>
        <v>46278</v>
      </c>
      <c r="AE7" s="10" t="str">
        <f>_xll.BDP(AC7, "MATURITY")</f>
        <v>9/15/2030</v>
      </c>
      <c r="AF7" s="10">
        <f>_xll.BDP(AC7, "PX_LAST")</f>
        <v>3.9024999999999999</v>
      </c>
      <c r="AG7" s="10">
        <f t="shared" si="4"/>
        <v>4</v>
      </c>
      <c r="AI7" s="14">
        <v>4</v>
      </c>
      <c r="AJ7" s="14" t="s">
        <v>32</v>
      </c>
      <c r="AK7" s="14">
        <f>_xll.BDP(AJ7, "PX_LAST")</f>
        <v>1.0029999999999999</v>
      </c>
    </row>
    <row r="8" spans="1:37" x14ac:dyDescent="0.25">
      <c r="G8" s="20"/>
      <c r="I8" s="26">
        <f t="shared" ca="1" si="0"/>
        <v>0</v>
      </c>
      <c r="J8" s="26"/>
      <c r="K8" s="5">
        <f ca="1"/>
        <v>46081</v>
      </c>
      <c r="L8">
        <f ca="1"/>
        <v>408.2</v>
      </c>
      <c r="P8">
        <v>11</v>
      </c>
      <c r="Q8" s="9" t="s">
        <v>91</v>
      </c>
      <c r="R8" s="9" t="s">
        <v>30</v>
      </c>
      <c r="S8" s="12" cm="1">
        <f t="array" ref="S8">_xll.qwCalAddMonths("All",T8,-3)</f>
        <v>45945</v>
      </c>
      <c r="T8" s="12">
        <f>DATEVALUE(_xll.BDP(Q8, "SWAP_EFFECTIVE_DATE_RT"))</f>
        <v>46037</v>
      </c>
      <c r="U8" s="12" cm="1">
        <f t="array" ref="U8">_xll.qwCalAddMonths("All",V8,-3)</f>
        <v>46310</v>
      </c>
      <c r="V8" s="12" cm="1">
        <f t="array" ref="V8">DATEVALUE((_xll.BDP(Q8,"MATURITY")))</f>
        <v>46402</v>
      </c>
      <c r="W8" s="9">
        <f>_xll.BDP(Q8, "PX_MID")</f>
        <v>465</v>
      </c>
      <c r="X8" t="b">
        <f t="shared" ref="X8:X13" si="5">V8&gt;V7</f>
        <v>1</v>
      </c>
      <c r="Z8" s="39">
        <f t="shared" ca="1" si="3"/>
        <v>9</v>
      </c>
      <c r="AA8" s="40">
        <f t="shared" ca="1" si="1"/>
        <v>46023</v>
      </c>
      <c r="AC8" s="10" t="s">
        <v>92</v>
      </c>
      <c r="AD8" s="13">
        <f t="shared" ca="1" si="2"/>
        <v>46278</v>
      </c>
      <c r="AE8" s="10" t="str">
        <f>_xll.BDP(AC8, "MATURITY")</f>
        <v>9/15/2031</v>
      </c>
      <c r="AF8" s="17">
        <f>_xll.BDP(AC8, "PX_LAST")</f>
        <v>3.7524999999999999</v>
      </c>
      <c r="AG8" s="10">
        <f t="shared" si="4"/>
        <v>5</v>
      </c>
      <c r="AI8" s="14">
        <v>5</v>
      </c>
      <c r="AJ8" s="14" t="s">
        <v>36</v>
      </c>
      <c r="AK8" s="14">
        <f>_xll.BDP(AJ8, "PX_LAST")</f>
        <v>1.0029999999999999</v>
      </c>
    </row>
    <row r="9" spans="1:37" x14ac:dyDescent="0.25">
      <c r="C9" t="s">
        <v>37</v>
      </c>
      <c r="D9" s="1" t="s">
        <v>93</v>
      </c>
      <c r="G9" s="20"/>
      <c r="I9" s="26">
        <f t="shared" ca="1" si="0"/>
        <v>0</v>
      </c>
      <c r="J9" s="26"/>
      <c r="K9" s="5">
        <f ca="1"/>
        <v>46053</v>
      </c>
      <c r="L9">
        <f ca="1"/>
        <v>406.4</v>
      </c>
      <c r="P9">
        <v>12</v>
      </c>
      <c r="Q9" s="31" t="s">
        <v>94</v>
      </c>
      <c r="R9" s="31" t="s">
        <v>34</v>
      </c>
      <c r="S9" s="32" cm="1">
        <f t="array" ref="S9">_xll.qwCalAddMonths("All",T9,-3)</f>
        <v>45976</v>
      </c>
      <c r="T9" s="32">
        <f>DATEVALUE(_xll.BDP(Q9, "SWAP_EFFECTIVE_DATE_RT"))</f>
        <v>46068</v>
      </c>
      <c r="U9" s="32" cm="1">
        <f t="array" ref="U9">_xll.qwCalAddMonths("All",V9,-3)</f>
        <v>46341</v>
      </c>
      <c r="V9" s="32" cm="1">
        <f t="array" ref="V9">DATEVALUE((_xll.BDP(Q9,"MATURITY")))</f>
        <v>46433</v>
      </c>
      <c r="W9" s="9">
        <f>_xll.BDP(Q9, "PX_MID")</f>
        <v>486.25</v>
      </c>
      <c r="X9" t="b">
        <f t="shared" si="5"/>
        <v>1</v>
      </c>
      <c r="Z9" s="39">
        <f t="shared" ca="1" si="3"/>
        <v>8</v>
      </c>
      <c r="AA9" s="40">
        <f t="shared" ca="1" si="1"/>
        <v>46054</v>
      </c>
      <c r="AC9" s="10" t="s">
        <v>95</v>
      </c>
      <c r="AD9" s="13">
        <f t="shared" ca="1" si="2"/>
        <v>46278</v>
      </c>
      <c r="AE9" s="10" t="str">
        <f>_xll.BDP(AC9, "MATURITY")</f>
        <v>9/15/2032</v>
      </c>
      <c r="AF9" s="10">
        <f>_xll.BDP(AC9, "PX_LAST")</f>
        <v>3.6463000000000001</v>
      </c>
      <c r="AG9" s="10">
        <f t="shared" si="4"/>
        <v>6</v>
      </c>
      <c r="AI9" s="14">
        <v>6</v>
      </c>
      <c r="AJ9" s="14" t="s">
        <v>42</v>
      </c>
      <c r="AK9" s="14">
        <f>_xll.BDP(AJ9, "PX_LAST")</f>
        <v>1.0029999999999999</v>
      </c>
    </row>
    <row r="10" spans="1:37" x14ac:dyDescent="0.25">
      <c r="C10" t="s">
        <v>43</v>
      </c>
      <c r="D10" s="20">
        <f ca="1">TODAY()-A1</f>
        <v>46276</v>
      </c>
      <c r="G10" s="20"/>
      <c r="I10" s="26">
        <f t="shared" ca="1" si="0"/>
        <v>0</v>
      </c>
      <c r="J10" s="26"/>
      <c r="K10" s="5">
        <f ca="1"/>
        <v>46022</v>
      </c>
      <c r="L10">
        <f ca="1"/>
        <v>408.5</v>
      </c>
      <c r="P10">
        <v>1</v>
      </c>
      <c r="Q10" s="9" t="s">
        <v>96</v>
      </c>
      <c r="R10" s="9" t="s">
        <v>40</v>
      </c>
      <c r="S10" s="12" cm="1">
        <f t="array" ref="S10">_xll.qwCalAddMonths("All",T10,-3)</f>
        <v>46006</v>
      </c>
      <c r="T10" s="12">
        <f>DATEVALUE(_xll.BDP(Q10, "SWAP_EFFECTIVE_DATE_RT"))</f>
        <v>46096</v>
      </c>
      <c r="U10" s="12" cm="1">
        <f t="array" ref="U10">_xll.qwCalAddMonths("All",V10,-3)</f>
        <v>46371</v>
      </c>
      <c r="V10" s="12" cm="1">
        <f t="array" ref="V10">DATEVALUE((_xll.BDP(Q10,"MATURITY")))</f>
        <v>46461</v>
      </c>
      <c r="W10" s="9">
        <f>_xll.BDP(Q10, "PX_MID")</f>
        <v>536.25</v>
      </c>
      <c r="X10" t="b">
        <f t="shared" si="5"/>
        <v>1</v>
      </c>
      <c r="Z10" s="39">
        <f t="shared" ca="1" si="3"/>
        <v>7</v>
      </c>
      <c r="AA10" s="40">
        <f t="shared" ca="1" si="1"/>
        <v>46082</v>
      </c>
      <c r="AC10" s="10" t="s">
        <v>97</v>
      </c>
      <c r="AD10" s="13">
        <f t="shared" ca="1" si="2"/>
        <v>46278</v>
      </c>
      <c r="AE10" s="10" t="str">
        <f>_xll.BDP(AC10, "MATURITY")</f>
        <v>9/15/2033</v>
      </c>
      <c r="AF10" s="10">
        <f>_xll.BDP(AC10, "PX_LAST")</f>
        <v>3.5655000000000001</v>
      </c>
      <c r="AG10" s="10">
        <f t="shared" si="4"/>
        <v>7</v>
      </c>
      <c r="AI10" s="14">
        <v>7</v>
      </c>
      <c r="AJ10" s="14" t="s">
        <v>47</v>
      </c>
      <c r="AK10" s="14">
        <f>_xll.BDP(AJ10, "PX_LAST")</f>
        <v>1.002</v>
      </c>
    </row>
    <row r="11" spans="1:37" x14ac:dyDescent="0.25">
      <c r="C11" t="s">
        <v>0</v>
      </c>
      <c r="D11" s="20" cm="1">
        <f t="array" aca="1" ref="D11" ca="1">_xll.qwCalAddBusDays("US",strippingDate,2)</f>
        <v>46280</v>
      </c>
      <c r="G11" s="20"/>
      <c r="I11" s="26">
        <f t="shared" ca="1" si="0"/>
        <v>0</v>
      </c>
      <c r="J11" s="26"/>
      <c r="K11" s="5">
        <f ca="1"/>
        <v>45991</v>
      </c>
      <c r="L11">
        <f ca="1"/>
        <v>405.6</v>
      </c>
      <c r="P11">
        <v>2</v>
      </c>
      <c r="Q11" s="9" t="s">
        <v>98</v>
      </c>
      <c r="R11" s="9" t="s">
        <v>45</v>
      </c>
      <c r="S11" s="12" cm="1">
        <f t="array" ref="S11">_xll.qwCalAddMonths("All",T11,-3)</f>
        <v>46037</v>
      </c>
      <c r="T11" s="12">
        <f>DATEVALUE(_xll.BDP(Q11, "SWAP_EFFECTIVE_DATE_RT"))</f>
        <v>46127</v>
      </c>
      <c r="U11" s="12" cm="1">
        <f t="array" ref="U11">_xll.qwCalAddMonths("All",V11,-3)</f>
        <v>46402</v>
      </c>
      <c r="V11" s="12" cm="1">
        <f t="array" ref="V11">DATEVALUE((_xll.BDP(Q11,"MATURITY")))</f>
        <v>46492</v>
      </c>
      <c r="W11" s="9">
        <f>_xll.BDP(Q11, "PX_MID")</f>
        <v>538</v>
      </c>
      <c r="X11" t="b">
        <f t="shared" si="5"/>
        <v>1</v>
      </c>
      <c r="Z11" s="39">
        <f t="shared" ca="1" si="3"/>
        <v>6</v>
      </c>
      <c r="AA11" s="40">
        <f t="shared" ca="1" si="1"/>
        <v>46113</v>
      </c>
      <c r="AC11" s="10" t="s">
        <v>99</v>
      </c>
      <c r="AD11" s="13">
        <f t="shared" ca="1" si="2"/>
        <v>46278</v>
      </c>
      <c r="AE11" s="10" t="str">
        <f>_xll.BDP(AC11, "MATURITY")</f>
        <v>9/15/2034</v>
      </c>
      <c r="AF11" s="10">
        <f>_xll.BDP(AC11, "PX_LAST")</f>
        <v>3.5024999999999999</v>
      </c>
      <c r="AG11" s="10">
        <f t="shared" si="4"/>
        <v>8</v>
      </c>
      <c r="AI11" s="14">
        <v>8</v>
      </c>
      <c r="AJ11" s="14" t="s">
        <v>51</v>
      </c>
      <c r="AK11" s="14">
        <f>_xll.BDP(AJ11, "PX_LAST")</f>
        <v>1.002</v>
      </c>
    </row>
    <row r="12" spans="1:37" x14ac:dyDescent="0.25">
      <c r="C12" t="s">
        <v>52</v>
      </c>
      <c r="D12" s="20" cm="1">
        <f t="array" aca="1" ref="D12" ca="1">IF(MONTH(strippingDate)=MONTH(spotDate),EOMONTH(_xll.qwCalAddMonths("GB",D10,-D14),0),EOMONTH(_xll.qwCalAddMonths("GB",D11,-D14),0))</f>
        <v>46234</v>
      </c>
      <c r="G12" s="20"/>
      <c r="I12" s="26">
        <f t="shared" ca="1" si="0"/>
        <v>0</v>
      </c>
      <c r="J12" s="26"/>
      <c r="K12" s="5">
        <f ca="1"/>
        <v>45961</v>
      </c>
      <c r="L12">
        <f ca="1"/>
        <v>407.4</v>
      </c>
      <c r="P12">
        <v>3</v>
      </c>
      <c r="Q12" s="9" t="s">
        <v>100</v>
      </c>
      <c r="R12" s="9" t="s">
        <v>49</v>
      </c>
      <c r="S12" s="12" cm="1">
        <f t="array" ref="S12">_xll.qwCalAddMonths("All",T12,-3)</f>
        <v>46068</v>
      </c>
      <c r="T12" s="12">
        <f>DATEVALUE(_xll.BDP(Q12, "SWAP_EFFECTIVE_DATE_RT"))</f>
        <v>46157</v>
      </c>
      <c r="U12" s="12" cm="1">
        <f t="array" ref="U12">_xll.qwCalAddMonths("All",V12,-3)</f>
        <v>46433</v>
      </c>
      <c r="V12" s="12" cm="1">
        <f t="array" ref="V12">DATEVALUE((_xll.BDP(Q12,"MATURITY")))</f>
        <v>46522</v>
      </c>
      <c r="W12" s="9">
        <f>_xll.BDP(Q12, "PX_MID")</f>
        <v>508</v>
      </c>
      <c r="X12" t="b">
        <f t="shared" si="5"/>
        <v>1</v>
      </c>
      <c r="Z12" s="39">
        <f t="shared" ca="1" si="3"/>
        <v>5</v>
      </c>
      <c r="AA12" s="40">
        <f t="shared" ca="1" si="1"/>
        <v>46143</v>
      </c>
      <c r="AC12" s="10" t="s">
        <v>101</v>
      </c>
      <c r="AD12" s="13">
        <f t="shared" ca="1" si="2"/>
        <v>46278</v>
      </c>
      <c r="AE12" s="10" t="str">
        <f>_xll.BDP(AC12, "MATURITY")</f>
        <v>9/15/2035</v>
      </c>
      <c r="AF12" s="10">
        <f>_xll.BDP(AC12, "PX_LAST")</f>
        <v>3.4586999999999999</v>
      </c>
      <c r="AG12" s="10">
        <f t="shared" si="4"/>
        <v>9</v>
      </c>
      <c r="AI12" s="14">
        <v>9</v>
      </c>
      <c r="AJ12" s="14" t="s">
        <v>56</v>
      </c>
      <c r="AK12" s="14">
        <f>_xll.BDP(AJ12, "PX_LAST")</f>
        <v>1.002</v>
      </c>
    </row>
    <row r="13" spans="1:37" x14ac:dyDescent="0.25">
      <c r="C13" t="s">
        <v>57</v>
      </c>
      <c r="D13" t="s">
        <v>58</v>
      </c>
      <c r="G13" s="20"/>
      <c r="I13" s="26">
        <f ca="1">IF((G13=$C$20),$D$20,0)</f>
        <v>0</v>
      </c>
      <c r="J13" s="26"/>
      <c r="K13" s="5">
        <f ca="1"/>
        <v>45930</v>
      </c>
      <c r="L13">
        <f ca="1"/>
        <v>406.1</v>
      </c>
      <c r="P13">
        <v>4</v>
      </c>
      <c r="Q13" s="9" t="s">
        <v>102</v>
      </c>
      <c r="R13" s="9" t="s">
        <v>54</v>
      </c>
      <c r="S13" s="12" cm="1">
        <f t="array" ref="S13">_xll.qwCalAddMonths("All",T13,-3)</f>
        <v>46096</v>
      </c>
      <c r="T13" s="12">
        <f>DATEVALUE(_xll.BDP(Q13, "SWAP_EFFECTIVE_DATE_RT"))</f>
        <v>46188</v>
      </c>
      <c r="U13" s="12" cm="1">
        <f t="array" ref="U13">_xll.qwCalAddMonths("All",V13,-3)</f>
        <v>46461</v>
      </c>
      <c r="V13" s="12" cm="1">
        <f t="array" ref="V13">DATEVALUE((_xll.BDP(Q13,"MATURITY")))</f>
        <v>46553</v>
      </c>
      <c r="W13" s="9">
        <f>_xll.BDP(Q13, "PX_MID")</f>
        <v>476</v>
      </c>
      <c r="X13" t="b">
        <f t="shared" si="5"/>
        <v>1</v>
      </c>
      <c r="Z13" s="39">
        <f t="shared" ca="1" si="3"/>
        <v>4</v>
      </c>
      <c r="AA13" s="40">
        <f t="shared" ca="1" si="1"/>
        <v>46174</v>
      </c>
      <c r="AC13" s="10" t="s">
        <v>103</v>
      </c>
      <c r="AD13" s="13">
        <f t="shared" ca="1" si="2"/>
        <v>46278</v>
      </c>
      <c r="AE13" s="10" t="str">
        <f>_xll.BDP(AC13, "MATURITY")</f>
        <v>9/15/2036</v>
      </c>
      <c r="AF13" s="10">
        <f>_xll.BDP(AC13, "PX_LAST")</f>
        <v>3.4260000000000002</v>
      </c>
      <c r="AG13" s="10">
        <f t="shared" si="4"/>
        <v>10</v>
      </c>
      <c r="AI13" s="14">
        <v>10</v>
      </c>
      <c r="AJ13" s="14" t="s">
        <v>62</v>
      </c>
      <c r="AK13" s="14">
        <f>_xll.BDP(AJ13, "PX_LAST")</f>
        <v>1</v>
      </c>
    </row>
    <row r="14" spans="1:37" x14ac:dyDescent="0.25">
      <c r="C14" t="s">
        <v>63</v>
      </c>
      <c r="D14">
        <v>2</v>
      </c>
      <c r="G14" s="20"/>
      <c r="I14" s="26">
        <f ca="1">IF((G14=$C$20),$D$20,0)</f>
        <v>0</v>
      </c>
      <c r="J14" s="26"/>
      <c r="K14" s="5">
        <f ca="1"/>
        <v>45900</v>
      </c>
      <c r="L14">
        <f ca="1"/>
        <v>407.7</v>
      </c>
      <c r="P14">
        <v>5</v>
      </c>
      <c r="Q14" s="9" t="s">
        <v>104</v>
      </c>
      <c r="R14" s="9" t="s">
        <v>60</v>
      </c>
      <c r="S14" s="12" cm="1">
        <f t="array" ref="S14">_xll.qwCalAddMonths("All",T14,-3)</f>
        <v>46127</v>
      </c>
      <c r="T14" s="12">
        <f>DATEVALUE(_xll.BDP(Q14, "SWAP_EFFECTIVE_DATE_RT"))</f>
        <v>46218</v>
      </c>
      <c r="U14" s="12" cm="1">
        <f t="array" ref="U14">_xll.qwCalAddMonths("All",V14,-3)</f>
        <v>46492</v>
      </c>
      <c r="V14" s="12" cm="1">
        <f t="array" ref="V14">DATEVALUE((_xll.BDP(Q14,"MATURITY")))</f>
        <v>46583</v>
      </c>
      <c r="W14" s="9">
        <f>_xll.BDP(Q14, "PX_MID")</f>
        <v>491.75</v>
      </c>
      <c r="X14" t="b">
        <f>V14&gt;V13</f>
        <v>1</v>
      </c>
      <c r="Z14" s="39">
        <f t="shared" ca="1" si="3"/>
        <v>3</v>
      </c>
      <c r="AA14" s="40">
        <f t="shared" ca="1" si="1"/>
        <v>46204</v>
      </c>
      <c r="AC14" s="10" t="s">
        <v>105</v>
      </c>
      <c r="AD14" s="13">
        <f t="shared" ca="1" si="2"/>
        <v>46278</v>
      </c>
      <c r="AE14" s="10" t="str">
        <f>_xll.BDP(AC14, "MATURITY")</f>
        <v>9/15/2041</v>
      </c>
      <c r="AF14" s="10">
        <f>_xll.BDP(AC14, "PX_LAST")</f>
        <v>3.3782000000000001</v>
      </c>
      <c r="AG14" s="10">
        <v>15</v>
      </c>
      <c r="AI14" s="14">
        <v>11</v>
      </c>
      <c r="AJ14" s="14" t="s">
        <v>67</v>
      </c>
      <c r="AK14" s="14">
        <f>_xll.BDP(AJ14, "PX_LAST")</f>
        <v>0.997</v>
      </c>
    </row>
    <row r="15" spans="1:37" x14ac:dyDescent="0.25">
      <c r="A15">
        <v>2</v>
      </c>
      <c r="D15" t="str" cm="1">
        <f t="array" ref="D15">_xll.qwCtxTrade()</f>
        <v>ctx.46276.Live</v>
      </c>
      <c r="G15" s="20"/>
      <c r="I15" s="26">
        <f t="shared" ref="I15:I22" ca="1" si="6">IF((G15=$C$20),$D$20,0)</f>
        <v>0</v>
      </c>
      <c r="J15" s="26"/>
      <c r="K15" s="2">
        <f ca="1"/>
        <v>45869</v>
      </c>
      <c r="L15">
        <f ca="1"/>
        <v>406.2</v>
      </c>
      <c r="P15">
        <v>6</v>
      </c>
      <c r="Q15" s="9" t="s">
        <v>106</v>
      </c>
      <c r="R15" s="9" t="s">
        <v>65</v>
      </c>
      <c r="S15" s="12" cm="1">
        <f t="array" ref="S15">_xll.qwCalAddMonths("All",T15,-3)</f>
        <v>46157</v>
      </c>
      <c r="T15" s="12">
        <f>DATEVALUE(_xll.BDP(Q15, "SWAP_EFFECTIVE_DATE_RT"))</f>
        <v>46249</v>
      </c>
      <c r="U15" s="12" cm="1">
        <f t="array" ref="U15">_xll.qwCalAddMonths("All",V15,-3)</f>
        <v>46522</v>
      </c>
      <c r="V15" s="12" cm="1">
        <f t="array" ref="V15">DATEVALUE((_xll.BDP(Q15,"MATURITY")))</f>
        <v>46614</v>
      </c>
      <c r="W15" s="35">
        <f>_xll.BDP(Q15, "PX_MID")</f>
        <v>499.75</v>
      </c>
      <c r="X15" t="b">
        <f>V15&gt;V14</f>
        <v>1</v>
      </c>
      <c r="Z15" s="39">
        <f t="shared" ca="1" si="3"/>
        <v>2</v>
      </c>
      <c r="AA15" s="40">
        <f t="shared" ca="1" si="1"/>
        <v>46235</v>
      </c>
      <c r="AC15" s="10" t="s">
        <v>107</v>
      </c>
      <c r="AD15" s="13">
        <f t="shared" ca="1" si="2"/>
        <v>46278</v>
      </c>
      <c r="AE15" s="10" t="str">
        <f>_xll.BDP(AC15, "MATURITY")</f>
        <v>9/15/2046</v>
      </c>
      <c r="AF15" s="10">
        <f>_xll.BDP(AC15, "PX_LAST")</f>
        <v>3.3624999999999998</v>
      </c>
      <c r="AG15" s="10">
        <v>20</v>
      </c>
      <c r="AI15" s="14">
        <v>12</v>
      </c>
      <c r="AJ15" s="14" t="s">
        <v>71</v>
      </c>
      <c r="AK15" s="14">
        <f>_xll.BDP(AJ15, "PX_LAST")</f>
        <v>0.995</v>
      </c>
    </row>
    <row r="16" spans="1:37" x14ac:dyDescent="0.25">
      <c r="A16" s="2"/>
      <c r="B16" s="2"/>
      <c r="G16" s="20"/>
      <c r="I16" s="26">
        <f t="shared" ca="1" si="6"/>
        <v>0</v>
      </c>
      <c r="J16" s="26"/>
      <c r="K16" s="5">
        <f ca="1"/>
        <v>45838</v>
      </c>
      <c r="L16">
        <f ca="1"/>
        <v>404.5</v>
      </c>
      <c r="AC16" s="10" t="s">
        <v>108</v>
      </c>
      <c r="AD16" s="13">
        <f t="shared" ca="1" si="2"/>
        <v>46278</v>
      </c>
      <c r="AE16" s="10" t="str">
        <f>_xll.BDP(AC16, "MATURITY")</f>
        <v>9/15/2051</v>
      </c>
      <c r="AF16" s="10">
        <f>_xll.BDP(AC16, "PX_LAST")</f>
        <v>3.3494999999999999</v>
      </c>
      <c r="AG16" s="10">
        <v>25</v>
      </c>
    </row>
    <row r="17" spans="1:33" x14ac:dyDescent="0.25">
      <c r="D17" s="3"/>
      <c r="G17" s="20"/>
      <c r="H17" s="27"/>
      <c r="I17" s="26">
        <f t="shared" ca="1" si="6"/>
        <v>0</v>
      </c>
      <c r="J17" s="26"/>
      <c r="K17" s="5">
        <f ca="1"/>
        <v>45808</v>
      </c>
      <c r="L17">
        <f ca="1"/>
        <v>402.9</v>
      </c>
      <c r="N17"/>
      <c r="AC17" s="10" t="s">
        <v>109</v>
      </c>
      <c r="AD17" s="13">
        <f t="shared" ca="1" si="2"/>
        <v>46278</v>
      </c>
      <c r="AE17" s="10" t="str">
        <f>_xll.BDP(AC17, "MATURITY")</f>
        <v>9/15/2056</v>
      </c>
      <c r="AF17" s="10">
        <f>_xll.BDP(AC17, "PX_LAST")</f>
        <v>3.335</v>
      </c>
      <c r="AG17" s="10">
        <v>30</v>
      </c>
    </row>
    <row r="18" spans="1:33" x14ac:dyDescent="0.25">
      <c r="D18" s="3"/>
      <c r="E18" s="26"/>
      <c r="G18" s="20"/>
      <c r="I18" s="26">
        <f t="shared" ca="1" si="6"/>
        <v>0</v>
      </c>
      <c r="J18" s="26"/>
      <c r="K18" s="5">
        <f ca="1"/>
        <v>45777</v>
      </c>
      <c r="L18" s="4">
        <f ca="1"/>
        <v>402.2</v>
      </c>
      <c r="M18" s="4"/>
    </row>
    <row r="19" spans="1:33" x14ac:dyDescent="0.25">
      <c r="B19" t="s">
        <v>74</v>
      </c>
      <c r="C19" t="s">
        <v>75</v>
      </c>
      <c r="D19" s="41" t="s">
        <v>76</v>
      </c>
      <c r="E19" t="s">
        <v>77</v>
      </c>
      <c r="G19" s="20"/>
      <c r="I19" s="26">
        <f t="shared" ca="1" si="6"/>
        <v>0</v>
      </c>
      <c r="J19" s="26"/>
      <c r="K19" s="5">
        <f ca="1"/>
        <v>45747</v>
      </c>
      <c r="L19">
        <f ca="1"/>
        <v>395.3</v>
      </c>
    </row>
    <row r="20" spans="1:33" x14ac:dyDescent="0.25">
      <c r="A20" s="6">
        <f t="shared" ref="A20:A44" ca="1" si="7">C20-$D$10</f>
        <v>4</v>
      </c>
      <c r="B20" s="34">
        <f ca="1">DATE(YEAR(C20), MONTH(C20)-3,15)</f>
        <v>46188</v>
      </c>
      <c r="C20" s="23">
        <f ca="1">D11</f>
        <v>46280</v>
      </c>
      <c r="D20" s="19">
        <f ca="1">INDEX(_xlfn.ANCHORARRAY(K3),MATCH(LaggedEOMuk,K3:K13,0),2)</f>
        <v>419.1</v>
      </c>
      <c r="E20" s="44" cm="1">
        <f t="array" aca="1" ref="E20" ca="1">_xll.qwCurveForwardCPI($D$15,"UKRPI",C20)</f>
        <v>419.1</v>
      </c>
      <c r="G20" s="20"/>
      <c r="I20" s="26">
        <f t="shared" ca="1" si="6"/>
        <v>0</v>
      </c>
      <c r="J20" s="26"/>
      <c r="K20" s="5">
        <f ca="1"/>
        <v>45716</v>
      </c>
      <c r="L20">
        <f ca="1"/>
        <v>394</v>
      </c>
      <c r="N20" s="3">
        <v>0</v>
      </c>
      <c r="O20" s="2">
        <f t="shared" ref="O20:O21" ca="1" si="8">N20+$D$10</f>
        <v>46276</v>
      </c>
      <c r="P20" t="e" cm="1">
        <f t="array" aca="1" ref="P20" ca="1">_xll.qwDataInterp(N20,$A$20:$A$44,$D$20:$D$44,4)</f>
        <v>#NUM!</v>
      </c>
      <c r="Q20" s="3" t="e">
        <f t="shared" ref="Q20:Q83" ca="1" si="9">VLOOKUP(MONTH(O20),$AI$4:$AK$15,3,0)*P20</f>
        <v>#NUM!</v>
      </c>
    </row>
    <row r="21" spans="1:33" x14ac:dyDescent="0.25">
      <c r="A21" s="9">
        <f t="shared" ca="1" si="7"/>
        <v>369</v>
      </c>
      <c r="B21" s="33">
        <f>DATE(YEAR(V15), MONTH(V15)-3,15)</f>
        <v>46522</v>
      </c>
      <c r="C21" s="24">
        <f>DATE(YEAR(V4), MONTH(V4),DAY(V4))</f>
        <v>46645</v>
      </c>
      <c r="D21" s="35"/>
      <c r="E21" s="44" cm="1">
        <f t="array" ref="E21">_xll.qwCurveForwardCPI($D$15,"UKRPI",C21)</f>
        <v>419.1</v>
      </c>
      <c r="G21" s="20"/>
      <c r="I21" s="26">
        <f t="shared" ca="1" si="6"/>
        <v>0</v>
      </c>
      <c r="J21" s="26"/>
      <c r="K21" s="5">
        <f ca="1"/>
        <v>45688</v>
      </c>
      <c r="L21" s="4">
        <f ca="1"/>
        <v>391.7</v>
      </c>
      <c r="M21" s="4"/>
      <c r="N21" s="3">
        <f>N20+100</f>
        <v>100</v>
      </c>
      <c r="O21" s="2">
        <f t="shared" ca="1" si="8"/>
        <v>46376</v>
      </c>
      <c r="P21" t="e" cm="1">
        <f t="array" aca="1" ref="P21" ca="1">_xll.qwDataInterp(N21,$A$20:$A$44,$D$20:$D$44,4)</f>
        <v>#NUM!</v>
      </c>
      <c r="Q21" s="3" t="e">
        <f t="shared" ca="1" si="9"/>
        <v>#NUM!</v>
      </c>
      <c r="R21" t="e">
        <f ca="1">EXP(LN(P21/$P$20)*1/((O21-$O$20)/365))-1</f>
        <v>#NUM!</v>
      </c>
    </row>
    <row r="22" spans="1:33" x14ac:dyDescent="0.25">
      <c r="A22" s="9">
        <f t="shared" ca="1" si="7"/>
        <v>34</v>
      </c>
      <c r="B22" s="33">
        <f t="shared" ref="B22:B32" si="10">DATE(YEAR(V4), MONTH(V4)-3,15)</f>
        <v>46553</v>
      </c>
      <c r="C22" s="24">
        <f t="shared" ref="C22:C28" si="11">DATE(YEAR(V5), MONTH(V5),DAY(V5))</f>
        <v>46310</v>
      </c>
      <c r="D22" s="35"/>
      <c r="E22" s="44" cm="1">
        <f t="array" ref="E22">_xll.qwCurveForwardCPI($D$15,"UKRPI",C22)</f>
        <v>419.1</v>
      </c>
      <c r="G22" s="20"/>
      <c r="I22" s="26">
        <f t="shared" ca="1" si="6"/>
        <v>0</v>
      </c>
      <c r="J22" s="26"/>
      <c r="K22" s="5">
        <f ca="1"/>
        <v>45657</v>
      </c>
      <c r="L22" s="4">
        <f ca="1"/>
        <v>392.1</v>
      </c>
      <c r="M22" s="4"/>
      <c r="N22" s="3">
        <f>N21+100</f>
        <v>200</v>
      </c>
      <c r="O22" s="2">
        <f ca="1">N22+$D$10</f>
        <v>46476</v>
      </c>
      <c r="P22" t="e" cm="1">
        <f t="array" aca="1" ref="P22" ca="1">_xll.qwDataInterp(N22,$A$20:$A$44,$D$20:$D$44,4)</f>
        <v>#NUM!</v>
      </c>
      <c r="Q22" s="3" t="e">
        <f t="shared" ca="1" si="9"/>
        <v>#NUM!</v>
      </c>
      <c r="R22" t="e">
        <f ca="1">EXP(LN(P22/$P$20)*1/((O22-$O$20)/365))-1</f>
        <v>#NUM!</v>
      </c>
      <c r="AA22" t="s">
        <v>78</v>
      </c>
      <c r="AB22" t="s">
        <v>79</v>
      </c>
      <c r="AC22" t="s">
        <v>80</v>
      </c>
      <c r="AF22" s="2">
        <v>46199</v>
      </c>
    </row>
    <row r="23" spans="1:33" x14ac:dyDescent="0.25">
      <c r="A23" s="9">
        <f t="shared" ca="1" si="7"/>
        <v>65</v>
      </c>
      <c r="B23" s="33">
        <f t="shared" si="10"/>
        <v>46218</v>
      </c>
      <c r="C23" s="24">
        <f t="shared" si="11"/>
        <v>46341</v>
      </c>
      <c r="D23" s="35"/>
      <c r="E23" s="44" cm="1">
        <f t="array" ref="E23">_xll.qwCurveForwardCPI($D$15,"UKRPI",C23)</f>
        <v>419.1</v>
      </c>
      <c r="G23" s="20"/>
      <c r="I23" s="26">
        <f ca="1">IF((G23=$C$20),$D$20,0)</f>
        <v>0</v>
      </c>
      <c r="J23" s="26"/>
      <c r="K23" s="5">
        <f ca="1"/>
        <v>45626</v>
      </c>
      <c r="L23" s="4">
        <f ca="1"/>
        <v>390.9</v>
      </c>
      <c r="M23" s="4"/>
      <c r="N23" s="3">
        <f>N22+100</f>
        <v>300</v>
      </c>
      <c r="O23" s="2">
        <f t="shared" ref="O23:O86" ca="1" si="12">N23+$D$10</f>
        <v>46576</v>
      </c>
      <c r="P23" t="e" cm="1">
        <f t="array" aca="1" ref="P23" ca="1">_xll.qwDataInterp(N23,$A$20:$A$44,$D$20:$D$44,4)</f>
        <v>#NUM!</v>
      </c>
      <c r="Q23" s="3" t="e">
        <f t="shared" ca="1" si="9"/>
        <v>#NUM!</v>
      </c>
      <c r="R23" t="e">
        <f t="shared" ref="R23" ca="1" si="13">EXP(LN(P23/$P$20)*1/((O23-$O$20)/365))-1</f>
        <v>#NUM!</v>
      </c>
      <c r="AA23" s="2">
        <f ca="1">K3</f>
        <v>46234</v>
      </c>
      <c r="AB23" s="2">
        <f ca="1">DATE(YEAR(AA23),MONTH(AA23),1)</f>
        <v>46204</v>
      </c>
      <c r="AC23" s="2">
        <f ca="1">EDATE(AB23,D$14)</f>
        <v>46266</v>
      </c>
      <c r="AD23">
        <f ca="1">L3</f>
        <v>419.1</v>
      </c>
    </row>
    <row r="24" spans="1:33" x14ac:dyDescent="0.25">
      <c r="A24" s="9">
        <f t="shared" ca="1" si="7"/>
        <v>95</v>
      </c>
      <c r="B24" s="33">
        <f t="shared" si="10"/>
        <v>46249</v>
      </c>
      <c r="C24" s="24">
        <f t="shared" si="11"/>
        <v>46371</v>
      </c>
      <c r="D24" s="35"/>
      <c r="E24" s="44" cm="1">
        <f t="array" ref="E24">_xll.qwCurveForwardCPI($D$15,"UKRPI",C24)</f>
        <v>419.1</v>
      </c>
      <c r="G24" s="20"/>
      <c r="I24" s="26">
        <f t="shared" ref="I24:I87" ca="1" si="14">IF((G24=$C$20),$D$20,0)</f>
        <v>0</v>
      </c>
      <c r="J24" s="26"/>
      <c r="K24" s="5">
        <f ca="1"/>
        <v>45596</v>
      </c>
      <c r="L24" s="4">
        <f ca="1"/>
        <v>390.7</v>
      </c>
      <c r="M24" s="4"/>
      <c r="N24" s="3">
        <f t="shared" ref="N24:N87" si="15">N23+100</f>
        <v>400</v>
      </c>
      <c r="O24" s="2">
        <f t="shared" ca="1" si="12"/>
        <v>46676</v>
      </c>
      <c r="P24" t="e" cm="1">
        <f t="array" aca="1" ref="P24" ca="1">_xll.qwDataInterp(N24,$A$20:$A$44,$D$20:$D$44,4)</f>
        <v>#NUM!</v>
      </c>
      <c r="Q24" s="3" t="e">
        <f t="shared" ca="1" si="9"/>
        <v>#NUM!</v>
      </c>
      <c r="R24" t="e">
        <f ca="1">EXP(LN(P24/$P$20)*1/((O24-$O$20)/365))-1</f>
        <v>#NUM!</v>
      </c>
      <c r="AA24" s="2">
        <f ca="1">K4</f>
        <v>46203</v>
      </c>
      <c r="AB24" s="2">
        <f t="shared" ref="AB24:AB27" ca="1" si="16">DATE(YEAR(AA24),MONTH(AA24),1)</f>
        <v>46174</v>
      </c>
      <c r="AC24" s="2">
        <f ca="1">EDATE(AB24,D$14)</f>
        <v>46235</v>
      </c>
      <c r="AD24" s="6">
        <f ca="1">L4</f>
        <v>416.5</v>
      </c>
      <c r="AE24">
        <f t="shared" ref="AE24" ca="1" si="17">AC23-AC24</f>
        <v>31</v>
      </c>
    </row>
    <row r="25" spans="1:33" x14ac:dyDescent="0.25">
      <c r="A25" s="9">
        <f t="shared" ca="1" si="7"/>
        <v>126</v>
      </c>
      <c r="B25" s="33">
        <f t="shared" si="10"/>
        <v>46280</v>
      </c>
      <c r="C25" s="24">
        <f t="shared" si="11"/>
        <v>46402</v>
      </c>
      <c r="D25" s="35"/>
      <c r="E25" s="44" cm="1">
        <f t="array" ref="E25">_xll.qwCurveForwardCPI($D$15,"UKRPI",C25)</f>
        <v>419.1</v>
      </c>
      <c r="G25" s="20"/>
      <c r="I25" s="26">
        <f t="shared" ca="1" si="14"/>
        <v>0</v>
      </c>
      <c r="J25" s="26"/>
      <c r="K25" s="5">
        <f ca="1"/>
        <v>45565</v>
      </c>
      <c r="L25" s="4">
        <f ca="1"/>
        <v>388.6</v>
      </c>
      <c r="M25" s="4"/>
      <c r="N25" s="3">
        <f t="shared" si="15"/>
        <v>500</v>
      </c>
      <c r="O25" s="2">
        <f t="shared" ca="1" si="12"/>
        <v>46776</v>
      </c>
      <c r="P25" t="e" cm="1">
        <f t="array" aca="1" ref="P25" ca="1">_xll.qwDataInterp(N25,$A$20:$A$44,$D$20:$D$44,4)</f>
        <v>#NUM!</v>
      </c>
      <c r="Q25" s="3" t="e">
        <f t="shared" ca="1" si="9"/>
        <v>#NUM!</v>
      </c>
      <c r="R25" t="e">
        <f t="shared" ref="R25:R88" ca="1" si="18">EXP(LN(P25/$P$20)*1/((O25-$O$20)/365))-1</f>
        <v>#NUM!</v>
      </c>
      <c r="AA25" s="2">
        <f ca="1">K5</f>
        <v>46173</v>
      </c>
      <c r="AB25" s="2">
        <f t="shared" ca="1" si="16"/>
        <v>46143</v>
      </c>
      <c r="AC25" s="2">
        <f ca="1">EDATE(AB25,D$14)</f>
        <v>46204</v>
      </c>
      <c r="AD25" s="6">
        <f ca="1">L5</f>
        <v>415.3</v>
      </c>
      <c r="AE25" s="6">
        <f ca="1">AC24-AC25</f>
        <v>31</v>
      </c>
      <c r="AF25" s="16">
        <f ca="1">AD25+(DAY(AF22)-1)*(AD24-AD25)/AE25</f>
        <v>416.26774193548385</v>
      </c>
    </row>
    <row r="26" spans="1:33" x14ac:dyDescent="0.25">
      <c r="A26" s="9">
        <f t="shared" ca="1" si="7"/>
        <v>157</v>
      </c>
      <c r="B26" s="33">
        <f t="shared" si="10"/>
        <v>46310</v>
      </c>
      <c r="C26" s="24">
        <f t="shared" si="11"/>
        <v>46433</v>
      </c>
      <c r="D26" s="35"/>
      <c r="E26" s="44" cm="1">
        <f t="array" ref="E26">_xll.qwCurveForwardCPI($D$15,"UKRPI",C26)</f>
        <v>419.1</v>
      </c>
      <c r="G26" s="20"/>
      <c r="I26" s="26">
        <f t="shared" ca="1" si="14"/>
        <v>0</v>
      </c>
      <c r="J26" s="26"/>
      <c r="K26" s="5">
        <f ca="1"/>
        <v>45535</v>
      </c>
      <c r="L26" s="4">
        <f ca="1"/>
        <v>389.9</v>
      </c>
      <c r="M26" s="4"/>
      <c r="N26" s="3">
        <f t="shared" si="15"/>
        <v>600</v>
      </c>
      <c r="O26" s="2">
        <f t="shared" ca="1" si="12"/>
        <v>46876</v>
      </c>
      <c r="P26" t="e" cm="1">
        <f t="array" aca="1" ref="P26" ca="1">_xll.qwDataInterp(N26,$A$20:$A$44,$D$20:$D$44,4)</f>
        <v>#NUM!</v>
      </c>
      <c r="Q26" s="3" t="e">
        <f t="shared" ca="1" si="9"/>
        <v>#NUM!</v>
      </c>
      <c r="R26" t="e">
        <f t="shared" ca="1" si="18"/>
        <v>#NUM!</v>
      </c>
      <c r="AA26" s="2">
        <f ca="1">K6</f>
        <v>46142</v>
      </c>
      <c r="AB26" s="2">
        <f t="shared" ca="1" si="16"/>
        <v>46113</v>
      </c>
      <c r="AC26" s="2">
        <f ca="1">EDATE(AB26,D$14)</f>
        <v>46174</v>
      </c>
      <c r="AD26">
        <f ca="1">L6</f>
        <v>414.4</v>
      </c>
      <c r="AE26">
        <f t="shared" ref="AE26:AE27" ca="1" si="19">AC25-AC26</f>
        <v>30</v>
      </c>
    </row>
    <row r="27" spans="1:33" x14ac:dyDescent="0.25">
      <c r="A27" s="9">
        <f t="shared" ca="1" si="7"/>
        <v>185</v>
      </c>
      <c r="B27" s="33">
        <f t="shared" si="10"/>
        <v>46341</v>
      </c>
      <c r="C27" s="24">
        <f t="shared" si="11"/>
        <v>46461</v>
      </c>
      <c r="D27" s="35"/>
      <c r="E27" s="44" cm="1">
        <f t="array" ref="E27">_xll.qwCurveForwardCPI($D$15,"UKRPI",C27)</f>
        <v>419.1</v>
      </c>
      <c r="G27" s="20"/>
      <c r="I27" s="26">
        <f t="shared" ca="1" si="14"/>
        <v>0</v>
      </c>
      <c r="J27" s="26"/>
      <c r="K27" s="5"/>
      <c r="L27" s="4"/>
      <c r="M27" s="4"/>
      <c r="N27" s="3">
        <f t="shared" si="15"/>
        <v>700</v>
      </c>
      <c r="O27" s="2">
        <f t="shared" ca="1" si="12"/>
        <v>46976</v>
      </c>
      <c r="P27" t="e" cm="1">
        <f t="array" aca="1" ref="P27" ca="1">_xll.qwDataInterp(N27,$A$20:$A$44,$D$20:$D$44,4)</f>
        <v>#NUM!</v>
      </c>
      <c r="Q27" s="3" t="e">
        <f t="shared" ca="1" si="9"/>
        <v>#NUM!</v>
      </c>
      <c r="R27" t="e">
        <f t="shared" ca="1" si="18"/>
        <v>#NUM!</v>
      </c>
      <c r="AA27" s="2">
        <f ca="1">K7</f>
        <v>46112</v>
      </c>
      <c r="AB27" s="2">
        <f t="shared" ca="1" si="16"/>
        <v>46082</v>
      </c>
      <c r="AC27" s="2">
        <f ca="1">EDATE(AB27,D$14)</f>
        <v>46143</v>
      </c>
      <c r="AD27">
        <f ca="1">L7</f>
        <v>411.4</v>
      </c>
      <c r="AE27">
        <f t="shared" ca="1" si="19"/>
        <v>31</v>
      </c>
    </row>
    <row r="28" spans="1:33" x14ac:dyDescent="0.25">
      <c r="A28" s="9">
        <f t="shared" ca="1" si="7"/>
        <v>216</v>
      </c>
      <c r="B28" s="33">
        <f t="shared" si="10"/>
        <v>46371</v>
      </c>
      <c r="C28" s="24">
        <f t="shared" si="11"/>
        <v>46492</v>
      </c>
      <c r="D28" s="35"/>
      <c r="E28" s="44" cm="1">
        <f t="array" ref="E28">_xll.qwCurveForwardCPI($D$15,"UKRPI",C28)</f>
        <v>419.1</v>
      </c>
      <c r="G28" s="20"/>
      <c r="I28" s="26">
        <f t="shared" ca="1" si="14"/>
        <v>0</v>
      </c>
      <c r="J28" s="26"/>
      <c r="K28" s="5"/>
      <c r="L28" s="4"/>
      <c r="M28" s="4"/>
      <c r="N28" s="3">
        <f t="shared" si="15"/>
        <v>800</v>
      </c>
      <c r="O28" s="2">
        <f t="shared" ca="1" si="12"/>
        <v>47076</v>
      </c>
      <c r="P28" t="e" cm="1">
        <f t="array" aca="1" ref="P28" ca="1">_xll.qwDataInterp(N28,$A$20:$A$44,$D$20:$D$44,4)</f>
        <v>#NUM!</v>
      </c>
      <c r="Q28" s="3" t="e">
        <f t="shared" ca="1" si="9"/>
        <v>#NUM!</v>
      </c>
      <c r="R28" t="e">
        <f t="shared" ca="1" si="18"/>
        <v>#NUM!</v>
      </c>
    </row>
    <row r="29" spans="1:33" x14ac:dyDescent="0.25">
      <c r="A29" s="9">
        <f t="shared" ca="1" si="7"/>
        <v>246</v>
      </c>
      <c r="B29" s="33">
        <f t="shared" si="10"/>
        <v>46402</v>
      </c>
      <c r="C29" s="24">
        <f>DATE(YEAR(V12), MONTH(V12),DAY(V12))</f>
        <v>46522</v>
      </c>
      <c r="D29" s="35"/>
      <c r="E29" s="44" cm="1">
        <f t="array" ref="E29">_xll.qwCurveForwardCPI($D$15,"UKRPI",C29)</f>
        <v>419.1</v>
      </c>
      <c r="G29" s="20"/>
      <c r="I29" s="26">
        <f t="shared" ca="1" si="14"/>
        <v>0</v>
      </c>
      <c r="J29" s="26"/>
      <c r="K29" s="3"/>
      <c r="L29" s="4"/>
      <c r="M29" s="4"/>
      <c r="N29" s="3">
        <f t="shared" si="15"/>
        <v>900</v>
      </c>
      <c r="O29" s="2">
        <f t="shared" ca="1" si="12"/>
        <v>47176</v>
      </c>
      <c r="P29" t="e" cm="1">
        <f t="array" aca="1" ref="P29" ca="1">_xll.qwDataInterp(N29,$A$20:$A$44,$D$20:$D$44,4)</f>
        <v>#NUM!</v>
      </c>
      <c r="Q29" s="3" t="e">
        <f t="shared" ca="1" si="9"/>
        <v>#NUM!</v>
      </c>
      <c r="R29" t="e">
        <f t="shared" ca="1" si="18"/>
        <v>#NUM!</v>
      </c>
      <c r="AD29" t="s">
        <v>81</v>
      </c>
      <c r="AE29" s="15">
        <f>AF8</f>
        <v>3.7524999999999999</v>
      </c>
      <c r="AF29">
        <f>(1+AE29/100)^AG8</f>
        <v>1.2022446438848975</v>
      </c>
      <c r="AG29">
        <f ca="1">AF25*AF29</f>
        <v>500.45566316399618</v>
      </c>
    </row>
    <row r="30" spans="1:33" x14ac:dyDescent="0.25">
      <c r="A30" s="9">
        <f t="shared" ca="1" si="7"/>
        <v>277</v>
      </c>
      <c r="B30" s="33">
        <f t="shared" si="10"/>
        <v>46433</v>
      </c>
      <c r="C30" s="24">
        <f t="shared" ref="C30:C31" si="20">DATE(YEAR(V13), MONTH(V13),DAY(V13))</f>
        <v>46553</v>
      </c>
      <c r="D30" s="35"/>
      <c r="E30" s="44" cm="1">
        <f t="array" ref="E30">_xll.qwCurveForwardCPI($D$15,"UKRPI",C30)</f>
        <v>419.1</v>
      </c>
      <c r="G30" s="20"/>
      <c r="I30" s="26">
        <f t="shared" ca="1" si="14"/>
        <v>0</v>
      </c>
      <c r="J30" s="26"/>
      <c r="K30" s="3"/>
      <c r="L30" s="4"/>
      <c r="M30" s="4"/>
      <c r="N30" s="3">
        <f t="shared" si="15"/>
        <v>1000</v>
      </c>
      <c r="O30" s="2">
        <f t="shared" ca="1" si="12"/>
        <v>47276</v>
      </c>
      <c r="P30" t="e" cm="1">
        <f t="array" aca="1" ref="P30" ca="1">_xll.qwDataInterp(N30,$A$20:$A$44,$D$20:$D$44,4)</f>
        <v>#NUM!</v>
      </c>
      <c r="Q30" s="3" t="e">
        <f t="shared" ca="1" si="9"/>
        <v>#NUM!</v>
      </c>
      <c r="R30" t="e">
        <f t="shared" ca="1" si="18"/>
        <v>#NUM!</v>
      </c>
      <c r="AD30" t="s">
        <v>82</v>
      </c>
      <c r="AE30">
        <v>2.32775</v>
      </c>
      <c r="AF30">
        <f>(1+AE30/100)^AG8</f>
        <v>1.1219335221334092</v>
      </c>
      <c r="AG30" s="18">
        <f ca="1">AF25*AF30</f>
        <v>467.02473386019847</v>
      </c>
    </row>
    <row r="31" spans="1:33" x14ac:dyDescent="0.25">
      <c r="A31" s="9">
        <f t="shared" ca="1" si="7"/>
        <v>307</v>
      </c>
      <c r="B31" s="33">
        <f t="shared" si="10"/>
        <v>46461</v>
      </c>
      <c r="C31" s="24">
        <f t="shared" si="20"/>
        <v>46583</v>
      </c>
      <c r="D31" s="35"/>
      <c r="E31" s="44" cm="1">
        <f t="array" ref="E31">_xll.qwCurveForwardCPI($D$15,"UKRPI",C31)</f>
        <v>419.1</v>
      </c>
      <c r="G31" s="20"/>
      <c r="I31" s="26">
        <f t="shared" ca="1" si="14"/>
        <v>0</v>
      </c>
      <c r="J31" s="26"/>
      <c r="K31" s="3"/>
      <c r="L31" s="4"/>
      <c r="M31" s="4"/>
      <c r="N31" s="3">
        <f t="shared" si="15"/>
        <v>1100</v>
      </c>
      <c r="O31" s="2">
        <f t="shared" ca="1" si="12"/>
        <v>47376</v>
      </c>
      <c r="P31" t="e" cm="1">
        <f t="array" aca="1" ref="P31" ca="1">_xll.qwDataInterp(N31,$A$20:$A$44,$D$20:$D$44,4)</f>
        <v>#NUM!</v>
      </c>
      <c r="Q31" s="3" t="e">
        <f t="shared" ca="1" si="9"/>
        <v>#NUM!</v>
      </c>
      <c r="R31" t="e">
        <f t="shared" ca="1" si="18"/>
        <v>#NUM!</v>
      </c>
    </row>
    <row r="32" spans="1:33" x14ac:dyDescent="0.25">
      <c r="A32" s="9">
        <f t="shared" ca="1" si="7"/>
        <v>338</v>
      </c>
      <c r="B32" s="33">
        <f t="shared" si="10"/>
        <v>46492</v>
      </c>
      <c r="C32" s="24">
        <f>DATE(YEAR(V15), MONTH(V15),DAY(V15))</f>
        <v>46614</v>
      </c>
      <c r="D32" s="43"/>
      <c r="E32" s="44" cm="1">
        <f t="array" ref="E32">_xll.qwCurveForwardCPI($D$15,"UKRPI",C32)</f>
        <v>419.1</v>
      </c>
      <c r="G32" s="20"/>
      <c r="I32" s="26">
        <f t="shared" ca="1" si="14"/>
        <v>0</v>
      </c>
      <c r="J32" s="26"/>
      <c r="K32" s="3"/>
      <c r="L32" s="4"/>
      <c r="M32" s="4"/>
      <c r="N32" s="3">
        <f t="shared" si="15"/>
        <v>1200</v>
      </c>
      <c r="O32" s="2">
        <f t="shared" ca="1" si="12"/>
        <v>47476</v>
      </c>
      <c r="P32" t="e" cm="1">
        <f t="array" aca="1" ref="P32" ca="1">_xll.qwDataInterp(N32,$A$20:$A$44,$D$20:$D$44,4)</f>
        <v>#NUM!</v>
      </c>
      <c r="Q32" s="3" t="e">
        <f t="shared" ca="1" si="9"/>
        <v>#NUM!</v>
      </c>
      <c r="R32" t="e">
        <f t="shared" ca="1" si="18"/>
        <v>#NUM!</v>
      </c>
    </row>
    <row r="33" spans="1:18" x14ac:dyDescent="0.25">
      <c r="A33" s="10">
        <f t="shared" ca="1" si="7"/>
        <v>735</v>
      </c>
      <c r="B33" s="25">
        <f>DATE(YEAR(AE5), MONTH(AE5)-3,DAY(AE5))</f>
        <v>46919</v>
      </c>
      <c r="C33" s="25">
        <f t="shared" ref="C33:C44" si="21">DATE(YEAR(AE5), MONTH(AE5),DAY(AE5))</f>
        <v>47011</v>
      </c>
      <c r="D33" s="36">
        <f ca="1">$D$20*(1+AF5/100)^AG5</f>
        <v>455.13103703100006</v>
      </c>
      <c r="E33" s="44" cm="1">
        <f t="array" ref="E33">_xll.qwCurveForwardCPI($D$15,"UKRPI",C33)</f>
        <v>419.1</v>
      </c>
      <c r="G33" s="20"/>
      <c r="I33" s="26">
        <f t="shared" ca="1" si="14"/>
        <v>0</v>
      </c>
      <c r="J33" s="26"/>
      <c r="K33" s="5">
        <v>46053</v>
      </c>
      <c r="L33" s="4">
        <v>325.25200000000001</v>
      </c>
      <c r="M33" s="4"/>
      <c r="N33" s="3">
        <f t="shared" si="15"/>
        <v>1300</v>
      </c>
      <c r="O33" s="2">
        <f t="shared" ca="1" si="12"/>
        <v>47576</v>
      </c>
      <c r="P33" t="e" cm="1">
        <f t="array" aca="1" ref="P33" ca="1">_xll.qwDataInterp(N33,$A$20:$A$44,$D$20:$D$44,4)</f>
        <v>#NUM!</v>
      </c>
      <c r="Q33" s="3" t="e">
        <f t="shared" ca="1" si="9"/>
        <v>#NUM!</v>
      </c>
      <c r="R33" t="e">
        <f t="shared" ca="1" si="18"/>
        <v>#NUM!</v>
      </c>
    </row>
    <row r="34" spans="1:18" x14ac:dyDescent="0.25">
      <c r="A34" s="10">
        <f t="shared" ca="1" si="7"/>
        <v>1100</v>
      </c>
      <c r="B34" s="25">
        <f t="shared" ref="B34:B44" si="22">DATE(YEAR(AE6), MONTH(AE6)-3,DAY(AE6))</f>
        <v>47284</v>
      </c>
      <c r="C34" s="25">
        <f t="shared" si="21"/>
        <v>47376</v>
      </c>
      <c r="D34" s="36">
        <f t="shared" ref="D34:D44" ca="1" si="23">$D$20*(1+AF6/100)^AG6</f>
        <v>472.62141252588924</v>
      </c>
      <c r="E34" s="44" cm="1">
        <f t="array" ref="E34">_xll.qwCurveForwardCPI($D$15,"UKRPI",C34)</f>
        <v>419.1</v>
      </c>
      <c r="G34" s="20"/>
      <c r="I34" s="26">
        <f t="shared" ca="1" si="14"/>
        <v>0</v>
      </c>
      <c r="J34" s="26"/>
      <c r="K34" s="5">
        <v>46022</v>
      </c>
      <c r="L34" s="4">
        <v>324.05399999999997</v>
      </c>
      <c r="M34" s="4"/>
      <c r="N34" s="3">
        <f t="shared" si="15"/>
        <v>1400</v>
      </c>
      <c r="O34" s="2">
        <f t="shared" ca="1" si="12"/>
        <v>47676</v>
      </c>
      <c r="P34" t="e" cm="1">
        <f t="array" aca="1" ref="P34" ca="1">_xll.qwDataInterp(N34,$A$20:$A$44,$D$20:$D$44,4)</f>
        <v>#NUM!</v>
      </c>
      <c r="Q34" s="3" t="e">
        <f t="shared" ca="1" si="9"/>
        <v>#NUM!</v>
      </c>
      <c r="R34" t="e">
        <f t="shared" ca="1" si="18"/>
        <v>#NUM!</v>
      </c>
    </row>
    <row r="35" spans="1:18" x14ac:dyDescent="0.25">
      <c r="A35" s="10">
        <f t="shared" ca="1" si="7"/>
        <v>1465</v>
      </c>
      <c r="B35" s="25">
        <f t="shared" si="22"/>
        <v>47649</v>
      </c>
      <c r="C35" s="25">
        <f t="shared" si="21"/>
        <v>47741</v>
      </c>
      <c r="D35" s="36">
        <f t="shared" ca="1" si="23"/>
        <v>488.45172742274207</v>
      </c>
      <c r="E35" s="44" cm="1">
        <f t="array" ref="E35">_xll.qwCurveForwardCPI($D$15,"UKRPI",C35)</f>
        <v>419.1</v>
      </c>
      <c r="G35" s="20"/>
      <c r="I35" s="26">
        <f t="shared" ca="1" si="14"/>
        <v>0</v>
      </c>
      <c r="J35" s="26"/>
      <c r="K35" s="5">
        <v>45991</v>
      </c>
      <c r="L35" s="4">
        <v>324.12200000000001</v>
      </c>
      <c r="M35" s="4"/>
      <c r="N35" s="3">
        <f t="shared" si="15"/>
        <v>1500</v>
      </c>
      <c r="O35" s="2">
        <f t="shared" ca="1" si="12"/>
        <v>47776</v>
      </c>
      <c r="P35" t="e" cm="1">
        <f t="array" aca="1" ref="P35" ca="1">_xll.qwDataInterp(N35,$A$20:$A$44,$D$20:$D$44,4)</f>
        <v>#NUM!</v>
      </c>
      <c r="Q35" s="3" t="e">
        <f t="shared" ca="1" si="9"/>
        <v>#NUM!</v>
      </c>
      <c r="R35" t="e">
        <f t="shared" ca="1" si="18"/>
        <v>#NUM!</v>
      </c>
    </row>
    <row r="36" spans="1:18" x14ac:dyDescent="0.25">
      <c r="A36" s="10">
        <f t="shared" ca="1" si="7"/>
        <v>1830</v>
      </c>
      <c r="B36" s="25">
        <f t="shared" si="22"/>
        <v>48014</v>
      </c>
      <c r="C36" s="25">
        <f t="shared" si="21"/>
        <v>48106</v>
      </c>
      <c r="D36" s="36">
        <f t="shared" ca="1" si="23"/>
        <v>503.86073025216058</v>
      </c>
      <c r="E36" s="44" cm="1">
        <f t="array" ref="E36">_xll.qwCurveForwardCPI($D$15,"UKRPI",C36)</f>
        <v>419.1</v>
      </c>
      <c r="G36" s="20"/>
      <c r="I36" s="26">
        <f t="shared" ca="1" si="14"/>
        <v>0</v>
      </c>
      <c r="J36" s="3">
        <f>L63*L64</f>
        <v>105274.82560000001</v>
      </c>
      <c r="K36" s="34">
        <v>45961</v>
      </c>
      <c r="L36" s="42">
        <f>J36^0.5</f>
        <v>324.46082290470758</v>
      </c>
      <c r="M36" s="4"/>
      <c r="N36" s="3">
        <f t="shared" si="15"/>
        <v>1600</v>
      </c>
      <c r="O36" s="2">
        <f t="shared" ca="1" si="12"/>
        <v>47876</v>
      </c>
      <c r="P36" t="e" cm="1">
        <f t="array" aca="1" ref="P36" ca="1">_xll.qwDataInterp(N36,$A$20:$A$44,$D$20:$D$44,4)</f>
        <v>#NUM!</v>
      </c>
      <c r="Q36" s="3" t="e">
        <f t="shared" ca="1" si="9"/>
        <v>#NUM!</v>
      </c>
      <c r="R36" t="e">
        <f t="shared" ca="1" si="18"/>
        <v>#NUM!</v>
      </c>
    </row>
    <row r="37" spans="1:18" x14ac:dyDescent="0.25">
      <c r="A37" s="10">
        <f t="shared" ca="1" si="7"/>
        <v>2196</v>
      </c>
      <c r="B37" s="25">
        <f t="shared" si="22"/>
        <v>48380</v>
      </c>
      <c r="C37" s="25">
        <f t="shared" si="21"/>
        <v>48472</v>
      </c>
      <c r="D37" s="36">
        <f t="shared" ca="1" si="23"/>
        <v>519.56570822237734</v>
      </c>
      <c r="E37" s="44" cm="1">
        <f t="array" ref="E37">_xll.qwCurveForwardCPI($D$15,"UKRPI",C37)</f>
        <v>419.1</v>
      </c>
      <c r="G37" s="20"/>
      <c r="I37" s="26">
        <f t="shared" ca="1" si="14"/>
        <v>0</v>
      </c>
      <c r="K37" s="5">
        <v>45930</v>
      </c>
      <c r="L37" s="4">
        <v>324.8</v>
      </c>
      <c r="M37" s="4"/>
      <c r="N37" s="3">
        <f t="shared" si="15"/>
        <v>1700</v>
      </c>
      <c r="O37" s="2">
        <f t="shared" ca="1" si="12"/>
        <v>47976</v>
      </c>
      <c r="P37" t="e" cm="1">
        <f t="array" aca="1" ref="P37" ca="1">_xll.qwDataInterp(N37,$A$20:$A$44,$D$20:$D$44,4)</f>
        <v>#NUM!</v>
      </c>
      <c r="Q37" s="3" t="e">
        <f t="shared" ca="1" si="9"/>
        <v>#NUM!</v>
      </c>
      <c r="R37" t="e">
        <f t="shared" ca="1" si="18"/>
        <v>#NUM!</v>
      </c>
    </row>
    <row r="38" spans="1:18" x14ac:dyDescent="0.25">
      <c r="A38" s="10">
        <f t="shared" ca="1" si="7"/>
        <v>2561</v>
      </c>
      <c r="B38" s="25">
        <f t="shared" si="22"/>
        <v>48745</v>
      </c>
      <c r="C38" s="25">
        <f t="shared" si="21"/>
        <v>48837</v>
      </c>
      <c r="D38" s="36">
        <f t="shared" ca="1" si="23"/>
        <v>535.57883279354439</v>
      </c>
      <c r="E38" s="44" cm="1">
        <f t="array" ref="E38">_xll.qwCurveForwardCPI($D$15,"UKRPI",C38)</f>
        <v>419.1</v>
      </c>
      <c r="G38" s="20"/>
      <c r="I38" s="26">
        <f t="shared" ca="1" si="14"/>
        <v>0</v>
      </c>
      <c r="J38" s="3"/>
      <c r="K38" s="5">
        <v>45900</v>
      </c>
      <c r="L38" s="4">
        <v>323.976</v>
      </c>
      <c r="M38" s="4"/>
      <c r="N38" s="3">
        <f t="shared" si="15"/>
        <v>1800</v>
      </c>
      <c r="O38" s="2">
        <f t="shared" ca="1" si="12"/>
        <v>48076</v>
      </c>
      <c r="P38" t="e" cm="1">
        <f t="array" aca="1" ref="P38" ca="1">_xll.qwDataInterp(N38,$A$20:$A$44,$D$20:$D$44,4)</f>
        <v>#NUM!</v>
      </c>
      <c r="Q38" s="3" t="e">
        <f t="shared" ca="1" si="9"/>
        <v>#NUM!</v>
      </c>
      <c r="R38" t="e">
        <f t="shared" ca="1" si="18"/>
        <v>#NUM!</v>
      </c>
    </row>
    <row r="39" spans="1:18" x14ac:dyDescent="0.25">
      <c r="A39" s="10">
        <f t="shared" ca="1" si="7"/>
        <v>2926</v>
      </c>
      <c r="B39" s="25">
        <f t="shared" si="22"/>
        <v>49110</v>
      </c>
      <c r="C39" s="25">
        <f t="shared" si="21"/>
        <v>49202</v>
      </c>
      <c r="D39" s="36">
        <f t="shared" ca="1" si="23"/>
        <v>551.98131885526959</v>
      </c>
      <c r="E39" s="44" cm="1">
        <f t="array" ref="E39">_xll.qwCurveForwardCPI($D$15,"UKRPI",C39)</f>
        <v>419.1</v>
      </c>
      <c r="G39" s="20"/>
      <c r="I39" s="26">
        <f t="shared" ca="1" si="14"/>
        <v>0</v>
      </c>
      <c r="J39" s="26"/>
      <c r="K39" s="5">
        <v>45869</v>
      </c>
      <c r="L39" s="4">
        <v>323.048</v>
      </c>
      <c r="M39" s="4"/>
      <c r="N39" s="3">
        <f t="shared" si="15"/>
        <v>1900</v>
      </c>
      <c r="O39" s="2">
        <f t="shared" ca="1" si="12"/>
        <v>48176</v>
      </c>
      <c r="P39" t="e" cm="1">
        <f t="array" aca="1" ref="P39" ca="1">_xll.qwDataInterp(N39,$A$20:$A$44,$D$20:$D$44,4)</f>
        <v>#NUM!</v>
      </c>
      <c r="Q39" s="3" t="e">
        <f t="shared" ca="1" si="9"/>
        <v>#NUM!</v>
      </c>
      <c r="R39" t="e">
        <f t="shared" ca="1" si="18"/>
        <v>#NUM!</v>
      </c>
    </row>
    <row r="40" spans="1:18" x14ac:dyDescent="0.25">
      <c r="A40" s="10">
        <f t="shared" ca="1" si="7"/>
        <v>3291</v>
      </c>
      <c r="B40" s="25">
        <f t="shared" si="22"/>
        <v>49475</v>
      </c>
      <c r="C40" s="25">
        <f t="shared" si="21"/>
        <v>49567</v>
      </c>
      <c r="D40" s="36">
        <f t="shared" ca="1" si="23"/>
        <v>569.1422337458913</v>
      </c>
      <c r="E40" s="44" cm="1">
        <f t="array" ref="E40">_xll.qwCurveForwardCPI($D$15,"UKRPI",C40)</f>
        <v>419.1</v>
      </c>
      <c r="G40" s="20"/>
      <c r="I40" s="26">
        <f t="shared" ca="1" si="14"/>
        <v>0</v>
      </c>
      <c r="J40" s="26"/>
      <c r="K40" s="5">
        <v>45838</v>
      </c>
      <c r="L40" s="4">
        <v>322.56099999999998</v>
      </c>
      <c r="M40" s="4"/>
      <c r="N40" s="3">
        <f t="shared" si="15"/>
        <v>2000</v>
      </c>
      <c r="O40" s="2">
        <f t="shared" ca="1" si="12"/>
        <v>48276</v>
      </c>
      <c r="P40" t="e" cm="1">
        <f t="array" aca="1" ref="P40" ca="1">_xll.qwDataInterp(N40,$A$20:$A$44,$D$20:$D$44,4)</f>
        <v>#NUM!</v>
      </c>
      <c r="Q40" s="3" t="e">
        <f t="shared" ca="1" si="9"/>
        <v>#NUM!</v>
      </c>
      <c r="R40" t="e">
        <f t="shared" ca="1" si="18"/>
        <v>#NUM!</v>
      </c>
    </row>
    <row r="41" spans="1:18" x14ac:dyDescent="0.25">
      <c r="A41" s="10">
        <f t="shared" ca="1" si="7"/>
        <v>3657</v>
      </c>
      <c r="B41" s="25">
        <f t="shared" si="22"/>
        <v>49841</v>
      </c>
      <c r="C41" s="25">
        <f t="shared" si="21"/>
        <v>49933</v>
      </c>
      <c r="D41" s="36">
        <f t="shared" ca="1" si="23"/>
        <v>586.96870589828211</v>
      </c>
      <c r="E41" s="44" cm="1">
        <f t="array" ref="E41">_xll.qwCurveForwardCPI($D$15,"UKRPI",C41)</f>
        <v>419.1</v>
      </c>
      <c r="G41" s="20"/>
      <c r="I41" s="26">
        <f t="shared" ca="1" si="14"/>
        <v>0</v>
      </c>
      <c r="J41" s="26"/>
      <c r="K41" s="5">
        <v>45808</v>
      </c>
      <c r="L41" s="4">
        <v>321.46499999999997</v>
      </c>
      <c r="M41" s="4"/>
      <c r="N41" s="3">
        <f t="shared" si="15"/>
        <v>2100</v>
      </c>
      <c r="O41" s="2">
        <f t="shared" ca="1" si="12"/>
        <v>48376</v>
      </c>
      <c r="P41" t="e" cm="1">
        <f t="array" aca="1" ref="P41" ca="1">_xll.qwDataInterp(N41,$A$20:$A$44,$D$20:$D$44,4)</f>
        <v>#NUM!</v>
      </c>
      <c r="Q41" s="3" t="e">
        <f t="shared" ca="1" si="9"/>
        <v>#NUM!</v>
      </c>
      <c r="R41" t="e">
        <f t="shared" ca="1" si="18"/>
        <v>#NUM!</v>
      </c>
    </row>
    <row r="42" spans="1:18" x14ac:dyDescent="0.25">
      <c r="A42" s="10">
        <f t="shared" ca="1" si="7"/>
        <v>5483</v>
      </c>
      <c r="B42" s="25">
        <f t="shared" si="22"/>
        <v>51667</v>
      </c>
      <c r="C42" s="25">
        <f t="shared" si="21"/>
        <v>51759</v>
      </c>
      <c r="D42" s="36">
        <f t="shared" ca="1" si="23"/>
        <v>689.84600186623481</v>
      </c>
      <c r="E42" s="44" cm="1">
        <f t="array" ref="E42">_xll.qwCurveForwardCPI($D$15,"UKRPI",C42)</f>
        <v>419.1</v>
      </c>
      <c r="G42" s="20"/>
      <c r="I42" s="26">
        <f t="shared" ca="1" si="14"/>
        <v>0</v>
      </c>
      <c r="J42" s="26"/>
      <c r="K42" s="5">
        <v>45777</v>
      </c>
      <c r="L42" s="4">
        <v>320.79500000000002</v>
      </c>
      <c r="M42" s="4"/>
      <c r="N42" s="3">
        <f t="shared" si="15"/>
        <v>2200</v>
      </c>
      <c r="O42" s="2">
        <f t="shared" ca="1" si="12"/>
        <v>48476</v>
      </c>
      <c r="P42" t="e" cm="1">
        <f t="array" aca="1" ref="P42" ca="1">_xll.qwDataInterp(N42,$A$20:$A$44,$D$20:$D$44,4)</f>
        <v>#NUM!</v>
      </c>
      <c r="Q42" s="3" t="e">
        <f t="shared" ca="1" si="9"/>
        <v>#NUM!</v>
      </c>
      <c r="R42" t="e">
        <f t="shared" ca="1" si="18"/>
        <v>#NUM!</v>
      </c>
    </row>
    <row r="43" spans="1:18" x14ac:dyDescent="0.25">
      <c r="A43" s="10">
        <f t="shared" ca="1" si="7"/>
        <v>7309</v>
      </c>
      <c r="B43" s="25">
        <f t="shared" si="22"/>
        <v>53493</v>
      </c>
      <c r="C43" s="25">
        <f t="shared" si="21"/>
        <v>53585</v>
      </c>
      <c r="D43" s="36">
        <f t="shared" ca="1" si="23"/>
        <v>812.04063022673495</v>
      </c>
      <c r="E43" s="44" cm="1">
        <f t="array" ref="E43">_xll.qwCurveForwardCPI($D$15,"UKRPI",C43)</f>
        <v>419.1</v>
      </c>
      <c r="G43" s="20"/>
      <c r="I43" s="26">
        <f t="shared" ca="1" si="14"/>
        <v>0</v>
      </c>
      <c r="J43" s="26"/>
      <c r="K43" s="5">
        <v>45747</v>
      </c>
      <c r="L43" s="4">
        <v>319.79899999999998</v>
      </c>
      <c r="M43" s="4"/>
      <c r="N43" s="3">
        <f t="shared" si="15"/>
        <v>2300</v>
      </c>
      <c r="O43" s="2">
        <f t="shared" ca="1" si="12"/>
        <v>48576</v>
      </c>
      <c r="P43" t="e" cm="1">
        <f t="array" aca="1" ref="P43" ca="1">_xll.qwDataInterp(N43,$A$20:$A$44,$D$20:$D$44,4)</f>
        <v>#NUM!</v>
      </c>
      <c r="Q43" s="3" t="e">
        <f t="shared" ca="1" si="9"/>
        <v>#NUM!</v>
      </c>
      <c r="R43" t="e">
        <f t="shared" ca="1" si="18"/>
        <v>#NUM!</v>
      </c>
    </row>
    <row r="44" spans="1:18" x14ac:dyDescent="0.25">
      <c r="A44" s="10">
        <f t="shared" ca="1" si="7"/>
        <v>9135</v>
      </c>
      <c r="B44" s="25">
        <f t="shared" si="22"/>
        <v>55319</v>
      </c>
      <c r="C44" s="25">
        <f t="shared" si="21"/>
        <v>55411</v>
      </c>
      <c r="D44" s="36">
        <f t="shared" ca="1" si="23"/>
        <v>955.05230622438773</v>
      </c>
      <c r="E44" s="44" cm="1">
        <f t="array" ref="E44">_xll.qwCurveForwardCPI($D$15,"UKRPI",C44)</f>
        <v>419.1</v>
      </c>
      <c r="G44" s="20"/>
      <c r="I44" s="26">
        <f t="shared" ca="1" si="14"/>
        <v>0</v>
      </c>
      <c r="J44" s="26"/>
      <c r="K44" s="5">
        <v>45716</v>
      </c>
      <c r="L44" s="4">
        <v>319.08199999999999</v>
      </c>
      <c r="M44" s="4"/>
      <c r="N44" s="3">
        <f t="shared" si="15"/>
        <v>2400</v>
      </c>
      <c r="O44" s="2">
        <f t="shared" ca="1" si="12"/>
        <v>48676</v>
      </c>
      <c r="P44" t="e" cm="1">
        <f t="array" aca="1" ref="P44" ca="1">_xll.qwDataInterp(N44,$A$20:$A$44,$D$20:$D$44,4)</f>
        <v>#NUM!</v>
      </c>
      <c r="Q44" s="3" t="e">
        <f t="shared" ca="1" si="9"/>
        <v>#NUM!</v>
      </c>
      <c r="R44" t="e">
        <f t="shared" ca="1" si="18"/>
        <v>#NUM!</v>
      </c>
    </row>
    <row r="45" spans="1:18" x14ac:dyDescent="0.25">
      <c r="E45" s="4"/>
      <c r="G45" s="20"/>
      <c r="I45" s="26">
        <f t="shared" ca="1" si="14"/>
        <v>0</v>
      </c>
      <c r="J45" s="26"/>
      <c r="K45" s="5">
        <v>45688</v>
      </c>
      <c r="L45" s="4">
        <v>317.67099999999999</v>
      </c>
      <c r="M45" s="4"/>
      <c r="N45" s="3">
        <f t="shared" si="15"/>
        <v>2500</v>
      </c>
      <c r="O45" s="2">
        <f t="shared" ca="1" si="12"/>
        <v>48776</v>
      </c>
      <c r="P45" t="e" cm="1">
        <f t="array" aca="1" ref="P45" ca="1">_xll.qwDataInterp(N45,$A$20:$A$44,$D$20:$D$44,4)</f>
        <v>#NUM!</v>
      </c>
      <c r="Q45" s="3" t="e">
        <f t="shared" ca="1" si="9"/>
        <v>#NUM!</v>
      </c>
      <c r="R45" t="e">
        <f t="shared" ca="1" si="18"/>
        <v>#NUM!</v>
      </c>
    </row>
    <row r="46" spans="1:18" x14ac:dyDescent="0.25">
      <c r="E46" s="4"/>
      <c r="G46" s="21"/>
      <c r="H46" s="22"/>
      <c r="I46" s="26">
        <f t="shared" ca="1" si="14"/>
        <v>0</v>
      </c>
      <c r="J46" s="26"/>
      <c r="K46" s="5">
        <v>45657</v>
      </c>
      <c r="L46" s="4">
        <v>315.60500000000002</v>
      </c>
      <c r="M46" s="4"/>
      <c r="N46" s="3">
        <f t="shared" si="15"/>
        <v>2600</v>
      </c>
      <c r="O46" s="2">
        <f t="shared" ca="1" si="12"/>
        <v>48876</v>
      </c>
      <c r="P46" t="e" cm="1">
        <f t="array" aca="1" ref="P46" ca="1">_xll.qwDataInterp(N46,$A$20:$A$44,$D$20:$D$44,4)</f>
        <v>#NUM!</v>
      </c>
      <c r="Q46" s="3" t="e">
        <f t="shared" ca="1" si="9"/>
        <v>#NUM!</v>
      </c>
      <c r="R46" t="e">
        <f t="shared" ca="1" si="18"/>
        <v>#NUM!</v>
      </c>
    </row>
    <row r="47" spans="1:18" x14ac:dyDescent="0.25">
      <c r="E47" s="4"/>
      <c r="G47" s="21"/>
      <c r="H47" s="29"/>
      <c r="I47" s="26">
        <f t="shared" ca="1" si="14"/>
        <v>0</v>
      </c>
      <c r="J47" s="26"/>
      <c r="K47" s="5">
        <v>45626</v>
      </c>
      <c r="L47" s="4">
        <v>315.49299999999999</v>
      </c>
      <c r="M47" s="4"/>
      <c r="N47" s="3">
        <f t="shared" si="15"/>
        <v>2700</v>
      </c>
      <c r="O47" s="2">
        <f t="shared" ca="1" si="12"/>
        <v>48976</v>
      </c>
      <c r="P47" t="e" cm="1">
        <f t="array" aca="1" ref="P47" ca="1">_xll.qwDataInterp(N47,$A$20:$A$44,$D$20:$D$44,4)</f>
        <v>#NUM!</v>
      </c>
      <c r="Q47" s="3" t="e">
        <f t="shared" ca="1" si="9"/>
        <v>#NUM!</v>
      </c>
      <c r="R47" t="e">
        <f t="shared" ca="1" si="18"/>
        <v>#NUM!</v>
      </c>
    </row>
    <row r="48" spans="1:18" x14ac:dyDescent="0.25">
      <c r="G48" s="20"/>
      <c r="I48" s="26">
        <f t="shared" ca="1" si="14"/>
        <v>0</v>
      </c>
      <c r="J48" s="26"/>
      <c r="K48" s="5">
        <v>45596</v>
      </c>
      <c r="L48" s="4">
        <v>315.66399999999999</v>
      </c>
      <c r="M48" s="4"/>
      <c r="N48" s="3">
        <f t="shared" si="15"/>
        <v>2800</v>
      </c>
      <c r="O48" s="2">
        <f t="shared" ca="1" si="12"/>
        <v>49076</v>
      </c>
      <c r="P48" t="e" cm="1">
        <f t="array" aca="1" ref="P48" ca="1">_xll.qwDataInterp(N48,$A$20:$A$44,$D$20:$D$44,4)</f>
        <v>#NUM!</v>
      </c>
      <c r="Q48" s="3" t="e">
        <f t="shared" ca="1" si="9"/>
        <v>#NUM!</v>
      </c>
      <c r="R48" t="e">
        <f t="shared" ca="1" si="18"/>
        <v>#NUM!</v>
      </c>
    </row>
    <row r="49" spans="3:18" x14ac:dyDescent="0.25">
      <c r="C49" s="2"/>
      <c r="G49" s="20"/>
      <c r="I49" s="26">
        <f t="shared" ca="1" si="14"/>
        <v>0</v>
      </c>
      <c r="J49" s="26"/>
      <c r="K49" s="5">
        <v>45565</v>
      </c>
      <c r="L49" s="4">
        <v>315.30099999999999</v>
      </c>
      <c r="M49" s="4"/>
      <c r="N49" s="3">
        <f t="shared" si="15"/>
        <v>2900</v>
      </c>
      <c r="O49" s="2">
        <f t="shared" ca="1" si="12"/>
        <v>49176</v>
      </c>
      <c r="P49" t="e" cm="1">
        <f t="array" aca="1" ref="P49" ca="1">_xll.qwDataInterp(N49,$A$20:$A$44,$D$20:$D$44,4)</f>
        <v>#NUM!</v>
      </c>
      <c r="Q49" s="3" t="e">
        <f t="shared" ca="1" si="9"/>
        <v>#NUM!</v>
      </c>
      <c r="R49" t="e">
        <f t="shared" ca="1" si="18"/>
        <v>#NUM!</v>
      </c>
    </row>
    <row r="50" spans="3:18" x14ac:dyDescent="0.25">
      <c r="C50" s="2"/>
      <c r="G50" s="20"/>
      <c r="I50" s="26">
        <f t="shared" ca="1" si="14"/>
        <v>0</v>
      </c>
      <c r="J50" s="26"/>
      <c r="K50" s="5">
        <v>45535</v>
      </c>
      <c r="L50" s="4">
        <v>314.79599999999999</v>
      </c>
      <c r="M50" s="4"/>
      <c r="N50" s="3">
        <f t="shared" si="15"/>
        <v>3000</v>
      </c>
      <c r="O50" s="2">
        <f t="shared" ca="1" si="12"/>
        <v>49276</v>
      </c>
      <c r="P50" t="e" cm="1">
        <f t="array" aca="1" ref="P50" ca="1">_xll.qwDataInterp(N50,$A$20:$A$44,$D$20:$D$44,4)</f>
        <v>#NUM!</v>
      </c>
      <c r="Q50" s="3" t="e">
        <f t="shared" ca="1" si="9"/>
        <v>#NUM!</v>
      </c>
      <c r="R50" t="e">
        <f t="shared" ca="1" si="18"/>
        <v>#NUM!</v>
      </c>
    </row>
    <row r="51" spans="3:18" x14ac:dyDescent="0.25">
      <c r="C51" s="2"/>
      <c r="G51" s="20"/>
      <c r="I51" s="26">
        <f t="shared" ca="1" si="14"/>
        <v>0</v>
      </c>
      <c r="J51" s="26"/>
      <c r="K51" s="5">
        <v>45504</v>
      </c>
      <c r="L51" s="4">
        <v>314.54000000000002</v>
      </c>
      <c r="M51" s="4"/>
      <c r="N51" s="3">
        <f t="shared" si="15"/>
        <v>3100</v>
      </c>
      <c r="O51" s="2">
        <f t="shared" ca="1" si="12"/>
        <v>49376</v>
      </c>
      <c r="P51" t="e" cm="1">
        <f t="array" aca="1" ref="P51" ca="1">_xll.qwDataInterp(N51,$A$20:$A$44,$D$20:$D$44,4)</f>
        <v>#NUM!</v>
      </c>
      <c r="Q51" s="3" t="e">
        <f t="shared" ca="1" si="9"/>
        <v>#NUM!</v>
      </c>
      <c r="R51" t="e">
        <f t="shared" ca="1" si="18"/>
        <v>#NUM!</v>
      </c>
    </row>
    <row r="52" spans="3:18" x14ac:dyDescent="0.25">
      <c r="C52" s="2"/>
      <c r="G52" s="20"/>
      <c r="I52" s="26">
        <f t="shared" ca="1" si="14"/>
        <v>0</v>
      </c>
      <c r="J52" s="26"/>
      <c r="K52" s="5">
        <v>45473</v>
      </c>
      <c r="L52" s="4">
        <v>314.17500000000001</v>
      </c>
      <c r="M52" s="4"/>
      <c r="N52" s="3">
        <f t="shared" si="15"/>
        <v>3200</v>
      </c>
      <c r="O52" s="2">
        <f t="shared" ca="1" si="12"/>
        <v>49476</v>
      </c>
      <c r="P52" t="e" cm="1">
        <f t="array" aca="1" ref="P52" ca="1">_xll.qwDataInterp(N52,$A$20:$A$44,$D$20:$D$44,4)</f>
        <v>#NUM!</v>
      </c>
      <c r="Q52" s="3" t="e">
        <f t="shared" ca="1" si="9"/>
        <v>#NUM!</v>
      </c>
      <c r="R52" t="e">
        <f t="shared" ca="1" si="18"/>
        <v>#NUM!</v>
      </c>
    </row>
    <row r="53" spans="3:18" x14ac:dyDescent="0.25">
      <c r="C53" s="2"/>
      <c r="G53" s="20"/>
      <c r="I53" s="26">
        <f t="shared" ca="1" si="14"/>
        <v>0</v>
      </c>
      <c r="J53" s="26"/>
      <c r="K53" s="5">
        <v>45443</v>
      </c>
      <c r="L53" s="4">
        <v>314.06900000000002</v>
      </c>
      <c r="M53" s="4"/>
      <c r="N53" s="3">
        <f t="shared" si="15"/>
        <v>3300</v>
      </c>
      <c r="O53" s="2">
        <f t="shared" ca="1" si="12"/>
        <v>49576</v>
      </c>
      <c r="P53" t="e" cm="1">
        <f t="array" aca="1" ref="P53" ca="1">_xll.qwDataInterp(N53,$A$20:$A$44,$D$20:$D$44,4)</f>
        <v>#NUM!</v>
      </c>
      <c r="Q53" s="3" t="e">
        <f t="shared" ca="1" si="9"/>
        <v>#NUM!</v>
      </c>
      <c r="R53" t="e">
        <f t="shared" ca="1" si="18"/>
        <v>#NUM!</v>
      </c>
    </row>
    <row r="54" spans="3:18" x14ac:dyDescent="0.25">
      <c r="C54" s="2"/>
      <c r="G54" s="20"/>
      <c r="I54" s="26">
        <f t="shared" ca="1" si="14"/>
        <v>0</v>
      </c>
      <c r="J54" s="26"/>
      <c r="K54" s="5">
        <v>45412</v>
      </c>
      <c r="L54" s="4">
        <v>313.548</v>
      </c>
      <c r="M54" s="4"/>
      <c r="N54" s="3">
        <f t="shared" si="15"/>
        <v>3400</v>
      </c>
      <c r="O54" s="2">
        <f t="shared" ca="1" si="12"/>
        <v>49676</v>
      </c>
      <c r="P54" t="e" cm="1">
        <f t="array" aca="1" ref="P54" ca="1">_xll.qwDataInterp(N54,$A$20:$A$44,$D$20:$D$44,4)</f>
        <v>#NUM!</v>
      </c>
      <c r="Q54" s="3" t="e">
        <f t="shared" ca="1" si="9"/>
        <v>#NUM!</v>
      </c>
      <c r="R54" t="e">
        <f t="shared" ca="1" si="18"/>
        <v>#NUM!</v>
      </c>
    </row>
    <row r="55" spans="3:18" x14ac:dyDescent="0.25">
      <c r="C55" s="2"/>
      <c r="G55" s="20"/>
      <c r="I55" s="26">
        <f t="shared" ca="1" si="14"/>
        <v>0</v>
      </c>
      <c r="J55" s="26"/>
      <c r="K55" s="5">
        <v>45382</v>
      </c>
      <c r="L55" s="4">
        <v>312.33199999999999</v>
      </c>
      <c r="M55" s="4"/>
      <c r="N55" s="3">
        <f t="shared" si="15"/>
        <v>3500</v>
      </c>
      <c r="O55" s="2">
        <f t="shared" ca="1" si="12"/>
        <v>49776</v>
      </c>
      <c r="P55" t="e" cm="1">
        <f t="array" aca="1" ref="P55" ca="1">_xll.qwDataInterp(N55,$A$20:$A$44,$D$20:$D$44,4)</f>
        <v>#NUM!</v>
      </c>
      <c r="Q55" s="3" t="e">
        <f t="shared" ca="1" si="9"/>
        <v>#NUM!</v>
      </c>
      <c r="R55" t="e">
        <f t="shared" ca="1" si="18"/>
        <v>#NUM!</v>
      </c>
    </row>
    <row r="56" spans="3:18" x14ac:dyDescent="0.25">
      <c r="C56" s="2"/>
      <c r="G56" s="20"/>
      <c r="H56" s="27"/>
      <c r="I56" s="26">
        <f t="shared" ca="1" si="14"/>
        <v>0</v>
      </c>
      <c r="J56" s="26"/>
      <c r="K56" s="5">
        <v>45351</v>
      </c>
      <c r="L56" s="4">
        <v>310.32600000000002</v>
      </c>
      <c r="M56" s="4"/>
      <c r="N56" s="3">
        <f t="shared" si="15"/>
        <v>3600</v>
      </c>
      <c r="O56" s="2">
        <f t="shared" ca="1" si="12"/>
        <v>49876</v>
      </c>
      <c r="P56" t="e" cm="1">
        <f t="array" aca="1" ref="P56" ca="1">_xll.qwDataInterp(N56,$A$20:$A$44,$D$20:$D$44,4)</f>
        <v>#NUM!</v>
      </c>
      <c r="Q56" s="3" t="e">
        <f t="shared" ca="1" si="9"/>
        <v>#NUM!</v>
      </c>
      <c r="R56" t="e">
        <f t="shared" ca="1" si="18"/>
        <v>#NUM!</v>
      </c>
    </row>
    <row r="57" spans="3:18" x14ac:dyDescent="0.25">
      <c r="C57" s="2"/>
      <c r="G57" s="20"/>
      <c r="I57" s="26">
        <f t="shared" ca="1" si="14"/>
        <v>0</v>
      </c>
      <c r="J57" s="26"/>
      <c r="K57" s="5">
        <v>45322</v>
      </c>
      <c r="L57" s="4">
        <v>308.41699999999997</v>
      </c>
      <c r="M57" s="4"/>
      <c r="N57" s="3">
        <f t="shared" si="15"/>
        <v>3700</v>
      </c>
      <c r="O57" s="2">
        <f t="shared" ca="1" si="12"/>
        <v>49976</v>
      </c>
      <c r="P57" t="e" cm="1">
        <f t="array" aca="1" ref="P57" ca="1">_xll.qwDataInterp(N57,$A$20:$A$44,$D$20:$D$44,4)</f>
        <v>#NUM!</v>
      </c>
      <c r="Q57" s="3" t="e">
        <f t="shared" ca="1" si="9"/>
        <v>#NUM!</v>
      </c>
      <c r="R57" t="e">
        <f t="shared" ca="1" si="18"/>
        <v>#NUM!</v>
      </c>
    </row>
    <row r="58" spans="3:18" x14ac:dyDescent="0.25">
      <c r="C58" s="2"/>
      <c r="G58" s="20"/>
      <c r="I58" s="26">
        <f t="shared" ca="1" si="14"/>
        <v>0</v>
      </c>
      <c r="J58" s="26"/>
      <c r="K58" s="5"/>
      <c r="L58" s="4"/>
      <c r="M58" s="4"/>
      <c r="N58" s="3">
        <f t="shared" si="15"/>
        <v>3800</v>
      </c>
      <c r="O58" s="2">
        <f t="shared" ca="1" si="12"/>
        <v>50076</v>
      </c>
      <c r="P58" t="e" cm="1">
        <f t="array" aca="1" ref="P58" ca="1">_xll.qwDataInterp(N58,$A$20:$A$44,$D$20:$D$44,4)</f>
        <v>#NUM!</v>
      </c>
      <c r="Q58" s="3" t="e">
        <f t="shared" ca="1" si="9"/>
        <v>#NUM!</v>
      </c>
      <c r="R58" t="e">
        <f t="shared" ca="1" si="18"/>
        <v>#NUM!</v>
      </c>
    </row>
    <row r="59" spans="3:18" x14ac:dyDescent="0.25">
      <c r="C59" s="2"/>
      <c r="G59" s="20"/>
      <c r="I59" s="26">
        <f t="shared" ca="1" si="14"/>
        <v>0</v>
      </c>
      <c r="J59" s="26"/>
      <c r="M59" s="4"/>
      <c r="N59" s="3">
        <f t="shared" si="15"/>
        <v>3900</v>
      </c>
      <c r="O59" s="2">
        <f t="shared" ca="1" si="12"/>
        <v>50176</v>
      </c>
      <c r="P59" t="e" cm="1">
        <f t="array" aca="1" ref="P59" ca="1">_xll.qwDataInterp(N59,$A$20:$A$44,$D$20:$D$44,4)</f>
        <v>#NUM!</v>
      </c>
      <c r="Q59" s="3" t="e">
        <f t="shared" ca="1" si="9"/>
        <v>#NUM!</v>
      </c>
      <c r="R59" t="e">
        <f t="shared" ca="1" si="18"/>
        <v>#NUM!</v>
      </c>
    </row>
    <row r="60" spans="3:18" x14ac:dyDescent="0.25">
      <c r="C60" s="2"/>
      <c r="G60" s="20"/>
      <c r="I60" s="26">
        <f t="shared" ca="1" si="14"/>
        <v>0</v>
      </c>
      <c r="J60" s="26"/>
      <c r="K60" s="5"/>
      <c r="L60" s="4"/>
      <c r="M60" s="4"/>
      <c r="N60" s="3">
        <f t="shared" si="15"/>
        <v>4000</v>
      </c>
      <c r="O60" s="2">
        <f t="shared" ca="1" si="12"/>
        <v>50276</v>
      </c>
      <c r="P60" t="e" cm="1">
        <f t="array" aca="1" ref="P60" ca="1">_xll.qwDataInterp(N60,$A$20:$A$44,$D$20:$D$44,4)</f>
        <v>#NUM!</v>
      </c>
      <c r="Q60" s="3" t="e">
        <f t="shared" ca="1" si="9"/>
        <v>#NUM!</v>
      </c>
      <c r="R60" t="e">
        <f t="shared" ca="1" si="18"/>
        <v>#NUM!</v>
      </c>
    </row>
    <row r="61" spans="3:18" x14ac:dyDescent="0.25">
      <c r="C61" s="2"/>
      <c r="G61" s="20"/>
      <c r="I61" s="26">
        <f t="shared" ca="1" si="14"/>
        <v>0</v>
      </c>
      <c r="J61" s="26"/>
      <c r="K61" s="5"/>
      <c r="L61" s="4"/>
      <c r="M61" s="4"/>
      <c r="N61" s="3">
        <f t="shared" si="15"/>
        <v>4100</v>
      </c>
      <c r="O61" s="2">
        <f t="shared" ca="1" si="12"/>
        <v>50376</v>
      </c>
      <c r="P61" t="e" cm="1">
        <f t="array" aca="1" ref="P61" ca="1">_xll.qwDataInterp(N61,$A$20:$A$44,$D$20:$D$44,4)</f>
        <v>#NUM!</v>
      </c>
      <c r="Q61" s="3" t="e">
        <f t="shared" ca="1" si="9"/>
        <v>#NUM!</v>
      </c>
      <c r="R61" t="e">
        <f t="shared" ca="1" si="18"/>
        <v>#NUM!</v>
      </c>
    </row>
    <row r="62" spans="3:18" x14ac:dyDescent="0.25">
      <c r="C62" s="2"/>
      <c r="G62" s="20"/>
      <c r="I62" s="26">
        <f t="shared" ca="1" si="14"/>
        <v>0</v>
      </c>
      <c r="J62" s="26"/>
      <c r="K62" s="5"/>
      <c r="L62" s="4"/>
      <c r="M62" s="4"/>
      <c r="N62" s="3">
        <f t="shared" si="15"/>
        <v>4200</v>
      </c>
      <c r="O62" s="2">
        <f t="shared" ca="1" si="12"/>
        <v>50476</v>
      </c>
      <c r="P62" t="e" cm="1">
        <f t="array" aca="1" ref="P62" ca="1">_xll.qwDataInterp(N62,$A$20:$A$44,$D$20:$D$44,4)</f>
        <v>#NUM!</v>
      </c>
      <c r="Q62" s="3" t="e">
        <f t="shared" ca="1" si="9"/>
        <v>#NUM!</v>
      </c>
      <c r="R62" t="e">
        <f t="shared" ca="1" si="18"/>
        <v>#NUM!</v>
      </c>
    </row>
    <row r="63" spans="3:18" x14ac:dyDescent="0.25">
      <c r="C63" s="2"/>
      <c r="G63" s="20"/>
      <c r="I63" s="26">
        <f t="shared" ca="1" si="14"/>
        <v>0</v>
      </c>
      <c r="J63" s="26"/>
      <c r="K63" s="5">
        <v>45991</v>
      </c>
      <c r="L63" s="4">
        <v>324.12200000000001</v>
      </c>
      <c r="M63" s="4"/>
      <c r="N63" s="3">
        <f t="shared" si="15"/>
        <v>4300</v>
      </c>
      <c r="O63" s="2">
        <f t="shared" ca="1" si="12"/>
        <v>50576</v>
      </c>
      <c r="P63" t="e" cm="1">
        <f t="array" aca="1" ref="P63" ca="1">_xll.qwDataInterp(N63,$A$20:$A$44,$D$20:$D$44,4)</f>
        <v>#NUM!</v>
      </c>
      <c r="Q63" s="3" t="e">
        <f t="shared" ca="1" si="9"/>
        <v>#NUM!</v>
      </c>
      <c r="R63" t="e">
        <f t="shared" ca="1" si="18"/>
        <v>#NUM!</v>
      </c>
    </row>
    <row r="64" spans="3:18" x14ac:dyDescent="0.25">
      <c r="C64" s="2"/>
      <c r="G64" s="20"/>
      <c r="I64" s="26">
        <f t="shared" ca="1" si="14"/>
        <v>0</v>
      </c>
      <c r="J64" s="26"/>
      <c r="K64" s="5">
        <v>45930</v>
      </c>
      <c r="L64" s="4">
        <v>324.8</v>
      </c>
      <c r="M64" s="4"/>
      <c r="N64" s="3">
        <f t="shared" si="15"/>
        <v>4400</v>
      </c>
      <c r="O64" s="2">
        <f t="shared" ca="1" si="12"/>
        <v>50676</v>
      </c>
      <c r="P64" t="e" cm="1">
        <f t="array" aca="1" ref="P64" ca="1">_xll.qwDataInterp(N64,$A$20:$A$44,$D$20:$D$44,4)</f>
        <v>#NUM!</v>
      </c>
      <c r="Q64" s="3" t="e">
        <f t="shared" ca="1" si="9"/>
        <v>#NUM!</v>
      </c>
      <c r="R64" t="e">
        <f t="shared" ca="1" si="18"/>
        <v>#NUM!</v>
      </c>
    </row>
    <row r="65" spans="3:18" x14ac:dyDescent="0.25">
      <c r="C65" s="2"/>
      <c r="G65" s="20"/>
      <c r="I65" s="26">
        <f t="shared" ca="1" si="14"/>
        <v>0</v>
      </c>
      <c r="J65" s="26"/>
      <c r="K65" s="3"/>
      <c r="L65" s="4"/>
      <c r="M65" s="4"/>
      <c r="N65" s="3">
        <f t="shared" si="15"/>
        <v>4500</v>
      </c>
      <c r="O65" s="2">
        <f t="shared" ca="1" si="12"/>
        <v>50776</v>
      </c>
      <c r="P65" t="e" cm="1">
        <f t="array" aca="1" ref="P65" ca="1">_xll.qwDataInterp(N65,$A$20:$A$44,$D$20:$D$44,4)</f>
        <v>#NUM!</v>
      </c>
      <c r="Q65" s="3" t="e">
        <f t="shared" ca="1" si="9"/>
        <v>#NUM!</v>
      </c>
      <c r="R65" t="e">
        <f t="shared" ca="1" si="18"/>
        <v>#NUM!</v>
      </c>
    </row>
    <row r="66" spans="3:18" x14ac:dyDescent="0.25">
      <c r="C66" s="2"/>
      <c r="G66" s="21"/>
      <c r="H66" s="22"/>
      <c r="I66" s="26">
        <f t="shared" ca="1" si="14"/>
        <v>0</v>
      </c>
      <c r="J66" s="26"/>
      <c r="K66" s="3"/>
      <c r="L66" s="4"/>
      <c r="M66" s="4"/>
      <c r="N66" s="3">
        <f t="shared" si="15"/>
        <v>4600</v>
      </c>
      <c r="O66" s="2">
        <f t="shared" ca="1" si="12"/>
        <v>50876</v>
      </c>
      <c r="P66" t="e" cm="1">
        <f t="array" aca="1" ref="P66" ca="1">_xll.qwDataInterp(N66,$A$20:$A$44,$D$20:$D$44,4)</f>
        <v>#NUM!</v>
      </c>
      <c r="Q66" s="3" t="e">
        <f t="shared" ca="1" si="9"/>
        <v>#NUM!</v>
      </c>
      <c r="R66" t="e">
        <f t="shared" ca="1" si="18"/>
        <v>#NUM!</v>
      </c>
    </row>
    <row r="67" spans="3:18" x14ac:dyDescent="0.25">
      <c r="C67" s="2"/>
      <c r="G67" s="21"/>
      <c r="H67" s="22"/>
      <c r="I67" s="26">
        <f t="shared" ca="1" si="14"/>
        <v>0</v>
      </c>
      <c r="J67" s="26"/>
      <c r="K67" s="3"/>
      <c r="L67" s="4"/>
      <c r="M67" s="4"/>
      <c r="N67" s="3">
        <f t="shared" si="15"/>
        <v>4700</v>
      </c>
      <c r="O67" s="2">
        <f t="shared" ca="1" si="12"/>
        <v>50976</v>
      </c>
      <c r="P67" t="e" cm="1">
        <f t="array" aca="1" ref="P67" ca="1">_xll.qwDataInterp(N67,$A$20:$A$44,$D$20:$D$44,4)</f>
        <v>#NUM!</v>
      </c>
      <c r="Q67" s="3" t="e">
        <f t="shared" ca="1" si="9"/>
        <v>#NUM!</v>
      </c>
      <c r="R67" t="e">
        <f t="shared" ca="1" si="18"/>
        <v>#NUM!</v>
      </c>
    </row>
    <row r="68" spans="3:18" x14ac:dyDescent="0.25">
      <c r="C68" s="2"/>
      <c r="G68" s="20"/>
      <c r="I68" s="26">
        <f t="shared" ca="1" si="14"/>
        <v>0</v>
      </c>
      <c r="J68" s="26"/>
      <c r="K68" s="3"/>
      <c r="L68" s="4"/>
      <c r="M68" s="4"/>
      <c r="N68" s="3">
        <f t="shared" si="15"/>
        <v>4800</v>
      </c>
      <c r="O68" s="2">
        <f t="shared" ca="1" si="12"/>
        <v>51076</v>
      </c>
      <c r="P68" t="e" cm="1">
        <f t="array" aca="1" ref="P68" ca="1">_xll.qwDataInterp(N68,$A$20:$A$44,$D$20:$D$44,4)</f>
        <v>#NUM!</v>
      </c>
      <c r="Q68" s="3" t="e">
        <f t="shared" ca="1" si="9"/>
        <v>#NUM!</v>
      </c>
      <c r="R68" t="e">
        <f t="shared" ca="1" si="18"/>
        <v>#NUM!</v>
      </c>
    </row>
    <row r="69" spans="3:18" x14ac:dyDescent="0.25">
      <c r="C69" s="2"/>
      <c r="G69" s="20"/>
      <c r="I69" s="26">
        <f t="shared" ca="1" si="14"/>
        <v>0</v>
      </c>
      <c r="J69" s="26"/>
      <c r="K69" s="3"/>
      <c r="L69" s="4"/>
      <c r="M69" s="4"/>
      <c r="N69" s="3">
        <f t="shared" si="15"/>
        <v>4900</v>
      </c>
      <c r="O69" s="2">
        <f t="shared" ca="1" si="12"/>
        <v>51176</v>
      </c>
      <c r="P69" t="e" cm="1">
        <f t="array" aca="1" ref="P69" ca="1">_xll.qwDataInterp(N69,$A$20:$A$44,$D$20:$D$44,4)</f>
        <v>#NUM!</v>
      </c>
      <c r="Q69" s="3" t="e">
        <f t="shared" ca="1" si="9"/>
        <v>#NUM!</v>
      </c>
      <c r="R69" t="e">
        <f t="shared" ca="1" si="18"/>
        <v>#NUM!</v>
      </c>
    </row>
    <row r="70" spans="3:18" x14ac:dyDescent="0.25">
      <c r="C70" s="2"/>
      <c r="G70" s="20"/>
      <c r="I70" s="26">
        <f t="shared" ca="1" si="14"/>
        <v>0</v>
      </c>
      <c r="J70" s="26"/>
      <c r="K70" s="3"/>
      <c r="L70" s="4"/>
      <c r="M70" s="4"/>
      <c r="N70" s="3">
        <f t="shared" si="15"/>
        <v>5000</v>
      </c>
      <c r="O70" s="2">
        <f t="shared" ca="1" si="12"/>
        <v>51276</v>
      </c>
      <c r="P70" t="e" cm="1">
        <f t="array" aca="1" ref="P70" ca="1">_xll.qwDataInterp(N70,$A$20:$A$44,$D$20:$D$44,4)</f>
        <v>#NUM!</v>
      </c>
      <c r="Q70" s="3" t="e">
        <f t="shared" ca="1" si="9"/>
        <v>#NUM!</v>
      </c>
      <c r="R70" t="e">
        <f t="shared" ca="1" si="18"/>
        <v>#NUM!</v>
      </c>
    </row>
    <row r="71" spans="3:18" x14ac:dyDescent="0.25">
      <c r="C71" s="2"/>
      <c r="F71" s="26"/>
      <c r="G71" s="20"/>
      <c r="I71" s="26">
        <f t="shared" ca="1" si="14"/>
        <v>0</v>
      </c>
      <c r="J71" s="26"/>
      <c r="K71" s="3"/>
      <c r="L71" s="4"/>
      <c r="M71" s="4"/>
      <c r="N71" s="3">
        <f t="shared" si="15"/>
        <v>5100</v>
      </c>
      <c r="O71" s="2">
        <f t="shared" ca="1" si="12"/>
        <v>51376</v>
      </c>
      <c r="P71" t="e" cm="1">
        <f t="array" aca="1" ref="P71" ca="1">_xll.qwDataInterp(N71,$A$20:$A$44,$D$20:$D$44,4)</f>
        <v>#NUM!</v>
      </c>
      <c r="Q71" s="3" t="e">
        <f t="shared" ca="1" si="9"/>
        <v>#NUM!</v>
      </c>
      <c r="R71" t="e">
        <f t="shared" ca="1" si="18"/>
        <v>#NUM!</v>
      </c>
    </row>
    <row r="72" spans="3:18" x14ac:dyDescent="0.25">
      <c r="C72" s="2"/>
      <c r="F72" s="26"/>
      <c r="G72" s="20"/>
      <c r="I72" s="26">
        <f t="shared" ca="1" si="14"/>
        <v>0</v>
      </c>
      <c r="J72" s="26"/>
      <c r="K72" s="3"/>
      <c r="L72" s="4"/>
      <c r="M72" s="4"/>
      <c r="N72" s="3">
        <f t="shared" si="15"/>
        <v>5200</v>
      </c>
      <c r="O72" s="2">
        <f t="shared" ca="1" si="12"/>
        <v>51476</v>
      </c>
      <c r="P72" t="e" cm="1">
        <f t="array" aca="1" ref="P72" ca="1">_xll.qwDataInterp(N72,$A$20:$A$44,$D$20:$D$44,4)</f>
        <v>#NUM!</v>
      </c>
      <c r="Q72" s="3" t="e">
        <f t="shared" ca="1" si="9"/>
        <v>#NUM!</v>
      </c>
      <c r="R72" t="e">
        <f t="shared" ca="1" si="18"/>
        <v>#NUM!</v>
      </c>
    </row>
    <row r="73" spans="3:18" x14ac:dyDescent="0.25">
      <c r="C73" s="2"/>
      <c r="F73" s="26"/>
      <c r="G73" s="20"/>
      <c r="H73" s="26"/>
      <c r="I73" s="26">
        <f t="shared" ca="1" si="14"/>
        <v>0</v>
      </c>
      <c r="J73" s="26"/>
      <c r="K73" s="3"/>
      <c r="L73" s="4"/>
      <c r="M73" s="4"/>
      <c r="N73" s="3">
        <f t="shared" si="15"/>
        <v>5300</v>
      </c>
      <c r="O73" s="2">
        <f t="shared" ca="1" si="12"/>
        <v>51576</v>
      </c>
      <c r="P73" t="e" cm="1">
        <f t="array" aca="1" ref="P73" ca="1">_xll.qwDataInterp(N73,$A$20:$A$44,$D$20:$D$44,4)</f>
        <v>#NUM!</v>
      </c>
      <c r="Q73" s="3" t="e">
        <f t="shared" ca="1" si="9"/>
        <v>#NUM!</v>
      </c>
      <c r="R73" t="e">
        <f t="shared" ca="1" si="18"/>
        <v>#NUM!</v>
      </c>
    </row>
    <row r="74" spans="3:18" x14ac:dyDescent="0.25">
      <c r="C74" s="2"/>
      <c r="F74" s="26"/>
      <c r="G74" s="20"/>
      <c r="I74" s="26">
        <f t="shared" ca="1" si="14"/>
        <v>0</v>
      </c>
      <c r="J74" s="26"/>
      <c r="K74" s="3"/>
      <c r="L74" s="4"/>
      <c r="M74" s="4"/>
      <c r="N74" s="3">
        <f t="shared" si="15"/>
        <v>5400</v>
      </c>
      <c r="O74" s="2">
        <f t="shared" ca="1" si="12"/>
        <v>51676</v>
      </c>
      <c r="P74" t="e" cm="1">
        <f t="array" aca="1" ref="P74" ca="1">_xll.qwDataInterp(N74,$A$20:$A$44,$D$20:$D$44,4)</f>
        <v>#NUM!</v>
      </c>
      <c r="Q74" s="3" t="e">
        <f t="shared" ca="1" si="9"/>
        <v>#NUM!</v>
      </c>
      <c r="R74" t="e">
        <f t="shared" ca="1" si="18"/>
        <v>#NUM!</v>
      </c>
    </row>
    <row r="75" spans="3:18" x14ac:dyDescent="0.25">
      <c r="C75" s="2"/>
      <c r="F75" s="26"/>
      <c r="G75" s="20"/>
      <c r="I75" s="26">
        <f t="shared" ca="1" si="14"/>
        <v>0</v>
      </c>
      <c r="J75" s="26"/>
      <c r="K75" s="3"/>
      <c r="L75" s="4"/>
      <c r="M75" s="4"/>
      <c r="N75" s="3">
        <f t="shared" si="15"/>
        <v>5500</v>
      </c>
      <c r="O75" s="2">
        <f t="shared" ca="1" si="12"/>
        <v>51776</v>
      </c>
      <c r="P75" t="e" cm="1">
        <f t="array" aca="1" ref="P75" ca="1">_xll.qwDataInterp(N75,$A$20:$A$44,$D$20:$D$44,4)</f>
        <v>#NUM!</v>
      </c>
      <c r="Q75" s="3" t="e">
        <f t="shared" ca="1" si="9"/>
        <v>#NUM!</v>
      </c>
      <c r="R75" t="e">
        <f t="shared" ca="1" si="18"/>
        <v>#NUM!</v>
      </c>
    </row>
    <row r="76" spans="3:18" x14ac:dyDescent="0.25">
      <c r="C76" s="2"/>
      <c r="F76" s="26"/>
      <c r="G76" s="20"/>
      <c r="I76" s="26">
        <f t="shared" ca="1" si="14"/>
        <v>0</v>
      </c>
      <c r="J76" s="26"/>
      <c r="K76" s="3"/>
      <c r="L76" s="4"/>
      <c r="M76" s="4"/>
      <c r="N76" s="3">
        <f t="shared" si="15"/>
        <v>5600</v>
      </c>
      <c r="O76" s="2">
        <f t="shared" ca="1" si="12"/>
        <v>51876</v>
      </c>
      <c r="P76" t="e" cm="1">
        <f t="array" aca="1" ref="P76" ca="1">_xll.qwDataInterp(N76,$A$20:$A$44,$D$20:$D$44,4)</f>
        <v>#NUM!</v>
      </c>
      <c r="Q76" s="3" t="e">
        <f t="shared" ca="1" si="9"/>
        <v>#NUM!</v>
      </c>
      <c r="R76" t="e">
        <f t="shared" ca="1" si="18"/>
        <v>#NUM!</v>
      </c>
    </row>
    <row r="77" spans="3:18" x14ac:dyDescent="0.25">
      <c r="C77" s="2"/>
      <c r="F77" s="26"/>
      <c r="G77" s="20"/>
      <c r="I77" s="26">
        <f t="shared" ca="1" si="14"/>
        <v>0</v>
      </c>
      <c r="J77" s="26"/>
      <c r="K77" s="3"/>
      <c r="L77" s="4"/>
      <c r="M77" s="4"/>
      <c r="N77" s="3">
        <f t="shared" si="15"/>
        <v>5700</v>
      </c>
      <c r="O77" s="2">
        <f t="shared" ca="1" si="12"/>
        <v>51976</v>
      </c>
      <c r="P77" t="e" cm="1">
        <f t="array" aca="1" ref="P77" ca="1">_xll.qwDataInterp(N77,$A$20:$A$44,$D$20:$D$44,4)</f>
        <v>#NUM!</v>
      </c>
      <c r="Q77" s="3" t="e">
        <f t="shared" ca="1" si="9"/>
        <v>#NUM!</v>
      </c>
      <c r="R77" t="e">
        <f t="shared" ca="1" si="18"/>
        <v>#NUM!</v>
      </c>
    </row>
    <row r="78" spans="3:18" x14ac:dyDescent="0.25">
      <c r="C78" s="2"/>
      <c r="F78" s="26"/>
      <c r="G78" s="20"/>
      <c r="H78" s="26"/>
      <c r="I78" s="26">
        <f t="shared" ca="1" si="14"/>
        <v>0</v>
      </c>
      <c r="J78" s="26"/>
      <c r="K78" s="3"/>
      <c r="L78" s="4"/>
      <c r="M78" s="4"/>
      <c r="N78" s="3">
        <f t="shared" si="15"/>
        <v>5800</v>
      </c>
      <c r="O78" s="2">
        <f t="shared" ca="1" si="12"/>
        <v>52076</v>
      </c>
      <c r="P78" t="e" cm="1">
        <f t="array" aca="1" ref="P78" ca="1">_xll.qwDataInterp(N78,$A$20:$A$44,$D$20:$D$44,4)</f>
        <v>#NUM!</v>
      </c>
      <c r="Q78" s="3" t="e">
        <f t="shared" ca="1" si="9"/>
        <v>#NUM!</v>
      </c>
      <c r="R78" t="e">
        <f t="shared" ca="1" si="18"/>
        <v>#NUM!</v>
      </c>
    </row>
    <row r="79" spans="3:18" x14ac:dyDescent="0.25">
      <c r="C79" s="2"/>
      <c r="F79" s="26"/>
      <c r="G79" s="20"/>
      <c r="I79" s="26">
        <f t="shared" ca="1" si="14"/>
        <v>0</v>
      </c>
      <c r="J79" s="26"/>
      <c r="K79" s="3"/>
      <c r="L79" s="4"/>
      <c r="M79" s="4"/>
      <c r="N79" s="3">
        <f t="shared" si="15"/>
        <v>5900</v>
      </c>
      <c r="O79" s="2">
        <f t="shared" ca="1" si="12"/>
        <v>52176</v>
      </c>
      <c r="P79" t="e" cm="1">
        <f t="array" aca="1" ref="P79" ca="1">_xll.qwDataInterp(N79,$A$20:$A$44,$D$20:$D$44,4)</f>
        <v>#NUM!</v>
      </c>
      <c r="Q79" s="3" t="e">
        <f t="shared" ca="1" si="9"/>
        <v>#NUM!</v>
      </c>
      <c r="R79" t="e">
        <f t="shared" ca="1" si="18"/>
        <v>#NUM!</v>
      </c>
    </row>
    <row r="80" spans="3:18" x14ac:dyDescent="0.25">
      <c r="C80" s="2"/>
      <c r="F80" s="26"/>
      <c r="G80" s="20"/>
      <c r="I80" s="26">
        <f t="shared" ca="1" si="14"/>
        <v>0</v>
      </c>
      <c r="J80" s="26"/>
      <c r="K80" s="3"/>
      <c r="L80" s="4"/>
      <c r="M80" s="4"/>
      <c r="N80" s="3">
        <f t="shared" si="15"/>
        <v>6000</v>
      </c>
      <c r="O80" s="2">
        <f t="shared" ca="1" si="12"/>
        <v>52276</v>
      </c>
      <c r="P80" t="e" cm="1">
        <f t="array" aca="1" ref="P80" ca="1">_xll.qwDataInterp(N80,$A$20:$A$44,$D$20:$D$44,4)</f>
        <v>#NUM!</v>
      </c>
      <c r="Q80" s="3" t="e">
        <f t="shared" ca="1" si="9"/>
        <v>#NUM!</v>
      </c>
      <c r="R80" t="e">
        <f t="shared" ca="1" si="18"/>
        <v>#NUM!</v>
      </c>
    </row>
    <row r="81" spans="3:18" x14ac:dyDescent="0.25">
      <c r="C81" s="2"/>
      <c r="F81" s="26"/>
      <c r="G81" s="20"/>
      <c r="I81" s="26">
        <f t="shared" ca="1" si="14"/>
        <v>0</v>
      </c>
      <c r="J81" s="26"/>
      <c r="K81" s="3"/>
      <c r="L81" s="4"/>
      <c r="M81" s="4"/>
      <c r="N81" s="3">
        <f t="shared" si="15"/>
        <v>6100</v>
      </c>
      <c r="O81" s="2">
        <f t="shared" ca="1" si="12"/>
        <v>52376</v>
      </c>
      <c r="P81" t="e" cm="1">
        <f t="array" aca="1" ref="P81" ca="1">_xll.qwDataInterp(N81,$A$20:$A$44,$D$20:$D$44,4)</f>
        <v>#NUM!</v>
      </c>
      <c r="Q81" s="3" t="e">
        <f t="shared" ca="1" si="9"/>
        <v>#NUM!</v>
      </c>
      <c r="R81" t="e">
        <f t="shared" ca="1" si="18"/>
        <v>#NUM!</v>
      </c>
    </row>
    <row r="82" spans="3:18" x14ac:dyDescent="0.25">
      <c r="C82" s="2"/>
      <c r="F82" s="26"/>
      <c r="G82" s="20"/>
      <c r="I82" s="26">
        <f t="shared" ca="1" si="14"/>
        <v>0</v>
      </c>
      <c r="J82" s="26"/>
      <c r="K82" s="3"/>
      <c r="L82" s="4"/>
      <c r="M82" s="4"/>
      <c r="N82" s="3">
        <f t="shared" si="15"/>
        <v>6200</v>
      </c>
      <c r="O82" s="2">
        <f t="shared" ca="1" si="12"/>
        <v>52476</v>
      </c>
      <c r="P82" t="e" cm="1">
        <f t="array" aca="1" ref="P82" ca="1">_xll.qwDataInterp(N82,$A$20:$A$44,$D$20:$D$44,4)</f>
        <v>#NUM!</v>
      </c>
      <c r="Q82" s="3" t="e">
        <f t="shared" ca="1" si="9"/>
        <v>#NUM!</v>
      </c>
      <c r="R82" t="e">
        <f t="shared" ca="1" si="18"/>
        <v>#NUM!</v>
      </c>
    </row>
    <row r="83" spans="3:18" x14ac:dyDescent="0.25">
      <c r="C83" s="2"/>
      <c r="F83" s="26"/>
      <c r="G83" s="20"/>
      <c r="I83" s="26">
        <f t="shared" ca="1" si="14"/>
        <v>0</v>
      </c>
      <c r="J83" s="26"/>
      <c r="K83" s="3"/>
      <c r="L83" s="4"/>
      <c r="M83" s="4"/>
      <c r="N83" s="3">
        <f t="shared" si="15"/>
        <v>6300</v>
      </c>
      <c r="O83" s="2">
        <f t="shared" ca="1" si="12"/>
        <v>52576</v>
      </c>
      <c r="P83" t="e" cm="1">
        <f t="array" aca="1" ref="P83" ca="1">_xll.qwDataInterp(N83,$A$20:$A$44,$D$20:$D$44,4)</f>
        <v>#NUM!</v>
      </c>
      <c r="Q83" s="3" t="e">
        <f t="shared" ca="1" si="9"/>
        <v>#NUM!</v>
      </c>
      <c r="R83" t="e">
        <f t="shared" ca="1" si="18"/>
        <v>#NUM!</v>
      </c>
    </row>
    <row r="84" spans="3:18" x14ac:dyDescent="0.25">
      <c r="C84" s="2"/>
      <c r="F84" s="26"/>
      <c r="G84" s="20"/>
      <c r="I84" s="26">
        <f t="shared" ca="1" si="14"/>
        <v>0</v>
      </c>
      <c r="J84" s="26"/>
      <c r="K84" s="3"/>
      <c r="L84" s="4"/>
      <c r="M84" s="4"/>
      <c r="N84" s="3">
        <f t="shared" si="15"/>
        <v>6400</v>
      </c>
      <c r="O84" s="2">
        <f t="shared" ca="1" si="12"/>
        <v>52676</v>
      </c>
      <c r="P84" t="e" cm="1">
        <f t="array" aca="1" ref="P84" ca="1">_xll.qwDataInterp(N84,$A$20:$A$44,$D$20:$D$44,4)</f>
        <v>#NUM!</v>
      </c>
      <c r="Q84" s="3" t="e">
        <f t="shared" ref="Q84:Q93" ca="1" si="24">VLOOKUP(MONTH(O84),$AI$4:$AK$15,3,0)*P84</f>
        <v>#NUM!</v>
      </c>
      <c r="R84" t="e">
        <f t="shared" ca="1" si="18"/>
        <v>#NUM!</v>
      </c>
    </row>
    <row r="85" spans="3:18" x14ac:dyDescent="0.25">
      <c r="C85" s="2"/>
      <c r="F85" s="26"/>
      <c r="G85" s="20"/>
      <c r="I85" s="26">
        <f t="shared" ca="1" si="14"/>
        <v>0</v>
      </c>
      <c r="J85" s="26"/>
      <c r="K85" s="3"/>
      <c r="L85" s="4"/>
      <c r="M85" s="4"/>
      <c r="N85" s="3">
        <f t="shared" si="15"/>
        <v>6500</v>
      </c>
      <c r="O85" s="2">
        <f t="shared" ca="1" si="12"/>
        <v>52776</v>
      </c>
      <c r="P85" t="e" cm="1">
        <f t="array" aca="1" ref="P85" ca="1">_xll.qwDataInterp(N85,$A$20:$A$44,$D$20:$D$44,4)</f>
        <v>#NUM!</v>
      </c>
      <c r="Q85" s="3" t="e">
        <f t="shared" ca="1" si="24"/>
        <v>#NUM!</v>
      </c>
      <c r="R85" t="e">
        <f t="shared" ca="1" si="18"/>
        <v>#NUM!</v>
      </c>
    </row>
    <row r="86" spans="3:18" x14ac:dyDescent="0.25">
      <c r="C86" s="2"/>
      <c r="F86" s="26"/>
      <c r="G86" s="21"/>
      <c r="H86" s="22"/>
      <c r="I86" s="26">
        <f t="shared" ca="1" si="14"/>
        <v>0</v>
      </c>
      <c r="J86" s="26"/>
      <c r="K86" s="3"/>
      <c r="L86" s="4"/>
      <c r="M86" s="4"/>
      <c r="N86" s="3">
        <f t="shared" si="15"/>
        <v>6600</v>
      </c>
      <c r="O86" s="2">
        <f t="shared" ca="1" si="12"/>
        <v>52876</v>
      </c>
      <c r="P86" t="e" cm="1">
        <f t="array" aca="1" ref="P86" ca="1">_xll.qwDataInterp(N86,$A$20:$A$44,$D$20:$D$44,4)</f>
        <v>#NUM!</v>
      </c>
      <c r="Q86" s="3" t="e">
        <f t="shared" ca="1" si="24"/>
        <v>#NUM!</v>
      </c>
      <c r="R86" t="e">
        <f t="shared" ca="1" si="18"/>
        <v>#NUM!</v>
      </c>
    </row>
    <row r="87" spans="3:18" x14ac:dyDescent="0.25">
      <c r="C87" s="2"/>
      <c r="F87" s="26"/>
      <c r="G87" s="21"/>
      <c r="H87" s="28"/>
      <c r="I87" s="26">
        <f t="shared" ca="1" si="14"/>
        <v>0</v>
      </c>
      <c r="J87" s="26"/>
      <c r="K87" s="3"/>
      <c r="L87" s="4"/>
      <c r="M87" s="4"/>
      <c r="N87" s="3">
        <f t="shared" si="15"/>
        <v>6700</v>
      </c>
      <c r="O87" s="2">
        <f t="shared" ref="O87:O93" ca="1" si="25">N87+$D$10</f>
        <v>52976</v>
      </c>
      <c r="P87" t="e" cm="1">
        <f t="array" aca="1" ref="P87" ca="1">_xll.qwDataInterp(N87,$A$20:$A$44,$D$20:$D$44,4)</f>
        <v>#NUM!</v>
      </c>
      <c r="Q87" s="3" t="e">
        <f t="shared" ca="1" si="24"/>
        <v>#NUM!</v>
      </c>
      <c r="R87" t="e">
        <f t="shared" ca="1" si="18"/>
        <v>#NUM!</v>
      </c>
    </row>
    <row r="88" spans="3:18" x14ac:dyDescent="0.25">
      <c r="C88" s="2"/>
      <c r="F88" s="26"/>
      <c r="G88" s="20"/>
      <c r="H88" s="26"/>
      <c r="I88" s="26"/>
      <c r="J88" s="26"/>
      <c r="K88" s="3"/>
      <c r="L88" s="4"/>
      <c r="M88" s="4"/>
      <c r="N88" s="3">
        <f t="shared" ref="N88:N93" si="26">N87+100</f>
        <v>6800</v>
      </c>
      <c r="O88" s="2">
        <f t="shared" ca="1" si="25"/>
        <v>53076</v>
      </c>
      <c r="P88" t="e" cm="1">
        <f t="array" aca="1" ref="P88" ca="1">_xll.qwDataInterp(N88,$A$20:$A$44,$D$20:$D$44,4)</f>
        <v>#NUM!</v>
      </c>
      <c r="Q88" s="3" t="e">
        <f t="shared" ca="1" si="24"/>
        <v>#NUM!</v>
      </c>
      <c r="R88" t="e">
        <f t="shared" ca="1" si="18"/>
        <v>#NUM!</v>
      </c>
    </row>
    <row r="89" spans="3:18" x14ac:dyDescent="0.25">
      <c r="C89" s="2"/>
      <c r="F89" s="26"/>
      <c r="G89" s="26"/>
      <c r="H89" s="26"/>
      <c r="I89" s="26"/>
      <c r="J89" s="26"/>
      <c r="K89" s="3"/>
      <c r="L89" s="4"/>
      <c r="M89" s="4"/>
      <c r="N89" s="3">
        <f t="shared" si="26"/>
        <v>6900</v>
      </c>
      <c r="O89" s="2">
        <f t="shared" ca="1" si="25"/>
        <v>53176</v>
      </c>
      <c r="P89" t="e" cm="1">
        <f t="array" aca="1" ref="P89" ca="1">_xll.qwDataInterp(N89,$A$20:$A$44,$D$20:$D$44,4)</f>
        <v>#NUM!</v>
      </c>
      <c r="Q89" s="3" t="e">
        <f t="shared" ca="1" si="24"/>
        <v>#NUM!</v>
      </c>
      <c r="R89" t="e">
        <f t="shared" ref="R89:R93" ca="1" si="27">EXP(LN(P89/$P$20)*1/((O89-$O$20)/365))-1</f>
        <v>#NUM!</v>
      </c>
    </row>
    <row r="90" spans="3:18" x14ac:dyDescent="0.25">
      <c r="C90" s="2"/>
      <c r="F90" s="26"/>
      <c r="G90" s="26"/>
      <c r="H90" s="26"/>
      <c r="I90" s="26"/>
      <c r="J90" s="26"/>
      <c r="K90" s="3"/>
      <c r="L90" s="4"/>
      <c r="M90" s="4"/>
      <c r="N90" s="3">
        <f t="shared" si="26"/>
        <v>7000</v>
      </c>
      <c r="O90" s="2">
        <f t="shared" ca="1" si="25"/>
        <v>53276</v>
      </c>
      <c r="P90" t="e" cm="1">
        <f t="array" aca="1" ref="P90" ca="1">_xll.qwDataInterp(N90,$A$20:$A$44,$D$20:$D$44,4)</f>
        <v>#NUM!</v>
      </c>
      <c r="Q90" s="3" t="e">
        <f t="shared" ca="1" si="24"/>
        <v>#NUM!</v>
      </c>
      <c r="R90" t="e">
        <f t="shared" ca="1" si="27"/>
        <v>#NUM!</v>
      </c>
    </row>
    <row r="91" spans="3:18" x14ac:dyDescent="0.25">
      <c r="C91" s="2"/>
      <c r="F91" s="26"/>
      <c r="G91" s="26"/>
      <c r="H91" s="26"/>
      <c r="I91" s="26"/>
      <c r="J91" s="26"/>
      <c r="K91" s="3"/>
      <c r="L91" s="4"/>
      <c r="M91" s="4"/>
      <c r="N91" s="3">
        <f t="shared" si="26"/>
        <v>7100</v>
      </c>
      <c r="O91" s="2">
        <f t="shared" ca="1" si="25"/>
        <v>53376</v>
      </c>
      <c r="P91" t="e" cm="1">
        <f t="array" aca="1" ref="P91" ca="1">_xll.qwDataInterp(N91,$A$20:$A$44,$D$20:$D$44,4)</f>
        <v>#NUM!</v>
      </c>
      <c r="Q91" s="3" t="e">
        <f t="shared" ca="1" si="24"/>
        <v>#NUM!</v>
      </c>
      <c r="R91" t="e">
        <f t="shared" ca="1" si="27"/>
        <v>#NUM!</v>
      </c>
    </row>
    <row r="92" spans="3:18" x14ac:dyDescent="0.25">
      <c r="C92" s="2"/>
      <c r="F92" s="26"/>
      <c r="G92" s="26"/>
      <c r="H92" s="26"/>
      <c r="I92" s="26"/>
      <c r="J92" s="26"/>
      <c r="K92" s="3"/>
      <c r="L92" s="4"/>
      <c r="M92" s="4"/>
      <c r="N92" s="3">
        <f t="shared" si="26"/>
        <v>7200</v>
      </c>
      <c r="O92" s="2">
        <f t="shared" ca="1" si="25"/>
        <v>53476</v>
      </c>
      <c r="P92" t="e" cm="1">
        <f t="array" aca="1" ref="P92" ca="1">_xll.qwDataInterp(N92,$A$20:$A$44,$D$20:$D$44,4)</f>
        <v>#NUM!</v>
      </c>
      <c r="Q92" s="3" t="e">
        <f t="shared" ca="1" si="24"/>
        <v>#NUM!</v>
      </c>
      <c r="R92" t="e">
        <f t="shared" ca="1" si="27"/>
        <v>#NUM!</v>
      </c>
    </row>
    <row r="93" spans="3:18" x14ac:dyDescent="0.25">
      <c r="C93" s="20"/>
      <c r="E93" s="26"/>
      <c r="F93" s="26"/>
      <c r="G93" s="26"/>
      <c r="H93" s="26"/>
      <c r="I93" s="26"/>
      <c r="J93" s="26"/>
      <c r="K93" s="3"/>
      <c r="L93" s="4"/>
      <c r="M93" s="4"/>
      <c r="N93" s="3">
        <f t="shared" si="26"/>
        <v>7300</v>
      </c>
      <c r="O93" s="2">
        <f t="shared" ca="1" si="25"/>
        <v>53576</v>
      </c>
      <c r="P93" t="e" cm="1">
        <f t="array" aca="1" ref="P93" ca="1">_xll.qwDataInterp(N93,$A$20:$A$44,$D$20:$D$44,4)</f>
        <v>#NUM!</v>
      </c>
      <c r="Q93" s="3" t="e">
        <f t="shared" ca="1" si="24"/>
        <v>#NUM!</v>
      </c>
      <c r="R93" t="e">
        <f t="shared" ca="1" si="27"/>
        <v>#NUM!</v>
      </c>
    </row>
    <row r="94" spans="3:18" x14ac:dyDescent="0.25">
      <c r="C94" s="20"/>
      <c r="E94" s="26"/>
      <c r="F94" s="26"/>
      <c r="G94" s="26"/>
      <c r="H94" s="26"/>
      <c r="I94" s="26"/>
      <c r="J94" s="26"/>
      <c r="K94" s="26"/>
    </row>
    <row r="95" spans="3:18" x14ac:dyDescent="0.25">
      <c r="C95" s="20"/>
      <c r="E95" s="26"/>
      <c r="F95" s="26"/>
      <c r="G95" s="26"/>
      <c r="H95" s="26"/>
      <c r="I95" s="26"/>
      <c r="J95" s="26"/>
      <c r="K95" s="26"/>
    </row>
    <row r="96" spans="3:18" x14ac:dyDescent="0.25">
      <c r="C96" s="2"/>
      <c r="E96" s="26"/>
      <c r="F96" s="26"/>
      <c r="G96" s="26"/>
      <c r="H96" s="26"/>
      <c r="I96" s="26"/>
      <c r="J96" s="26"/>
      <c r="K96" s="26"/>
    </row>
    <row r="97" spans="3:11" x14ac:dyDescent="0.25">
      <c r="C97" s="2"/>
      <c r="E97" s="26"/>
      <c r="F97" s="26"/>
      <c r="G97" s="26"/>
      <c r="H97" s="26"/>
      <c r="I97" s="26"/>
      <c r="J97" s="26"/>
      <c r="K97" s="26"/>
    </row>
    <row r="98" spans="3:11" x14ac:dyDescent="0.25">
      <c r="C98" s="2"/>
      <c r="E98" s="26"/>
      <c r="F98" s="26"/>
      <c r="G98" s="26"/>
      <c r="H98" s="26"/>
      <c r="I98" s="26"/>
      <c r="J98" s="26"/>
      <c r="K98" s="26"/>
    </row>
    <row r="99" spans="3:11" x14ac:dyDescent="0.25">
      <c r="C99" s="2"/>
      <c r="E99" s="26"/>
      <c r="F99" s="26"/>
      <c r="G99" s="26"/>
      <c r="H99" s="26"/>
      <c r="I99" s="26"/>
      <c r="J99" s="26"/>
      <c r="K99" s="26"/>
    </row>
    <row r="100" spans="3:11" x14ac:dyDescent="0.25">
      <c r="C100" s="2"/>
      <c r="E100" s="26"/>
      <c r="F100" s="26"/>
      <c r="G100" s="26"/>
      <c r="H100" s="26"/>
      <c r="I100" s="26"/>
      <c r="J100" s="26"/>
      <c r="K100" s="26"/>
    </row>
    <row r="101" spans="3:11" x14ac:dyDescent="0.25">
      <c r="C101" s="30"/>
      <c r="E101" s="26"/>
      <c r="F101" s="26"/>
      <c r="G101" s="26"/>
      <c r="H101" s="26"/>
      <c r="I101" s="26"/>
      <c r="J101" s="26"/>
      <c r="K101" s="26"/>
    </row>
    <row r="102" spans="3:11" x14ac:dyDescent="0.25">
      <c r="C102" s="2"/>
      <c r="E102" s="26"/>
      <c r="F102" s="26"/>
      <c r="G102" s="26"/>
      <c r="H102" s="26"/>
      <c r="I102" s="26"/>
      <c r="J102" s="26"/>
      <c r="K102" s="26"/>
    </row>
    <row r="103" spans="3:11" x14ac:dyDescent="0.25">
      <c r="C103" s="2"/>
      <c r="E103" s="26"/>
      <c r="F103" s="26"/>
      <c r="G103" s="26"/>
      <c r="H103" s="26"/>
      <c r="I103" s="26"/>
      <c r="J103" s="26"/>
      <c r="K103" s="26"/>
    </row>
    <row r="104" spans="3:11" x14ac:dyDescent="0.25">
      <c r="C104" s="2"/>
      <c r="E104" s="26"/>
      <c r="F104" s="26"/>
      <c r="G104" s="26"/>
      <c r="H104" s="26"/>
      <c r="I104" s="26"/>
      <c r="J104" s="26"/>
      <c r="K104" s="26"/>
    </row>
    <row r="105" spans="3:11" x14ac:dyDescent="0.25">
      <c r="C105" s="2"/>
      <c r="E105" s="26"/>
      <c r="F105" s="26"/>
      <c r="G105" s="26"/>
      <c r="H105" s="26"/>
      <c r="I105" s="26"/>
      <c r="J105" s="26"/>
      <c r="K105" s="26"/>
    </row>
    <row r="106" spans="3:11" x14ac:dyDescent="0.25">
      <c r="C106" s="2"/>
      <c r="E106" s="26"/>
      <c r="F106" s="26"/>
      <c r="G106" s="26"/>
      <c r="H106" s="26"/>
      <c r="I106" s="26"/>
      <c r="J106" s="26"/>
      <c r="K106" s="26"/>
    </row>
    <row r="107" spans="3:11" x14ac:dyDescent="0.25">
      <c r="C107" s="2"/>
      <c r="E107" s="26"/>
      <c r="F107" s="26"/>
      <c r="G107" s="26"/>
      <c r="H107" s="26"/>
      <c r="I107" s="26"/>
      <c r="J107" s="26"/>
      <c r="K107" s="26"/>
    </row>
    <row r="108" spans="3:11" x14ac:dyDescent="0.25">
      <c r="C108" s="2"/>
      <c r="E108" s="26"/>
      <c r="F108" s="26"/>
      <c r="G108" s="26"/>
      <c r="H108" s="26"/>
      <c r="I108" s="26"/>
      <c r="J108" s="26"/>
      <c r="K108" s="26"/>
    </row>
    <row r="109" spans="3:11" x14ac:dyDescent="0.25">
      <c r="C109" s="2"/>
      <c r="E109" s="26"/>
      <c r="F109" s="26"/>
      <c r="G109" s="26"/>
      <c r="H109" s="26"/>
      <c r="I109" s="26"/>
      <c r="J109" s="26"/>
      <c r="K109" s="26"/>
    </row>
    <row r="110" spans="3:11" x14ac:dyDescent="0.25">
      <c r="C110" s="2"/>
      <c r="E110" s="26"/>
      <c r="F110" s="26"/>
      <c r="G110" s="26"/>
      <c r="H110" s="26"/>
      <c r="I110" s="26"/>
      <c r="J110" s="26"/>
      <c r="K110" s="26"/>
    </row>
    <row r="111" spans="3:11" x14ac:dyDescent="0.25">
      <c r="C111" s="2"/>
      <c r="E111" s="26"/>
      <c r="F111" s="26"/>
      <c r="G111" s="26"/>
      <c r="H111" s="26"/>
      <c r="I111" s="26"/>
      <c r="J111" s="26"/>
      <c r="K111" s="26"/>
    </row>
    <row r="112" spans="3:11" x14ac:dyDescent="0.25">
      <c r="C112" s="2"/>
      <c r="E112" s="26"/>
      <c r="F112" s="26"/>
      <c r="G112" s="26"/>
      <c r="H112" s="26"/>
      <c r="I112" s="26"/>
      <c r="J112" s="26"/>
      <c r="K112" s="26"/>
    </row>
    <row r="113" spans="3:11" x14ac:dyDescent="0.25">
      <c r="C113" s="2"/>
      <c r="E113" s="26"/>
      <c r="F113" s="26"/>
      <c r="G113" s="26"/>
      <c r="H113" s="26"/>
      <c r="I113" s="26"/>
      <c r="J113" s="26"/>
      <c r="K113" s="26"/>
    </row>
    <row r="114" spans="3:11" x14ac:dyDescent="0.25">
      <c r="C114" s="2"/>
      <c r="E114" s="26"/>
      <c r="F114" s="26"/>
      <c r="G114" s="26"/>
      <c r="H114" s="26"/>
      <c r="I114" s="26"/>
      <c r="J114" s="26"/>
      <c r="K114" s="26"/>
    </row>
    <row r="115" spans="3:11" x14ac:dyDescent="0.25">
      <c r="C115" s="2"/>
      <c r="E115" s="26"/>
      <c r="F115" s="26"/>
      <c r="G115" s="26"/>
      <c r="H115" s="26"/>
      <c r="I115" s="26"/>
      <c r="J115" s="26"/>
      <c r="K115" s="26"/>
    </row>
    <row r="116" spans="3:11" x14ac:dyDescent="0.25">
      <c r="C116" s="2"/>
      <c r="E116" s="26"/>
      <c r="F116" s="26"/>
      <c r="G116" s="26"/>
      <c r="H116" s="26"/>
      <c r="I116" s="26"/>
      <c r="J116" s="26"/>
      <c r="K116" s="26"/>
    </row>
    <row r="117" spans="3:11" x14ac:dyDescent="0.25">
      <c r="C117" s="2"/>
      <c r="E117" s="26"/>
      <c r="F117" s="26"/>
      <c r="G117" s="26"/>
      <c r="H117" s="26"/>
      <c r="I117" s="26"/>
      <c r="J117" s="26"/>
      <c r="K117" s="26"/>
    </row>
    <row r="118" spans="3:11" x14ac:dyDescent="0.25">
      <c r="C118" s="2"/>
      <c r="E118" s="26"/>
      <c r="F118" s="26"/>
      <c r="G118" s="26"/>
      <c r="H118" s="26"/>
      <c r="I118" s="26"/>
      <c r="J118" s="26"/>
      <c r="K118" s="26"/>
    </row>
    <row r="119" spans="3:11" x14ac:dyDescent="0.25">
      <c r="C119" s="2"/>
      <c r="E119" s="26"/>
      <c r="F119" s="26"/>
      <c r="G119" s="26"/>
      <c r="H119" s="26"/>
      <c r="I119" s="26"/>
      <c r="J119" s="26"/>
      <c r="K119" s="26"/>
    </row>
    <row r="120" spans="3:11" x14ac:dyDescent="0.25">
      <c r="C120" s="2"/>
      <c r="E120" s="26"/>
      <c r="F120" s="26"/>
      <c r="G120" s="26"/>
      <c r="H120" s="26"/>
      <c r="I120" s="26"/>
      <c r="J120" s="26"/>
      <c r="K120" s="26"/>
    </row>
    <row r="121" spans="3:11" x14ac:dyDescent="0.25">
      <c r="C121" s="2"/>
      <c r="E121" s="26"/>
      <c r="F121" s="26"/>
      <c r="G121" s="26"/>
      <c r="H121" s="26"/>
      <c r="I121" s="26"/>
      <c r="J121" s="26"/>
      <c r="K121" s="26"/>
    </row>
    <row r="122" spans="3:11" x14ac:dyDescent="0.25">
      <c r="C122" s="2"/>
      <c r="E122" s="26"/>
      <c r="F122" s="26"/>
      <c r="G122" s="26"/>
      <c r="H122" s="26"/>
      <c r="I122" s="26"/>
      <c r="J122" s="26"/>
      <c r="K122" s="26"/>
    </row>
    <row r="123" spans="3:11" x14ac:dyDescent="0.25">
      <c r="C123" s="2"/>
      <c r="E123" s="26"/>
      <c r="F123" s="26"/>
      <c r="G123" s="26"/>
      <c r="H123" s="26"/>
      <c r="I123" s="26"/>
      <c r="J123" s="26"/>
      <c r="K123" s="26"/>
    </row>
    <row r="124" spans="3:11" x14ac:dyDescent="0.25">
      <c r="C124" s="2"/>
      <c r="E124" s="26"/>
      <c r="F124" s="26"/>
      <c r="G124" s="26"/>
      <c r="H124" s="26"/>
      <c r="I124" s="26"/>
      <c r="J124" s="26"/>
      <c r="K124" s="26"/>
    </row>
    <row r="125" spans="3:11" x14ac:dyDescent="0.25">
      <c r="C125" s="2"/>
      <c r="E125" s="26"/>
      <c r="F125" s="26"/>
      <c r="G125" s="26"/>
      <c r="H125" s="26"/>
      <c r="I125" s="26"/>
      <c r="J125" s="26"/>
      <c r="K125" s="26"/>
    </row>
    <row r="126" spans="3:11" x14ac:dyDescent="0.25">
      <c r="C126" s="2"/>
      <c r="E126" s="26"/>
      <c r="F126" s="26"/>
      <c r="G126" s="26"/>
      <c r="H126" s="26"/>
      <c r="I126" s="26"/>
      <c r="J126" s="26"/>
      <c r="K126" s="26"/>
    </row>
    <row r="127" spans="3:11" x14ac:dyDescent="0.25">
      <c r="C127" s="2"/>
      <c r="E127" s="26"/>
      <c r="F127" s="26"/>
      <c r="G127" s="26"/>
      <c r="H127" s="26"/>
      <c r="I127" s="26"/>
      <c r="J127" s="26"/>
      <c r="K127" s="26"/>
    </row>
    <row r="128" spans="3:11" x14ac:dyDescent="0.25">
      <c r="C128" s="2"/>
      <c r="E128" s="26"/>
      <c r="F128" s="26"/>
      <c r="G128" s="26"/>
      <c r="H128" s="26"/>
      <c r="I128" s="26"/>
      <c r="J128" s="26"/>
      <c r="K128" s="26"/>
    </row>
    <row r="129" spans="3:11" x14ac:dyDescent="0.25">
      <c r="C129" s="2"/>
      <c r="E129" s="26"/>
      <c r="F129" s="26"/>
      <c r="G129" s="26"/>
      <c r="H129" s="26"/>
      <c r="I129" s="26"/>
      <c r="J129" s="26"/>
      <c r="K129" s="26"/>
    </row>
    <row r="130" spans="3:11" x14ac:dyDescent="0.25">
      <c r="C130" s="2"/>
      <c r="E130" s="26"/>
      <c r="F130" s="26"/>
      <c r="G130" s="26"/>
      <c r="H130" s="26"/>
      <c r="I130" s="26"/>
      <c r="J130" s="26"/>
      <c r="K130" s="26"/>
    </row>
    <row r="131" spans="3:11" x14ac:dyDescent="0.25">
      <c r="C131" s="2"/>
      <c r="E131" s="26"/>
      <c r="F131" s="26"/>
      <c r="G131" s="26"/>
      <c r="H131" s="26"/>
      <c r="I131" s="26"/>
      <c r="J131" s="26"/>
      <c r="K131" s="26"/>
    </row>
    <row r="132" spans="3:11" x14ac:dyDescent="0.25">
      <c r="C132" s="2"/>
      <c r="E132" s="26"/>
      <c r="F132" s="26"/>
      <c r="G132" s="26"/>
      <c r="H132" s="26"/>
      <c r="I132" s="26"/>
      <c r="J132" s="26"/>
      <c r="K132" s="26"/>
    </row>
    <row r="133" spans="3:11" x14ac:dyDescent="0.25">
      <c r="C133" s="2"/>
      <c r="E133" s="26"/>
      <c r="F133" s="26"/>
      <c r="G133" s="26"/>
      <c r="H133" s="26"/>
      <c r="I133" s="26"/>
      <c r="J133" s="26"/>
      <c r="K133" s="26"/>
    </row>
    <row r="134" spans="3:11" x14ac:dyDescent="0.25">
      <c r="C134" s="2"/>
      <c r="E134" s="26"/>
      <c r="F134" s="26"/>
      <c r="G134" s="26"/>
      <c r="H134" s="26"/>
      <c r="I134" s="26"/>
      <c r="J134" s="26"/>
      <c r="K134" s="26"/>
    </row>
    <row r="135" spans="3:11" x14ac:dyDescent="0.25">
      <c r="C135" s="2"/>
      <c r="E135" s="26"/>
      <c r="F135" s="26"/>
      <c r="G135" s="26"/>
      <c r="H135" s="26"/>
      <c r="I135" s="26"/>
      <c r="J135" s="26"/>
      <c r="K135" s="26"/>
    </row>
    <row r="136" spans="3:11" x14ac:dyDescent="0.25">
      <c r="C136" s="2"/>
      <c r="E136" s="26"/>
      <c r="F136" s="26"/>
      <c r="G136" s="26"/>
      <c r="H136" s="26"/>
      <c r="I136" s="26"/>
      <c r="J136" s="26"/>
      <c r="K136" s="26"/>
    </row>
    <row r="137" spans="3:11" x14ac:dyDescent="0.25">
      <c r="C137" s="2"/>
      <c r="E137" s="26"/>
      <c r="F137" s="26"/>
      <c r="G137" s="26"/>
      <c r="H137" s="26"/>
      <c r="I137" s="26"/>
      <c r="J137" s="26"/>
      <c r="K137" s="26"/>
    </row>
    <row r="138" spans="3:11" x14ac:dyDescent="0.25">
      <c r="C138" s="2"/>
      <c r="E138" s="26"/>
      <c r="F138" s="26"/>
      <c r="G138" s="26"/>
      <c r="H138" s="26"/>
      <c r="I138" s="26"/>
      <c r="J138" s="26"/>
      <c r="K138" s="26"/>
    </row>
    <row r="139" spans="3:11" x14ac:dyDescent="0.25">
      <c r="C139" s="2"/>
      <c r="E139" s="26"/>
      <c r="F139" s="26"/>
      <c r="G139" s="26"/>
      <c r="H139" s="26"/>
      <c r="I139" s="26"/>
      <c r="J139" s="26"/>
      <c r="K139" s="26"/>
    </row>
    <row r="140" spans="3:11" x14ac:dyDescent="0.25">
      <c r="C140" s="2"/>
      <c r="E140" s="26"/>
      <c r="F140" s="26"/>
      <c r="G140" s="26"/>
      <c r="H140" s="26"/>
      <c r="I140" s="26"/>
      <c r="J140" s="26"/>
      <c r="K140" s="26"/>
    </row>
    <row r="141" spans="3:11" x14ac:dyDescent="0.25">
      <c r="C141" s="2"/>
      <c r="E141" s="26"/>
      <c r="F141" s="26"/>
      <c r="G141" s="26"/>
      <c r="H141" s="26"/>
      <c r="I141" s="26"/>
      <c r="J141" s="26"/>
      <c r="K141" s="26"/>
    </row>
    <row r="142" spans="3:11" x14ac:dyDescent="0.25">
      <c r="C142" s="2"/>
      <c r="E142" s="26"/>
      <c r="F142" s="26"/>
      <c r="G142" s="26"/>
      <c r="H142" s="26"/>
      <c r="I142" s="26"/>
      <c r="J142" s="26"/>
      <c r="K142" s="26"/>
    </row>
    <row r="143" spans="3:11" x14ac:dyDescent="0.25">
      <c r="C143" s="2"/>
      <c r="E143" s="26"/>
      <c r="F143" s="26"/>
      <c r="G143" s="26"/>
      <c r="H143" s="26"/>
      <c r="I143" s="26"/>
      <c r="J143" s="26"/>
      <c r="K143" s="26"/>
    </row>
    <row r="144" spans="3:11" x14ac:dyDescent="0.25">
      <c r="C144" s="2"/>
      <c r="E144" s="26"/>
      <c r="F144" s="26"/>
      <c r="G144" s="26"/>
      <c r="H144" s="26"/>
      <c r="I144" s="26"/>
      <c r="J144" s="26"/>
      <c r="K144" s="26"/>
    </row>
    <row r="145" spans="3:11" x14ac:dyDescent="0.25">
      <c r="C145" s="2"/>
      <c r="E145" s="26"/>
      <c r="F145" s="26"/>
      <c r="G145" s="26"/>
      <c r="H145" s="26"/>
      <c r="I145" s="26"/>
      <c r="J145" s="26"/>
      <c r="K145" s="26"/>
    </row>
    <row r="146" spans="3:11" x14ac:dyDescent="0.25">
      <c r="C146" s="2"/>
      <c r="E146" s="26"/>
      <c r="F146" s="26"/>
      <c r="G146" s="26"/>
      <c r="H146" s="26"/>
      <c r="I146" s="26"/>
      <c r="J146" s="26"/>
      <c r="K146" s="26"/>
    </row>
    <row r="147" spans="3:11" x14ac:dyDescent="0.25">
      <c r="C147" s="2"/>
      <c r="E147" s="26"/>
      <c r="F147" s="26"/>
      <c r="G147" s="26"/>
      <c r="H147" s="26"/>
      <c r="I147" s="26"/>
      <c r="J147" s="26"/>
      <c r="K147" s="26"/>
    </row>
    <row r="148" spans="3:11" x14ac:dyDescent="0.25">
      <c r="C148" s="2"/>
      <c r="E148" s="26"/>
      <c r="F148" s="26"/>
      <c r="G148" s="26"/>
      <c r="H148" s="26"/>
      <c r="I148" s="26"/>
      <c r="J148" s="26"/>
      <c r="K148" s="26"/>
    </row>
    <row r="149" spans="3:11" x14ac:dyDescent="0.25">
      <c r="C149" s="2"/>
      <c r="E149" s="26"/>
      <c r="F149" s="26"/>
      <c r="G149" s="26"/>
      <c r="H149" s="26"/>
      <c r="I149" s="26"/>
      <c r="J149" s="26"/>
      <c r="K149" s="26"/>
    </row>
    <row r="150" spans="3:11" x14ac:dyDescent="0.25">
      <c r="C150" s="2"/>
      <c r="E150" s="26"/>
      <c r="F150" s="26"/>
      <c r="G150" s="26"/>
      <c r="H150" s="26"/>
      <c r="I150" s="26"/>
      <c r="J150" s="26"/>
      <c r="K150" s="26"/>
    </row>
    <row r="151" spans="3:11" x14ac:dyDescent="0.25">
      <c r="C151" s="2"/>
      <c r="E151" s="26"/>
      <c r="F151" s="26"/>
      <c r="G151" s="26"/>
      <c r="H151" s="26"/>
      <c r="I151" s="26"/>
      <c r="J151" s="26"/>
      <c r="K151" s="26"/>
    </row>
    <row r="152" spans="3:11" x14ac:dyDescent="0.25">
      <c r="C152" s="2"/>
      <c r="E152" s="26"/>
      <c r="F152" s="26"/>
      <c r="G152" s="26"/>
      <c r="H152" s="26"/>
      <c r="I152" s="26"/>
      <c r="J152" s="26"/>
      <c r="K152" s="26"/>
    </row>
    <row r="153" spans="3:11" x14ac:dyDescent="0.25">
      <c r="C153" s="2"/>
      <c r="E153" s="26"/>
      <c r="F153" s="26"/>
      <c r="G153" s="26"/>
      <c r="H153" s="26"/>
      <c r="I153" s="26"/>
      <c r="J153" s="26"/>
      <c r="K153" s="26"/>
    </row>
    <row r="154" spans="3:11" x14ac:dyDescent="0.25">
      <c r="C154" s="2"/>
      <c r="E154" s="26"/>
      <c r="F154" s="26"/>
      <c r="G154" s="26"/>
      <c r="H154" s="26"/>
      <c r="I154" s="26"/>
      <c r="J154" s="26"/>
      <c r="K154" s="26"/>
    </row>
    <row r="155" spans="3:11" x14ac:dyDescent="0.25">
      <c r="C155" s="2"/>
      <c r="E155" s="26"/>
      <c r="F155" s="26"/>
      <c r="G155" s="26"/>
      <c r="H155" s="26"/>
      <c r="I155" s="26"/>
      <c r="J155" s="26"/>
      <c r="K155" s="26"/>
    </row>
    <row r="156" spans="3:11" x14ac:dyDescent="0.25">
      <c r="C156" s="2"/>
      <c r="E156" s="26"/>
      <c r="F156" s="26"/>
      <c r="G156" s="26"/>
      <c r="H156" s="26"/>
      <c r="I156" s="26"/>
      <c r="J156" s="26"/>
      <c r="K156" s="26"/>
    </row>
    <row r="157" spans="3:11" x14ac:dyDescent="0.25">
      <c r="C157" s="2"/>
      <c r="E157" s="26"/>
      <c r="F157" s="26"/>
      <c r="G157" s="26"/>
      <c r="H157" s="26"/>
      <c r="I157" s="26"/>
      <c r="J157" s="26"/>
      <c r="K157" s="26"/>
    </row>
    <row r="158" spans="3:11" x14ac:dyDescent="0.25">
      <c r="C158" s="30"/>
      <c r="E158" s="26"/>
      <c r="F158" s="26"/>
      <c r="G158" s="26"/>
      <c r="H158" s="26"/>
      <c r="I158" s="26"/>
      <c r="J158" s="26"/>
      <c r="K158" s="26"/>
    </row>
    <row r="159" spans="3:11" x14ac:dyDescent="0.25">
      <c r="E159" s="26"/>
      <c r="F159" s="26"/>
      <c r="G159" s="26"/>
      <c r="H159" s="26"/>
      <c r="I159" s="26"/>
      <c r="J159" s="26"/>
      <c r="K159" s="26"/>
    </row>
    <row r="160" spans="3:11" x14ac:dyDescent="0.25">
      <c r="E160" s="26"/>
      <c r="F160" s="26"/>
      <c r="G160" s="26"/>
      <c r="H160" s="26"/>
      <c r="I160" s="26"/>
      <c r="J160" s="26"/>
      <c r="K160" s="26"/>
    </row>
    <row r="161" spans="5:11" x14ac:dyDescent="0.25">
      <c r="E161" s="26"/>
      <c r="F161" s="26"/>
      <c r="G161" s="26"/>
      <c r="H161" s="26"/>
      <c r="I161" s="26"/>
      <c r="J161" s="26"/>
      <c r="K161" s="26"/>
    </row>
    <row r="162" spans="5:11" x14ac:dyDescent="0.25">
      <c r="E162" s="26"/>
      <c r="F162" s="26"/>
      <c r="G162" s="26"/>
      <c r="H162" s="26"/>
      <c r="I162" s="26"/>
      <c r="J162" s="26"/>
      <c r="K162" s="26"/>
    </row>
    <row r="163" spans="5:11" x14ac:dyDescent="0.25">
      <c r="E163" s="26"/>
      <c r="F163" s="26"/>
      <c r="G163" s="26"/>
      <c r="H163" s="26"/>
      <c r="I163" s="26"/>
      <c r="J163" s="26"/>
      <c r="K163" s="26"/>
    </row>
    <row r="164" spans="5:11" x14ac:dyDescent="0.25">
      <c r="E164" s="26"/>
      <c r="F164" s="26"/>
      <c r="G164" s="26"/>
      <c r="H164" s="26"/>
      <c r="I164" s="26"/>
      <c r="J164" s="26"/>
      <c r="K164" s="26"/>
    </row>
    <row r="165" spans="5:11" x14ac:dyDescent="0.25">
      <c r="E165" s="26"/>
      <c r="F165" s="26"/>
      <c r="G165" s="26"/>
      <c r="H165" s="26"/>
      <c r="I165" s="26"/>
      <c r="J165" s="26"/>
      <c r="K165" s="26"/>
    </row>
    <row r="166" spans="5:11" x14ac:dyDescent="0.25">
      <c r="E166" s="26"/>
      <c r="F166" s="26"/>
      <c r="G166" s="26"/>
      <c r="H166" s="26"/>
      <c r="I166" s="26"/>
      <c r="J166" s="26"/>
      <c r="K166" s="26"/>
    </row>
    <row r="167" spans="5:11" x14ac:dyDescent="0.25">
      <c r="E167" s="26"/>
      <c r="F167" s="26"/>
      <c r="G167" s="26"/>
      <c r="H167" s="26"/>
      <c r="I167" s="26"/>
      <c r="J167" s="26"/>
      <c r="K167" s="26"/>
    </row>
    <row r="168" spans="5:11" x14ac:dyDescent="0.25">
      <c r="E168" s="26"/>
      <c r="F168" s="26"/>
      <c r="G168" s="26"/>
      <c r="H168" s="26"/>
      <c r="I168" s="26"/>
      <c r="J168" s="26"/>
      <c r="K168" s="26"/>
    </row>
    <row r="169" spans="5:11" x14ac:dyDescent="0.25">
      <c r="E169" s="26"/>
      <c r="F169" s="26"/>
      <c r="G169" s="26"/>
      <c r="H169" s="26"/>
      <c r="I169" s="26"/>
      <c r="J169" s="26"/>
      <c r="K169" s="26"/>
    </row>
    <row r="170" spans="5:11" x14ac:dyDescent="0.25">
      <c r="E170" s="26"/>
      <c r="F170" s="26"/>
      <c r="G170" s="26"/>
      <c r="H170" s="26"/>
      <c r="I170" s="26"/>
      <c r="J170" s="26"/>
      <c r="K170" s="26"/>
    </row>
    <row r="171" spans="5:11" x14ac:dyDescent="0.25">
      <c r="E171" s="26"/>
      <c r="F171" s="26"/>
      <c r="G171" s="26"/>
      <c r="H171" s="26"/>
      <c r="I171" s="26"/>
      <c r="J171" s="26"/>
      <c r="K171" s="26"/>
    </row>
    <row r="172" spans="5:11" x14ac:dyDescent="0.25">
      <c r="E172" s="26"/>
      <c r="F172" s="26"/>
      <c r="G172" s="26"/>
      <c r="H172" s="26"/>
      <c r="I172" s="26"/>
      <c r="J172" s="26"/>
      <c r="K172" s="26"/>
    </row>
    <row r="173" spans="5:11" x14ac:dyDescent="0.25">
      <c r="E173" s="26"/>
      <c r="F173" s="26"/>
      <c r="G173" s="26"/>
      <c r="H173" s="26"/>
      <c r="I173" s="26"/>
      <c r="J173" s="26"/>
      <c r="K173" s="26"/>
    </row>
    <row r="174" spans="5:11" x14ac:dyDescent="0.25">
      <c r="E174" s="26"/>
      <c r="F174" s="26"/>
      <c r="G174" s="26"/>
      <c r="H174" s="26"/>
      <c r="I174" s="26"/>
      <c r="J174" s="26"/>
      <c r="K174" s="26"/>
    </row>
    <row r="175" spans="5:11" x14ac:dyDescent="0.25">
      <c r="E175" s="26"/>
      <c r="F175" s="26"/>
      <c r="G175" s="26"/>
      <c r="H175" s="26"/>
      <c r="I175" s="26"/>
      <c r="J175" s="26"/>
      <c r="K175" s="26"/>
    </row>
    <row r="176" spans="5:11" x14ac:dyDescent="0.25">
      <c r="E176" s="26"/>
      <c r="F176" s="26"/>
      <c r="G176" s="26"/>
      <c r="H176" s="26"/>
      <c r="I176" s="26"/>
      <c r="J176" s="26"/>
      <c r="K176" s="26"/>
    </row>
    <row r="177" spans="5:11" x14ac:dyDescent="0.25">
      <c r="E177" s="26"/>
      <c r="F177" s="26"/>
      <c r="G177" s="26"/>
      <c r="H177" s="26"/>
      <c r="I177" s="26"/>
      <c r="J177" s="26"/>
      <c r="K177" s="26"/>
    </row>
    <row r="178" spans="5:11" x14ac:dyDescent="0.25">
      <c r="E178" s="26"/>
      <c r="F178" s="26"/>
      <c r="G178" s="26"/>
      <c r="H178" s="26"/>
      <c r="I178" s="26"/>
      <c r="J178" s="26"/>
      <c r="K178" s="26"/>
    </row>
    <row r="179" spans="5:11" x14ac:dyDescent="0.25">
      <c r="E179" s="26"/>
      <c r="F179" s="26"/>
      <c r="G179" s="26"/>
      <c r="H179" s="26"/>
      <c r="I179" s="26"/>
      <c r="J179" s="26"/>
      <c r="K179" s="26"/>
    </row>
    <row r="180" spans="5:11" x14ac:dyDescent="0.25">
      <c r="E180" s="26"/>
      <c r="F180" s="26"/>
      <c r="G180" s="26"/>
      <c r="H180" s="26"/>
      <c r="I180" s="26"/>
      <c r="J180" s="26"/>
      <c r="K180" s="26"/>
    </row>
    <row r="181" spans="5:11" x14ac:dyDescent="0.25">
      <c r="E181" s="26"/>
      <c r="F181" s="26"/>
      <c r="G181" s="26"/>
      <c r="H181" s="26"/>
      <c r="I181" s="26"/>
      <c r="J181" s="26"/>
      <c r="K181" s="26"/>
    </row>
    <row r="182" spans="5:11" x14ac:dyDescent="0.25">
      <c r="E182" s="26"/>
      <c r="F182" s="26"/>
      <c r="G182" s="26"/>
      <c r="H182" s="26"/>
      <c r="I182" s="26"/>
      <c r="J182" s="26"/>
      <c r="K182" s="26"/>
    </row>
    <row r="183" spans="5:11" x14ac:dyDescent="0.25">
      <c r="E183" s="26"/>
      <c r="F183" s="26"/>
      <c r="G183" s="26"/>
      <c r="H183" s="26"/>
      <c r="I183" s="26"/>
      <c r="J183" s="26"/>
      <c r="K183" s="26"/>
    </row>
    <row r="184" spans="5:11" x14ac:dyDescent="0.25">
      <c r="E184" s="26"/>
      <c r="F184" s="26"/>
      <c r="G184" s="26"/>
      <c r="H184" s="26"/>
      <c r="I184" s="26"/>
      <c r="J184" s="26"/>
      <c r="K184" s="26"/>
    </row>
    <row r="185" spans="5:11" x14ac:dyDescent="0.25">
      <c r="E185" s="26"/>
      <c r="F185" s="26"/>
      <c r="G185" s="26"/>
      <c r="H185" s="26"/>
      <c r="I185" s="26"/>
      <c r="J185" s="26"/>
      <c r="K185" s="26"/>
    </row>
    <row r="186" spans="5:11" x14ac:dyDescent="0.25">
      <c r="E186" s="26"/>
      <c r="F186" s="26"/>
      <c r="G186" s="26"/>
      <c r="H186" s="26"/>
      <c r="I186" s="26"/>
      <c r="J186" s="26"/>
      <c r="K186" s="26"/>
    </row>
    <row r="187" spans="5:11" x14ac:dyDescent="0.25">
      <c r="E187" s="26"/>
      <c r="F187" s="26"/>
      <c r="G187" s="26"/>
      <c r="H187" s="26"/>
      <c r="I187" s="26"/>
      <c r="J187" s="26"/>
      <c r="K187" s="26"/>
    </row>
    <row r="188" spans="5:11" x14ac:dyDescent="0.25">
      <c r="E188" s="26"/>
      <c r="F188" s="26"/>
      <c r="G188" s="26"/>
      <c r="H188" s="26"/>
      <c r="I188" s="26"/>
      <c r="J188" s="26"/>
      <c r="K188" s="26"/>
    </row>
    <row r="189" spans="5:11" x14ac:dyDescent="0.25">
      <c r="E189" s="26"/>
      <c r="F189" s="26"/>
      <c r="G189" s="26"/>
      <c r="H189" s="26"/>
      <c r="I189" s="26"/>
      <c r="J189" s="26"/>
      <c r="K189" s="26"/>
    </row>
    <row r="190" spans="5:11" x14ac:dyDescent="0.25">
      <c r="E190" s="26"/>
      <c r="F190" s="26"/>
      <c r="G190" s="26"/>
      <c r="H190" s="26"/>
      <c r="I190" s="26"/>
      <c r="J190" s="26"/>
      <c r="K190" s="26"/>
    </row>
    <row r="191" spans="5:11" x14ac:dyDescent="0.25">
      <c r="E191" s="26"/>
      <c r="F191" s="26"/>
      <c r="G191" s="26"/>
      <c r="H191" s="26"/>
      <c r="I191" s="26"/>
      <c r="J191" s="26"/>
      <c r="K191" s="26"/>
    </row>
    <row r="192" spans="5:11" x14ac:dyDescent="0.25">
      <c r="E192" s="26"/>
      <c r="F192" s="26"/>
      <c r="G192" s="26"/>
      <c r="H192" s="26"/>
      <c r="I192" s="26"/>
      <c r="J192" s="26"/>
      <c r="K192" s="26"/>
    </row>
    <row r="193" spans="5:11" x14ac:dyDescent="0.25">
      <c r="E193" s="26"/>
      <c r="F193" s="26"/>
      <c r="G193" s="26"/>
      <c r="H193" s="26"/>
      <c r="I193" s="26"/>
      <c r="J193" s="26"/>
      <c r="K193" s="26"/>
    </row>
    <row r="194" spans="5:11" x14ac:dyDescent="0.25">
      <c r="E194" s="26"/>
      <c r="F194" s="26"/>
      <c r="G194" s="26"/>
      <c r="H194" s="26"/>
      <c r="I194" s="26"/>
      <c r="J194" s="26"/>
      <c r="K194" s="26"/>
    </row>
    <row r="195" spans="5:11" x14ac:dyDescent="0.25">
      <c r="E195" s="26"/>
      <c r="F195" s="26"/>
      <c r="G195" s="26"/>
      <c r="H195" s="26"/>
      <c r="I195" s="26"/>
      <c r="J195" s="26"/>
      <c r="K195" s="26"/>
    </row>
    <row r="196" spans="5:11" x14ac:dyDescent="0.25">
      <c r="E196" s="26"/>
      <c r="F196" s="26"/>
      <c r="G196" s="26"/>
      <c r="H196" s="26"/>
      <c r="I196" s="26"/>
      <c r="J196" s="26"/>
      <c r="K196" s="26"/>
    </row>
    <row r="197" spans="5:11" x14ac:dyDescent="0.25">
      <c r="E197" s="26"/>
      <c r="F197" s="26"/>
      <c r="G197" s="26"/>
      <c r="H197" s="26"/>
      <c r="I197" s="26"/>
      <c r="J197" s="26"/>
      <c r="K197" s="26"/>
    </row>
    <row r="198" spans="5:11" x14ac:dyDescent="0.25">
      <c r="E198" s="26"/>
      <c r="F198" s="26"/>
      <c r="G198" s="26"/>
      <c r="H198" s="26"/>
      <c r="I198" s="26"/>
      <c r="J198" s="26"/>
      <c r="K198" s="26"/>
    </row>
    <row r="199" spans="5:11" x14ac:dyDescent="0.25">
      <c r="E199" s="26"/>
      <c r="F199" s="26"/>
      <c r="G199" s="26"/>
      <c r="H199" s="26"/>
      <c r="I199" s="26"/>
      <c r="J199" s="26"/>
      <c r="K199" s="26"/>
    </row>
    <row r="200" spans="5:11" x14ac:dyDescent="0.25">
      <c r="E200" s="26"/>
      <c r="F200" s="26"/>
      <c r="G200" s="26"/>
      <c r="H200" s="26"/>
      <c r="I200" s="26"/>
      <c r="J200" s="26"/>
      <c r="K200" s="26"/>
    </row>
    <row r="201" spans="5:11" x14ac:dyDescent="0.25">
      <c r="E201" s="26"/>
      <c r="F201" s="26"/>
      <c r="G201" s="26"/>
      <c r="H201" s="26"/>
      <c r="I201" s="26"/>
      <c r="J201" s="26"/>
      <c r="K201" s="26"/>
    </row>
    <row r="202" spans="5:11" x14ac:dyDescent="0.25">
      <c r="E202" s="26"/>
      <c r="F202" s="26"/>
      <c r="G202" s="26"/>
      <c r="H202" s="26"/>
      <c r="I202" s="26"/>
      <c r="J202" s="26"/>
      <c r="K202" s="26"/>
    </row>
    <row r="203" spans="5:11" x14ac:dyDescent="0.25">
      <c r="E203" s="26"/>
      <c r="F203" s="26"/>
      <c r="G203" s="26"/>
      <c r="H203" s="26"/>
      <c r="I203" s="26"/>
      <c r="J203" s="26"/>
      <c r="K203" s="26"/>
    </row>
    <row r="204" spans="5:11" x14ac:dyDescent="0.25">
      <c r="E204" s="26"/>
      <c r="F204" s="26"/>
      <c r="G204" s="26"/>
      <c r="H204" s="26"/>
      <c r="I204" s="26"/>
      <c r="J204" s="26"/>
      <c r="K204" s="26"/>
    </row>
    <row r="205" spans="5:11" x14ac:dyDescent="0.25">
      <c r="E205" s="26"/>
      <c r="F205" s="26"/>
      <c r="G205" s="26"/>
      <c r="H205" s="26"/>
      <c r="I205" s="26"/>
      <c r="J205" s="26"/>
      <c r="K205" s="26"/>
    </row>
    <row r="206" spans="5:11" x14ac:dyDescent="0.25">
      <c r="E206" s="26"/>
      <c r="F206" s="26"/>
      <c r="G206" s="26"/>
      <c r="H206" s="26"/>
      <c r="I206" s="26"/>
      <c r="J206" s="26"/>
      <c r="K206" s="26"/>
    </row>
    <row r="207" spans="5:11" x14ac:dyDescent="0.25">
      <c r="E207" s="26"/>
      <c r="F207" s="26"/>
      <c r="G207" s="26"/>
      <c r="H207" s="26"/>
      <c r="I207" s="26"/>
      <c r="J207" s="26"/>
      <c r="K207" s="26"/>
    </row>
    <row r="208" spans="5:11" x14ac:dyDescent="0.25">
      <c r="E208" s="26"/>
      <c r="F208" s="26"/>
      <c r="G208" s="26"/>
      <c r="H208" s="26"/>
      <c r="I208" s="26"/>
      <c r="J208" s="26"/>
      <c r="K208" s="26"/>
    </row>
    <row r="209" spans="5:11" x14ac:dyDescent="0.25">
      <c r="E209" s="26"/>
      <c r="F209" s="26"/>
      <c r="G209" s="26"/>
      <c r="H209" s="26"/>
      <c r="I209" s="26"/>
      <c r="J209" s="26"/>
      <c r="K209" s="26"/>
    </row>
    <row r="210" spans="5:11" x14ac:dyDescent="0.25">
      <c r="E210" s="26"/>
      <c r="F210" s="26"/>
      <c r="G210" s="26"/>
      <c r="H210" s="26"/>
      <c r="I210" s="26"/>
      <c r="J210" s="26"/>
      <c r="K210" s="26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croll Bar 1">
              <controlPr defaultSize="0" autoPict="0">
                <anchor moveWithCells="1">
                  <from>
                    <xdr:col>4</xdr:col>
                    <xdr:colOff>457200</xdr:colOff>
                    <xdr:row>2</xdr:row>
                    <xdr:rowOff>28575</xdr:rowOff>
                  </from>
                  <to>
                    <xdr:col>4</xdr:col>
                    <xdr:colOff>733425</xdr:colOff>
                    <xdr:row>16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94FC-453F-4115-A5CD-96A2F7AEDCB6}">
  <dimension ref="A1:I162"/>
  <sheetViews>
    <sheetView topLeftCell="A43" zoomScaleNormal="100" workbookViewId="0">
      <selection activeCell="A72" sqref="A72:C87"/>
    </sheetView>
  </sheetViews>
  <sheetFormatPr defaultRowHeight="15" x14ac:dyDescent="0.25"/>
  <cols>
    <col min="1" max="1" width="17.5703125" bestFit="1" customWidth="1"/>
    <col min="2" max="2" width="34.85546875" bestFit="1" customWidth="1"/>
    <col min="5" max="5" width="16.140625" bestFit="1" customWidth="1"/>
    <col min="6" max="6" width="25.28515625" bestFit="1" customWidth="1"/>
    <col min="7" max="7" width="22.42578125" bestFit="1" customWidth="1"/>
    <col min="8" max="8" width="42.5703125" bestFit="1" customWidth="1"/>
    <col min="9" max="9" width="9" bestFit="1" customWidth="1"/>
    <col min="10" max="10" width="16.28515625" bestFit="1" customWidth="1"/>
    <col min="11" max="11" width="25.5703125" bestFit="1" customWidth="1"/>
    <col min="12" max="12" width="16.5703125" bestFit="1" customWidth="1"/>
    <col min="13" max="13" width="34.42578125" bestFit="1" customWidth="1"/>
    <col min="14" max="14" width="26.140625" bestFit="1" customWidth="1"/>
    <col min="16" max="16" width="23" customWidth="1"/>
    <col min="17" max="17" width="15.140625" bestFit="1" customWidth="1"/>
    <col min="18" max="18" width="18.7109375" bestFit="1" customWidth="1"/>
  </cols>
  <sheetData>
    <row r="1" spans="1:9" x14ac:dyDescent="0.25">
      <c r="A1" s="7" t="s">
        <v>110</v>
      </c>
      <c r="B1" s="7" t="s">
        <v>111</v>
      </c>
    </row>
    <row r="2" spans="1:9" x14ac:dyDescent="0.25">
      <c r="A2" s="9" t="s">
        <v>112</v>
      </c>
      <c r="B2" s="9" t="s">
        <v>113</v>
      </c>
      <c r="C2" t="str">
        <f>_xll.BDP(A2, "PX_LAST")</f>
        <v>#N/A N/A</v>
      </c>
      <c r="G2" s="11" t="s">
        <v>68</v>
      </c>
      <c r="H2" s="11" t="s">
        <v>114</v>
      </c>
      <c r="I2">
        <f>_xll.BDP(G2, "PX_LAST")</f>
        <v>342.75</v>
      </c>
    </row>
    <row r="3" spans="1:9" x14ac:dyDescent="0.25">
      <c r="A3" s="9" t="s">
        <v>115</v>
      </c>
      <c r="B3" s="9" t="s">
        <v>116</v>
      </c>
      <c r="C3" t="str">
        <f>_xll.BDP(A3, "PX_LAST")</f>
        <v>#N/A N/A</v>
      </c>
      <c r="G3" s="11" t="s">
        <v>21</v>
      </c>
      <c r="H3" s="11" t="s">
        <v>117</v>
      </c>
      <c r="I3">
        <f>_xll.BDP(G3, "PX_LAST")</f>
        <v>336.49990000000003</v>
      </c>
    </row>
    <row r="4" spans="1:9" x14ac:dyDescent="0.25">
      <c r="A4" s="9" t="s">
        <v>118</v>
      </c>
      <c r="B4" s="9" t="s">
        <v>119</v>
      </c>
      <c r="C4" t="str">
        <f>_xll.BDP(A4, "PX_LAST")</f>
        <v>#N/A N/A</v>
      </c>
      <c r="G4" s="11" t="s">
        <v>33</v>
      </c>
      <c r="H4" s="11" t="s">
        <v>120</v>
      </c>
      <c r="I4">
        <f>_xll.BDP(G4, "PX_LAST")</f>
        <v>335.97</v>
      </c>
    </row>
    <row r="5" spans="1:9" x14ac:dyDescent="0.25">
      <c r="A5" s="9" t="s">
        <v>121</v>
      </c>
      <c r="B5" s="9" t="s">
        <v>122</v>
      </c>
      <c r="C5" t="str">
        <f>_xll.BDP(A5, "PX_LAST")</f>
        <v>#N/A N/A</v>
      </c>
      <c r="G5" s="11" t="s">
        <v>53</v>
      </c>
      <c r="H5" s="11" t="s">
        <v>123</v>
      </c>
      <c r="I5">
        <f>_xll.BDP(G5, "PX_LAST")</f>
        <v>340.6499</v>
      </c>
    </row>
    <row r="6" spans="1:9" x14ac:dyDescent="0.25">
      <c r="A6" s="9" t="s">
        <v>124</v>
      </c>
      <c r="B6" s="9" t="s">
        <v>125</v>
      </c>
      <c r="C6" t="str">
        <f>_xll.BDP(A6, "PX_LAST")</f>
        <v>#N/A N/A</v>
      </c>
      <c r="G6" s="11" t="s">
        <v>39</v>
      </c>
      <c r="H6" s="11" t="s">
        <v>126</v>
      </c>
      <c r="I6">
        <f>_xll.BDP(G6, "PX_LAST")</f>
        <v>337.17</v>
      </c>
    </row>
    <row r="7" spans="1:9" x14ac:dyDescent="0.25">
      <c r="A7" s="9" t="s">
        <v>127</v>
      </c>
      <c r="B7" s="9" t="s">
        <v>128</v>
      </c>
      <c r="C7" t="str">
        <f>_xll.BDP(A7, "PX_LAST")</f>
        <v>#N/A N/A</v>
      </c>
      <c r="G7" s="11" t="s">
        <v>64</v>
      </c>
      <c r="H7" s="11" t="s">
        <v>129</v>
      </c>
      <c r="I7">
        <f>_xll.BDP(G7, "PX_LAST")</f>
        <v>342.48</v>
      </c>
    </row>
    <row r="8" spans="1:9" x14ac:dyDescent="0.25">
      <c r="A8" s="10" t="s">
        <v>130</v>
      </c>
      <c r="B8" s="10" t="s">
        <v>131</v>
      </c>
      <c r="C8" t="str">
        <f>_xll.BDP(A8, "PX_LAST")</f>
        <v>#N/A N/A</v>
      </c>
      <c r="G8" s="11" t="s">
        <v>48</v>
      </c>
      <c r="H8" s="11" t="s">
        <v>132</v>
      </c>
      <c r="I8">
        <f>_xll.BDP(G8, "PX_LAST")</f>
        <v>339.69</v>
      </c>
    </row>
    <row r="9" spans="1:9" x14ac:dyDescent="0.25">
      <c r="A9" s="10" t="s">
        <v>133</v>
      </c>
      <c r="B9" s="10" t="s">
        <v>134</v>
      </c>
      <c r="C9" t="str">
        <f>_xll.BDP(A9, "PX_LAST")</f>
        <v>#N/A N/A</v>
      </c>
      <c r="G9" s="11" t="s">
        <v>59</v>
      </c>
      <c r="H9" s="11" t="s">
        <v>135</v>
      </c>
      <c r="I9">
        <f>_xll.BDP(G9, "PX_LAST")</f>
        <v>341.63</v>
      </c>
    </row>
    <row r="10" spans="1:9" x14ac:dyDescent="0.25">
      <c r="A10" s="10" t="s">
        <v>136</v>
      </c>
      <c r="B10" s="10" t="s">
        <v>137</v>
      </c>
      <c r="C10" t="str">
        <f>_xll.BDP(A10, "PX_LAST")</f>
        <v>#N/A N/A</v>
      </c>
      <c r="G10" s="11" t="s">
        <v>25</v>
      </c>
      <c r="H10" s="11" t="s">
        <v>138</v>
      </c>
      <c r="I10">
        <f>_xll.BDP(G10, "PX_LAST")</f>
        <v>336.63990000000001</v>
      </c>
    </row>
    <row r="11" spans="1:9" x14ac:dyDescent="0.25">
      <c r="A11" s="10" t="s">
        <v>139</v>
      </c>
      <c r="B11" s="10" t="s">
        <v>140</v>
      </c>
      <c r="C11" t="str">
        <f>_xll.BDP(A11, "PX_LAST")</f>
        <v>#N/A N/A</v>
      </c>
      <c r="G11" s="11" t="s">
        <v>44</v>
      </c>
      <c r="H11" s="11" t="s">
        <v>141</v>
      </c>
      <c r="I11">
        <f>_xll.BDP(G11, "PX_LAST")</f>
        <v>338.30990000000003</v>
      </c>
    </row>
    <row r="12" spans="1:9" x14ac:dyDescent="0.25">
      <c r="A12" s="10" t="s">
        <v>142</v>
      </c>
      <c r="B12" s="10" t="s">
        <v>143</v>
      </c>
      <c r="C12" t="str">
        <f>_xll.BDP(A12, "PX_LAST")</f>
        <v>#N/A N/A</v>
      </c>
      <c r="G12" s="11" t="s">
        <v>17</v>
      </c>
      <c r="H12" s="11" t="s">
        <v>144</v>
      </c>
      <c r="I12">
        <f>_xll.BDP(G12, "PX_LAST")</f>
        <v>343.34</v>
      </c>
    </row>
    <row r="13" spans="1:9" x14ac:dyDescent="0.25">
      <c r="A13" s="10" t="s">
        <v>145</v>
      </c>
      <c r="B13" s="10" t="s">
        <v>146</v>
      </c>
      <c r="C13" t="str">
        <f>_xll.BDP(A13, "PX_LAST")</f>
        <v>#N/A N/A</v>
      </c>
      <c r="G13" s="11" t="s">
        <v>29</v>
      </c>
      <c r="H13" s="11" t="s">
        <v>147</v>
      </c>
      <c r="I13">
        <f>_xll.BDP(G13, "PX_LAST")</f>
        <v>336.06</v>
      </c>
    </row>
    <row r="14" spans="1:9" x14ac:dyDescent="0.25">
      <c r="A14" s="10" t="s">
        <v>148</v>
      </c>
      <c r="B14" s="10" t="s">
        <v>149</v>
      </c>
      <c r="C14" t="str">
        <f>_xll.BDP(A14, "PX_LAST")</f>
        <v>#N/A N/A</v>
      </c>
      <c r="G14" t="s">
        <v>150</v>
      </c>
      <c r="H14" t="s">
        <v>151</v>
      </c>
      <c r="I14" t="str">
        <f>_xll.BDP(G14, "PX_LAST")</f>
        <v>#N/A N/A</v>
      </c>
    </row>
    <row r="15" spans="1:9" x14ac:dyDescent="0.25">
      <c r="A15" s="10" t="s">
        <v>152</v>
      </c>
      <c r="B15" s="10" t="s">
        <v>153</v>
      </c>
      <c r="C15" t="str">
        <f>_xll.BDP(A15, "PX_LAST")</f>
        <v>#N/A N/A</v>
      </c>
      <c r="G15" t="s">
        <v>154</v>
      </c>
      <c r="H15" t="s">
        <v>155</v>
      </c>
      <c r="I15" t="str">
        <f>_xll.BDP(G15, "PX_LAST")</f>
        <v>#N/A N/A</v>
      </c>
    </row>
    <row r="16" spans="1:9" x14ac:dyDescent="0.25">
      <c r="A16" s="10" t="s">
        <v>156</v>
      </c>
      <c r="B16" s="10" t="s">
        <v>157</v>
      </c>
      <c r="C16" t="str">
        <f>_xll.BDP(A16, "PX_LAST")</f>
        <v>#N/A N/A</v>
      </c>
      <c r="G16" t="s">
        <v>158</v>
      </c>
      <c r="H16" t="s">
        <v>159</v>
      </c>
      <c r="I16" t="str">
        <f>_xll.BDP(G16, "PX_LAST")</f>
        <v>#N/A N/A</v>
      </c>
    </row>
    <row r="17" spans="1:9" x14ac:dyDescent="0.25">
      <c r="A17" s="10" t="s">
        <v>160</v>
      </c>
      <c r="B17" s="10" t="s">
        <v>161</v>
      </c>
      <c r="C17" t="str">
        <f>_xll.BDP(A17, "PX_LAST")</f>
        <v>#N/A N/A</v>
      </c>
      <c r="G17" t="s">
        <v>162</v>
      </c>
      <c r="H17" t="s">
        <v>163</v>
      </c>
      <c r="I17" t="str">
        <f>_xll.BDP(G17, "PX_LAST")</f>
        <v>#N/A N/A</v>
      </c>
    </row>
    <row r="18" spans="1:9" x14ac:dyDescent="0.25">
      <c r="A18" s="10" t="s">
        <v>164</v>
      </c>
      <c r="B18" s="10" t="s">
        <v>165</v>
      </c>
      <c r="C18" t="str">
        <f>_xll.BDP(A18, "PX_LAST")</f>
        <v>#N/A N/A</v>
      </c>
      <c r="G18" t="s">
        <v>166</v>
      </c>
      <c r="H18" t="s">
        <v>167</v>
      </c>
      <c r="I18" t="str">
        <f>_xll.BDP(G18, "PX_LAST")</f>
        <v>#N/A N/A</v>
      </c>
    </row>
    <row r="19" spans="1:9" x14ac:dyDescent="0.25">
      <c r="A19" s="10" t="s">
        <v>168</v>
      </c>
      <c r="B19" s="10" t="s">
        <v>169</v>
      </c>
      <c r="C19" t="str">
        <f>_xll.BDP(A19, "PX_LAST")</f>
        <v>#N/A N/A</v>
      </c>
      <c r="G19" t="s">
        <v>170</v>
      </c>
      <c r="H19" t="s">
        <v>171</v>
      </c>
      <c r="I19" t="str">
        <f>_xll.BDP(G19, "PX_LAST")</f>
        <v>#N/A N/A</v>
      </c>
    </row>
    <row r="20" spans="1:9" x14ac:dyDescent="0.25">
      <c r="A20" s="9" t="s">
        <v>172</v>
      </c>
      <c r="B20" s="9" t="s">
        <v>173</v>
      </c>
      <c r="C20" t="str">
        <f>_xll.BDP(A20, "PX_LAST")</f>
        <v>#N/A N/A</v>
      </c>
      <c r="G20" t="s">
        <v>174</v>
      </c>
      <c r="H20" t="s">
        <v>175</v>
      </c>
      <c r="I20" t="str">
        <f>_xll.BDP(G20, "PX_LAST")</f>
        <v>#N/A N/A</v>
      </c>
    </row>
    <row r="21" spans="1:9" x14ac:dyDescent="0.25">
      <c r="A21" s="9" t="s">
        <v>176</v>
      </c>
      <c r="B21" s="9" t="s">
        <v>177</v>
      </c>
      <c r="C21" t="str">
        <f>_xll.BDP(A21, "PX_LAST")</f>
        <v>#N/A N/A</v>
      </c>
      <c r="G21" t="s">
        <v>178</v>
      </c>
      <c r="H21" t="s">
        <v>179</v>
      </c>
      <c r="I21" t="str">
        <f>_xll.BDP(G21, "PX_LAST")</f>
        <v>#N/A N/A</v>
      </c>
    </row>
    <row r="22" spans="1:9" x14ac:dyDescent="0.25">
      <c r="A22" s="9" t="s">
        <v>180</v>
      </c>
      <c r="B22" s="9" t="s">
        <v>181</v>
      </c>
      <c r="C22" t="str">
        <f>_xll.BDP(A22, "PX_LAST")</f>
        <v>#N/A N/A</v>
      </c>
      <c r="G22" t="s">
        <v>182</v>
      </c>
      <c r="H22" t="s">
        <v>183</v>
      </c>
      <c r="I22" t="str">
        <f>_xll.BDP(G22, "PX_LAST")</f>
        <v>#N/A N/A</v>
      </c>
    </row>
    <row r="23" spans="1:9" x14ac:dyDescent="0.25">
      <c r="A23" s="9" t="s">
        <v>184</v>
      </c>
      <c r="B23" s="9" t="s">
        <v>185</v>
      </c>
      <c r="C23" t="str">
        <f>_xll.BDP(A23, "PX_LAST")</f>
        <v>#N/A N/A</v>
      </c>
      <c r="G23" t="s">
        <v>186</v>
      </c>
      <c r="H23" t="s">
        <v>187</v>
      </c>
      <c r="I23" t="str">
        <f>_xll.BDP(G23, "PX_LAST")</f>
        <v>#N/A N/A</v>
      </c>
    </row>
    <row r="24" spans="1:9" x14ac:dyDescent="0.25">
      <c r="A24" s="9" t="s">
        <v>188</v>
      </c>
      <c r="B24" s="9" t="s">
        <v>189</v>
      </c>
      <c r="C24" t="str">
        <f>_xll.BDP(A24, "PX_LAST")</f>
        <v>#N/A N/A</v>
      </c>
      <c r="G24" t="s">
        <v>190</v>
      </c>
      <c r="H24" t="s">
        <v>191</v>
      </c>
      <c r="I24" t="str">
        <f>_xll.BDP(G24, "PX_LAST")</f>
        <v>#N/A N/A</v>
      </c>
    </row>
    <row r="25" spans="1:9" x14ac:dyDescent="0.25">
      <c r="A25" s="9" t="s">
        <v>192</v>
      </c>
      <c r="B25" s="9" t="s">
        <v>193</v>
      </c>
      <c r="C25" t="str">
        <f>_xll.BDP(A25, "PX_LAST")</f>
        <v>#N/A N/A</v>
      </c>
      <c r="G25" t="s">
        <v>194</v>
      </c>
      <c r="H25" t="s">
        <v>195</v>
      </c>
      <c r="I25" t="str">
        <f>_xll.BDP(G25, "PX_LAST")</f>
        <v>#N/A N/A</v>
      </c>
    </row>
    <row r="26" spans="1:9" x14ac:dyDescent="0.25">
      <c r="A26" s="9" t="s">
        <v>196</v>
      </c>
      <c r="B26" s="9" t="s">
        <v>197</v>
      </c>
      <c r="C26" t="str">
        <f>_xll.BDP(A26, "PX_LAST")</f>
        <v>#N/A N/A</v>
      </c>
      <c r="G26" t="s">
        <v>198</v>
      </c>
      <c r="H26" t="s">
        <v>199</v>
      </c>
      <c r="I26" t="str">
        <f>_xll.BDP(G26, "PX_LAST")</f>
        <v>#N/A N/A</v>
      </c>
    </row>
    <row r="27" spans="1:9" x14ac:dyDescent="0.25">
      <c r="A27" s="9" t="s">
        <v>200</v>
      </c>
      <c r="B27" s="9" t="s">
        <v>201</v>
      </c>
      <c r="C27" t="str">
        <f>_xll.BDP(A27, "PX_LAST")</f>
        <v>#N/A N/A</v>
      </c>
      <c r="G27" t="s">
        <v>202</v>
      </c>
      <c r="H27" t="s">
        <v>203</v>
      </c>
      <c r="I27" t="str">
        <f>_xll.BDP(G27, "PX_LAST")</f>
        <v>#N/A N/A</v>
      </c>
    </row>
    <row r="28" spans="1:9" x14ac:dyDescent="0.25">
      <c r="A28" s="9" t="s">
        <v>204</v>
      </c>
      <c r="B28" s="9" t="s">
        <v>205</v>
      </c>
      <c r="C28" t="str">
        <f>_xll.BDP(A28, "PX_LAST")</f>
        <v>#N/A N/A</v>
      </c>
      <c r="G28" t="s">
        <v>206</v>
      </c>
      <c r="H28" t="s">
        <v>207</v>
      </c>
      <c r="I28" t="str">
        <f>_xll.BDP(G28, "PX_LAST")</f>
        <v>#N/A N/A</v>
      </c>
    </row>
    <row r="29" spans="1:9" x14ac:dyDescent="0.25">
      <c r="A29" s="9" t="s">
        <v>208</v>
      </c>
      <c r="B29" s="9" t="s">
        <v>209</v>
      </c>
      <c r="C29" t="str">
        <f>_xll.BDP(A29, "PX_LAST")</f>
        <v>#N/A N/A</v>
      </c>
      <c r="G29" t="s">
        <v>210</v>
      </c>
      <c r="H29" t="s">
        <v>211</v>
      </c>
      <c r="I29" t="str">
        <f>_xll.BDP(G29, "PX_LAST")</f>
        <v>#N/A N/A</v>
      </c>
    </row>
    <row r="30" spans="1:9" x14ac:dyDescent="0.25">
      <c r="A30" s="9" t="s">
        <v>212</v>
      </c>
      <c r="B30" s="9" t="s">
        <v>213</v>
      </c>
      <c r="C30" t="str">
        <f>_xll.BDP(A30, "PX_LAST")</f>
        <v>#N/A N/A</v>
      </c>
      <c r="G30" t="s">
        <v>214</v>
      </c>
      <c r="H30" t="s">
        <v>215</v>
      </c>
      <c r="I30" t="str">
        <f>_xll.BDP(G30, "PX_LAST")</f>
        <v>#N/A N/A</v>
      </c>
    </row>
    <row r="31" spans="1:9" x14ac:dyDescent="0.25">
      <c r="A31" s="9" t="s">
        <v>216</v>
      </c>
      <c r="B31" s="9" t="s">
        <v>217</v>
      </c>
      <c r="C31" t="str">
        <f>_xll.BDP(A31, "PX_LAST")</f>
        <v>#N/A N/A</v>
      </c>
      <c r="G31" t="s">
        <v>218</v>
      </c>
      <c r="H31" t="s">
        <v>219</v>
      </c>
      <c r="I31" t="str">
        <f>_xll.BDP(G31, "PX_LAST")</f>
        <v>#N/A N/A</v>
      </c>
    </row>
    <row r="32" spans="1:9" x14ac:dyDescent="0.25">
      <c r="A32" s="9" t="s">
        <v>220</v>
      </c>
      <c r="B32" s="9" t="s">
        <v>221</v>
      </c>
      <c r="C32" t="str">
        <f>_xll.BDP(A32, "PX_LAST")</f>
        <v>#N/A N/A</v>
      </c>
      <c r="G32" t="s">
        <v>222</v>
      </c>
      <c r="H32" t="s">
        <v>223</v>
      </c>
      <c r="I32" t="str">
        <f>_xll.BDP(G32, "PX_LAST")</f>
        <v>#N/A N/A</v>
      </c>
    </row>
    <row r="33" spans="1:9" x14ac:dyDescent="0.25">
      <c r="A33" s="9" t="s">
        <v>224</v>
      </c>
      <c r="B33" s="9" t="s">
        <v>225</v>
      </c>
      <c r="C33" t="str">
        <f>_xll.BDP(A33, "PX_LAST")</f>
        <v>#N/A N/A</v>
      </c>
      <c r="G33" t="s">
        <v>226</v>
      </c>
      <c r="H33" t="s">
        <v>227</v>
      </c>
      <c r="I33" t="str">
        <f>_xll.BDP(G33, "PX_LAST")</f>
        <v>#N/A N/A</v>
      </c>
    </row>
    <row r="34" spans="1:9" x14ac:dyDescent="0.25">
      <c r="A34" s="9" t="s">
        <v>228</v>
      </c>
      <c r="B34" s="9" t="s">
        <v>229</v>
      </c>
      <c r="C34" t="str">
        <f>_xll.BDP(A34, "PX_LAST")</f>
        <v>#N/A N/A</v>
      </c>
      <c r="G34" t="s">
        <v>230</v>
      </c>
      <c r="H34" t="s">
        <v>231</v>
      </c>
      <c r="I34" t="str">
        <f>_xll.BDP(G34, "PX_LAST")</f>
        <v>#N/A N/A</v>
      </c>
    </row>
    <row r="35" spans="1:9" x14ac:dyDescent="0.25">
      <c r="A35" s="9" t="s">
        <v>232</v>
      </c>
      <c r="B35" s="9" t="s">
        <v>233</v>
      </c>
      <c r="C35" t="str">
        <f>_xll.BDP(A35, "PX_LAST")</f>
        <v>#N/A N/A</v>
      </c>
      <c r="G35" t="s">
        <v>234</v>
      </c>
      <c r="H35" t="s">
        <v>235</v>
      </c>
      <c r="I35" t="str">
        <f>_xll.BDP(G35, "PX_LAST")</f>
        <v>#N/A N/A</v>
      </c>
    </row>
    <row r="36" spans="1:9" x14ac:dyDescent="0.25">
      <c r="A36" s="10" t="s">
        <v>236</v>
      </c>
      <c r="B36" s="10" t="s">
        <v>237</v>
      </c>
      <c r="C36" t="str">
        <f>_xll.BDP(A36, "PX_LAST")</f>
        <v>#N/A N/A</v>
      </c>
      <c r="G36" t="s">
        <v>238</v>
      </c>
      <c r="H36" t="s">
        <v>239</v>
      </c>
      <c r="I36" t="str">
        <f>_xll.BDP(G36, "PX_LAST")</f>
        <v>#N/A N/A</v>
      </c>
    </row>
    <row r="37" spans="1:9" x14ac:dyDescent="0.25">
      <c r="A37" s="10" t="s">
        <v>240</v>
      </c>
      <c r="B37" s="10" t="s">
        <v>241</v>
      </c>
      <c r="C37" t="str">
        <f>_xll.BDP(A37, "PX_LAST")</f>
        <v>#N/A N/A</v>
      </c>
      <c r="G37" t="s">
        <v>242</v>
      </c>
      <c r="H37" t="s">
        <v>243</v>
      </c>
      <c r="I37" t="str">
        <f>_xll.BDP(G37, "PX_LAST")</f>
        <v>#N/A N/A</v>
      </c>
    </row>
    <row r="38" spans="1:9" x14ac:dyDescent="0.25">
      <c r="A38" s="10" t="s">
        <v>244</v>
      </c>
      <c r="B38" s="10" t="s">
        <v>245</v>
      </c>
      <c r="C38" t="str">
        <f>_xll.BDP(A38, "PX_LAST")</f>
        <v>#N/A N/A</v>
      </c>
      <c r="G38" t="s">
        <v>246</v>
      </c>
      <c r="H38" t="s">
        <v>247</v>
      </c>
      <c r="I38" t="str">
        <f>_xll.BDP(G38, "PX_LAST")</f>
        <v>#N/A N/A</v>
      </c>
    </row>
    <row r="39" spans="1:9" x14ac:dyDescent="0.25">
      <c r="A39" s="10" t="s">
        <v>248</v>
      </c>
      <c r="B39" s="10" t="s">
        <v>249</v>
      </c>
      <c r="C39" t="str">
        <f>_xll.BDP(A39, "PX_LAST")</f>
        <v>#N/A N/A</v>
      </c>
      <c r="G39" t="s">
        <v>250</v>
      </c>
      <c r="H39" t="s">
        <v>251</v>
      </c>
      <c r="I39" t="str">
        <f>_xll.BDP(G39, "PX_LAST")</f>
        <v>#N/A N/A</v>
      </c>
    </row>
    <row r="40" spans="1:9" x14ac:dyDescent="0.25">
      <c r="A40" s="10" t="s">
        <v>252</v>
      </c>
      <c r="B40" s="10" t="s">
        <v>253</v>
      </c>
      <c r="C40" t="str">
        <f>_xll.BDP(A40, "PX_LAST")</f>
        <v>#N/A N/A</v>
      </c>
      <c r="G40" t="s">
        <v>254</v>
      </c>
      <c r="H40" t="s">
        <v>255</v>
      </c>
      <c r="I40" t="str">
        <f>_xll.BDP(G40, "PX_LAST")</f>
        <v>#N/A N/A</v>
      </c>
    </row>
    <row r="41" spans="1:9" x14ac:dyDescent="0.25">
      <c r="A41" s="9" t="s">
        <v>256</v>
      </c>
      <c r="B41" s="9" t="s">
        <v>257</v>
      </c>
      <c r="C41" t="str">
        <f>_xll.BDP(A41, "PX_LAST")</f>
        <v>#N/A N/A</v>
      </c>
      <c r="G41" t="s">
        <v>258</v>
      </c>
      <c r="H41" t="s">
        <v>259</v>
      </c>
      <c r="I41" t="str">
        <f>_xll.BDP(G41, "PX_LAST")</f>
        <v>#N/A N/A</v>
      </c>
    </row>
    <row r="42" spans="1:9" x14ac:dyDescent="0.25">
      <c r="A42" s="9" t="s">
        <v>260</v>
      </c>
      <c r="B42" s="9" t="s">
        <v>261</v>
      </c>
      <c r="C42" t="str">
        <f>_xll.BDP(A42, "PX_LAST")</f>
        <v>#N/A N/A</v>
      </c>
      <c r="G42" t="s">
        <v>262</v>
      </c>
      <c r="H42" t="s">
        <v>259</v>
      </c>
      <c r="I42" t="str">
        <f>_xll.BDP(G42, "PX_LAST")</f>
        <v>#N/A N/A</v>
      </c>
    </row>
    <row r="43" spans="1:9" x14ac:dyDescent="0.25">
      <c r="A43" s="9" t="s">
        <v>263</v>
      </c>
      <c r="B43" s="9" t="s">
        <v>264</v>
      </c>
      <c r="C43" t="str">
        <f>_xll.BDP(A43, "PX_LAST")</f>
        <v>#N/A N/A</v>
      </c>
      <c r="G43" t="s">
        <v>265</v>
      </c>
      <c r="H43" t="s">
        <v>259</v>
      </c>
      <c r="I43" t="str">
        <f>_xll.BDP(G43, "PX_LAST")</f>
        <v>#N/A N/A</v>
      </c>
    </row>
    <row r="44" spans="1:9" x14ac:dyDescent="0.25">
      <c r="A44" s="9" t="s">
        <v>266</v>
      </c>
      <c r="B44" s="9" t="s">
        <v>267</v>
      </c>
      <c r="C44" t="str">
        <f>_xll.BDP(A44, "PX_LAST")</f>
        <v>#N/A N/A</v>
      </c>
      <c r="G44" t="s">
        <v>268</v>
      </c>
      <c r="H44" t="s">
        <v>259</v>
      </c>
      <c r="I44" t="str">
        <f>_xll.BDP(G44, "PX_LAST")</f>
        <v>#N/A N/A</v>
      </c>
    </row>
    <row r="45" spans="1:9" x14ac:dyDescent="0.25">
      <c r="A45" s="9" t="s">
        <v>269</v>
      </c>
      <c r="B45" s="9" t="s">
        <v>270</v>
      </c>
      <c r="C45" t="str">
        <f>_xll.BDP(A45, "PX_LAST")</f>
        <v>#N/A N/A</v>
      </c>
      <c r="G45" t="s">
        <v>271</v>
      </c>
      <c r="H45" t="s">
        <v>259</v>
      </c>
      <c r="I45" t="str">
        <f>_xll.BDP(G45, "PX_LAST")</f>
        <v>#N/A N/A</v>
      </c>
    </row>
    <row r="46" spans="1:9" x14ac:dyDescent="0.25">
      <c r="A46" s="9" t="s">
        <v>272</v>
      </c>
      <c r="B46" s="9" t="s">
        <v>273</v>
      </c>
      <c r="C46" t="str">
        <f>_xll.BDP(A46, "PX_LAST")</f>
        <v>#N/A N/A</v>
      </c>
      <c r="G46" t="s">
        <v>274</v>
      </c>
      <c r="H46" t="s">
        <v>259</v>
      </c>
      <c r="I46" t="str">
        <f>_xll.BDP(G46, "PX_LAST")</f>
        <v>#N/A N/A</v>
      </c>
    </row>
    <row r="47" spans="1:9" x14ac:dyDescent="0.25">
      <c r="A47" s="9" t="s">
        <v>275</v>
      </c>
      <c r="B47" s="9" t="s">
        <v>276</v>
      </c>
      <c r="C47" t="str">
        <f>_xll.BDP(A47, "PX_LAST")</f>
        <v>#N/A N/A</v>
      </c>
      <c r="G47" t="s">
        <v>277</v>
      </c>
      <c r="H47" t="s">
        <v>278</v>
      </c>
      <c r="I47" t="str">
        <f>_xll.BDP(G47, "PX_LAST")</f>
        <v>#N/A N/A</v>
      </c>
    </row>
    <row r="48" spans="1:9" x14ac:dyDescent="0.25">
      <c r="A48" s="9" t="s">
        <v>279</v>
      </c>
      <c r="B48" s="9" t="s">
        <v>280</v>
      </c>
      <c r="C48" t="str">
        <f>_xll.BDP(A48, "PX_LAST")</f>
        <v>#N/A N/A</v>
      </c>
      <c r="G48" t="s">
        <v>281</v>
      </c>
      <c r="H48" t="s">
        <v>278</v>
      </c>
      <c r="I48" t="str">
        <f>_xll.BDP(G48, "PX_LAST")</f>
        <v>#N/A N/A</v>
      </c>
    </row>
    <row r="49" spans="1:9" x14ac:dyDescent="0.25">
      <c r="A49" s="9" t="s">
        <v>282</v>
      </c>
      <c r="B49" s="9" t="s">
        <v>283</v>
      </c>
      <c r="C49" t="str">
        <f>_xll.BDP(A49, "PX_LAST")</f>
        <v>#N/A N/A</v>
      </c>
      <c r="G49" t="s">
        <v>284</v>
      </c>
      <c r="H49" t="s">
        <v>278</v>
      </c>
      <c r="I49" t="str">
        <f>_xll.BDP(G49, "PX_LAST")</f>
        <v>#N/A N/A</v>
      </c>
    </row>
    <row r="50" spans="1:9" x14ac:dyDescent="0.25">
      <c r="A50" s="9" t="s">
        <v>285</v>
      </c>
      <c r="B50" s="9" t="s">
        <v>286</v>
      </c>
      <c r="C50" t="str">
        <f>_xll.BDP(A50, "PX_LAST")</f>
        <v>#N/A N/A</v>
      </c>
      <c r="G50" t="s">
        <v>287</v>
      </c>
      <c r="H50" t="s">
        <v>278</v>
      </c>
      <c r="I50" t="str">
        <f>_xll.BDP(G50, "PX_LAST")</f>
        <v>#N/A N/A</v>
      </c>
    </row>
    <row r="51" spans="1:9" x14ac:dyDescent="0.25">
      <c r="A51" s="9" t="s">
        <v>288</v>
      </c>
      <c r="B51" s="9" t="s">
        <v>289</v>
      </c>
      <c r="C51" t="str">
        <f>_xll.BDP(A51, "PX_LAST")</f>
        <v>#N/A N/A</v>
      </c>
      <c r="G51" t="s">
        <v>290</v>
      </c>
      <c r="H51" t="s">
        <v>291</v>
      </c>
      <c r="I51" t="str">
        <f>_xll.BDP(G51, "PX_LAST")</f>
        <v>#N/A N/A</v>
      </c>
    </row>
    <row r="52" spans="1:9" x14ac:dyDescent="0.25">
      <c r="A52" s="9" t="s">
        <v>292</v>
      </c>
      <c r="B52" s="9" t="s">
        <v>293</v>
      </c>
      <c r="C52" t="str">
        <f>_xll.BDP(A52, "PX_LAST")</f>
        <v>#N/A N/A</v>
      </c>
      <c r="G52" t="s">
        <v>294</v>
      </c>
      <c r="H52" t="s">
        <v>278</v>
      </c>
      <c r="I52" t="str">
        <f>_xll.BDP(G52, "PX_LAST")</f>
        <v>#N/A N/A</v>
      </c>
    </row>
    <row r="53" spans="1:9" x14ac:dyDescent="0.25">
      <c r="A53" s="9" t="s">
        <v>295</v>
      </c>
      <c r="B53" s="9" t="s">
        <v>296</v>
      </c>
      <c r="C53" t="str">
        <f>_xll.BDP(A53, "PX_LAST")</f>
        <v>#N/A N/A</v>
      </c>
      <c r="G53" t="s">
        <v>297</v>
      </c>
      <c r="H53" t="s">
        <v>298</v>
      </c>
      <c r="I53" t="str">
        <f>_xll.BDP(G53, "PX_LAST")</f>
        <v>#N/A N/A</v>
      </c>
    </row>
    <row r="54" spans="1:9" x14ac:dyDescent="0.25">
      <c r="A54" s="9" t="s">
        <v>299</v>
      </c>
      <c r="B54" s="9" t="s">
        <v>300</v>
      </c>
      <c r="C54" t="str">
        <f>_xll.BDP(A54, "PX_LAST")</f>
        <v>#N/A N/A</v>
      </c>
      <c r="G54" t="s">
        <v>301</v>
      </c>
      <c r="H54" t="s">
        <v>291</v>
      </c>
      <c r="I54" t="str">
        <f>_xll.BDP(G54, "PX_LAST")</f>
        <v>#N/A N/A</v>
      </c>
    </row>
    <row r="55" spans="1:9" x14ac:dyDescent="0.25">
      <c r="A55" s="9" t="s">
        <v>302</v>
      </c>
      <c r="B55" s="9" t="s">
        <v>303</v>
      </c>
      <c r="C55" t="str">
        <f>_xll.BDP(A55, "PX_LAST")</f>
        <v>#N/A N/A</v>
      </c>
      <c r="G55" t="s">
        <v>304</v>
      </c>
      <c r="H55" t="s">
        <v>305</v>
      </c>
      <c r="I55" t="str">
        <f>_xll.BDP(G55, "PX_LAST")</f>
        <v>#N/A N/A</v>
      </c>
    </row>
    <row r="56" spans="1:9" x14ac:dyDescent="0.25">
      <c r="A56" s="9" t="s">
        <v>306</v>
      </c>
      <c r="B56" s="9" t="s">
        <v>307</v>
      </c>
      <c r="C56" t="str">
        <f>_xll.BDP(A56, "PX_LAST")</f>
        <v>#N/A N/A</v>
      </c>
      <c r="G56" t="s">
        <v>308</v>
      </c>
      <c r="H56" t="s">
        <v>309</v>
      </c>
      <c r="I56" t="str">
        <f>_xll.BDP(G56, "PX_LAST")</f>
        <v>#N/A N/A</v>
      </c>
    </row>
    <row r="57" spans="1:9" x14ac:dyDescent="0.25">
      <c r="A57" s="9" t="s">
        <v>310</v>
      </c>
      <c r="B57" s="9" t="s">
        <v>311</v>
      </c>
      <c r="C57" t="str">
        <f>_xll.BDP(A57, "PX_LAST")</f>
        <v>#N/A N/A</v>
      </c>
      <c r="G57" t="s">
        <v>312</v>
      </c>
      <c r="H57" t="s">
        <v>313</v>
      </c>
      <c r="I57" t="str">
        <f>_xll.BDP(G57, "PX_LAST")</f>
        <v>#N/A N/A</v>
      </c>
    </row>
    <row r="58" spans="1:9" x14ac:dyDescent="0.25">
      <c r="A58" s="9" t="s">
        <v>314</v>
      </c>
      <c r="B58" s="9" t="s">
        <v>315</v>
      </c>
      <c r="C58" t="str">
        <f>_xll.BDP(A58, "PX_LAST")</f>
        <v>#N/A N/A</v>
      </c>
      <c r="G58" t="s">
        <v>316</v>
      </c>
      <c r="H58" t="s">
        <v>317</v>
      </c>
      <c r="I58" t="str">
        <f>_xll.BDP(G58, "PX_LAST")</f>
        <v>#N/A N/A</v>
      </c>
    </row>
    <row r="59" spans="1:9" x14ac:dyDescent="0.25">
      <c r="A59" s="9" t="s">
        <v>318</v>
      </c>
      <c r="B59" s="9" t="s">
        <v>319</v>
      </c>
      <c r="C59" t="str">
        <f>_xll.BDP(A59, "PX_LAST")</f>
        <v>#N/A N/A</v>
      </c>
      <c r="G59" t="s">
        <v>320</v>
      </c>
      <c r="H59" t="s">
        <v>321</v>
      </c>
      <c r="I59" t="str">
        <f>_xll.BDP(G59, "PX_LAST")</f>
        <v>#N/A N/A</v>
      </c>
    </row>
    <row r="60" spans="1:9" x14ac:dyDescent="0.25">
      <c r="A60" s="9" t="s">
        <v>322</v>
      </c>
      <c r="B60" s="9" t="s">
        <v>323</v>
      </c>
      <c r="C60" t="str">
        <f>_xll.BDP(A60, "PX_LAST")</f>
        <v>#N/A N/A</v>
      </c>
      <c r="G60" t="s">
        <v>324</v>
      </c>
      <c r="H60" t="s">
        <v>259</v>
      </c>
      <c r="I60" t="str">
        <f>_xll.BDP(G60, "PX_LAST")</f>
        <v>#N/A N/A</v>
      </c>
    </row>
    <row r="61" spans="1:9" x14ac:dyDescent="0.25">
      <c r="A61" s="9" t="s">
        <v>325</v>
      </c>
      <c r="B61" s="9" t="s">
        <v>326</v>
      </c>
      <c r="C61" t="str">
        <f>_xll.BDP(A61, "PX_LAST")</f>
        <v>#N/A N/A</v>
      </c>
      <c r="G61" t="s">
        <v>327</v>
      </c>
      <c r="H61" t="s">
        <v>259</v>
      </c>
      <c r="I61" t="str">
        <f>_xll.BDP(G61, "PX_LAST")</f>
        <v>#N/A N/A</v>
      </c>
    </row>
    <row r="62" spans="1:9" x14ac:dyDescent="0.25">
      <c r="A62" s="9" t="s">
        <v>328</v>
      </c>
      <c r="B62" s="9" t="s">
        <v>329</v>
      </c>
      <c r="C62" t="str">
        <f>_xll.BDP(A62, "PX_LAST")</f>
        <v>#N/A N/A</v>
      </c>
      <c r="G62" t="s">
        <v>330</v>
      </c>
      <c r="H62" t="s">
        <v>259</v>
      </c>
      <c r="I62" t="str">
        <f>_xll.BDP(G62, "PX_LAST")</f>
        <v>#N/A N/A</v>
      </c>
    </row>
    <row r="63" spans="1:9" x14ac:dyDescent="0.25">
      <c r="A63" s="9" t="s">
        <v>331</v>
      </c>
      <c r="B63" s="9" t="s">
        <v>332</v>
      </c>
      <c r="C63" t="str">
        <f>_xll.BDP(A63, "PX_LAST")</f>
        <v>#N/A N/A</v>
      </c>
      <c r="G63" t="s">
        <v>333</v>
      </c>
      <c r="H63" t="s">
        <v>259</v>
      </c>
      <c r="I63" t="str">
        <f>_xll.BDP(G63, "PX_LAST")</f>
        <v>#N/A N/A</v>
      </c>
    </row>
    <row r="64" spans="1:9" x14ac:dyDescent="0.25">
      <c r="A64" s="9" t="s">
        <v>334</v>
      </c>
      <c r="B64" s="9" t="s">
        <v>335</v>
      </c>
      <c r="C64" t="str">
        <f>_xll.BDP(A64, "PX_LAST")</f>
        <v>#N/A N/A</v>
      </c>
      <c r="G64" t="s">
        <v>336</v>
      </c>
      <c r="H64" t="s">
        <v>259</v>
      </c>
      <c r="I64" t="str">
        <f>_xll.BDP(G64, "PX_LAST")</f>
        <v>#N/A N/A</v>
      </c>
    </row>
    <row r="65" spans="1:9" x14ac:dyDescent="0.25">
      <c r="A65" s="9" t="s">
        <v>337</v>
      </c>
      <c r="B65" s="9" t="s">
        <v>338</v>
      </c>
      <c r="C65" t="str">
        <f>_xll.BDP(A65, "PX_LAST")</f>
        <v>#N/A N/A</v>
      </c>
      <c r="G65" t="s">
        <v>339</v>
      </c>
      <c r="H65" t="s">
        <v>278</v>
      </c>
      <c r="I65" t="str">
        <f>_xll.BDP(G65, "PX_LAST")</f>
        <v>#N/A N/A</v>
      </c>
    </row>
    <row r="66" spans="1:9" x14ac:dyDescent="0.25">
      <c r="A66" s="9" t="s">
        <v>340</v>
      </c>
      <c r="B66" s="9" t="s">
        <v>341</v>
      </c>
      <c r="C66" t="str">
        <f>_xll.BDP(A66, "PX_LAST")</f>
        <v>#N/A N/A</v>
      </c>
      <c r="G66" t="s">
        <v>342</v>
      </c>
      <c r="H66" t="s">
        <v>343</v>
      </c>
      <c r="I66" t="str">
        <f>_xll.BDP(G66, "PX_LAST")</f>
        <v>#N/A N/A</v>
      </c>
    </row>
    <row r="67" spans="1:9" x14ac:dyDescent="0.25">
      <c r="A67" s="9" t="s">
        <v>344</v>
      </c>
      <c r="B67" s="9" t="s">
        <v>345</v>
      </c>
      <c r="C67" t="str">
        <f>_xll.BDP(A67, "PX_LAST")</f>
        <v>#N/A N/A</v>
      </c>
      <c r="G67" t="s">
        <v>346</v>
      </c>
      <c r="H67" t="s">
        <v>347</v>
      </c>
      <c r="I67" t="str">
        <f>_xll.BDP(G67, "PX_LAST")</f>
        <v>#N/A N/A</v>
      </c>
    </row>
    <row r="68" spans="1:9" x14ac:dyDescent="0.25">
      <c r="A68" s="9" t="s">
        <v>348</v>
      </c>
      <c r="B68" s="9" t="s">
        <v>349</v>
      </c>
      <c r="C68" t="str">
        <f>_xll.BDP(A68, "PX_LAST")</f>
        <v>#N/A N/A</v>
      </c>
      <c r="G68" t="s">
        <v>350</v>
      </c>
      <c r="H68" t="s">
        <v>351</v>
      </c>
      <c r="I68" t="str">
        <f>_xll.BDP(G68, "PX_LAST")</f>
        <v>#N/A N/A</v>
      </c>
    </row>
    <row r="69" spans="1:9" x14ac:dyDescent="0.25">
      <c r="A69" s="9" t="s">
        <v>352</v>
      </c>
      <c r="B69" s="9" t="s">
        <v>353</v>
      </c>
      <c r="C69" t="str">
        <f>_xll.BDP(A69, "PX_LAST")</f>
        <v>#N/A N/A</v>
      </c>
      <c r="G69" t="s">
        <v>354</v>
      </c>
      <c r="H69" t="s">
        <v>355</v>
      </c>
      <c r="I69" t="str">
        <f>_xll.BDP(G69, "PX_LAST")</f>
        <v>#N/A N/A</v>
      </c>
    </row>
    <row r="70" spans="1:9" x14ac:dyDescent="0.25">
      <c r="A70" s="9" t="s">
        <v>356</v>
      </c>
      <c r="B70" s="9" t="s">
        <v>357</v>
      </c>
      <c r="C70" t="str">
        <f>_xll.BDP(A70, "PX_LAST")</f>
        <v>#N/A N/A</v>
      </c>
      <c r="G70" t="s">
        <v>358</v>
      </c>
      <c r="H70" t="s">
        <v>359</v>
      </c>
      <c r="I70" t="str">
        <f>_xll.BDP(G70, "PX_LAST")</f>
        <v>#N/A N/A</v>
      </c>
    </row>
    <row r="71" spans="1:9" x14ac:dyDescent="0.25">
      <c r="A71" s="9" t="s">
        <v>360</v>
      </c>
      <c r="B71" s="9" t="s">
        <v>361</v>
      </c>
      <c r="C71" t="str">
        <f>_xll.BDP(A71, "PX_LAST")</f>
        <v>#N/A N/A</v>
      </c>
      <c r="G71" t="s">
        <v>362</v>
      </c>
      <c r="H71" t="s">
        <v>363</v>
      </c>
      <c r="I71" t="str">
        <f>_xll.BDP(G71, "PX_LAST")</f>
        <v>#N/A N/A</v>
      </c>
    </row>
    <row r="72" spans="1:9" x14ac:dyDescent="0.25">
      <c r="A72" s="9" t="s">
        <v>364</v>
      </c>
      <c r="B72" s="9" t="s">
        <v>365</v>
      </c>
      <c r="C72" t="str">
        <f>_xll.BDP(A72, "PX_LAST")</f>
        <v>#N/A N/A</v>
      </c>
      <c r="G72" t="s">
        <v>366</v>
      </c>
      <c r="H72" t="s">
        <v>367</v>
      </c>
      <c r="I72" t="str">
        <f>_xll.BDP(G72, "PX_LAST")</f>
        <v>#N/A N/A</v>
      </c>
    </row>
    <row r="73" spans="1:9" x14ac:dyDescent="0.25">
      <c r="A73" s="11" t="s">
        <v>19</v>
      </c>
      <c r="B73" s="11" t="s">
        <v>368</v>
      </c>
      <c r="C73">
        <f>_xll.BDP(A73, "PX_LAST")</f>
        <v>2.5910000000000002</v>
      </c>
      <c r="G73" t="s">
        <v>369</v>
      </c>
      <c r="H73" t="s">
        <v>370</v>
      </c>
      <c r="I73" t="str">
        <f>_xll.BDP(G73, "PX_LAST")</f>
        <v>#N/A N/A</v>
      </c>
    </row>
    <row r="74" spans="1:9" x14ac:dyDescent="0.25">
      <c r="A74" s="11" t="s">
        <v>23</v>
      </c>
      <c r="B74" s="11" t="s">
        <v>371</v>
      </c>
      <c r="C74">
        <f>_xll.BDP(A74, "PX_LAST")</f>
        <v>2.58</v>
      </c>
      <c r="G74" t="s">
        <v>372</v>
      </c>
      <c r="H74" t="s">
        <v>373</v>
      </c>
      <c r="I74" t="str">
        <f>_xll.BDP(G74, "PX_LAST")</f>
        <v>#N/A N/A</v>
      </c>
    </row>
    <row r="75" spans="1:9" x14ac:dyDescent="0.25">
      <c r="A75" s="11" t="s">
        <v>27</v>
      </c>
      <c r="B75" s="11" t="s">
        <v>374</v>
      </c>
      <c r="C75">
        <f>_xll.BDP(A75, "PX_LAST")</f>
        <v>2.57</v>
      </c>
      <c r="G75" t="s">
        <v>375</v>
      </c>
      <c r="H75" t="s">
        <v>376</v>
      </c>
      <c r="I75" t="str">
        <f>_xll.BDP(G75, "PX_LAST")</f>
        <v>#N/A N/A</v>
      </c>
    </row>
    <row r="76" spans="1:9" x14ac:dyDescent="0.25">
      <c r="A76" s="11" t="s">
        <v>31</v>
      </c>
      <c r="B76" s="11" t="s">
        <v>377</v>
      </c>
      <c r="C76">
        <f>_xll.BDP(A76, "PX_LAST")</f>
        <v>2.5581999999999998</v>
      </c>
      <c r="G76" t="s">
        <v>378</v>
      </c>
      <c r="H76" t="s">
        <v>379</v>
      </c>
      <c r="I76" t="str">
        <f>_xll.BDP(G76, "PX_LAST")</f>
        <v>#N/A N/A</v>
      </c>
    </row>
    <row r="77" spans="1:9" x14ac:dyDescent="0.25">
      <c r="A77" s="11" t="s">
        <v>35</v>
      </c>
      <c r="B77" s="11" t="s">
        <v>380</v>
      </c>
      <c r="C77">
        <f>_xll.BDP(A77, "PX_LAST")</f>
        <v>2.5459999999999998</v>
      </c>
      <c r="G77" t="s">
        <v>381</v>
      </c>
      <c r="H77" t="s">
        <v>382</v>
      </c>
      <c r="I77" t="str">
        <f>_xll.BDP(G77, "PX_LAST")</f>
        <v>#N/A N/A</v>
      </c>
    </row>
    <row r="78" spans="1:9" x14ac:dyDescent="0.25">
      <c r="A78" s="11" t="s">
        <v>41</v>
      </c>
      <c r="B78" s="11" t="s">
        <v>383</v>
      </c>
      <c r="C78">
        <f>_xll.BDP(A78, "PX_LAST")</f>
        <v>2.5310000000000001</v>
      </c>
      <c r="G78" t="s">
        <v>384</v>
      </c>
      <c r="H78" t="s">
        <v>385</v>
      </c>
      <c r="I78" t="str">
        <f>_xll.BDP(G78, "PX_LAST")</f>
        <v>#N/A N/A</v>
      </c>
    </row>
    <row r="79" spans="1:9" x14ac:dyDescent="0.25">
      <c r="A79" s="11" t="s">
        <v>46</v>
      </c>
      <c r="B79" s="11" t="s">
        <v>386</v>
      </c>
      <c r="C79">
        <f>_xll.BDP(A79, "PX_LAST")</f>
        <v>2.5148999999999999</v>
      </c>
      <c r="G79" t="s">
        <v>387</v>
      </c>
      <c r="H79" t="s">
        <v>388</v>
      </c>
      <c r="I79" t="str">
        <f>_xll.BDP(G79, "PX_LAST")</f>
        <v>#N/A N/A</v>
      </c>
    </row>
    <row r="80" spans="1:9" x14ac:dyDescent="0.25">
      <c r="A80" s="11" t="s">
        <v>50</v>
      </c>
      <c r="B80" s="11" t="s">
        <v>389</v>
      </c>
      <c r="C80">
        <f>_xll.BDP(A80, "PX_LAST")</f>
        <v>2.5019</v>
      </c>
    </row>
    <row r="81" spans="1:3" x14ac:dyDescent="0.25">
      <c r="A81" s="11" t="s">
        <v>55</v>
      </c>
      <c r="B81" s="11" t="s">
        <v>390</v>
      </c>
      <c r="C81">
        <f>_xll.BDP(A81, "PX_LAST")</f>
        <v>2.4912000000000001</v>
      </c>
    </row>
    <row r="82" spans="1:3" x14ac:dyDescent="0.25">
      <c r="A82" s="11" t="s">
        <v>61</v>
      </c>
      <c r="B82" s="11" t="s">
        <v>391</v>
      </c>
      <c r="C82">
        <f>_xll.BDP(A82, "PX_LAST")</f>
        <v>2.4866999999999999</v>
      </c>
    </row>
    <row r="83" spans="1:3" x14ac:dyDescent="0.25">
      <c r="A83" s="11" t="s">
        <v>392</v>
      </c>
      <c r="B83" s="11" t="s">
        <v>393</v>
      </c>
      <c r="C83">
        <f>_xll.BDP(A83, "PX_LAST")</f>
        <v>2.4722</v>
      </c>
    </row>
    <row r="84" spans="1:3" x14ac:dyDescent="0.25">
      <c r="A84" s="11" t="s">
        <v>66</v>
      </c>
      <c r="B84" s="11" t="s">
        <v>394</v>
      </c>
      <c r="C84">
        <f>_xll.BDP(A84, "PX_LAST")</f>
        <v>2.4542999999999999</v>
      </c>
    </row>
    <row r="85" spans="1:3" x14ac:dyDescent="0.25">
      <c r="A85" s="11" t="s">
        <v>70</v>
      </c>
      <c r="B85" s="11" t="s">
        <v>395</v>
      </c>
      <c r="C85">
        <f>_xll.BDP(A85, "PX_LAST")</f>
        <v>2.4260999999999999</v>
      </c>
    </row>
    <row r="86" spans="1:3" x14ac:dyDescent="0.25">
      <c r="A86" s="11" t="s">
        <v>72</v>
      </c>
      <c r="B86" s="11" t="s">
        <v>396</v>
      </c>
      <c r="C86">
        <f>_xll.BDP(A86, "PX_LAST")</f>
        <v>2.395</v>
      </c>
    </row>
    <row r="87" spans="1:3" x14ac:dyDescent="0.25">
      <c r="A87" s="11" t="s">
        <v>73</v>
      </c>
      <c r="B87" s="11" t="s">
        <v>397</v>
      </c>
      <c r="C87">
        <f>_xll.BDP(A87, "PX_LAST")</f>
        <v>2.391</v>
      </c>
    </row>
    <row r="88" spans="1:3" x14ac:dyDescent="0.25">
      <c r="A88" s="8" t="s">
        <v>398</v>
      </c>
      <c r="B88" s="8" t="s">
        <v>399</v>
      </c>
      <c r="C88" t="str">
        <f>_xll.BDP(A88, "PX_LAST")</f>
        <v>#N/A N/A</v>
      </c>
    </row>
    <row r="89" spans="1:3" x14ac:dyDescent="0.25">
      <c r="A89" s="8" t="s">
        <v>400</v>
      </c>
      <c r="B89" s="8" t="s">
        <v>401</v>
      </c>
      <c r="C89" t="str">
        <f>_xll.BDP(A89, "PX_LAST")</f>
        <v>#N/A N/A</v>
      </c>
    </row>
    <row r="90" spans="1:3" x14ac:dyDescent="0.25">
      <c r="A90" s="8" t="s">
        <v>402</v>
      </c>
      <c r="B90" s="8" t="s">
        <v>403</v>
      </c>
      <c r="C90" t="str">
        <f>_xll.BDP(A90, "PX_LAST")</f>
        <v>#N/A N/A</v>
      </c>
    </row>
    <row r="91" spans="1:3" x14ac:dyDescent="0.25">
      <c r="A91" s="8" t="s">
        <v>404</v>
      </c>
      <c r="B91" s="8" t="s">
        <v>405</v>
      </c>
      <c r="C91" t="str">
        <f>_xll.BDP(A91, "PX_LAST")</f>
        <v>#N/A N/A</v>
      </c>
    </row>
    <row r="92" spans="1:3" x14ac:dyDescent="0.25">
      <c r="A92" s="8" t="s">
        <v>406</v>
      </c>
      <c r="B92" s="8" t="s">
        <v>407</v>
      </c>
      <c r="C92" t="str">
        <f>_xll.BDP(A92, "PX_LAST")</f>
        <v>#N/A N/A</v>
      </c>
    </row>
    <row r="93" spans="1:3" x14ac:dyDescent="0.25">
      <c r="A93" s="8" t="s">
        <v>408</v>
      </c>
      <c r="B93" s="8" t="s">
        <v>409</v>
      </c>
      <c r="C93" t="str">
        <f>_xll.BDP(A93, "PX_LAST")</f>
        <v>#N/A N/A</v>
      </c>
    </row>
    <row r="94" spans="1:3" x14ac:dyDescent="0.25">
      <c r="A94" s="8" t="s">
        <v>410</v>
      </c>
      <c r="B94" s="8" t="s">
        <v>411</v>
      </c>
      <c r="C94" t="str">
        <f>_xll.BDP(A94, "PX_LAST")</f>
        <v>#N/A N/A</v>
      </c>
    </row>
    <row r="95" spans="1:3" x14ac:dyDescent="0.25">
      <c r="A95" s="8" t="s">
        <v>412</v>
      </c>
      <c r="B95" s="8" t="s">
        <v>413</v>
      </c>
      <c r="C95" t="str">
        <f>_xll.BDP(A95, "PX_LAST")</f>
        <v>#N/A N/A</v>
      </c>
    </row>
    <row r="96" spans="1:3" x14ac:dyDescent="0.25">
      <c r="A96" s="8" t="s">
        <v>414</v>
      </c>
      <c r="B96" s="8" t="s">
        <v>415</v>
      </c>
      <c r="C96" t="str">
        <f>_xll.BDP(A96, "PX_LAST")</f>
        <v>#N/A N/A</v>
      </c>
    </row>
    <row r="97" spans="1:3" x14ac:dyDescent="0.25">
      <c r="A97" s="8" t="s">
        <v>416</v>
      </c>
      <c r="B97" s="8" t="s">
        <v>417</v>
      </c>
      <c r="C97" t="str">
        <f>_xll.BDP(A97, "PX_LAST")</f>
        <v>#N/A N/A</v>
      </c>
    </row>
    <row r="98" spans="1:3" x14ac:dyDescent="0.25">
      <c r="A98" s="8" t="s">
        <v>418</v>
      </c>
      <c r="B98" s="8" t="s">
        <v>419</v>
      </c>
      <c r="C98" t="str">
        <f>_xll.BDP(A98, "PX_LAST")</f>
        <v>#N/A N/A</v>
      </c>
    </row>
    <row r="99" spans="1:3" x14ac:dyDescent="0.25">
      <c r="A99" s="8" t="s">
        <v>420</v>
      </c>
      <c r="B99" s="8" t="s">
        <v>421</v>
      </c>
      <c r="C99" t="str">
        <f>_xll.BDP(A99, "PX_LAST")</f>
        <v>#N/A N/A</v>
      </c>
    </row>
    <row r="100" spans="1:3" x14ac:dyDescent="0.25">
      <c r="A100" s="8" t="s">
        <v>422</v>
      </c>
      <c r="B100" s="8" t="s">
        <v>423</v>
      </c>
      <c r="C100" t="str">
        <f>_xll.BDP(A100, "PX_LAST")</f>
        <v>#N/A N/A</v>
      </c>
    </row>
    <row r="101" spans="1:3" x14ac:dyDescent="0.25">
      <c r="A101" s="8" t="s">
        <v>424</v>
      </c>
      <c r="B101" s="8" t="s">
        <v>425</v>
      </c>
      <c r="C101" t="str">
        <f>_xll.BDP(A101, "PX_LAST")</f>
        <v>#N/A N/A</v>
      </c>
    </row>
    <row r="102" spans="1:3" x14ac:dyDescent="0.25">
      <c r="A102" s="8" t="s">
        <v>426</v>
      </c>
      <c r="B102" s="8" t="s">
        <v>427</v>
      </c>
      <c r="C102" t="str">
        <f>_xll.BDP(A102, "PX_LAST")</f>
        <v>#N/A N/A</v>
      </c>
    </row>
    <row r="103" spans="1:3" x14ac:dyDescent="0.25">
      <c r="A103" s="8" t="s">
        <v>428</v>
      </c>
      <c r="B103" s="8" t="s">
        <v>429</v>
      </c>
      <c r="C103" t="str">
        <f>_xll.BDP(A103, "PX_LAST")</f>
        <v>#N/A N/A</v>
      </c>
    </row>
    <row r="104" spans="1:3" x14ac:dyDescent="0.25">
      <c r="A104" s="8" t="s">
        <v>430</v>
      </c>
      <c r="B104" s="8" t="s">
        <v>431</v>
      </c>
      <c r="C104" t="str">
        <f>_xll.BDP(A104, "PX_LAST")</f>
        <v>#N/A N/A</v>
      </c>
    </row>
    <row r="105" spans="1:3" x14ac:dyDescent="0.25">
      <c r="A105" s="8" t="s">
        <v>432</v>
      </c>
      <c r="B105" s="8" t="s">
        <v>433</v>
      </c>
      <c r="C105" t="str">
        <f>_xll.BDP(A105, "PX_LAST")</f>
        <v>#N/A N/A</v>
      </c>
    </row>
    <row r="106" spans="1:3" x14ac:dyDescent="0.25">
      <c r="A106" s="8" t="s">
        <v>434</v>
      </c>
      <c r="B106" s="8" t="s">
        <v>435</v>
      </c>
      <c r="C106" t="str">
        <f>_xll.BDP(A106, "PX_LAST")</f>
        <v>#N/A N/A</v>
      </c>
    </row>
    <row r="107" spans="1:3" x14ac:dyDescent="0.25">
      <c r="A107" s="8" t="s">
        <v>436</v>
      </c>
      <c r="B107" s="8" t="s">
        <v>437</v>
      </c>
      <c r="C107" t="str">
        <f>_xll.BDP(A107, "PX_LAST")</f>
        <v>#N/A N/A</v>
      </c>
    </row>
    <row r="108" spans="1:3" x14ac:dyDescent="0.25">
      <c r="A108" s="8" t="s">
        <v>438</v>
      </c>
      <c r="B108" s="8" t="s">
        <v>439</v>
      </c>
      <c r="C108" t="str">
        <f>_xll.BDP(A108, "PX_LAST")</f>
        <v>#N/A N/A</v>
      </c>
    </row>
    <row r="109" spans="1:3" x14ac:dyDescent="0.25">
      <c r="A109" s="8" t="s">
        <v>440</v>
      </c>
      <c r="B109" s="8" t="s">
        <v>441</v>
      </c>
      <c r="C109" t="str">
        <f>_xll.BDP(A109, "PX_LAST")</f>
        <v>#N/A N/A</v>
      </c>
    </row>
    <row r="110" spans="1:3" x14ac:dyDescent="0.25">
      <c r="A110" s="8" t="s">
        <v>442</v>
      </c>
      <c r="B110" s="8" t="s">
        <v>443</v>
      </c>
      <c r="C110" t="str">
        <f>_xll.BDP(A110, "PX_LAST")</f>
        <v>#N/A N/A</v>
      </c>
    </row>
    <row r="111" spans="1:3" x14ac:dyDescent="0.25">
      <c r="A111" s="8" t="s">
        <v>444</v>
      </c>
      <c r="B111" s="8" t="s">
        <v>445</v>
      </c>
      <c r="C111" t="str">
        <f>_xll.BDP(A111, "PX_LAST")</f>
        <v>#N/A N/A</v>
      </c>
    </row>
    <row r="112" spans="1:3" x14ac:dyDescent="0.25">
      <c r="A112" s="8" t="s">
        <v>446</v>
      </c>
      <c r="B112" s="8" t="s">
        <v>447</v>
      </c>
      <c r="C112" t="str">
        <f>_xll.BDP(A112, "PX_LAST")</f>
        <v>#N/A N/A</v>
      </c>
    </row>
    <row r="113" spans="1:3" x14ac:dyDescent="0.25">
      <c r="A113" s="8" t="s">
        <v>448</v>
      </c>
      <c r="B113" s="8" t="s">
        <v>449</v>
      </c>
      <c r="C113" t="str">
        <f>_xll.BDP(A113, "PX_LAST")</f>
        <v>#N/A N/A</v>
      </c>
    </row>
    <row r="114" spans="1:3" x14ac:dyDescent="0.25">
      <c r="A114" s="8" t="s">
        <v>450</v>
      </c>
      <c r="B114" s="8" t="s">
        <v>451</v>
      </c>
      <c r="C114" t="str">
        <f>_xll.BDP(A114, "PX_LAST")</f>
        <v>#N/A N/A</v>
      </c>
    </row>
    <row r="115" spans="1:3" x14ac:dyDescent="0.25">
      <c r="A115" s="8" t="s">
        <v>452</v>
      </c>
      <c r="B115" s="8" t="s">
        <v>453</v>
      </c>
      <c r="C115" t="str">
        <f>_xll.BDP(A115, "PX_LAST")</f>
        <v>#N/A N/A</v>
      </c>
    </row>
    <row r="116" spans="1:3" x14ac:dyDescent="0.25">
      <c r="A116" s="8" t="s">
        <v>454</v>
      </c>
      <c r="B116" s="8" t="s">
        <v>455</v>
      </c>
      <c r="C116" t="str">
        <f>_xll.BDP(A116, "PX_LAST")</f>
        <v>#N/A N/A</v>
      </c>
    </row>
    <row r="117" spans="1:3" x14ac:dyDescent="0.25">
      <c r="A117" s="8" t="s">
        <v>456</v>
      </c>
      <c r="B117" s="8" t="s">
        <v>457</v>
      </c>
      <c r="C117" t="str">
        <f>_xll.BDP(A117, "PX_LAST")</f>
        <v>#N/A N/A</v>
      </c>
    </row>
    <row r="118" spans="1:3" x14ac:dyDescent="0.25">
      <c r="A118" s="8" t="s">
        <v>458</v>
      </c>
      <c r="B118" s="8" t="s">
        <v>459</v>
      </c>
      <c r="C118" t="str">
        <f>_xll.BDP(A118, "PX_LAST")</f>
        <v>#N/A N/A</v>
      </c>
    </row>
    <row r="119" spans="1:3" x14ac:dyDescent="0.25">
      <c r="A119" s="8" t="s">
        <v>460</v>
      </c>
      <c r="B119" s="8" t="s">
        <v>461</v>
      </c>
      <c r="C119" t="str">
        <f>_xll.BDP(A119, "PX_LAST")</f>
        <v>#N/A N/A</v>
      </c>
    </row>
    <row r="120" spans="1:3" x14ac:dyDescent="0.25">
      <c r="A120" s="8" t="s">
        <v>462</v>
      </c>
      <c r="B120" s="8" t="s">
        <v>463</v>
      </c>
      <c r="C120" t="str">
        <f>_xll.BDP(A120, "PX_LAST")</f>
        <v>#N/A N/A</v>
      </c>
    </row>
    <row r="121" spans="1:3" x14ac:dyDescent="0.25">
      <c r="A121" s="8" t="s">
        <v>464</v>
      </c>
      <c r="B121" s="8" t="s">
        <v>465</v>
      </c>
      <c r="C121" t="str">
        <f>_xll.BDP(A121, "PX_LAST")</f>
        <v>#N/A N/A</v>
      </c>
    </row>
    <row r="122" spans="1:3" x14ac:dyDescent="0.25">
      <c r="A122" s="8" t="s">
        <v>466</v>
      </c>
      <c r="B122" s="8" t="s">
        <v>467</v>
      </c>
      <c r="C122" t="str">
        <f>_xll.BDP(A122, "PX_LAST")</f>
        <v>#N/A N/A</v>
      </c>
    </row>
    <row r="123" spans="1:3" x14ac:dyDescent="0.25">
      <c r="A123" s="8" t="s">
        <v>468</v>
      </c>
      <c r="B123" s="8" t="s">
        <v>469</v>
      </c>
      <c r="C123" t="str">
        <f>_xll.BDP(A123, "PX_LAST")</f>
        <v>#N/A N/A</v>
      </c>
    </row>
    <row r="124" spans="1:3" x14ac:dyDescent="0.25">
      <c r="A124" s="8" t="s">
        <v>470</v>
      </c>
      <c r="B124" s="8" t="s">
        <v>471</v>
      </c>
      <c r="C124" t="str">
        <f>_xll.BDP(A124, "PX_LAST")</f>
        <v>#N/A N/A</v>
      </c>
    </row>
    <row r="125" spans="1:3" x14ac:dyDescent="0.25">
      <c r="A125" s="8" t="s">
        <v>472</v>
      </c>
      <c r="B125" s="8" t="s">
        <v>473</v>
      </c>
      <c r="C125" t="str">
        <f>_xll.BDP(A125, "PX_LAST")</f>
        <v>#N/A N/A</v>
      </c>
    </row>
    <row r="126" spans="1:3" x14ac:dyDescent="0.25">
      <c r="A126" s="8" t="s">
        <v>474</v>
      </c>
      <c r="B126" s="8" t="s">
        <v>475</v>
      </c>
      <c r="C126" t="str">
        <f>_xll.BDP(A126, "PX_LAST")</f>
        <v>#N/A N/A</v>
      </c>
    </row>
    <row r="127" spans="1:3" x14ac:dyDescent="0.25">
      <c r="A127" s="8" t="s">
        <v>476</v>
      </c>
      <c r="B127" s="8" t="s">
        <v>477</v>
      </c>
      <c r="C127" t="str">
        <f>_xll.BDP(A127, "PX_LAST")</f>
        <v>#N/A N/A</v>
      </c>
    </row>
    <row r="128" spans="1:3" x14ac:dyDescent="0.25">
      <c r="A128" s="8" t="s">
        <v>478</v>
      </c>
      <c r="B128" s="8" t="s">
        <v>479</v>
      </c>
      <c r="C128" t="str">
        <f>_xll.BDP(A128, "PX_LAST")</f>
        <v>#N/A N/A</v>
      </c>
    </row>
    <row r="129" spans="1:3" x14ac:dyDescent="0.25">
      <c r="A129" s="8" t="s">
        <v>480</v>
      </c>
      <c r="B129" s="8" t="s">
        <v>481</v>
      </c>
      <c r="C129" t="str">
        <f>_xll.BDP(A129, "PX_LAST")</f>
        <v>#N/A N/A</v>
      </c>
    </row>
    <row r="130" spans="1:3" x14ac:dyDescent="0.25">
      <c r="A130" s="8" t="s">
        <v>482</v>
      </c>
      <c r="B130" s="8" t="s">
        <v>483</v>
      </c>
      <c r="C130" t="str">
        <f>_xll.BDP(A130, "PX_LAST")</f>
        <v>#N/A N/A</v>
      </c>
    </row>
    <row r="131" spans="1:3" x14ac:dyDescent="0.25">
      <c r="A131" s="8" t="s">
        <v>484</v>
      </c>
      <c r="B131" s="8" t="s">
        <v>485</v>
      </c>
      <c r="C131" t="str">
        <f>_xll.BDP(A131, "PX_LAST")</f>
        <v>#N/A N/A</v>
      </c>
    </row>
    <row r="132" spans="1:3" x14ac:dyDescent="0.25">
      <c r="A132" s="8" t="s">
        <v>486</v>
      </c>
      <c r="B132" s="8" t="s">
        <v>487</v>
      </c>
      <c r="C132" t="str">
        <f>_xll.BDP(A132, "PX_LAST")</f>
        <v>#N/A N/A</v>
      </c>
    </row>
    <row r="133" spans="1:3" x14ac:dyDescent="0.25">
      <c r="A133" s="8" t="s">
        <v>488</v>
      </c>
      <c r="B133" s="8" t="s">
        <v>489</v>
      </c>
      <c r="C133" t="str">
        <f>_xll.BDP(A133, "PX_LAST")</f>
        <v>#N/A N/A</v>
      </c>
    </row>
    <row r="134" spans="1:3" x14ac:dyDescent="0.25">
      <c r="A134" s="8" t="s">
        <v>490</v>
      </c>
      <c r="B134" s="8" t="s">
        <v>491</v>
      </c>
      <c r="C134" t="str">
        <f>_xll.BDP(A134, "PX_LAST")</f>
        <v>#N/A N/A</v>
      </c>
    </row>
    <row r="135" spans="1:3" x14ac:dyDescent="0.25">
      <c r="A135" s="8" t="s">
        <v>492</v>
      </c>
      <c r="B135" s="8" t="s">
        <v>493</v>
      </c>
      <c r="C135" t="str">
        <f>_xll.BDP(A135, "PX_LAST")</f>
        <v>#N/A N/A</v>
      </c>
    </row>
    <row r="136" spans="1:3" x14ac:dyDescent="0.25">
      <c r="A136" s="8" t="s">
        <v>494</v>
      </c>
      <c r="B136" s="8" t="s">
        <v>495</v>
      </c>
      <c r="C136" t="str">
        <f>_xll.BDP(A136, "PX_LAST")</f>
        <v>#N/A N/A</v>
      </c>
    </row>
    <row r="137" spans="1:3" x14ac:dyDescent="0.25">
      <c r="A137" s="8" t="s">
        <v>496</v>
      </c>
      <c r="B137" s="8" t="s">
        <v>497</v>
      </c>
      <c r="C137" t="str">
        <f>_xll.BDP(A137, "PX_LAST")</f>
        <v>#N/A N/A</v>
      </c>
    </row>
    <row r="138" spans="1:3" x14ac:dyDescent="0.25">
      <c r="A138" s="8" t="s">
        <v>498</v>
      </c>
      <c r="B138" s="8" t="s">
        <v>499</v>
      </c>
      <c r="C138" t="str">
        <f>_xll.BDP(A138, "PX_LAST")</f>
        <v>#N/A N/A</v>
      </c>
    </row>
    <row r="139" spans="1:3" x14ac:dyDescent="0.25">
      <c r="A139" s="8" t="s">
        <v>500</v>
      </c>
      <c r="B139" s="8" t="s">
        <v>501</v>
      </c>
      <c r="C139" t="str">
        <f>_xll.BDP(A139, "PX_LAST")</f>
        <v>#N/A N/A</v>
      </c>
    </row>
    <row r="140" spans="1:3" x14ac:dyDescent="0.25">
      <c r="A140" s="8" t="s">
        <v>502</v>
      </c>
      <c r="B140" s="8" t="s">
        <v>503</v>
      </c>
      <c r="C140" t="str">
        <f>_xll.BDP(A140, "PX_LAST")</f>
        <v>#N/A N/A</v>
      </c>
    </row>
    <row r="141" spans="1:3" x14ac:dyDescent="0.25">
      <c r="A141" s="8" t="s">
        <v>504</v>
      </c>
      <c r="B141" s="8" t="s">
        <v>505</v>
      </c>
      <c r="C141" t="str">
        <f>_xll.BDP(A141, "PX_LAST")</f>
        <v>#N/A N/A</v>
      </c>
    </row>
    <row r="142" spans="1:3" x14ac:dyDescent="0.25">
      <c r="A142" s="8" t="s">
        <v>506</v>
      </c>
      <c r="B142" s="8" t="s">
        <v>507</v>
      </c>
      <c r="C142" t="str">
        <f>_xll.BDP(A142, "PX_LAST")</f>
        <v>#N/A N/A</v>
      </c>
    </row>
    <row r="143" spans="1:3" x14ac:dyDescent="0.25">
      <c r="A143" s="8" t="s">
        <v>508</v>
      </c>
      <c r="B143" s="8" t="s">
        <v>509</v>
      </c>
      <c r="C143" t="str">
        <f>_xll.BDP(A143, "PX_LAST")</f>
        <v>#N/A N/A</v>
      </c>
    </row>
    <row r="144" spans="1:3" x14ac:dyDescent="0.25">
      <c r="A144" s="8" t="s">
        <v>510</v>
      </c>
      <c r="B144" s="8" t="s">
        <v>511</v>
      </c>
      <c r="C144" t="str">
        <f>_xll.BDP(A144, "PX_LAST")</f>
        <v>#N/A N/A</v>
      </c>
    </row>
    <row r="145" spans="1:3" x14ac:dyDescent="0.25">
      <c r="A145" s="8" t="s">
        <v>512</v>
      </c>
      <c r="B145" s="8" t="s">
        <v>513</v>
      </c>
      <c r="C145" t="str">
        <f>_xll.BDP(A145, "PX_LAST")</f>
        <v>#N/A N/A</v>
      </c>
    </row>
    <row r="146" spans="1:3" x14ac:dyDescent="0.25">
      <c r="A146" s="8" t="s">
        <v>514</v>
      </c>
      <c r="B146" s="8" t="s">
        <v>515</v>
      </c>
      <c r="C146" t="str">
        <f>_xll.BDP(A146, "PX_LAST")</f>
        <v>#N/A N/A</v>
      </c>
    </row>
    <row r="147" spans="1:3" x14ac:dyDescent="0.25">
      <c r="A147" s="8" t="s">
        <v>516</v>
      </c>
      <c r="B147" s="8" t="s">
        <v>517</v>
      </c>
      <c r="C147" t="str">
        <f>_xll.BDP(A147, "PX_LAST")</f>
        <v>#N/A N/A</v>
      </c>
    </row>
    <row r="148" spans="1:3" x14ac:dyDescent="0.25">
      <c r="A148" s="8" t="s">
        <v>518</v>
      </c>
      <c r="B148" s="8" t="s">
        <v>519</v>
      </c>
      <c r="C148" t="str">
        <f>_xll.BDP(A148, "PX_LAST")</f>
        <v>#N/A N/A</v>
      </c>
    </row>
    <row r="149" spans="1:3" x14ac:dyDescent="0.25">
      <c r="A149" s="8" t="s">
        <v>520</v>
      </c>
      <c r="B149" s="8" t="s">
        <v>521</v>
      </c>
      <c r="C149" t="str">
        <f>_xll.BDP(A149, "PX_LAST")</f>
        <v>#N/A N/A</v>
      </c>
    </row>
    <row r="150" spans="1:3" x14ac:dyDescent="0.25">
      <c r="A150" s="8" t="s">
        <v>522</v>
      </c>
      <c r="B150" s="8" t="s">
        <v>523</v>
      </c>
      <c r="C150" t="str">
        <f>_xll.BDP(A150, "PX_LAST")</f>
        <v>#N/A N/A</v>
      </c>
    </row>
    <row r="151" spans="1:3" x14ac:dyDescent="0.25">
      <c r="A151" s="8" t="s">
        <v>524</v>
      </c>
      <c r="B151" s="8" t="s">
        <v>525</v>
      </c>
      <c r="C151" t="str">
        <f>_xll.BDP(A151, "PX_LAST")</f>
        <v>#N/A N/A</v>
      </c>
    </row>
    <row r="152" spans="1:3" x14ac:dyDescent="0.25">
      <c r="A152" s="8" t="s">
        <v>526</v>
      </c>
      <c r="B152" s="8" t="s">
        <v>527</v>
      </c>
      <c r="C152" t="str">
        <f>_xll.BDP(A152, "PX_LAST")</f>
        <v>#N/A N/A</v>
      </c>
    </row>
    <row r="153" spans="1:3" x14ac:dyDescent="0.25">
      <c r="A153" s="8" t="s">
        <v>528</v>
      </c>
      <c r="B153" s="8" t="s">
        <v>529</v>
      </c>
      <c r="C153" t="str">
        <f>_xll.BDP(A153, "PX_LAST")</f>
        <v>#N/A N/A</v>
      </c>
    </row>
    <row r="154" spans="1:3" x14ac:dyDescent="0.25">
      <c r="A154" s="8" t="s">
        <v>530</v>
      </c>
      <c r="B154" s="8" t="s">
        <v>531</v>
      </c>
      <c r="C154" t="str">
        <f>_xll.BDP(A154, "PX_LAST")</f>
        <v>#N/A N/A</v>
      </c>
    </row>
    <row r="155" spans="1:3" x14ac:dyDescent="0.25">
      <c r="A155" s="8" t="s">
        <v>532</v>
      </c>
      <c r="B155" s="8" t="s">
        <v>533</v>
      </c>
      <c r="C155" t="str">
        <f>_xll.BDP(A155, "PX_LAST")</f>
        <v>#N/A N/A</v>
      </c>
    </row>
    <row r="156" spans="1:3" x14ac:dyDescent="0.25">
      <c r="A156" s="8" t="s">
        <v>534</v>
      </c>
      <c r="B156" s="8" t="s">
        <v>535</v>
      </c>
      <c r="C156" t="str">
        <f>_xll.BDP(A156, "PX_LAST")</f>
        <v>#N/A N/A</v>
      </c>
    </row>
    <row r="157" spans="1:3" x14ac:dyDescent="0.25">
      <c r="A157" s="8" t="s">
        <v>536</v>
      </c>
      <c r="B157" s="8" t="s">
        <v>537</v>
      </c>
      <c r="C157" t="str">
        <f>_xll.BDP(A157, "PX_LAST")</f>
        <v>#N/A N/A</v>
      </c>
    </row>
    <row r="158" spans="1:3" x14ac:dyDescent="0.25">
      <c r="A158" s="8" t="s">
        <v>538</v>
      </c>
      <c r="B158" s="8" t="s">
        <v>539</v>
      </c>
      <c r="C158" t="str">
        <f>_xll.BDP(A158, "PX_LAST")</f>
        <v>#N/A N/A</v>
      </c>
    </row>
    <row r="159" spans="1:3" x14ac:dyDescent="0.25">
      <c r="A159" s="8" t="s">
        <v>540</v>
      </c>
      <c r="B159" s="8" t="s">
        <v>541</v>
      </c>
      <c r="C159" t="str">
        <f>_xll.BDP(A159, "PX_LAST")</f>
        <v>#N/A N/A</v>
      </c>
    </row>
    <row r="160" spans="1:3" x14ac:dyDescent="0.25">
      <c r="A160" s="8" t="s">
        <v>542</v>
      </c>
      <c r="B160" s="8" t="s">
        <v>543</v>
      </c>
      <c r="C160" t="str">
        <f>_xll.BDP(A160, "PX_LAST")</f>
        <v>#N/A N/A</v>
      </c>
    </row>
    <row r="161" spans="1:3" x14ac:dyDescent="0.25">
      <c r="A161" s="8" t="s">
        <v>544</v>
      </c>
      <c r="B161" s="8" t="s">
        <v>545</v>
      </c>
      <c r="C161" t="str">
        <f>_xll.BDP(A161, "PX_LAST")</f>
        <v>#N/A N/A</v>
      </c>
    </row>
    <row r="162" spans="1:3" x14ac:dyDescent="0.25">
      <c r="A162" s="8" t="s">
        <v>546</v>
      </c>
      <c r="B162" s="8" t="s">
        <v>547</v>
      </c>
      <c r="C162" t="str">
        <f>_xll.BDP(A162, "PX_LAST")</f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CPURNSA</vt:lpstr>
      <vt:lpstr>UKRPI</vt:lpstr>
      <vt:lpstr>Sheet3</vt:lpstr>
      <vt:lpstr>LaggedEOM</vt:lpstr>
      <vt:lpstr>LaggedEOMuk</vt:lpstr>
      <vt:lpstr>spotDate</vt:lpstr>
      <vt:lpstr>strippingDate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Gazzano, Pierre</dc:creator>
  <cp:keywords/>
  <dc:description/>
  <cp:lastModifiedBy>Gazzano, Pierre</cp:lastModifiedBy>
  <cp:revision/>
  <dcterms:created xsi:type="dcterms:W3CDTF">2026-06-22T15:32:48Z</dcterms:created>
  <dcterms:modified xsi:type="dcterms:W3CDTF">2026-09-11T15:34:41Z</dcterms:modified>
  <cp:category/>
  <cp:contentStatus/>
</cp:coreProperties>
</file>
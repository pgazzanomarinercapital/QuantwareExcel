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4333" documentId="8_{DD85AE4E-1E97-4D1C-81B0-E30CA46BCCB1}" xr6:coauthVersionLast="47" xr6:coauthVersionMax="47" xr10:uidLastSave="{8798620B-ADED-405D-A19E-E1786FA6D402}"/>
  <bookViews>
    <workbookView xWindow="465" yWindow="690" windowWidth="18840" windowHeight="10695" tabRatio="718" firstSheet="1" activeTab="3" xr2:uid="{C448CA47-130C-4FDA-ADE2-BAEF8A55A592}"/>
  </bookViews>
  <sheets>
    <sheet name="1085913817 MMFuture" sheetId="5" r:id="rId1"/>
    <sheet name="836650090 USD IRDSwap SOFR" sheetId="6" r:id="rId2"/>
    <sheet name="1103709551 BondFuture" sheetId="7" r:id="rId3"/>
    <sheet name="GILT Bond at 04-22" sheetId="8" r:id="rId4"/>
    <sheet name="197460229  Bond call CARV" sheetId="1" r:id="rId5"/>
    <sheet name="226694506 ConvertibleBond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8" l="1"/>
  <c r="E45" i="8"/>
  <c r="C49" i="8"/>
  <c r="C48" i="8"/>
  <c r="C17" i="8"/>
  <c r="E17" i="8"/>
  <c r="H7" i="8"/>
  <c r="E18" i="8"/>
  <c r="C19" i="8"/>
  <c r="E19" i="8"/>
  <c r="H8" i="8" s="1"/>
  <c r="C69" i="8"/>
  <c r="C98" i="8"/>
  <c r="E98" i="8"/>
  <c r="C81" i="8"/>
  <c r="E81" i="8"/>
  <c r="C68" i="8"/>
  <c r="C18" i="8"/>
  <c r="C74" i="8"/>
  <c r="C16" i="8"/>
  <c r="C15" i="8" s="1"/>
  <c r="C12" i="8"/>
  <c r="C11" i="8"/>
  <c r="C13" i="8" s="1"/>
  <c r="C14" i="8" s="1"/>
  <c r="E12" i="8"/>
  <c r="E11" i="8"/>
  <c r="E13" i="8"/>
  <c r="H5" i="8" s="1"/>
  <c r="H6" i="8" s="1"/>
  <c r="E69" i="8"/>
  <c r="E68" i="8"/>
  <c r="E49" i="8"/>
  <c r="C15" i="1"/>
  <c r="N5" i="8"/>
  <c r="D45" i="5"/>
  <c r="C14" i="7"/>
  <c r="D9" i="8"/>
  <c r="C16" i="7"/>
  <c r="C15" i="7"/>
  <c r="R5" i="6"/>
  <c r="N7" i="6"/>
  <c r="N8" i="6"/>
  <c r="N6" i="6"/>
  <c r="P6" i="6"/>
  <c r="L12" i="6"/>
  <c r="L15" i="6"/>
  <c r="L14" i="6"/>
  <c r="L13" i="6"/>
  <c r="M5" i="6"/>
  <c r="M6" i="6"/>
  <c r="M7" i="6"/>
  <c r="M8" i="6"/>
  <c r="C18" i="6"/>
  <c r="C48" i="6"/>
  <c r="C44" i="6" s="1"/>
  <c r="O13" i="6"/>
  <c r="O14" i="6"/>
  <c r="O15" i="6"/>
  <c r="O12" i="6"/>
  <c r="P5" i="6"/>
  <c r="D81" i="5"/>
  <c r="D80" i="5"/>
  <c r="D79" i="5"/>
  <c r="D44" i="5"/>
  <c r="C8" i="5"/>
  <c r="D15" i="5" s="1"/>
  <c r="D72" i="5"/>
  <c r="D73" i="5"/>
  <c r="D71" i="5"/>
  <c r="C17" i="3"/>
  <c r="D16" i="5"/>
  <c r="C71" i="3"/>
  <c r="I52" i="3"/>
  <c r="F53" i="3"/>
  <c r="I53" i="3" s="1"/>
  <c r="I54" i="3"/>
  <c r="I55" i="3"/>
  <c r="I56" i="3"/>
  <c r="I57" i="3"/>
  <c r="I59" i="3"/>
  <c r="I60" i="3"/>
  <c r="I61" i="3"/>
  <c r="C21" i="1"/>
  <c r="C47" i="1"/>
  <c r="C19" i="1"/>
  <c r="C18" i="1"/>
  <c r="C17" i="1" s="1"/>
  <c r="C13" i="1"/>
  <c r="C14" i="1" s="1"/>
  <c r="C16" i="1" s="1"/>
  <c r="H9" i="8" l="1"/>
  <c r="H10" i="8"/>
  <c r="E16" i="8"/>
  <c r="E15" i="8" s="1"/>
  <c r="E14" i="8"/>
  <c r="H12" i="8" s="1"/>
  <c r="C72" i="8"/>
  <c r="E48" i="8"/>
  <c r="E74" i="8"/>
  <c r="E72" i="8"/>
  <c r="P8" i="6"/>
  <c r="R8" i="6"/>
  <c r="P7" i="6"/>
  <c r="R7" i="6"/>
  <c r="R6" i="6"/>
  <c r="C79" i="6"/>
  <c r="C80" i="6" s="1"/>
  <c r="C81" i="6" s="1"/>
  <c r="C16" i="6"/>
  <c r="C15" i="6"/>
  <c r="C14" i="6" s="1"/>
  <c r="D14" i="5"/>
  <c r="C76" i="3"/>
  <c r="C74" i="3"/>
  <c r="C19" i="3"/>
  <c r="C18" i="3"/>
  <c r="C56" i="3"/>
  <c r="C93" i="3"/>
  <c r="C90" i="3"/>
  <c r="C13" i="3"/>
  <c r="C14" i="3" s="1"/>
  <c r="C15" i="3" s="1"/>
  <c r="C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Gazzano, Pierre</author>
  </authors>
  <commentList>
    <comment ref="A12" authorId="0" shapeId="0" xr:uid="{F4E5B750-3399-4636-81B9-CCFC88BCA362}">
      <text>
        <r>
          <rPr>
            <b/>
            <sz val="9"/>
            <color indexed="81"/>
            <rFont val="Tahoma"/>
            <family val="2"/>
          </rPr>
          <t xml:space="preserve">Utilise pour les YieldToMaturity
</t>
        </r>
      </text>
    </comment>
  </commentList>
</comments>
</file>

<file path=xl/sharedStrings.xml><?xml version="1.0" encoding="utf-8"?>
<sst xmlns="http://schemas.openxmlformats.org/spreadsheetml/2006/main" count="755" uniqueCount="231">
  <si>
    <t>Value Date</t>
  </si>
  <si>
    <t>Description</t>
  </si>
  <si>
    <t>Instrument Id</t>
  </si>
  <si>
    <t>Instrument Type</t>
  </si>
  <si>
    <t>Notional Quantity</t>
  </si>
  <si>
    <t>Native Average Cost</t>
  </si>
  <si>
    <t>Fair Value</t>
  </si>
  <si>
    <t>Native NMV</t>
  </si>
  <si>
    <t>$ NMV</t>
  </si>
  <si>
    <t>Dirty NMV</t>
  </si>
  <si>
    <t>$ Dirty NMV</t>
  </si>
  <si>
    <t>$ P&amp;L</t>
  </si>
  <si>
    <t>$ Total Unrealized</t>
  </si>
  <si>
    <t>$ Trading Unrealized</t>
  </si>
  <si>
    <t>$ FX Unrealized Contribution</t>
  </si>
  <si>
    <t>$ Accrued Interest</t>
  </si>
  <si>
    <t>$ Financing Accrued Interest</t>
  </si>
  <si>
    <t>$ Unrealized Fees and Commissions</t>
  </si>
  <si>
    <t>$ Accrued Dividends Fees</t>
  </si>
  <si>
    <t>$ Accrued Dividends Withholding Tax</t>
  </si>
  <si>
    <t>$ Accrued Dividends</t>
  </si>
  <si>
    <t>TRS FX Unrealized Adjustment</t>
  </si>
  <si>
    <t>$ Accrued Cost Of Carry</t>
  </si>
  <si>
    <t>$ Accrued Delayed Compensation</t>
  </si>
  <si>
    <t>$ Other Accrued Interest</t>
  </si>
  <si>
    <t>$ Other Accrued Dividends</t>
  </si>
  <si>
    <t>$ Other Accrued Dividends Withholding Tax</t>
  </si>
  <si>
    <t>$ Other Financing Accrued Interest</t>
  </si>
  <si>
    <t>$ Accrual Fees</t>
  </si>
  <si>
    <t>$ Transfer Trading Realized</t>
  </si>
  <si>
    <t>$ Transfer Fees and Commissions</t>
  </si>
  <si>
    <t>$ Transfer FX Realized</t>
  </si>
  <si>
    <t>$ Transfer Accrued Dividend</t>
  </si>
  <si>
    <t>$ Transfer Accrued Dividend Withholding Tax</t>
  </si>
  <si>
    <t>$ Transfer Paid Dividend</t>
  </si>
  <si>
    <t>$ Transfer Paid Dividend Withholding Tax</t>
  </si>
  <si>
    <t>$ Transfer Financing Accrued Interest</t>
  </si>
  <si>
    <t>$ Transfer Financing Interest</t>
  </si>
  <si>
    <t>$ Transfer Accrued Interest</t>
  </si>
  <si>
    <t>$ Transfer Interest</t>
  </si>
  <si>
    <t>$ P&amp;L Unrealized Adjustment</t>
  </si>
  <si>
    <t>$ Total Realized Reference Date</t>
  </si>
  <si>
    <t>$ Trading Realized</t>
  </si>
  <si>
    <t>$ FX Realized</t>
  </si>
  <si>
    <t>$ Realized Accrued Interest</t>
  </si>
  <si>
    <t>$ Interest</t>
  </si>
  <si>
    <t>$ Unsettled Financing Interest</t>
  </si>
  <si>
    <t>$ Financing Interest</t>
  </si>
  <si>
    <t>$ Realized Commissions</t>
  </si>
  <si>
    <t>$ Realized Fees</t>
  </si>
  <si>
    <t>$ Realized Taxes</t>
  </si>
  <si>
    <t>$ Paid Dividends Fees</t>
  </si>
  <si>
    <t>$ Paid Dividends Withholding Tax</t>
  </si>
  <si>
    <t>$ Paid Dividends</t>
  </si>
  <si>
    <t>$ Paid Cost Of Carry</t>
  </si>
  <si>
    <t>$ Paid Delayed Compensation</t>
  </si>
  <si>
    <t>$ Other Interest</t>
  </si>
  <si>
    <t>$ Other Paid Dividends Withholding Tax</t>
  </si>
  <si>
    <t>$ Other Paid Dividends</t>
  </si>
  <si>
    <t>$ Other Financing Interest</t>
  </si>
  <si>
    <t>$ Other Expenses</t>
  </si>
  <si>
    <t>$ Realized Accrual Fees</t>
  </si>
  <si>
    <t>$ P&amp;L Realized Adjustment</t>
  </si>
  <si>
    <t>$ Principal Payup</t>
  </si>
  <si>
    <t>Native Accrued Interest</t>
  </si>
  <si>
    <t>Native Net Interest</t>
  </si>
  <si>
    <t>Native Financing Accrued Interest</t>
  </si>
  <si>
    <t>Native Financing Interest</t>
  </si>
  <si>
    <t>Native P&amp;L</t>
  </si>
  <si>
    <t>Native Trading Realized</t>
  </si>
  <si>
    <t>Native Trading Unrealized</t>
  </si>
  <si>
    <t>Native Net Dividends</t>
  </si>
  <si>
    <t>Native Unrealized Fees and Commissions</t>
  </si>
  <si>
    <t>Native Realized Fees</t>
  </si>
  <si>
    <t>Native Realized Commissions</t>
  </si>
  <si>
    <t>Fincad Price</t>
  </si>
  <si>
    <t>Native DV01</t>
  </si>
  <si>
    <t>Book DV01</t>
  </si>
  <si>
    <t>$ Monetized Rho</t>
  </si>
  <si>
    <t>$ MonetizedDelta</t>
  </si>
  <si>
    <t>$ MonetizedGamma</t>
  </si>
  <si>
    <t>$ MonetizedTheta</t>
  </si>
  <si>
    <t>$ MonetizedVega</t>
  </si>
  <si>
    <t>$ Monetized Credit Spread 1%</t>
  </si>
  <si>
    <t>$ Daily P&amp;L</t>
  </si>
  <si>
    <t>$ MTD P&amp;L</t>
  </si>
  <si>
    <t>$ QTD P&amp;L</t>
  </si>
  <si>
    <t>$ YTD P&amp;L</t>
  </si>
  <si>
    <t>Yield To Average Life</t>
  </si>
  <si>
    <t>Yield To Best</t>
  </si>
  <si>
    <t>Yield To Call</t>
  </si>
  <si>
    <t>Yield To Maturity</t>
  </si>
  <si>
    <t>Yield To Put</t>
  </si>
  <si>
    <t>Yield To Worst</t>
  </si>
  <si>
    <t>Modified Duration</t>
  </si>
  <si>
    <t>Spread Duration</t>
  </si>
  <si>
    <t>Convexity</t>
  </si>
  <si>
    <t>Bond</t>
  </si>
  <si>
    <t>Last Coupon Date</t>
  </si>
  <si>
    <t>TradeID</t>
  </si>
  <si>
    <t>QIA    2% 09/04/32 CVT PUT</t>
  </si>
  <si>
    <t>Maturity</t>
  </si>
  <si>
    <t>RIGN   8.500 05/15/31 '27</t>
  </si>
  <si>
    <t>Issue Date</t>
  </si>
  <si>
    <t>TradeDate</t>
  </si>
  <si>
    <t>Vqlue Date</t>
  </si>
  <si>
    <t>Trade Date</t>
  </si>
  <si>
    <t>3-Mon SOFR JUN26</t>
  </si>
  <si>
    <t>Future</t>
  </si>
  <si>
    <t>Date</t>
  </si>
  <si>
    <t>Instrument Id (equivalent du BDRId)</t>
  </si>
  <si>
    <t>TradeID (equivalent du JMS)</t>
  </si>
  <si>
    <t>sell</t>
  </si>
  <si>
    <t>buy</t>
  </si>
  <si>
    <t>BookPNLReferenceDate</t>
  </si>
  <si>
    <t>BookTotalNPV_ReferenceDate</t>
  </si>
  <si>
    <t>BookUnrealizedFeesAndCommissions</t>
  </si>
  <si>
    <t>BookTransferPaidDividend</t>
  </si>
  <si>
    <t>BookTransferPaidDividendWithholdingTax</t>
  </si>
  <si>
    <t>BookFXUnrealized_ReferenceDate</t>
  </si>
  <si>
    <t>BookNPV_ReferenceDate</t>
  </si>
  <si>
    <t>BookAccruedInterest</t>
  </si>
  <si>
    <t>BookTRSAccruedInterest</t>
  </si>
  <si>
    <t>BookAccruedDividendFees</t>
  </si>
  <si>
    <t>BookAccruedDividendsWithholdingTax</t>
  </si>
  <si>
    <t>TRSFXAdjustment</t>
  </si>
  <si>
    <t>BookAccruedDividends</t>
  </si>
  <si>
    <t>BookNMV</t>
  </si>
  <si>
    <t>DirtyNMV</t>
  </si>
  <si>
    <t>BookDirtyNMV</t>
  </si>
  <si>
    <t>BookRealizedCommissions</t>
  </si>
  <si>
    <t>BookTRSEarnedInterest</t>
  </si>
  <si>
    <t>BookUnsettledTRSEarnedInterest</t>
  </si>
  <si>
    <t>BookInterest</t>
  </si>
  <si>
    <t>BookRealizedAccruedInterest</t>
  </si>
  <si>
    <t>BookFXRealized_ReferenceDate</t>
  </si>
  <si>
    <t>BookTradingRealized_ReferenceDate</t>
  </si>
  <si>
    <t>BookTotalRealized_ReferenceDate</t>
  </si>
  <si>
    <t>BookTransferInterest</t>
  </si>
  <si>
    <t>BookPNLUnrealizedAdjustment</t>
  </si>
  <si>
    <t>NativeAccruedInterest</t>
  </si>
  <si>
    <t>NativeEarnedInterest</t>
  </si>
  <si>
    <t>NativeTRSAccruedInterest</t>
  </si>
  <si>
    <t>NativePNLReferenceDate</t>
  </si>
  <si>
    <t>NativeTRSEarnedInterest</t>
  </si>
  <si>
    <t>NativeRealizedCommissions</t>
  </si>
  <si>
    <t>NativeRealizedFees</t>
  </si>
  <si>
    <t>NativeUnrealizedFeesAndCommissions</t>
  </si>
  <si>
    <t>NativeTradingRealized_ReferenceDate</t>
  </si>
  <si>
    <t>NetPresentValue</t>
  </si>
  <si>
    <t>NativeDividends</t>
  </si>
  <si>
    <t>BookAccruedCostOfCarry</t>
  </si>
  <si>
    <t>BookAccruedDelayedCompensation</t>
  </si>
  <si>
    <t>BookOtherAccruedInterest</t>
  </si>
  <si>
    <t>BookOtherAccruedDividends</t>
  </si>
  <si>
    <t>BookOtherAccruedDividendsWithholdingTax</t>
  </si>
  <si>
    <t>BookOtherFinancingAccruedInterest</t>
  </si>
  <si>
    <t>BookAccrualFees</t>
  </si>
  <si>
    <t>BookQTDPNL</t>
  </si>
  <si>
    <t>BookMTDPNL</t>
  </si>
  <si>
    <t>BookYTDPNL</t>
  </si>
  <si>
    <t>BookDailyPNL</t>
  </si>
  <si>
    <t>BookMonetizedCreditSpread1PercentSensitivity</t>
  </si>
  <si>
    <t>BookMonotizedVega</t>
  </si>
  <si>
    <t>BookMonotizedTheta</t>
  </si>
  <si>
    <t>BookMonotizedGamma</t>
  </si>
  <si>
    <t>BookMonotizedDelta</t>
  </si>
  <si>
    <t>BookMonotizedRho</t>
  </si>
  <si>
    <t>BookMonetizedRhoDV01</t>
  </si>
  <si>
    <t>NativeMonetizedRho1bp</t>
  </si>
  <si>
    <t>BookPaidDelayedCompensation</t>
  </si>
  <si>
    <t>BookOtherInterest</t>
  </si>
  <si>
    <t>BookOtherPaidDividendsWithholdingTax</t>
  </si>
  <si>
    <t>BookOtherPaidDividends</t>
  </si>
  <si>
    <t>BookOtherFinancingInterest</t>
  </si>
  <si>
    <t>BookOtherExpenses</t>
  </si>
  <si>
    <t>BookRealizedAccrualFees</t>
  </si>
  <si>
    <t>BookPrincipalPayup</t>
  </si>
  <si>
    <t>BookRealizedTaxes</t>
  </si>
  <si>
    <t>BookRealizedFees</t>
  </si>
  <si>
    <t>BookPaidDividendFees</t>
  </si>
  <si>
    <t>BookTransferTradingRealized</t>
  </si>
  <si>
    <t>BookTransferFeesAndCommissions</t>
  </si>
  <si>
    <t>BookTransferFXRealized</t>
  </si>
  <si>
    <t>BookTransferAccruedDividend</t>
  </si>
  <si>
    <t>BookTransferAccruedDividendWithholdingTax</t>
  </si>
  <si>
    <t>BookPNLRealizedAdjustment</t>
  </si>
  <si>
    <t>BookPaidDividends</t>
  </si>
  <si>
    <t>BookPaidCostOfCarry</t>
  </si>
  <si>
    <t>BookPaidDividendsWithholdingTax</t>
  </si>
  <si>
    <t>BookTransferAccruedInterest</t>
  </si>
  <si>
    <t>BookTransferFinancingInterest</t>
  </si>
  <si>
    <t>YieldToBest</t>
  </si>
  <si>
    <t>YieldToAverageLife</t>
  </si>
  <si>
    <t>YieldToMaturity</t>
  </si>
  <si>
    <t>ModifiedDuration</t>
  </si>
  <si>
    <t>SpreadDuration</t>
  </si>
  <si>
    <t>USD 3.579% - USD ON SOFR 2029-08-31</t>
  </si>
  <si>
    <t>Interest Rate Swap</t>
  </si>
  <si>
    <t>Fixed Leg</t>
  </si>
  <si>
    <t>Floating Leg</t>
  </si>
  <si>
    <t>NPV</t>
  </si>
  <si>
    <t>Accrued</t>
  </si>
  <si>
    <t>Theta</t>
  </si>
  <si>
    <t>DF</t>
  </si>
  <si>
    <t>Leg</t>
  </si>
  <si>
    <t>PayDate</t>
  </si>
  <si>
    <t>Amount</t>
  </si>
  <si>
    <t>Fixed Rate</t>
  </si>
  <si>
    <t>BVPB</t>
  </si>
  <si>
    <t>10Y TNotes JUN26</t>
  </si>
  <si>
    <t>ValueDate</t>
  </si>
  <si>
    <t>GBGV   1.125 01/31/39</t>
  </si>
  <si>
    <t>SettleDate</t>
  </si>
  <si>
    <t>Trade Price</t>
  </si>
  <si>
    <t>Nominal</t>
  </si>
  <si>
    <t>GBP/USD au 26/11/2025</t>
  </si>
  <si>
    <t>GBP/USD au 25/11/2025</t>
  </si>
  <si>
    <t>GBP/USD au 22/04/2026</t>
  </si>
  <si>
    <t>GBP/USD au 27/11/2025</t>
  </si>
  <si>
    <t>GBPUSD au 21/04/2026</t>
  </si>
  <si>
    <t>GBP/USD au 18/02/2026</t>
  </si>
  <si>
    <t>GBP/USD au 19/02/2026</t>
  </si>
  <si>
    <t>GBP/USD au 20/02/2026</t>
  </si>
  <si>
    <t>GBP/USD au  02/2/2026</t>
  </si>
  <si>
    <t>Native Daily P&amp;L</t>
  </si>
  <si>
    <t>MIG P&amp;L Less Carry</t>
  </si>
  <si>
    <t>$ P&amp;L  FX</t>
  </si>
  <si>
    <t>$ P&amp;L SB</t>
  </si>
  <si>
    <t>Bond Carry</t>
  </si>
  <si>
    <t>Maturity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</si>
</sst>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.000000_);_(* \(#,##0.000000\);_(* &quot;-&quot;??_);_(@_)"/>
    <numFmt numFmtId="168" formatCode="0.000000%"/>
    <numFmt numFmtId="169" formatCode="[$-409]dd\-mmm\-yy;@"/>
    <numFmt numFmtId="170" formatCode="0.0000%"/>
    <numFmt numFmtId="171" formatCode="_(* #,##0.0000_);_(* \(#,##0.0000\);_(* &quot;-&quot;??_);_(@_)"/>
    <numFmt numFmtId="172" formatCode="0.00000%"/>
    <numFmt numFmtId="173" formatCode="[$-409]d\-mmm\-yy;@"/>
    <numFmt numFmtId="174" formatCode="_(* #,##0.00000_);_(* \(#,##0.00000\);_(* &quot;-&quot;??_);_(@_)"/>
    <numFmt numFmtId="175" formatCode="0.000%"/>
    <numFmt numFmtId="176" formatCode="0.0000"/>
    <numFmt numFmtId="177" formatCode="_(* #,##0.0000000_);_(* \(#,##0.0000000\);_(* &quot;-&quot;??_);_(@_)"/>
    <numFmt numFmtId="178" formatCode="_(* #,##0_);_(* \(#,##0\);_(* &quot;-&quot;????_);_(@_)"/>
    <numFmt numFmtId="179" formatCode="_(* #,##0.000000000_);_(* \(#,##0.000000000\);_(* &quot;-&quot;??_);_(@_)"/>
    <numFmt numFmtId="180" formatCode="0.0000000000"/>
    <numFmt numFmtId="181" formatCode="_(* #,##0.00000_);_(* \(#,##0.00000\);_(* &quot;-&quot;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4" fontId="0" fillId="0" borderId="0" xfId="0" applyNumberFormat="1"/>
    <xf numFmtId="165" fontId="0" fillId="0" borderId="0" xfId="0" applyNumberFormat="1"/>
    <xf numFmtId="168" fontId="0" fillId="0" borderId="0" xfId="2" applyNumberFormat="1" applyFont="1"/>
    <xf numFmtId="43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165" fontId="0" fillId="3" borderId="0" xfId="1" applyNumberFormat="1" applyFont="1" applyFill="1"/>
    <xf numFmtId="0" fontId="0" fillId="4" borderId="0" xfId="0" applyFill="1"/>
    <xf numFmtId="165" fontId="0" fillId="4" borderId="0" xfId="1" applyNumberFormat="1" applyFont="1" applyFill="1"/>
    <xf numFmtId="0" fontId="0" fillId="5" borderId="0" xfId="0" applyFill="1"/>
    <xf numFmtId="165" fontId="0" fillId="5" borderId="0" xfId="1" applyNumberFormat="1" applyFont="1" applyFill="1"/>
    <xf numFmtId="0" fontId="2" fillId="5" borderId="0" xfId="0" applyFont="1" applyFill="1"/>
    <xf numFmtId="168" fontId="2" fillId="5" borderId="0" xfId="2" applyNumberFormat="1" applyFont="1" applyFill="1"/>
    <xf numFmtId="166" fontId="0" fillId="0" borderId="0" xfId="0" applyNumberFormat="1"/>
    <xf numFmtId="169" fontId="0" fillId="0" borderId="0" xfId="0" applyNumberFormat="1"/>
    <xf numFmtId="170" fontId="0" fillId="0" borderId="0" xfId="2" applyNumberFormat="1" applyFont="1"/>
    <xf numFmtId="167" fontId="0" fillId="0" borderId="0" xfId="1" applyNumberFormat="1" applyFont="1"/>
    <xf numFmtId="43" fontId="0" fillId="3" borderId="0" xfId="0" applyNumberFormat="1" applyFill="1"/>
    <xf numFmtId="169" fontId="0" fillId="3" borderId="0" xfId="0" applyNumberFormat="1" applyFill="1"/>
    <xf numFmtId="171" fontId="0" fillId="0" borderId="0" xfId="1" applyNumberFormat="1" applyFont="1"/>
    <xf numFmtId="167" fontId="0" fillId="0" borderId="0" xfId="0" applyNumberFormat="1"/>
    <xf numFmtId="172" fontId="0" fillId="0" borderId="0" xfId="2" applyNumberFormat="1" applyFont="1"/>
    <xf numFmtId="0" fontId="0" fillId="0" borderId="0" xfId="0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0" fontId="0" fillId="6" borderId="0" xfId="0" applyFill="1"/>
    <xf numFmtId="165" fontId="0" fillId="6" borderId="0" xfId="1" applyNumberFormat="1" applyFont="1" applyFill="1"/>
    <xf numFmtId="173" fontId="0" fillId="0" borderId="0" xfId="0" applyNumberFormat="1"/>
    <xf numFmtId="43" fontId="0" fillId="0" borderId="0" xfId="1" applyFont="1"/>
    <xf numFmtId="166" fontId="0" fillId="0" borderId="0" xfId="1" applyNumberFormat="1" applyFont="1"/>
    <xf numFmtId="43" fontId="0" fillId="0" borderId="0" xfId="1" applyNumberFormat="1" applyFont="1"/>
    <xf numFmtId="176" fontId="0" fillId="0" borderId="0" xfId="0" applyNumberFormat="1"/>
    <xf numFmtId="178" fontId="0" fillId="0" borderId="0" xfId="0" applyNumberFormat="1"/>
    <xf numFmtId="180" fontId="0" fillId="0" borderId="0" xfId="0" applyNumberFormat="1"/>
    <xf numFmtId="179" fontId="0" fillId="0" borderId="0" xfId="1" applyNumberFormat="1" applyFont="1"/>
    <xf numFmtId="0" fontId="0" fillId="0" borderId="3" xfId="0" applyBorder="1"/>
    <xf numFmtId="0" fontId="0" fillId="0" borderId="4" xfId="0" applyBorder="1"/>
    <xf numFmtId="14" fontId="0" fillId="0" borderId="3" xfId="0" applyNumberFormat="1" applyBorder="1"/>
    <xf numFmtId="165" fontId="0" fillId="0" borderId="4" xfId="1" applyNumberFormat="1" applyFont="1" applyBorder="1"/>
    <xf numFmtId="165" fontId="0" fillId="0" borderId="3" xfId="1" applyNumberFormat="1" applyFont="1" applyBorder="1"/>
    <xf numFmtId="172" fontId="0" fillId="0" borderId="3" xfId="2" applyNumberFormat="1" applyFont="1" applyBorder="1"/>
    <xf numFmtId="171" fontId="0" fillId="0" borderId="4" xfId="1" applyNumberFormat="1" applyFont="1" applyBorder="1"/>
    <xf numFmtId="178" fontId="0" fillId="0" borderId="3" xfId="0" applyNumberFormat="1" applyBorder="1"/>
    <xf numFmtId="175" fontId="0" fillId="0" borderId="3" xfId="2" applyNumberFormat="1" applyFont="1" applyBorder="1"/>
    <xf numFmtId="0" fontId="0" fillId="0" borderId="5" xfId="0" applyBorder="1"/>
    <xf numFmtId="165" fontId="0" fillId="0" borderId="6" xfId="1" applyNumberFormat="1" applyFont="1" applyBorder="1"/>
    <xf numFmtId="170" fontId="0" fillId="0" borderId="3" xfId="2" applyNumberFormat="1" applyFont="1" applyBorder="1"/>
    <xf numFmtId="178" fontId="0" fillId="0" borderId="4" xfId="0" applyNumberFormat="1" applyBorder="1"/>
    <xf numFmtId="165" fontId="0" fillId="0" borderId="4" xfId="0" applyNumberFormat="1" applyBorder="1"/>
    <xf numFmtId="43" fontId="0" fillId="0" borderId="4" xfId="0" applyNumberFormat="1" applyBorder="1"/>
    <xf numFmtId="177" fontId="0" fillId="0" borderId="3" xfId="1" applyNumberFormat="1" applyFont="1" applyBorder="1"/>
    <xf numFmtId="174" fontId="0" fillId="0" borderId="5" xfId="1" applyNumberFormat="1" applyFont="1" applyBorder="1"/>
    <xf numFmtId="0" fontId="0" fillId="0" borderId="6" xfId="0" applyBorder="1"/>
    <xf numFmtId="0" fontId="4" fillId="0" borderId="0" xfId="0" applyFont="1"/>
    <xf numFmtId="14" fontId="4" fillId="0" borderId="1" xfId="0" applyNumberFormat="1" applyFont="1" applyBorder="1"/>
    <xf numFmtId="165" fontId="4" fillId="0" borderId="2" xfId="1" applyNumberFormat="1" applyFont="1" applyBorder="1"/>
    <xf numFmtId="0" fontId="4" fillId="0" borderId="2" xfId="0" applyFont="1" applyBorder="1"/>
    <xf numFmtId="175" fontId="0" fillId="0" borderId="0" xfId="0" applyNumberFormat="1"/>
    <xf numFmtId="181" fontId="0" fillId="0" borderId="0" xfId="0" applyNumberFormat="1"/>
    <xf numFmtId="14" fontId="4" fillId="0" borderId="3" xfId="0" applyNumberFormat="1" applyFont="1" applyBorder="1"/>
    <xf numFmtId="165" fontId="4" fillId="0" borderId="4" xfId="1" applyNumberFormat="1" applyFont="1" applyBorder="1"/>
    <xf numFmtId="0" fontId="4" fillId="0" borderId="4" xfId="0" applyFont="1" applyBorder="1"/>
    <xf numFmtId="177" fontId="0" fillId="0" borderId="4" xfId="1" applyNumberFormat="1" applyFont="1" applyBorder="1"/>
    <xf numFmtId="165" fontId="0" fillId="7" borderId="0" xfId="0" applyNumberFormat="1" applyFill="1"/>
    <xf numFmtId="165" fontId="0" fillId="3" borderId="0" xfId="0" applyNumberFormat="1" applyFill="1"/>
    <xf numFmtId="178" fontId="0" fillId="6" borderId="0" xfId="0" applyNumberFormat="1" applyFill="1"/>
    <xf numFmtId="165" fontId="0" fillId="8" borderId="0" xfId="0" applyNumberFormat="1" applyFill="1"/>
    <xf numFmtId="165" fontId="0" fillId="9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342900</xdr:colOff>
      <xdr:row>37</xdr:row>
      <xdr:rowOff>62120</xdr:rowOff>
    </xdr:from>
    <xdr:to>
      <xdr:col>28</xdr:col>
      <xdr:colOff>603410</xdr:colOff>
      <xdr:row>41</xdr:row>
      <xdr:rowOff>81279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65CFD4-009E-E330-7A0E-B7A9A457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8857" y="6920120"/>
          <a:ext cx="23529945" cy="781159"/>
        </a:xfrm>
        <a:prstGeom prst="rect">
          <a:avLst/>
        </a:prstGeom>
      </xdr:spPr>
    </xdr:pic>
    <xdr:clientData/>
  </xdr:twoCellAnchor>
  <xdr:twoCellAnchor>
    <xdr:from>
      <xdr:col>10</xdr:col>
      <xdr:colOff>100852</xdr:colOff>
      <xdr:row>39</xdr:row>
      <xdr:rowOff>59871</xdr:rowOff>
    </xdr:from>
    <xdr:to>
      <xdr:col>10</xdr:col>
      <xdr:colOff>1257299</xdr:colOff>
      <xdr:row>40</xdr:row>
      <xdr:rowOff>92529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2EA79D-EAF9-8168-B235-BCB529C78694}"/>
            </a:ext>
          </a:extLst>
        </xdr:cNvPr>
        <xdr:cNvSpPr/>
      </xdr:nvSpPr>
      <xdr:spPr>
        <a:xfrm>
          <a:off x="15427938" y="7489371"/>
          <a:ext cx="1156447" cy="223158"/>
        </a:xfrm>
        <a:prstGeom prst="rect">
          <a:avLst/>
        </a:prstGeom>
        <a:noFill/>
        <a:ln w="571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1657350</xdr:colOff>
      <xdr:row>6</xdr:row>
      <xdr:rowOff>0</xdr:rowOff>
    </xdr:from>
    <xdr:to>
      <xdr:col>10</xdr:col>
      <xdr:colOff>675409</xdr:colOff>
      <xdr:row>39</xdr:row>
      <xdr:rowOff>17318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390B7EC-32C7-73BF-9C21-A6C822352F45}"/>
            </a:ext>
          </a:extLst>
        </xdr:cNvPr>
        <xdr:cNvCxnSpPr/>
      </xdr:nvCxnSpPr>
      <xdr:spPr>
        <a:xfrm>
          <a:off x="11325225" y="1143000"/>
          <a:ext cx="4675909" cy="63038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86591</xdr:colOff>
      <xdr:row>39</xdr:row>
      <xdr:rowOff>103909</xdr:rowOff>
    </xdr:from>
    <xdr:to>
      <xdr:col>29</xdr:col>
      <xdr:colOff>155863</xdr:colOff>
      <xdr:row>40</xdr:row>
      <xdr:rowOff>86591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A51746-07A9-3882-F6A5-97A000690D4D}"/>
            </a:ext>
          </a:extLst>
        </xdr:cNvPr>
        <xdr:cNvSpPr/>
      </xdr:nvSpPr>
      <xdr:spPr>
        <a:xfrm>
          <a:off x="30376091" y="7533409"/>
          <a:ext cx="1281545" cy="173182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1593273</xdr:colOff>
      <xdr:row>9</xdr:row>
      <xdr:rowOff>173182</xdr:rowOff>
    </xdr:from>
    <xdr:to>
      <xdr:col>27</xdr:col>
      <xdr:colOff>86591</xdr:colOff>
      <xdr:row>40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8FBD7FD-8DDC-FE3F-49F8-98938A9CC025}"/>
            </a:ext>
          </a:extLst>
        </xdr:cNvPr>
        <xdr:cNvCxnSpPr>
          <a:endCxn id="2" idx="1"/>
        </xdr:cNvCxnSpPr>
      </xdr:nvCxnSpPr>
      <xdr:spPr>
        <a:xfrm>
          <a:off x="11412682" y="1887682"/>
          <a:ext cx="18963409" cy="5732318"/>
        </a:xfrm>
        <a:prstGeom prst="line">
          <a:avLst/>
        </a:prstGeom>
        <a:ln w="38100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2580409</xdr:colOff>
      <xdr:row>39</xdr:row>
      <xdr:rowOff>86591</xdr:rowOff>
    </xdr:from>
    <xdr:to>
      <xdr:col>12</xdr:col>
      <xdr:colOff>536864</xdr:colOff>
      <xdr:row>40</xdr:row>
      <xdr:rowOff>86591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12138BB-9BFA-FB6A-FCD7-8004916F0941}"/>
            </a:ext>
          </a:extLst>
        </xdr:cNvPr>
        <xdr:cNvSpPr/>
      </xdr:nvSpPr>
      <xdr:spPr>
        <a:xfrm>
          <a:off x="20556682" y="7516091"/>
          <a:ext cx="744682" cy="190500"/>
        </a:xfrm>
        <a:prstGeom prst="rect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0</xdr:colOff>
      <xdr:row>8</xdr:row>
      <xdr:rowOff>17318</xdr:rowOff>
    </xdr:from>
    <xdr:to>
      <xdr:col>11</xdr:col>
      <xdr:colOff>2615045</xdr:colOff>
      <xdr:row>39</xdr:row>
      <xdr:rowOff>69273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FEFB84F-D0A0-4583-CECE-9E3729634280}"/>
            </a:ext>
          </a:extLst>
        </xdr:cNvPr>
        <xdr:cNvCxnSpPr>
          <a:endCxn id="10" idx="1"/>
        </xdr:cNvCxnSpPr>
      </xdr:nvCxnSpPr>
      <xdr:spPr>
        <a:xfrm>
          <a:off x="11481955" y="1541318"/>
          <a:ext cx="9109363" cy="5957455"/>
        </a:xfrm>
        <a:prstGeom prst="line">
          <a:avLst/>
        </a:prstGeom>
        <a:ln w="38100"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467591</xdr:colOff>
      <xdr:row>39</xdr:row>
      <xdr:rowOff>103909</xdr:rowOff>
    </xdr:from>
    <xdr:to>
      <xdr:col>19</xdr:col>
      <xdr:colOff>519545</xdr:colOff>
      <xdr:row>40</xdr:row>
      <xdr:rowOff>103909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04DCE47-DFE1-1E35-24CA-0976CD261F06}"/>
            </a:ext>
          </a:extLst>
        </xdr:cNvPr>
        <xdr:cNvSpPr/>
      </xdr:nvSpPr>
      <xdr:spPr>
        <a:xfrm>
          <a:off x="24868909" y="7533409"/>
          <a:ext cx="1264227" cy="1905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7</xdr:col>
      <xdr:colOff>1610591</xdr:colOff>
      <xdr:row>9</xdr:row>
      <xdr:rowOff>17318</xdr:rowOff>
    </xdr:from>
    <xdr:to>
      <xdr:col>18</xdr:col>
      <xdr:colOff>493568</xdr:colOff>
      <xdr:row>39</xdr:row>
      <xdr:rowOff>103909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9E1FC33-C924-BE3C-1FEC-8FEBBB48E090}"/>
            </a:ext>
          </a:extLst>
        </xdr:cNvPr>
        <xdr:cNvCxnSpPr>
          <a:stCxn id="13" idx="0"/>
        </xdr:cNvCxnSpPr>
      </xdr:nvCxnSpPr>
      <xdr:spPr>
        <a:xfrm flipH="1" flipV="1">
          <a:off x="11430000" y="1731818"/>
          <a:ext cx="14071023" cy="580159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640773</xdr:colOff>
      <xdr:row>39</xdr:row>
      <xdr:rowOff>121227</xdr:rowOff>
    </xdr:from>
    <xdr:to>
      <xdr:col>13</xdr:col>
      <xdr:colOff>796637</xdr:colOff>
      <xdr:row>40</xdr:row>
      <xdr:rowOff>103909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F066C38-F81A-AB10-FB8D-0FE15EAAAC25}"/>
            </a:ext>
          </a:extLst>
        </xdr:cNvPr>
        <xdr:cNvSpPr/>
      </xdr:nvSpPr>
      <xdr:spPr>
        <a:xfrm>
          <a:off x="21405273" y="7550727"/>
          <a:ext cx="935182" cy="1731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34636</xdr:colOff>
      <xdr:row>6</xdr:row>
      <xdr:rowOff>103909</xdr:rowOff>
    </xdr:from>
    <xdr:to>
      <xdr:col>13</xdr:col>
      <xdr:colOff>346364</xdr:colOff>
      <xdr:row>39</xdr:row>
      <xdr:rowOff>86591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B225984C-BD82-60B4-2B74-ACAEBC544F72}"/>
            </a:ext>
          </a:extLst>
        </xdr:cNvPr>
        <xdr:cNvCxnSpPr/>
      </xdr:nvCxnSpPr>
      <xdr:spPr>
        <a:xfrm flipH="1" flipV="1">
          <a:off x="11516591" y="1246909"/>
          <a:ext cx="10373591" cy="6269182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600075</xdr:colOff>
      <xdr:row>6</xdr:row>
      <xdr:rowOff>66675</xdr:rowOff>
    </xdr:from>
    <xdr:to>
      <xdr:col>46</xdr:col>
      <xdr:colOff>287066</xdr:colOff>
      <xdr:row>52</xdr:row>
      <xdr:rowOff>153635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02B65-BB4E-AFA2-1078-FCD9DECFA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0" y="257175"/>
          <a:ext cx="9440592" cy="8849960"/>
        </a:xfrm>
        <a:prstGeom prst="rect">
          <a:avLst/>
        </a:prstGeom>
      </xdr:spPr>
    </xdr:pic>
    <xdr:clientData/>
  </xdr:twoCellAnchor>
  <xdr:twoCellAnchor editAs="oneCell">
    <xdr:from>
      <xdr:col>9</xdr:col>
      <xdr:colOff>102534</xdr:colOff>
      <xdr:row>2</xdr:row>
      <xdr:rowOff>88527</xdr:rowOff>
    </xdr:from>
    <xdr:to>
      <xdr:col>28</xdr:col>
      <xdr:colOff>201676</xdr:colOff>
      <xdr:row>41</xdr:row>
      <xdr:rowOff>70511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A6D3B-DB19-8869-980B-1977E6297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8622" y="469527"/>
          <a:ext cx="11742054" cy="7411484"/>
        </a:xfrm>
        <a:prstGeom prst="rect">
          <a:avLst/>
        </a:prstGeom>
      </xdr:spPr>
    </xdr:pic>
    <xdr:clientData/>
  </xdr:twoCellAnchor>
  <xdr:twoCellAnchor editAs="oneCell">
    <xdr:from>
      <xdr:col>11</xdr:col>
      <xdr:colOff>291353</xdr:colOff>
      <xdr:row>46</xdr:row>
      <xdr:rowOff>134471</xdr:rowOff>
    </xdr:from>
    <xdr:to>
      <xdr:col>26</xdr:col>
      <xdr:colOff>331284</xdr:colOff>
      <xdr:row>75</xdr:row>
      <xdr:rowOff>68558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274641-B27E-5738-677B-597354A3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4588" y="7944971"/>
          <a:ext cx="9116697" cy="545858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82</xdr:row>
      <xdr:rowOff>0</xdr:rowOff>
    </xdr:from>
    <xdr:to>
      <xdr:col>38</xdr:col>
      <xdr:colOff>100484</xdr:colOff>
      <xdr:row>135</xdr:row>
      <xdr:rowOff>29988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435E4D-96F3-62D0-1DCC-94DC2E31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19412" y="15430500"/>
          <a:ext cx="13413072" cy="10126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70B1-4DA8-44DD-B553-0E2C330993CC}">
  <dimension ref="A1:I99"/>
  <sheetViews>
    <sheetView topLeftCell="A4" workbookViewId="0">
      <selection activeCell="D13" sqref="D13"/>
    </sheetView>
  </sheetViews>
  <sheetFormatPr defaultRowHeight="15" x14ac:dyDescent="0.25"/>
  <cols>
    <col min="1" max="1" width="35.28515625" bestFit="1" customWidth="1"/>
    <col min="2" max="2" width="41" bestFit="1" customWidth="1"/>
    <col min="3" max="3" width="17.7109375" bestFit="1" customWidth="1"/>
    <col min="4" max="4" width="14.42578125" bestFit="1" customWidth="1"/>
    <col min="6" max="6" width="10.42578125" bestFit="1" customWidth="1"/>
    <col min="81" max="81" width="19.28515625" bestFit="1" customWidth="1"/>
    <col min="84" max="84" width="18.7109375" bestFit="1" customWidth="1"/>
    <col min="85" max="85" width="32.42578125" bestFit="1" customWidth="1"/>
    <col min="86" max="86" width="12.42578125" bestFit="1" customWidth="1"/>
    <col min="88" max="88" width="12.28515625" bestFit="1" customWidth="1"/>
    <col min="89" max="89" width="12" bestFit="1" customWidth="1"/>
  </cols>
  <sheetData>
    <row r="1" spans="1:9" x14ac:dyDescent="0.25">
      <c r="B1" t="s">
        <v>111</v>
      </c>
      <c r="C1">
        <v>1085913817</v>
      </c>
    </row>
    <row r="2" spans="1:9" x14ac:dyDescent="0.25">
      <c r="B2" t="s">
        <v>104</v>
      </c>
      <c r="C2" s="3">
        <v>46064</v>
      </c>
    </row>
    <row r="3" spans="1:9" x14ac:dyDescent="0.25">
      <c r="B3" t="s">
        <v>109</v>
      </c>
      <c r="C3" s="3">
        <v>46134</v>
      </c>
    </row>
    <row r="4" spans="1:9" x14ac:dyDescent="0.25">
      <c r="B4" t="s">
        <v>1</v>
      </c>
      <c r="C4" t="s">
        <v>107</v>
      </c>
    </row>
    <row r="5" spans="1:9" x14ac:dyDescent="0.25">
      <c r="B5" t="s">
        <v>110</v>
      </c>
      <c r="C5">
        <v>96739479</v>
      </c>
    </row>
    <row r="6" spans="1:9" x14ac:dyDescent="0.25">
      <c r="B6" t="s">
        <v>3</v>
      </c>
      <c r="C6" t="s">
        <v>108</v>
      </c>
      <c r="F6" s="3">
        <v>45946</v>
      </c>
      <c r="G6" t="s">
        <v>112</v>
      </c>
      <c r="H6">
        <v>96.834999999999994</v>
      </c>
      <c r="I6">
        <v>-95</v>
      </c>
    </row>
    <row r="7" spans="1:9" x14ac:dyDescent="0.25">
      <c r="B7" t="s">
        <v>4</v>
      </c>
      <c r="C7">
        <v>-63</v>
      </c>
      <c r="F7" s="3">
        <v>46064</v>
      </c>
      <c r="G7" t="s">
        <v>113</v>
      </c>
      <c r="H7">
        <v>96.55</v>
      </c>
      <c r="I7">
        <v>32</v>
      </c>
    </row>
    <row r="8" spans="1:9" x14ac:dyDescent="0.25">
      <c r="B8" t="s">
        <v>5</v>
      </c>
      <c r="C8">
        <f>H6</f>
        <v>96.834999999999994</v>
      </c>
    </row>
    <row r="9" spans="1:9" x14ac:dyDescent="0.25">
      <c r="B9" t="s">
        <v>6</v>
      </c>
      <c r="C9">
        <v>96.332499999999996</v>
      </c>
    </row>
    <row r="10" spans="1:9" x14ac:dyDescent="0.25">
      <c r="B10" t="s">
        <v>7</v>
      </c>
      <c r="C10" s="2">
        <v>79143.749999998166</v>
      </c>
    </row>
    <row r="11" spans="1:9" x14ac:dyDescent="0.25">
      <c r="A11" t="s">
        <v>127</v>
      </c>
      <c r="B11" t="s">
        <v>8</v>
      </c>
      <c r="C11" s="2">
        <v>79143.749999998166</v>
      </c>
    </row>
    <row r="12" spans="1:9" x14ac:dyDescent="0.25">
      <c r="A12" t="s">
        <v>128</v>
      </c>
      <c r="B12" t="s">
        <v>9</v>
      </c>
      <c r="C12" s="2">
        <v>79143.749999998166</v>
      </c>
    </row>
    <row r="13" spans="1:9" x14ac:dyDescent="0.25">
      <c r="A13" t="s">
        <v>129</v>
      </c>
      <c r="B13" t="s">
        <v>10</v>
      </c>
      <c r="C13" s="2">
        <v>79143.749999998166</v>
      </c>
    </row>
    <row r="14" spans="1:9" x14ac:dyDescent="0.25">
      <c r="A14" t="s">
        <v>114</v>
      </c>
      <c r="B14" s="7" t="s">
        <v>11</v>
      </c>
      <c r="C14" s="8">
        <v>101943.74999999789</v>
      </c>
      <c r="D14" s="4">
        <f>D15+D44</f>
        <v>101943.74999999936</v>
      </c>
    </row>
    <row r="15" spans="1:9" x14ac:dyDescent="0.25">
      <c r="A15" t="s">
        <v>115</v>
      </c>
      <c r="B15" s="9" t="s">
        <v>12</v>
      </c>
      <c r="C15" s="10">
        <v>79143.749999998166</v>
      </c>
      <c r="D15" s="2">
        <f>2500*(C7)*(C9-C8)</f>
        <v>79143.749999999636</v>
      </c>
    </row>
    <row r="16" spans="1:9" x14ac:dyDescent="0.25">
      <c r="A16" t="s">
        <v>120</v>
      </c>
      <c r="B16" s="9" t="s">
        <v>13</v>
      </c>
      <c r="C16" s="10">
        <v>79143.749999998166</v>
      </c>
      <c r="D16" s="2">
        <f>2500*(C7)*(C9-C8)</f>
        <v>79143.749999999636</v>
      </c>
    </row>
    <row r="17" spans="1:3" x14ac:dyDescent="0.25">
      <c r="A17" t="s">
        <v>119</v>
      </c>
      <c r="B17" s="9" t="s">
        <v>14</v>
      </c>
      <c r="C17" s="10">
        <v>0</v>
      </c>
    </row>
    <row r="18" spans="1:3" x14ac:dyDescent="0.25">
      <c r="A18" t="s">
        <v>121</v>
      </c>
      <c r="B18" s="9" t="s">
        <v>15</v>
      </c>
      <c r="C18" s="10">
        <v>0</v>
      </c>
    </row>
    <row r="19" spans="1:3" x14ac:dyDescent="0.25">
      <c r="A19" t="s">
        <v>122</v>
      </c>
      <c r="B19" s="9" t="s">
        <v>16</v>
      </c>
      <c r="C19" s="10">
        <v>0</v>
      </c>
    </row>
    <row r="20" spans="1:3" x14ac:dyDescent="0.25">
      <c r="A20" t="s">
        <v>116</v>
      </c>
      <c r="B20" s="9" t="s">
        <v>17</v>
      </c>
      <c r="C20" s="10">
        <v>0</v>
      </c>
    </row>
    <row r="21" spans="1:3" x14ac:dyDescent="0.25">
      <c r="A21" t="s">
        <v>123</v>
      </c>
      <c r="B21" s="9" t="s">
        <v>18</v>
      </c>
      <c r="C21" s="10">
        <v>0</v>
      </c>
    </row>
    <row r="22" spans="1:3" x14ac:dyDescent="0.25">
      <c r="A22" t="s">
        <v>124</v>
      </c>
      <c r="B22" s="9" t="s">
        <v>19</v>
      </c>
      <c r="C22" s="10">
        <v>0</v>
      </c>
    </row>
    <row r="23" spans="1:3" x14ac:dyDescent="0.25">
      <c r="A23" t="s">
        <v>126</v>
      </c>
      <c r="B23" s="9" t="s">
        <v>20</v>
      </c>
      <c r="C23" s="10">
        <v>0</v>
      </c>
    </row>
    <row r="24" spans="1:3" x14ac:dyDescent="0.25">
      <c r="A24" t="s">
        <v>125</v>
      </c>
      <c r="B24" s="9" t="s">
        <v>21</v>
      </c>
      <c r="C24" s="10">
        <v>0</v>
      </c>
    </row>
    <row r="25" spans="1:3" x14ac:dyDescent="0.25">
      <c r="A25" t="s">
        <v>151</v>
      </c>
      <c r="B25" s="9" t="s">
        <v>22</v>
      </c>
      <c r="C25" s="10">
        <v>0</v>
      </c>
    </row>
    <row r="26" spans="1:3" x14ac:dyDescent="0.25">
      <c r="A26" t="s">
        <v>152</v>
      </c>
      <c r="B26" s="9" t="s">
        <v>23</v>
      </c>
      <c r="C26" s="10">
        <v>0</v>
      </c>
    </row>
    <row r="27" spans="1:3" x14ac:dyDescent="0.25">
      <c r="A27" t="s">
        <v>153</v>
      </c>
      <c r="B27" s="9" t="s">
        <v>24</v>
      </c>
      <c r="C27" s="10">
        <v>0</v>
      </c>
    </row>
    <row r="28" spans="1:3" x14ac:dyDescent="0.25">
      <c r="A28" t="s">
        <v>154</v>
      </c>
      <c r="B28" s="9" t="s">
        <v>25</v>
      </c>
      <c r="C28" s="10">
        <v>0</v>
      </c>
    </row>
    <row r="29" spans="1:3" x14ac:dyDescent="0.25">
      <c r="A29" t="s">
        <v>155</v>
      </c>
      <c r="B29" s="9" t="s">
        <v>26</v>
      </c>
      <c r="C29" s="10">
        <v>0</v>
      </c>
    </row>
    <row r="30" spans="1:3" x14ac:dyDescent="0.25">
      <c r="A30" t="s">
        <v>156</v>
      </c>
      <c r="B30" s="9" t="s">
        <v>27</v>
      </c>
      <c r="C30" s="10">
        <v>0</v>
      </c>
    </row>
    <row r="31" spans="1:3" x14ac:dyDescent="0.25">
      <c r="A31" t="s">
        <v>157</v>
      </c>
      <c r="B31" s="9" t="s">
        <v>28</v>
      </c>
      <c r="C31" s="10">
        <v>0</v>
      </c>
    </row>
    <row r="32" spans="1:3" x14ac:dyDescent="0.25">
      <c r="A32" t="s">
        <v>181</v>
      </c>
      <c r="B32" s="9" t="s">
        <v>29</v>
      </c>
      <c r="C32" s="10">
        <v>0</v>
      </c>
    </row>
    <row r="33" spans="1:4" x14ac:dyDescent="0.25">
      <c r="A33" t="s">
        <v>182</v>
      </c>
      <c r="B33" s="9" t="s">
        <v>30</v>
      </c>
      <c r="C33" s="10">
        <v>0</v>
      </c>
    </row>
    <row r="34" spans="1:4" x14ac:dyDescent="0.25">
      <c r="A34" t="s">
        <v>183</v>
      </c>
      <c r="B34" s="9" t="s">
        <v>31</v>
      </c>
      <c r="C34" s="10">
        <v>0</v>
      </c>
    </row>
    <row r="35" spans="1:4" x14ac:dyDescent="0.25">
      <c r="A35" t="s">
        <v>184</v>
      </c>
      <c r="B35" s="9" t="s">
        <v>32</v>
      </c>
      <c r="C35" s="10">
        <v>0</v>
      </c>
    </row>
    <row r="36" spans="1:4" x14ac:dyDescent="0.25">
      <c r="A36" t="s">
        <v>185</v>
      </c>
      <c r="B36" s="9" t="s">
        <v>33</v>
      </c>
      <c r="C36" s="10">
        <v>0</v>
      </c>
    </row>
    <row r="37" spans="1:4" x14ac:dyDescent="0.25">
      <c r="A37" t="s">
        <v>117</v>
      </c>
      <c r="B37" s="9" t="s">
        <v>34</v>
      </c>
      <c r="C37" s="10">
        <v>0</v>
      </c>
    </row>
    <row r="38" spans="1:4" x14ac:dyDescent="0.25">
      <c r="A38" t="s">
        <v>185</v>
      </c>
      <c r="B38" s="9" t="s">
        <v>35</v>
      </c>
      <c r="C38" s="10">
        <v>0</v>
      </c>
    </row>
    <row r="39" spans="1:4" x14ac:dyDescent="0.25">
      <c r="A39" t="s">
        <v>118</v>
      </c>
      <c r="B39" s="9" t="s">
        <v>36</v>
      </c>
      <c r="C39" s="10">
        <v>0</v>
      </c>
    </row>
    <row r="40" spans="1:4" x14ac:dyDescent="0.25">
      <c r="A40" t="s">
        <v>191</v>
      </c>
      <c r="B40" s="9" t="s">
        <v>37</v>
      </c>
      <c r="C40" s="10">
        <v>0</v>
      </c>
    </row>
    <row r="41" spans="1:4" x14ac:dyDescent="0.25">
      <c r="A41" t="s">
        <v>190</v>
      </c>
      <c r="B41" s="9" t="s">
        <v>38</v>
      </c>
      <c r="C41" s="10">
        <v>0</v>
      </c>
    </row>
    <row r="42" spans="1:4" x14ac:dyDescent="0.25">
      <c r="A42" t="s">
        <v>138</v>
      </c>
      <c r="B42" s="9" t="s">
        <v>39</v>
      </c>
      <c r="C42" s="10">
        <v>0</v>
      </c>
    </row>
    <row r="43" spans="1:4" x14ac:dyDescent="0.25">
      <c r="A43" t="s">
        <v>139</v>
      </c>
      <c r="B43" s="9" t="s">
        <v>40</v>
      </c>
      <c r="C43" s="9">
        <v>0</v>
      </c>
    </row>
    <row r="44" spans="1:4" x14ac:dyDescent="0.25">
      <c r="A44" t="s">
        <v>137</v>
      </c>
      <c r="B44" s="11" t="s">
        <v>41</v>
      </c>
      <c r="C44" s="12">
        <v>22799.999999999727</v>
      </c>
      <c r="D44" s="4">
        <f>SUM(D45:D66)</f>
        <v>22799.999999999727</v>
      </c>
    </row>
    <row r="45" spans="1:4" x14ac:dyDescent="0.25">
      <c r="A45" t="s">
        <v>136</v>
      </c>
      <c r="B45" s="13" t="s">
        <v>42</v>
      </c>
      <c r="C45" s="14">
        <v>22799.999999999727</v>
      </c>
      <c r="D45">
        <f>(H6-H7)*I7*2500</f>
        <v>22799.999999999727</v>
      </c>
    </row>
    <row r="46" spans="1:4" x14ac:dyDescent="0.25">
      <c r="A46" t="s">
        <v>135</v>
      </c>
      <c r="B46" s="13" t="s">
        <v>43</v>
      </c>
      <c r="C46" s="13">
        <v>0</v>
      </c>
    </row>
    <row r="47" spans="1:4" x14ac:dyDescent="0.25">
      <c r="A47" t="s">
        <v>134</v>
      </c>
      <c r="B47" s="13" t="s">
        <v>44</v>
      </c>
      <c r="C47" s="13">
        <v>0</v>
      </c>
    </row>
    <row r="48" spans="1:4" x14ac:dyDescent="0.25">
      <c r="A48" t="s">
        <v>133</v>
      </c>
      <c r="B48" s="13" t="s">
        <v>45</v>
      </c>
      <c r="C48" s="13">
        <v>0</v>
      </c>
    </row>
    <row r="49" spans="1:3" x14ac:dyDescent="0.25">
      <c r="A49" t="s">
        <v>132</v>
      </c>
      <c r="B49" s="13" t="s">
        <v>46</v>
      </c>
      <c r="C49" s="13">
        <v>0</v>
      </c>
    </row>
    <row r="50" spans="1:3" x14ac:dyDescent="0.25">
      <c r="A50" t="s">
        <v>131</v>
      </c>
      <c r="B50" s="13" t="s">
        <v>47</v>
      </c>
      <c r="C50" s="13">
        <v>0</v>
      </c>
    </row>
    <row r="51" spans="1:3" x14ac:dyDescent="0.25">
      <c r="A51" t="s">
        <v>130</v>
      </c>
      <c r="B51" s="13" t="s">
        <v>48</v>
      </c>
      <c r="C51" s="13">
        <v>0</v>
      </c>
    </row>
    <row r="52" spans="1:3" x14ac:dyDescent="0.25">
      <c r="A52" t="s">
        <v>179</v>
      </c>
      <c r="B52" s="13" t="s">
        <v>49</v>
      </c>
      <c r="C52" s="13">
        <v>0</v>
      </c>
    </row>
    <row r="53" spans="1:3" x14ac:dyDescent="0.25">
      <c r="A53" t="s">
        <v>178</v>
      </c>
      <c r="B53" s="13" t="s">
        <v>50</v>
      </c>
      <c r="C53" s="13">
        <v>0</v>
      </c>
    </row>
    <row r="54" spans="1:3" x14ac:dyDescent="0.25">
      <c r="A54" t="s">
        <v>180</v>
      </c>
      <c r="B54" s="13" t="s">
        <v>51</v>
      </c>
      <c r="C54" s="13">
        <v>0</v>
      </c>
    </row>
    <row r="55" spans="1:3" x14ac:dyDescent="0.25">
      <c r="A55" t="s">
        <v>189</v>
      </c>
      <c r="B55" s="13" t="s">
        <v>52</v>
      </c>
      <c r="C55" s="13">
        <v>0</v>
      </c>
    </row>
    <row r="56" spans="1:3" x14ac:dyDescent="0.25">
      <c r="A56" t="s">
        <v>187</v>
      </c>
      <c r="B56" s="13" t="s">
        <v>53</v>
      </c>
      <c r="C56" s="13">
        <v>0</v>
      </c>
    </row>
    <row r="57" spans="1:3" x14ac:dyDescent="0.25">
      <c r="A57" t="s">
        <v>188</v>
      </c>
      <c r="B57" s="13" t="s">
        <v>54</v>
      </c>
      <c r="C57" s="13">
        <v>0</v>
      </c>
    </row>
    <row r="58" spans="1:3" x14ac:dyDescent="0.25">
      <c r="A58" t="s">
        <v>170</v>
      </c>
      <c r="B58" s="13" t="s">
        <v>55</v>
      </c>
      <c r="C58" s="13">
        <v>0</v>
      </c>
    </row>
    <row r="59" spans="1:3" x14ac:dyDescent="0.25">
      <c r="A59" t="s">
        <v>171</v>
      </c>
      <c r="B59" s="13" t="s">
        <v>56</v>
      </c>
      <c r="C59" s="13">
        <v>0</v>
      </c>
    </row>
    <row r="60" spans="1:3" x14ac:dyDescent="0.25">
      <c r="A60" t="s">
        <v>172</v>
      </c>
      <c r="B60" s="13" t="s">
        <v>57</v>
      </c>
      <c r="C60" s="13">
        <v>0</v>
      </c>
    </row>
    <row r="61" spans="1:3" x14ac:dyDescent="0.25">
      <c r="A61" t="s">
        <v>173</v>
      </c>
      <c r="B61" s="13" t="s">
        <v>58</v>
      </c>
      <c r="C61" s="13">
        <v>0</v>
      </c>
    </row>
    <row r="62" spans="1:3" x14ac:dyDescent="0.25">
      <c r="A62" t="s">
        <v>174</v>
      </c>
      <c r="B62" s="13" t="s">
        <v>59</v>
      </c>
      <c r="C62" s="13">
        <v>0</v>
      </c>
    </row>
    <row r="63" spans="1:3" x14ac:dyDescent="0.25">
      <c r="A63" t="s">
        <v>175</v>
      </c>
      <c r="B63" s="13" t="s">
        <v>60</v>
      </c>
      <c r="C63" s="13">
        <v>0</v>
      </c>
    </row>
    <row r="64" spans="1:3" x14ac:dyDescent="0.25">
      <c r="A64" t="s">
        <v>176</v>
      </c>
      <c r="B64" s="13" t="s">
        <v>61</v>
      </c>
      <c r="C64" s="13">
        <v>0</v>
      </c>
    </row>
    <row r="65" spans="1:4" x14ac:dyDescent="0.25">
      <c r="A65" t="s">
        <v>186</v>
      </c>
      <c r="B65" s="13" t="s">
        <v>62</v>
      </c>
      <c r="C65" s="13">
        <v>0</v>
      </c>
    </row>
    <row r="66" spans="1:4" x14ac:dyDescent="0.25">
      <c r="A66" t="s">
        <v>177</v>
      </c>
      <c r="B66" s="13" t="s">
        <v>63</v>
      </c>
      <c r="C66" s="13">
        <v>0</v>
      </c>
    </row>
    <row r="67" spans="1:4" x14ac:dyDescent="0.25">
      <c r="A67" t="s">
        <v>140</v>
      </c>
      <c r="B67" t="s">
        <v>64</v>
      </c>
      <c r="C67">
        <v>0</v>
      </c>
    </row>
    <row r="68" spans="1:4" x14ac:dyDescent="0.25">
      <c r="A68" t="s">
        <v>141</v>
      </c>
      <c r="B68" t="s">
        <v>65</v>
      </c>
      <c r="C68">
        <v>0</v>
      </c>
    </row>
    <row r="69" spans="1:4" x14ac:dyDescent="0.25">
      <c r="A69" t="s">
        <v>142</v>
      </c>
      <c r="B69" t="s">
        <v>66</v>
      </c>
      <c r="C69">
        <v>0</v>
      </c>
    </row>
    <row r="70" spans="1:4" x14ac:dyDescent="0.25">
      <c r="A70" t="s">
        <v>144</v>
      </c>
      <c r="B70" t="s">
        <v>67</v>
      </c>
      <c r="C70">
        <v>0</v>
      </c>
    </row>
    <row r="71" spans="1:4" x14ac:dyDescent="0.25">
      <c r="A71" t="s">
        <v>143</v>
      </c>
      <c r="B71" t="s">
        <v>68</v>
      </c>
      <c r="C71" s="2">
        <v>101943.74999999789</v>
      </c>
      <c r="D71" s="2">
        <f>D72+D73</f>
        <v>101943.74999999936</v>
      </c>
    </row>
    <row r="72" spans="1:4" x14ac:dyDescent="0.25">
      <c r="A72" t="s">
        <v>148</v>
      </c>
      <c r="B72" t="s">
        <v>69</v>
      </c>
      <c r="C72" s="2">
        <v>22799.999999999727</v>
      </c>
      <c r="D72" s="2">
        <f>D44</f>
        <v>22799.999999999727</v>
      </c>
    </row>
    <row r="73" spans="1:4" x14ac:dyDescent="0.25">
      <c r="A73" t="s">
        <v>149</v>
      </c>
      <c r="B73" t="s">
        <v>70</v>
      </c>
      <c r="C73" s="2">
        <v>79143.749999998166</v>
      </c>
      <c r="D73" s="2">
        <f>D15</f>
        <v>79143.749999999636</v>
      </c>
    </row>
    <row r="74" spans="1:4" x14ac:dyDescent="0.25">
      <c r="A74" t="s">
        <v>150</v>
      </c>
      <c r="B74" t="s">
        <v>71</v>
      </c>
      <c r="C74">
        <v>0</v>
      </c>
    </row>
    <row r="75" spans="1:4" x14ac:dyDescent="0.25">
      <c r="A75" t="s">
        <v>147</v>
      </c>
      <c r="B75" t="s">
        <v>72</v>
      </c>
      <c r="C75">
        <v>0</v>
      </c>
    </row>
    <row r="76" spans="1:4" x14ac:dyDescent="0.25">
      <c r="A76" t="s">
        <v>146</v>
      </c>
      <c r="B76" t="s">
        <v>73</v>
      </c>
      <c r="C76">
        <v>0</v>
      </c>
    </row>
    <row r="77" spans="1:4" x14ac:dyDescent="0.25">
      <c r="A77" t="s">
        <v>145</v>
      </c>
      <c r="B77" t="s">
        <v>74</v>
      </c>
      <c r="C77">
        <v>0</v>
      </c>
    </row>
    <row r="78" spans="1:4" x14ac:dyDescent="0.25">
      <c r="A78" t="s">
        <v>75</v>
      </c>
      <c r="B78" t="s">
        <v>75</v>
      </c>
      <c r="C78" s="23">
        <v>96.352863368554324</v>
      </c>
    </row>
    <row r="79" spans="1:4" x14ac:dyDescent="0.25">
      <c r="A79" t="s">
        <v>169</v>
      </c>
      <c r="B79" t="s">
        <v>76</v>
      </c>
      <c r="C79" s="2">
        <v>1575</v>
      </c>
      <c r="D79" s="4">
        <f>D80</f>
        <v>1575</v>
      </c>
    </row>
    <row r="80" spans="1:4" x14ac:dyDescent="0.25">
      <c r="A80" t="s">
        <v>168</v>
      </c>
      <c r="B80" t="s">
        <v>77</v>
      </c>
      <c r="C80" s="2">
        <v>1575</v>
      </c>
      <c r="D80" s="4">
        <f>D81/100</f>
        <v>1575</v>
      </c>
    </row>
    <row r="81" spans="1:4" x14ac:dyDescent="0.25">
      <c r="A81" t="s">
        <v>167</v>
      </c>
      <c r="B81" t="s">
        <v>78</v>
      </c>
      <c r="C81" s="2">
        <v>157500</v>
      </c>
      <c r="D81" s="2">
        <f>-C7*2500</f>
        <v>157500</v>
      </c>
    </row>
    <row r="82" spans="1:4" x14ac:dyDescent="0.25">
      <c r="A82" t="s">
        <v>166</v>
      </c>
      <c r="B82" t="s">
        <v>79</v>
      </c>
      <c r="C82" s="2">
        <v>-15172368.75</v>
      </c>
    </row>
    <row r="83" spans="1:4" x14ac:dyDescent="0.25">
      <c r="A83" t="s">
        <v>165</v>
      </c>
      <c r="B83" t="s">
        <v>80</v>
      </c>
      <c r="C83">
        <v>0</v>
      </c>
      <c r="D83" s="24"/>
    </row>
    <row r="84" spans="1:4" x14ac:dyDescent="0.25">
      <c r="A84" t="s">
        <v>164</v>
      </c>
      <c r="B84" t="s">
        <v>81</v>
      </c>
      <c r="C84">
        <v>0</v>
      </c>
    </row>
    <row r="85" spans="1:4" x14ac:dyDescent="0.25">
      <c r="A85" t="s">
        <v>163</v>
      </c>
      <c r="B85" t="s">
        <v>82</v>
      </c>
      <c r="C85">
        <v>0</v>
      </c>
    </row>
    <row r="86" spans="1:4" x14ac:dyDescent="0.25">
      <c r="A86" t="s">
        <v>162</v>
      </c>
      <c r="B86" t="s">
        <v>83</v>
      </c>
      <c r="C86" s="2">
        <v>157500</v>
      </c>
    </row>
    <row r="87" spans="1:4" x14ac:dyDescent="0.25">
      <c r="A87" t="s">
        <v>161</v>
      </c>
      <c r="B87" t="s">
        <v>84</v>
      </c>
      <c r="C87" s="2">
        <v>-393.75</v>
      </c>
    </row>
    <row r="88" spans="1:4" x14ac:dyDescent="0.25">
      <c r="A88" t="s">
        <v>159</v>
      </c>
      <c r="B88" t="s">
        <v>85</v>
      </c>
      <c r="C88" s="2">
        <v>393.74999999816646</v>
      </c>
      <c r="D88" s="4"/>
    </row>
    <row r="89" spans="1:4" x14ac:dyDescent="0.25">
      <c r="A89" t="s">
        <v>158</v>
      </c>
      <c r="B89" t="s">
        <v>86</v>
      </c>
      <c r="C89" s="2">
        <v>393.74999999816646</v>
      </c>
    </row>
    <row r="90" spans="1:4" x14ac:dyDescent="0.25">
      <c r="A90" t="s">
        <v>160</v>
      </c>
      <c r="B90" t="s">
        <v>87</v>
      </c>
      <c r="C90" s="2">
        <v>67506.250000000655</v>
      </c>
    </row>
    <row r="91" spans="1:4" x14ac:dyDescent="0.25">
      <c r="A91" t="s">
        <v>193</v>
      </c>
      <c r="B91" t="s">
        <v>88</v>
      </c>
      <c r="C91">
        <v>0</v>
      </c>
    </row>
    <row r="92" spans="1:4" x14ac:dyDescent="0.25">
      <c r="A92" t="s">
        <v>192</v>
      </c>
      <c r="B92" t="s">
        <v>89</v>
      </c>
      <c r="C92">
        <v>0</v>
      </c>
    </row>
    <row r="93" spans="1:4" x14ac:dyDescent="0.25">
      <c r="B93" t="s">
        <v>90</v>
      </c>
      <c r="C93">
        <v>0</v>
      </c>
    </row>
    <row r="94" spans="1:4" x14ac:dyDescent="0.25">
      <c r="A94" t="s">
        <v>194</v>
      </c>
      <c r="B94" t="s">
        <v>91</v>
      </c>
      <c r="C94">
        <v>0</v>
      </c>
    </row>
    <row r="95" spans="1:4" x14ac:dyDescent="0.25">
      <c r="B95" t="s">
        <v>92</v>
      </c>
      <c r="C95">
        <v>0</v>
      </c>
    </row>
    <row r="96" spans="1:4" x14ac:dyDescent="0.25">
      <c r="B96" t="s">
        <v>93</v>
      </c>
      <c r="C96">
        <v>0</v>
      </c>
    </row>
    <row r="97" spans="1:3" x14ac:dyDescent="0.25">
      <c r="A97" t="s">
        <v>195</v>
      </c>
      <c r="B97" t="s">
        <v>94</v>
      </c>
      <c r="C97">
        <v>0</v>
      </c>
    </row>
    <row r="98" spans="1:3" x14ac:dyDescent="0.25">
      <c r="A98" t="s">
        <v>196</v>
      </c>
      <c r="B98" t="s">
        <v>95</v>
      </c>
      <c r="C98">
        <v>0</v>
      </c>
    </row>
    <row r="99" spans="1:3" x14ac:dyDescent="0.25">
      <c r="A99" t="s">
        <v>96</v>
      </c>
      <c r="B99" t="s">
        <v>96</v>
      </c>
      <c r="C9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57BC-D7D4-48C3-8AD6-D122ACD424C2}">
  <dimension ref="A1:Y99"/>
  <sheetViews>
    <sheetView zoomScale="55" zoomScaleNormal="55" workbookViewId="0">
      <selection activeCell="C48" sqref="C48"/>
    </sheetView>
  </sheetViews>
  <sheetFormatPr defaultRowHeight="15" x14ac:dyDescent="0.25"/>
  <cols>
    <col min="1" max="1" width="41" bestFit="1" customWidth="1"/>
    <col min="2" max="2" width="35.28515625" bestFit="1" customWidth="1"/>
    <col min="3" max="3" width="10.5703125" bestFit="1" customWidth="1"/>
    <col min="6" max="6" width="15" bestFit="1" customWidth="1"/>
    <col min="9" max="9" width="15" bestFit="1" customWidth="1"/>
    <col min="10" max="10" width="11.42578125" bestFit="1" customWidth="1"/>
    <col min="11" max="11" width="9.7109375" bestFit="1" customWidth="1"/>
    <col min="12" max="12" width="12" bestFit="1" customWidth="1"/>
    <col min="13" max="13" width="14.7109375" bestFit="1" customWidth="1"/>
    <col min="14" max="14" width="12.28515625" bestFit="1" customWidth="1"/>
    <col min="15" max="15" width="15.5703125" customWidth="1"/>
    <col min="16" max="16" width="14.7109375" bestFit="1" customWidth="1"/>
    <col min="17" max="17" width="15.7109375" bestFit="1" customWidth="1"/>
    <col min="18" max="18" width="14.7109375" bestFit="1" customWidth="1"/>
    <col min="19" max="20" width="18.140625" bestFit="1" customWidth="1"/>
    <col min="22" max="22" width="14" bestFit="1" customWidth="1"/>
    <col min="23" max="24" width="13.7109375" bestFit="1" customWidth="1"/>
    <col min="25" max="25" width="14.7109375" bestFit="1" customWidth="1"/>
    <col min="26" max="26" width="9.28515625" bestFit="1" customWidth="1"/>
    <col min="27" max="28" width="13.7109375" bestFit="1" customWidth="1"/>
    <col min="29" max="29" width="9.28515625" bestFit="1" customWidth="1"/>
    <col min="30" max="30" width="13.7109375" bestFit="1" customWidth="1"/>
    <col min="31" max="31" width="9.28515625" bestFit="1" customWidth="1"/>
  </cols>
  <sheetData>
    <row r="1" spans="1:18" x14ac:dyDescent="0.25">
      <c r="A1" t="s">
        <v>99</v>
      </c>
      <c r="B1">
        <v>836650090</v>
      </c>
    </row>
    <row r="2" spans="1:18" x14ac:dyDescent="0.25">
      <c r="A2" t="s">
        <v>104</v>
      </c>
      <c r="B2" s="3">
        <v>45807</v>
      </c>
    </row>
    <row r="3" spans="1:18" x14ac:dyDescent="0.25">
      <c r="A3" t="s">
        <v>211</v>
      </c>
      <c r="B3" s="30">
        <v>46134</v>
      </c>
      <c r="J3" t="s">
        <v>205</v>
      </c>
      <c r="K3" t="s">
        <v>206</v>
      </c>
      <c r="L3" t="s">
        <v>208</v>
      </c>
      <c r="M3" t="s">
        <v>203</v>
      </c>
      <c r="N3" t="s">
        <v>207</v>
      </c>
      <c r="O3" t="s">
        <v>202</v>
      </c>
      <c r="P3" t="s">
        <v>201</v>
      </c>
      <c r="Q3" t="s">
        <v>204</v>
      </c>
      <c r="R3" s="2" t="s">
        <v>209</v>
      </c>
    </row>
    <row r="4" spans="1:18" x14ac:dyDescent="0.25">
      <c r="A4" t="s">
        <v>1</v>
      </c>
      <c r="B4" t="s">
        <v>197</v>
      </c>
      <c r="J4" t="s">
        <v>199</v>
      </c>
      <c r="K4" s="30">
        <v>45898</v>
      </c>
      <c r="O4" s="2">
        <v>-2701160.7749999999</v>
      </c>
      <c r="P4" s="2"/>
      <c r="Q4" s="2"/>
      <c r="R4" s="2"/>
    </row>
    <row r="5" spans="1:18" x14ac:dyDescent="0.25">
      <c r="A5" t="s">
        <v>2</v>
      </c>
      <c r="B5">
        <v>221780056</v>
      </c>
      <c r="J5" t="s">
        <v>199</v>
      </c>
      <c r="K5" s="30">
        <v>46265</v>
      </c>
      <c r="L5">
        <v>3.5790000000000002E-2</v>
      </c>
      <c r="M5">
        <f>(K5-B3-2)/360</f>
        <v>0.35833333333333334</v>
      </c>
      <c r="N5" s="27">
        <v>-11394551.775</v>
      </c>
      <c r="O5" s="27">
        <v>-7327286.7000000002</v>
      </c>
      <c r="P5" s="27">
        <f>N5*Q5</f>
        <v>-11244300.699894983</v>
      </c>
      <c r="Q5" s="26">
        <v>0.98681377924538705</v>
      </c>
      <c r="R5" s="27">
        <f>Q5*M5*$B$7/10000</f>
        <v>-11043.186300090314</v>
      </c>
    </row>
    <row r="6" spans="1:18" x14ac:dyDescent="0.25">
      <c r="A6" t="s">
        <v>3</v>
      </c>
      <c r="B6" t="s">
        <v>198</v>
      </c>
      <c r="I6" s="6"/>
      <c r="J6" t="s">
        <v>199</v>
      </c>
      <c r="K6" s="30">
        <v>46630</v>
      </c>
      <c r="L6">
        <v>3.5790000000000002E-2</v>
      </c>
      <c r="M6">
        <f>(K6-K5)/360</f>
        <v>1.0138888888888888</v>
      </c>
      <c r="N6" s="4">
        <f>$B$7*M6*L6</f>
        <v>-11332456.125</v>
      </c>
      <c r="O6" s="26">
        <v>0</v>
      </c>
      <c r="P6" s="27">
        <f>N6*Q6</f>
        <v>-10784382.983285449</v>
      </c>
      <c r="Q6" s="26">
        <v>0.95163686180037599</v>
      </c>
      <c r="R6" s="27">
        <f>Q6*M6*$B$7/10000</f>
        <v>-30132.391682831651</v>
      </c>
    </row>
    <row r="7" spans="1:18" x14ac:dyDescent="0.25">
      <c r="A7" t="s">
        <v>4</v>
      </c>
      <c r="B7" s="2">
        <v>-312300000</v>
      </c>
      <c r="J7" t="s">
        <v>199</v>
      </c>
      <c r="K7" s="30">
        <v>46996</v>
      </c>
      <c r="L7">
        <v>3.5790000000000002E-2</v>
      </c>
      <c r="M7">
        <f>(K7-K6)/360</f>
        <v>1.0166666666666666</v>
      </c>
      <c r="N7" s="4">
        <f t="shared" ref="N7:N8" si="0">$B$7*M7*L7</f>
        <v>-11363503.950000001</v>
      </c>
      <c r="O7" s="26">
        <v>0</v>
      </c>
      <c r="P7" s="27">
        <f>N7*Q7</f>
        <v>-10443696.136829909</v>
      </c>
      <c r="Q7" s="26">
        <v>0.91905596924880795</v>
      </c>
      <c r="R7" s="27">
        <f>Q7*M7*$B$7/10000</f>
        <v>-29180.486551634276</v>
      </c>
    </row>
    <row r="8" spans="1:18" x14ac:dyDescent="0.25">
      <c r="A8" t="s">
        <v>5</v>
      </c>
      <c r="B8">
        <v>0</v>
      </c>
      <c r="J8" t="s">
        <v>199</v>
      </c>
      <c r="K8" s="30">
        <v>47361</v>
      </c>
      <c r="L8">
        <v>3.5790000000000002E-2</v>
      </c>
      <c r="M8">
        <f>(K8-K7)/360</f>
        <v>1.0138888888888888</v>
      </c>
      <c r="N8" s="4">
        <f t="shared" si="0"/>
        <v>-11332456.125</v>
      </c>
      <c r="O8" s="26">
        <v>0</v>
      </c>
      <c r="P8" s="27">
        <f>N8*Q8</f>
        <v>-10055433.471805451</v>
      </c>
      <c r="Q8" s="26">
        <v>0.88731280852900296</v>
      </c>
      <c r="R8" s="27">
        <f>Q8*M8*$B$7/10000</f>
        <v>-28095.650941060216</v>
      </c>
    </row>
    <row r="9" spans="1:18" x14ac:dyDescent="0.25">
      <c r="A9" t="s">
        <v>6</v>
      </c>
      <c r="B9" s="25">
        <v>-2.6614827524622936E-5</v>
      </c>
      <c r="K9" s="30"/>
    </row>
    <row r="10" spans="1:18" x14ac:dyDescent="0.25">
      <c r="A10" t="s">
        <v>7</v>
      </c>
      <c r="B10" s="2">
        <v>-8311.8106359397425</v>
      </c>
      <c r="L10" t="s">
        <v>203</v>
      </c>
      <c r="M10" t="s">
        <v>207</v>
      </c>
      <c r="N10" t="s">
        <v>202</v>
      </c>
      <c r="O10" t="s">
        <v>201</v>
      </c>
      <c r="P10" t="s">
        <v>204</v>
      </c>
      <c r="Q10" s="2"/>
    </row>
    <row r="11" spans="1:18" x14ac:dyDescent="0.25">
      <c r="A11" t="s">
        <v>8</v>
      </c>
      <c r="B11" s="2">
        <v>-8311.8106359397425</v>
      </c>
      <c r="J11" t="s">
        <v>200</v>
      </c>
      <c r="K11" s="30">
        <v>45898</v>
      </c>
      <c r="N11" s="2">
        <v>3286576.6605050699</v>
      </c>
      <c r="O11" s="27"/>
      <c r="Q11" s="27"/>
    </row>
    <row r="12" spans="1:18" x14ac:dyDescent="0.25">
      <c r="A12" t="s">
        <v>9</v>
      </c>
      <c r="B12" s="2">
        <v>703144.59328881232</v>
      </c>
      <c r="F12" s="6"/>
      <c r="J12" t="s">
        <v>200</v>
      </c>
      <c r="K12" s="30">
        <v>46265</v>
      </c>
      <c r="L12">
        <f>(K12-B3-2)/360</f>
        <v>0.35833333333333334</v>
      </c>
      <c r="M12" s="27">
        <v>12319249.0681212</v>
      </c>
      <c r="N12" s="27">
        <v>8038743.1039247504</v>
      </c>
      <c r="O12" s="27">
        <f>M12*P12</f>
        <v>12156804.730377894</v>
      </c>
      <c r="P12" s="26">
        <v>0.98681377924538705</v>
      </c>
      <c r="Q12" s="27"/>
    </row>
    <row r="13" spans="1:18" x14ac:dyDescent="0.25">
      <c r="A13" t="s">
        <v>10</v>
      </c>
      <c r="B13" s="2">
        <v>703144.59328881232</v>
      </c>
      <c r="J13" t="s">
        <v>200</v>
      </c>
      <c r="K13" s="30">
        <v>46630</v>
      </c>
      <c r="L13">
        <f>(K13-K12)/360</f>
        <v>1.0138888888888888</v>
      </c>
      <c r="M13" s="27">
        <v>11544058.200197499</v>
      </c>
      <c r="N13" s="27">
        <v>0</v>
      </c>
      <c r="O13" s="27">
        <f>M13*P13</f>
        <v>10985751.318076845</v>
      </c>
      <c r="P13" s="26">
        <v>0.95163686180037599</v>
      </c>
      <c r="Q13" s="27"/>
    </row>
    <row r="14" spans="1:18" x14ac:dyDescent="0.25">
      <c r="A14" s="7" t="s">
        <v>11</v>
      </c>
      <c r="B14" s="8">
        <v>1288560.4787938902</v>
      </c>
      <c r="C14" s="4">
        <f>C15+C44</f>
        <v>1288560.47879373</v>
      </c>
      <c r="J14" t="s">
        <v>200</v>
      </c>
      <c r="K14" s="30">
        <v>46996</v>
      </c>
      <c r="L14">
        <f>(K14-K13)/360</f>
        <v>1.0166666666666666</v>
      </c>
      <c r="M14" s="27">
        <v>11071156.8003539</v>
      </c>
      <c r="N14" s="27">
        <v>0</v>
      </c>
      <c r="O14" s="27">
        <f>M14*P14</f>
        <v>10175012.743854785</v>
      </c>
      <c r="P14" s="26">
        <v>0.91905596924880795</v>
      </c>
      <c r="Q14" s="27"/>
    </row>
    <row r="15" spans="1:18" x14ac:dyDescent="0.25">
      <c r="A15" s="28" t="s">
        <v>12</v>
      </c>
      <c r="B15" s="29">
        <v>703144.59328881232</v>
      </c>
      <c r="C15" s="4">
        <f>SUM(P5:P8)+SUM(O12:O15)</f>
        <v>703144.59328866005</v>
      </c>
      <c r="J15" t="s">
        <v>200</v>
      </c>
      <c r="K15" s="30">
        <v>47361</v>
      </c>
      <c r="L15">
        <f>(K15-K14)/360</f>
        <v>1.0138888888888888</v>
      </c>
      <c r="M15" s="27">
        <v>11172372.3556177</v>
      </c>
      <c r="N15" s="27">
        <v>0</v>
      </c>
      <c r="O15" s="27">
        <f>M15*P15</f>
        <v>9913389.0927949343</v>
      </c>
      <c r="P15" s="26">
        <v>0.88731280852900296</v>
      </c>
    </row>
    <row r="16" spans="1:18" x14ac:dyDescent="0.25">
      <c r="A16" s="9" t="s">
        <v>13</v>
      </c>
      <c r="B16" s="10">
        <v>-8311.8106359397425</v>
      </c>
      <c r="C16" s="4">
        <f>SUM(P5:P8)+SUM(O12:O15)-O5-N12</f>
        <v>-8311.8106360901147</v>
      </c>
    </row>
    <row r="17" spans="1:25" x14ac:dyDescent="0.25">
      <c r="A17" s="9" t="s">
        <v>14</v>
      </c>
      <c r="B17" s="9">
        <v>0</v>
      </c>
      <c r="T17" s="2"/>
      <c r="V17" s="2"/>
      <c r="Y17" s="2"/>
    </row>
    <row r="18" spans="1:25" x14ac:dyDescent="0.25">
      <c r="A18" s="9" t="s">
        <v>15</v>
      </c>
      <c r="B18" s="10">
        <v>711456.40392475203</v>
      </c>
      <c r="C18" s="4">
        <f>O5+N12</f>
        <v>711456.40392475016</v>
      </c>
      <c r="T18" s="2"/>
      <c r="V18" s="2"/>
      <c r="Y18" s="2"/>
    </row>
    <row r="19" spans="1:25" x14ac:dyDescent="0.25">
      <c r="A19" s="9" t="s">
        <v>16</v>
      </c>
      <c r="B19" s="9">
        <v>0</v>
      </c>
      <c r="Y19" s="2"/>
    </row>
    <row r="20" spans="1:25" x14ac:dyDescent="0.25">
      <c r="A20" s="9" t="s">
        <v>17</v>
      </c>
      <c r="B20" s="9">
        <v>0</v>
      </c>
    </row>
    <row r="21" spans="1:25" x14ac:dyDescent="0.25">
      <c r="A21" s="9" t="s">
        <v>18</v>
      </c>
      <c r="B21" s="9">
        <v>0</v>
      </c>
      <c r="F21" s="4"/>
    </row>
    <row r="22" spans="1:25" x14ac:dyDescent="0.25">
      <c r="A22" s="9" t="s">
        <v>19</v>
      </c>
      <c r="B22" s="9">
        <v>0</v>
      </c>
    </row>
    <row r="23" spans="1:25" x14ac:dyDescent="0.25">
      <c r="A23" s="9" t="s">
        <v>20</v>
      </c>
      <c r="B23" s="9">
        <v>0</v>
      </c>
    </row>
    <row r="24" spans="1:25" x14ac:dyDescent="0.25">
      <c r="A24" s="9" t="s">
        <v>21</v>
      </c>
      <c r="B24" s="9">
        <v>0</v>
      </c>
    </row>
    <row r="25" spans="1:25" x14ac:dyDescent="0.25">
      <c r="A25" s="9" t="s">
        <v>22</v>
      </c>
      <c r="B25" s="9">
        <v>0</v>
      </c>
    </row>
    <row r="26" spans="1:25" x14ac:dyDescent="0.25">
      <c r="A26" s="9" t="s">
        <v>23</v>
      </c>
      <c r="B26" s="9">
        <v>0</v>
      </c>
    </row>
    <row r="27" spans="1:25" x14ac:dyDescent="0.25">
      <c r="A27" s="9" t="s">
        <v>24</v>
      </c>
      <c r="B27" s="9">
        <v>0</v>
      </c>
    </row>
    <row r="28" spans="1:25" x14ac:dyDescent="0.25">
      <c r="A28" s="9" t="s">
        <v>25</v>
      </c>
      <c r="B28" s="9">
        <v>0</v>
      </c>
    </row>
    <row r="29" spans="1:25" x14ac:dyDescent="0.25">
      <c r="A29" s="9" t="s">
        <v>26</v>
      </c>
      <c r="B29" s="9">
        <v>0</v>
      </c>
    </row>
    <row r="30" spans="1:25" x14ac:dyDescent="0.25">
      <c r="A30" s="9" t="s">
        <v>27</v>
      </c>
      <c r="B30" s="9">
        <v>0</v>
      </c>
    </row>
    <row r="31" spans="1:25" x14ac:dyDescent="0.25">
      <c r="A31" s="9" t="s">
        <v>28</v>
      </c>
      <c r="B31" s="9">
        <v>0</v>
      </c>
    </row>
    <row r="32" spans="1:25" x14ac:dyDescent="0.25">
      <c r="A32" s="9" t="s">
        <v>29</v>
      </c>
      <c r="B32" s="9">
        <v>0</v>
      </c>
    </row>
    <row r="33" spans="1:3" x14ac:dyDescent="0.25">
      <c r="A33" s="9" t="s">
        <v>30</v>
      </c>
      <c r="B33" s="9">
        <v>0</v>
      </c>
    </row>
    <row r="34" spans="1:3" x14ac:dyDescent="0.25">
      <c r="A34" s="9" t="s">
        <v>31</v>
      </c>
      <c r="B34" s="9">
        <v>0</v>
      </c>
    </row>
    <row r="35" spans="1:3" x14ac:dyDescent="0.25">
      <c r="A35" s="9" t="s">
        <v>32</v>
      </c>
      <c r="B35" s="9">
        <v>0</v>
      </c>
    </row>
    <row r="36" spans="1:3" x14ac:dyDescent="0.25">
      <c r="A36" s="9" t="s">
        <v>33</v>
      </c>
      <c r="B36" s="9">
        <v>0</v>
      </c>
    </row>
    <row r="37" spans="1:3" x14ac:dyDescent="0.25">
      <c r="A37" s="9" t="s">
        <v>34</v>
      </c>
      <c r="B37" s="9">
        <v>0</v>
      </c>
    </row>
    <row r="38" spans="1:3" x14ac:dyDescent="0.25">
      <c r="A38" s="9" t="s">
        <v>35</v>
      </c>
      <c r="B38" s="9">
        <v>0</v>
      </c>
    </row>
    <row r="39" spans="1:3" x14ac:dyDescent="0.25">
      <c r="A39" s="9" t="s">
        <v>36</v>
      </c>
      <c r="B39" s="9">
        <v>0</v>
      </c>
    </row>
    <row r="40" spans="1:3" x14ac:dyDescent="0.25">
      <c r="A40" s="9" t="s">
        <v>37</v>
      </c>
      <c r="B40" s="9">
        <v>0</v>
      </c>
    </row>
    <row r="41" spans="1:3" x14ac:dyDescent="0.25">
      <c r="A41" s="9" t="s">
        <v>38</v>
      </c>
      <c r="B41" s="9">
        <v>0</v>
      </c>
    </row>
    <row r="42" spans="1:3" x14ac:dyDescent="0.25">
      <c r="A42" s="9" t="s">
        <v>39</v>
      </c>
      <c r="B42" s="9">
        <v>0</v>
      </c>
    </row>
    <row r="43" spans="1:3" x14ac:dyDescent="0.25">
      <c r="A43" s="9" t="s">
        <v>40</v>
      </c>
      <c r="B43" s="9">
        <v>0</v>
      </c>
    </row>
    <row r="44" spans="1:3" x14ac:dyDescent="0.25">
      <c r="A44" s="11" t="s">
        <v>41</v>
      </c>
      <c r="B44" s="12">
        <v>585415.88550507789</v>
      </c>
      <c r="C44" s="2">
        <f>SUM(C45:C66)</f>
        <v>585415.88550506998</v>
      </c>
    </row>
    <row r="45" spans="1:3" x14ac:dyDescent="0.25">
      <c r="A45" s="13" t="s">
        <v>42</v>
      </c>
      <c r="B45" s="13">
        <v>0</v>
      </c>
    </row>
    <row r="46" spans="1:3" x14ac:dyDescent="0.25">
      <c r="A46" s="13" t="s">
        <v>43</v>
      </c>
      <c r="B46" s="13">
        <v>0</v>
      </c>
    </row>
    <row r="47" spans="1:3" x14ac:dyDescent="0.25">
      <c r="A47" s="13" t="s">
        <v>44</v>
      </c>
      <c r="B47" s="13">
        <v>0</v>
      </c>
    </row>
    <row r="48" spans="1:3" x14ac:dyDescent="0.25">
      <c r="A48" s="13" t="s">
        <v>45</v>
      </c>
      <c r="B48" s="14">
        <v>585415.88550507789</v>
      </c>
      <c r="C48" s="4">
        <f>O4+N11</f>
        <v>585415.88550506998</v>
      </c>
    </row>
    <row r="49" spans="1:2" x14ac:dyDescent="0.25">
      <c r="A49" s="13" t="s">
        <v>46</v>
      </c>
      <c r="B49" s="13">
        <v>0</v>
      </c>
    </row>
    <row r="50" spans="1:2" x14ac:dyDescent="0.25">
      <c r="A50" s="13" t="s">
        <v>47</v>
      </c>
      <c r="B50" s="13">
        <v>0</v>
      </c>
    </row>
    <row r="51" spans="1:2" x14ac:dyDescent="0.25">
      <c r="A51" s="13" t="s">
        <v>48</v>
      </c>
      <c r="B51" s="13">
        <v>0</v>
      </c>
    </row>
    <row r="52" spans="1:2" x14ac:dyDescent="0.25">
      <c r="A52" s="13" t="s">
        <v>49</v>
      </c>
      <c r="B52" s="13">
        <v>0</v>
      </c>
    </row>
    <row r="53" spans="1:2" x14ac:dyDescent="0.25">
      <c r="A53" s="13" t="s">
        <v>50</v>
      </c>
      <c r="B53" s="13">
        <v>0</v>
      </c>
    </row>
    <row r="54" spans="1:2" x14ac:dyDescent="0.25">
      <c r="A54" s="13" t="s">
        <v>51</v>
      </c>
      <c r="B54" s="13">
        <v>0</v>
      </c>
    </row>
    <row r="55" spans="1:2" x14ac:dyDescent="0.25">
      <c r="A55" s="13" t="s">
        <v>52</v>
      </c>
      <c r="B55" s="13">
        <v>0</v>
      </c>
    </row>
    <row r="56" spans="1:2" x14ac:dyDescent="0.25">
      <c r="A56" s="13" t="s">
        <v>53</v>
      </c>
      <c r="B56" s="13">
        <v>0</v>
      </c>
    </row>
    <row r="57" spans="1:2" x14ac:dyDescent="0.25">
      <c r="A57" s="13" t="s">
        <v>54</v>
      </c>
      <c r="B57" s="13">
        <v>0</v>
      </c>
    </row>
    <row r="58" spans="1:2" x14ac:dyDescent="0.25">
      <c r="A58" s="13" t="s">
        <v>55</v>
      </c>
      <c r="B58" s="13">
        <v>0</v>
      </c>
    </row>
    <row r="59" spans="1:2" x14ac:dyDescent="0.25">
      <c r="A59" s="13" t="s">
        <v>56</v>
      </c>
      <c r="B59" s="13">
        <v>0</v>
      </c>
    </row>
    <row r="60" spans="1:2" x14ac:dyDescent="0.25">
      <c r="A60" s="13" t="s">
        <v>57</v>
      </c>
      <c r="B60" s="13">
        <v>0</v>
      </c>
    </row>
    <row r="61" spans="1:2" x14ac:dyDescent="0.25">
      <c r="A61" s="13" t="s">
        <v>58</v>
      </c>
      <c r="B61" s="13">
        <v>0</v>
      </c>
    </row>
    <row r="62" spans="1:2" x14ac:dyDescent="0.25">
      <c r="A62" s="13" t="s">
        <v>59</v>
      </c>
      <c r="B62" s="13">
        <v>0</v>
      </c>
    </row>
    <row r="63" spans="1:2" x14ac:dyDescent="0.25">
      <c r="A63" s="13" t="s">
        <v>60</v>
      </c>
      <c r="B63" s="13">
        <v>0</v>
      </c>
    </row>
    <row r="64" spans="1:2" x14ac:dyDescent="0.25">
      <c r="A64" s="13" t="s">
        <v>61</v>
      </c>
      <c r="B64" s="13">
        <v>0</v>
      </c>
    </row>
    <row r="65" spans="1:3" x14ac:dyDescent="0.25">
      <c r="A65" s="13" t="s">
        <v>62</v>
      </c>
      <c r="B65" s="13">
        <v>0</v>
      </c>
    </row>
    <row r="66" spans="1:3" x14ac:dyDescent="0.25">
      <c r="A66" s="13" t="s">
        <v>63</v>
      </c>
      <c r="B66" s="13">
        <v>0</v>
      </c>
    </row>
    <row r="67" spans="1:3" x14ac:dyDescent="0.25">
      <c r="A67" t="s">
        <v>64</v>
      </c>
      <c r="B67" s="2">
        <v>711456.40392475203</v>
      </c>
    </row>
    <row r="68" spans="1:3" x14ac:dyDescent="0.25">
      <c r="A68" t="s">
        <v>65</v>
      </c>
      <c r="B68" s="2">
        <v>585415.88550507789</v>
      </c>
    </row>
    <row r="69" spans="1:3" x14ac:dyDescent="0.25">
      <c r="A69" t="s">
        <v>66</v>
      </c>
      <c r="B69" s="2">
        <v>0</v>
      </c>
    </row>
    <row r="70" spans="1:3" x14ac:dyDescent="0.25">
      <c r="A70" t="s">
        <v>67</v>
      </c>
      <c r="B70">
        <v>0</v>
      </c>
    </row>
    <row r="71" spans="1:3" x14ac:dyDescent="0.25">
      <c r="A71" t="s">
        <v>68</v>
      </c>
      <c r="B71" s="2">
        <v>1288560.4787938902</v>
      </c>
    </row>
    <row r="72" spans="1:3" x14ac:dyDescent="0.25">
      <c r="A72" t="s">
        <v>69</v>
      </c>
      <c r="B72" s="2">
        <v>0</v>
      </c>
    </row>
    <row r="73" spans="1:3" x14ac:dyDescent="0.25">
      <c r="A73" t="s">
        <v>70</v>
      </c>
      <c r="B73" s="2">
        <v>-8311.8106359397425</v>
      </c>
    </row>
    <row r="74" spans="1:3" x14ac:dyDescent="0.25">
      <c r="A74" t="s">
        <v>71</v>
      </c>
      <c r="B74" s="2">
        <v>0</v>
      </c>
    </row>
    <row r="75" spans="1:3" x14ac:dyDescent="0.25">
      <c r="A75" t="s">
        <v>72</v>
      </c>
      <c r="B75" s="2">
        <v>0</v>
      </c>
    </row>
    <row r="76" spans="1:3" x14ac:dyDescent="0.25">
      <c r="A76" t="s">
        <v>73</v>
      </c>
      <c r="B76" s="2">
        <v>0</v>
      </c>
    </row>
    <row r="77" spans="1:3" x14ac:dyDescent="0.25">
      <c r="A77" t="s">
        <v>74</v>
      </c>
      <c r="B77" s="2">
        <v>0</v>
      </c>
    </row>
    <row r="78" spans="1:3" x14ac:dyDescent="0.25">
      <c r="A78" t="s">
        <v>75</v>
      </c>
      <c r="B78" s="2">
        <v>-2.6614827524622936E-5</v>
      </c>
    </row>
    <row r="79" spans="1:3" x14ac:dyDescent="0.25">
      <c r="A79" t="s">
        <v>76</v>
      </c>
      <c r="B79" s="2">
        <v>98392.962684881146</v>
      </c>
      <c r="C79" s="4">
        <f>-SUM(R5:R8)</f>
        <v>98451.715475616453</v>
      </c>
    </row>
    <row r="80" spans="1:3" x14ac:dyDescent="0.25">
      <c r="A80" t="s">
        <v>77</v>
      </c>
      <c r="B80" s="2">
        <v>98392.962684881146</v>
      </c>
      <c r="C80" s="4">
        <f>C79</f>
        <v>98451.715475616453</v>
      </c>
    </row>
    <row r="81" spans="1:3" x14ac:dyDescent="0.25">
      <c r="A81" t="s">
        <v>78</v>
      </c>
      <c r="B81" s="2">
        <v>9839296.2684881147</v>
      </c>
      <c r="C81" s="4">
        <f>C80*100</f>
        <v>9845171.5475616455</v>
      </c>
    </row>
    <row r="82" spans="1:3" x14ac:dyDescent="0.25">
      <c r="A82" t="s">
        <v>79</v>
      </c>
      <c r="B82" s="2">
        <v>0</v>
      </c>
    </row>
    <row r="83" spans="1:3" x14ac:dyDescent="0.25">
      <c r="A83" t="s">
        <v>80</v>
      </c>
      <c r="B83" s="2">
        <v>0</v>
      </c>
    </row>
    <row r="84" spans="1:3" x14ac:dyDescent="0.25">
      <c r="A84" t="s">
        <v>81</v>
      </c>
      <c r="B84" s="2">
        <v>0</v>
      </c>
    </row>
    <row r="85" spans="1:3" x14ac:dyDescent="0.25">
      <c r="A85" t="s">
        <v>82</v>
      </c>
      <c r="B85" s="2">
        <v>0</v>
      </c>
    </row>
    <row r="86" spans="1:3" x14ac:dyDescent="0.25">
      <c r="A86" t="s">
        <v>83</v>
      </c>
      <c r="B86" s="2">
        <v>0</v>
      </c>
    </row>
    <row r="87" spans="1:3" x14ac:dyDescent="0.25">
      <c r="A87" t="s">
        <v>84</v>
      </c>
      <c r="B87" s="2">
        <v>110435.66230578907</v>
      </c>
    </row>
    <row r="88" spans="1:3" x14ac:dyDescent="0.25">
      <c r="A88" t="s">
        <v>85</v>
      </c>
      <c r="B88" s="2">
        <v>-24848.833102539182</v>
      </c>
    </row>
    <row r="89" spans="1:3" x14ac:dyDescent="0.25">
      <c r="A89" t="s">
        <v>86</v>
      </c>
      <c r="B89" s="2">
        <v>-24848.833102539182</v>
      </c>
    </row>
    <row r="90" spans="1:3" x14ac:dyDescent="0.25">
      <c r="A90" t="s">
        <v>87</v>
      </c>
      <c r="B90" s="2">
        <v>2395360.4005704918</v>
      </c>
    </row>
    <row r="91" spans="1:3" x14ac:dyDescent="0.25">
      <c r="A91" t="s">
        <v>88</v>
      </c>
      <c r="B91">
        <v>0</v>
      </c>
    </row>
    <row r="92" spans="1:3" x14ac:dyDescent="0.25">
      <c r="A92" t="s">
        <v>89</v>
      </c>
      <c r="B92">
        <v>0</v>
      </c>
    </row>
    <row r="93" spans="1:3" x14ac:dyDescent="0.25">
      <c r="A93" t="s">
        <v>90</v>
      </c>
      <c r="B93">
        <v>0</v>
      </c>
    </row>
    <row r="94" spans="1:3" x14ac:dyDescent="0.25">
      <c r="A94" t="s">
        <v>91</v>
      </c>
      <c r="B94">
        <v>0</v>
      </c>
    </row>
    <row r="95" spans="1:3" x14ac:dyDescent="0.25">
      <c r="A95" t="s">
        <v>92</v>
      </c>
      <c r="B95">
        <v>0</v>
      </c>
    </row>
    <row r="96" spans="1:3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027C-222A-4FC3-B0F0-641D93B2424C}">
  <dimension ref="A1:C99"/>
  <sheetViews>
    <sheetView workbookViewId="0">
      <selection activeCell="B5" sqref="B5"/>
    </sheetView>
  </sheetViews>
  <sheetFormatPr defaultRowHeight="15" x14ac:dyDescent="0.25"/>
  <cols>
    <col min="1" max="1" width="41" bestFit="1" customWidth="1"/>
    <col min="2" max="2" width="16.5703125" bestFit="1" customWidth="1"/>
  </cols>
  <sheetData>
    <row r="1" spans="1:3" x14ac:dyDescent="0.25">
      <c r="A1" t="s">
        <v>99</v>
      </c>
      <c r="B1">
        <v>1103709551</v>
      </c>
    </row>
    <row r="2" spans="1:3" x14ac:dyDescent="0.25">
      <c r="A2" t="s">
        <v>104</v>
      </c>
      <c r="B2" s="3">
        <v>46078</v>
      </c>
    </row>
    <row r="3" spans="1:3" x14ac:dyDescent="0.25">
      <c r="A3" t="s">
        <v>211</v>
      </c>
      <c r="B3" s="3">
        <v>46134</v>
      </c>
    </row>
    <row r="4" spans="1:3" x14ac:dyDescent="0.25">
      <c r="A4" t="s">
        <v>1</v>
      </c>
      <c r="B4" t="s">
        <v>210</v>
      </c>
    </row>
    <row r="5" spans="1:3" x14ac:dyDescent="0.25">
      <c r="A5" t="s">
        <v>2</v>
      </c>
      <c r="B5">
        <v>227903350</v>
      </c>
    </row>
    <row r="6" spans="1:3" x14ac:dyDescent="0.25">
      <c r="A6" t="s">
        <v>3</v>
      </c>
      <c r="B6" t="s">
        <v>108</v>
      </c>
    </row>
    <row r="7" spans="1:3" x14ac:dyDescent="0.25">
      <c r="A7" t="s">
        <v>4</v>
      </c>
      <c r="B7">
        <v>1</v>
      </c>
    </row>
    <row r="8" spans="1:3" x14ac:dyDescent="0.25">
      <c r="A8" t="s">
        <v>5</v>
      </c>
      <c r="B8">
        <v>111.375</v>
      </c>
    </row>
    <row r="9" spans="1:3" x14ac:dyDescent="0.25">
      <c r="A9" t="s">
        <v>6</v>
      </c>
      <c r="B9">
        <v>111.28125</v>
      </c>
    </row>
    <row r="10" spans="1:3" x14ac:dyDescent="0.25">
      <c r="A10" t="s">
        <v>7</v>
      </c>
      <c r="B10">
        <v>-93.75</v>
      </c>
    </row>
    <row r="11" spans="1:3" x14ac:dyDescent="0.25">
      <c r="A11" t="s">
        <v>8</v>
      </c>
      <c r="B11">
        <v>-93.75</v>
      </c>
    </row>
    <row r="12" spans="1:3" x14ac:dyDescent="0.25">
      <c r="A12" t="s">
        <v>9</v>
      </c>
      <c r="B12">
        <v>-93.75</v>
      </c>
    </row>
    <row r="13" spans="1:3" x14ac:dyDescent="0.25">
      <c r="A13" t="s">
        <v>10</v>
      </c>
      <c r="B13">
        <v>-93.75</v>
      </c>
    </row>
    <row r="14" spans="1:3" x14ac:dyDescent="0.25">
      <c r="A14" s="7" t="s">
        <v>11</v>
      </c>
      <c r="B14">
        <v>-109.375</v>
      </c>
      <c r="C14" s="31">
        <f>C15+C44</f>
        <v>-93.75</v>
      </c>
    </row>
    <row r="15" spans="1:3" x14ac:dyDescent="0.25">
      <c r="A15" s="28" t="s">
        <v>12</v>
      </c>
      <c r="B15">
        <v>-93.75</v>
      </c>
      <c r="C15" s="31">
        <f>SUM(C16:C43)</f>
        <v>-93.75</v>
      </c>
    </row>
    <row r="16" spans="1:3" x14ac:dyDescent="0.25">
      <c r="A16" s="9" t="s">
        <v>13</v>
      </c>
      <c r="B16">
        <v>-93.75</v>
      </c>
      <c r="C16" s="31">
        <f>(B7)*(B9-B8)*1000</f>
        <v>-93.75</v>
      </c>
    </row>
    <row r="17" spans="1:3" x14ac:dyDescent="0.25">
      <c r="A17" s="9" t="s">
        <v>14</v>
      </c>
      <c r="B17">
        <v>0</v>
      </c>
      <c r="C17" s="2"/>
    </row>
    <row r="18" spans="1:3" x14ac:dyDescent="0.25">
      <c r="A18" s="9" t="s">
        <v>15</v>
      </c>
      <c r="B18">
        <v>0</v>
      </c>
    </row>
    <row r="19" spans="1:3" x14ac:dyDescent="0.25">
      <c r="A19" s="9" t="s">
        <v>16</v>
      </c>
      <c r="B19">
        <v>0</v>
      </c>
    </row>
    <row r="20" spans="1:3" x14ac:dyDescent="0.25">
      <c r="A20" s="9" t="s">
        <v>17</v>
      </c>
      <c r="B20">
        <v>0</v>
      </c>
    </row>
    <row r="21" spans="1:3" x14ac:dyDescent="0.25">
      <c r="A21" s="9" t="s">
        <v>18</v>
      </c>
      <c r="B21">
        <v>0</v>
      </c>
    </row>
    <row r="22" spans="1:3" x14ac:dyDescent="0.25">
      <c r="A22" s="9" t="s">
        <v>19</v>
      </c>
      <c r="B22">
        <v>0</v>
      </c>
    </row>
    <row r="23" spans="1:3" x14ac:dyDescent="0.25">
      <c r="A23" s="9" t="s">
        <v>20</v>
      </c>
      <c r="B23">
        <v>0</v>
      </c>
    </row>
    <row r="24" spans="1:3" x14ac:dyDescent="0.25">
      <c r="A24" s="9" t="s">
        <v>21</v>
      </c>
      <c r="B24">
        <v>0</v>
      </c>
    </row>
    <row r="25" spans="1:3" x14ac:dyDescent="0.25">
      <c r="A25" s="9" t="s">
        <v>22</v>
      </c>
      <c r="B25">
        <v>0</v>
      </c>
    </row>
    <row r="26" spans="1:3" x14ac:dyDescent="0.25">
      <c r="A26" s="9" t="s">
        <v>23</v>
      </c>
      <c r="B26">
        <v>0</v>
      </c>
    </row>
    <row r="27" spans="1:3" x14ac:dyDescent="0.25">
      <c r="A27" s="9" t="s">
        <v>24</v>
      </c>
      <c r="B27">
        <v>0</v>
      </c>
    </row>
    <row r="28" spans="1:3" x14ac:dyDescent="0.25">
      <c r="A28" s="9" t="s">
        <v>25</v>
      </c>
      <c r="B28">
        <v>0</v>
      </c>
    </row>
    <row r="29" spans="1:3" x14ac:dyDescent="0.25">
      <c r="A29" s="9" t="s">
        <v>26</v>
      </c>
      <c r="B29">
        <v>0</v>
      </c>
    </row>
    <row r="30" spans="1:3" x14ac:dyDescent="0.25">
      <c r="A30" s="9" t="s">
        <v>27</v>
      </c>
      <c r="B30">
        <v>0</v>
      </c>
    </row>
    <row r="31" spans="1:3" x14ac:dyDescent="0.25">
      <c r="A31" s="9" t="s">
        <v>28</v>
      </c>
      <c r="B31">
        <v>0</v>
      </c>
    </row>
    <row r="32" spans="1:3" x14ac:dyDescent="0.25">
      <c r="A32" s="9" t="s">
        <v>29</v>
      </c>
      <c r="B32">
        <v>0</v>
      </c>
    </row>
    <row r="33" spans="1:2" x14ac:dyDescent="0.25">
      <c r="A33" s="9" t="s">
        <v>30</v>
      </c>
      <c r="B33">
        <v>0</v>
      </c>
    </row>
    <row r="34" spans="1:2" x14ac:dyDescent="0.25">
      <c r="A34" s="9" t="s">
        <v>31</v>
      </c>
      <c r="B34">
        <v>0</v>
      </c>
    </row>
    <row r="35" spans="1:2" x14ac:dyDescent="0.25">
      <c r="A35" s="9" t="s">
        <v>32</v>
      </c>
      <c r="B35">
        <v>0</v>
      </c>
    </row>
    <row r="36" spans="1:2" x14ac:dyDescent="0.25">
      <c r="A36" s="9" t="s">
        <v>33</v>
      </c>
      <c r="B36">
        <v>0</v>
      </c>
    </row>
    <row r="37" spans="1:2" x14ac:dyDescent="0.25">
      <c r="A37" s="9" t="s">
        <v>34</v>
      </c>
      <c r="B37">
        <v>0</v>
      </c>
    </row>
    <row r="38" spans="1:2" x14ac:dyDescent="0.25">
      <c r="A38" s="9" t="s">
        <v>35</v>
      </c>
      <c r="B38">
        <v>0</v>
      </c>
    </row>
    <row r="39" spans="1:2" x14ac:dyDescent="0.25">
      <c r="A39" s="9" t="s">
        <v>36</v>
      </c>
      <c r="B39">
        <v>0</v>
      </c>
    </row>
    <row r="40" spans="1:2" x14ac:dyDescent="0.25">
      <c r="A40" s="9" t="s">
        <v>37</v>
      </c>
      <c r="B40">
        <v>0</v>
      </c>
    </row>
    <row r="41" spans="1:2" x14ac:dyDescent="0.25">
      <c r="A41" s="9" t="s">
        <v>38</v>
      </c>
      <c r="B41">
        <v>0</v>
      </c>
    </row>
    <row r="42" spans="1:2" x14ac:dyDescent="0.25">
      <c r="A42" s="9" t="s">
        <v>39</v>
      </c>
      <c r="B42">
        <v>0</v>
      </c>
    </row>
    <row r="43" spans="1:2" x14ac:dyDescent="0.25">
      <c r="A43" s="9" t="s">
        <v>40</v>
      </c>
      <c r="B43">
        <v>0</v>
      </c>
    </row>
    <row r="44" spans="1:2" x14ac:dyDescent="0.25">
      <c r="A44" s="11" t="s">
        <v>41</v>
      </c>
      <c r="B44">
        <v>-15.625</v>
      </c>
    </row>
    <row r="45" spans="1:2" x14ac:dyDescent="0.25">
      <c r="A45" s="13" t="s">
        <v>42</v>
      </c>
      <c r="B45">
        <v>-15.625</v>
      </c>
    </row>
    <row r="46" spans="1:2" x14ac:dyDescent="0.25">
      <c r="A46" s="13" t="s">
        <v>43</v>
      </c>
      <c r="B46">
        <v>0</v>
      </c>
    </row>
    <row r="47" spans="1:2" x14ac:dyDescent="0.25">
      <c r="A47" s="13" t="s">
        <v>44</v>
      </c>
      <c r="B47">
        <v>0</v>
      </c>
    </row>
    <row r="48" spans="1:2" x14ac:dyDescent="0.25">
      <c r="A48" s="13" t="s">
        <v>45</v>
      </c>
      <c r="B48">
        <v>0</v>
      </c>
    </row>
    <row r="49" spans="1:2" x14ac:dyDescent="0.25">
      <c r="A49" s="13" t="s">
        <v>46</v>
      </c>
      <c r="B49">
        <v>0</v>
      </c>
    </row>
    <row r="50" spans="1:2" x14ac:dyDescent="0.25">
      <c r="A50" s="13" t="s">
        <v>47</v>
      </c>
      <c r="B50">
        <v>0</v>
      </c>
    </row>
    <row r="51" spans="1:2" x14ac:dyDescent="0.25">
      <c r="A51" s="13" t="s">
        <v>48</v>
      </c>
      <c r="B51">
        <v>0</v>
      </c>
    </row>
    <row r="52" spans="1:2" x14ac:dyDescent="0.25">
      <c r="A52" s="13" t="s">
        <v>49</v>
      </c>
      <c r="B52">
        <v>0</v>
      </c>
    </row>
    <row r="53" spans="1:2" x14ac:dyDescent="0.25">
      <c r="A53" s="13" t="s">
        <v>50</v>
      </c>
      <c r="B53">
        <v>0</v>
      </c>
    </row>
    <row r="54" spans="1:2" x14ac:dyDescent="0.25">
      <c r="A54" s="13" t="s">
        <v>51</v>
      </c>
      <c r="B54">
        <v>0</v>
      </c>
    </row>
    <row r="55" spans="1:2" x14ac:dyDescent="0.25">
      <c r="A55" s="13" t="s">
        <v>52</v>
      </c>
      <c r="B55">
        <v>0</v>
      </c>
    </row>
    <row r="56" spans="1:2" x14ac:dyDescent="0.25">
      <c r="A56" s="13" t="s">
        <v>53</v>
      </c>
      <c r="B56">
        <v>0</v>
      </c>
    </row>
    <row r="57" spans="1:2" x14ac:dyDescent="0.25">
      <c r="A57" s="13" t="s">
        <v>54</v>
      </c>
      <c r="B57">
        <v>0</v>
      </c>
    </row>
    <row r="58" spans="1:2" x14ac:dyDescent="0.25">
      <c r="A58" s="13" t="s">
        <v>55</v>
      </c>
      <c r="B58">
        <v>0</v>
      </c>
    </row>
    <row r="59" spans="1:2" x14ac:dyDescent="0.25">
      <c r="A59" s="13" t="s">
        <v>56</v>
      </c>
      <c r="B59">
        <v>0</v>
      </c>
    </row>
    <row r="60" spans="1:2" x14ac:dyDescent="0.25">
      <c r="A60" s="13" t="s">
        <v>57</v>
      </c>
      <c r="B60">
        <v>0</v>
      </c>
    </row>
    <row r="61" spans="1:2" x14ac:dyDescent="0.25">
      <c r="A61" s="13" t="s">
        <v>58</v>
      </c>
      <c r="B61">
        <v>0</v>
      </c>
    </row>
    <row r="62" spans="1:2" x14ac:dyDescent="0.25">
      <c r="A62" s="13" t="s">
        <v>59</v>
      </c>
      <c r="B62">
        <v>0</v>
      </c>
    </row>
    <row r="63" spans="1:2" x14ac:dyDescent="0.25">
      <c r="A63" s="13" t="s">
        <v>60</v>
      </c>
      <c r="B63">
        <v>0</v>
      </c>
    </row>
    <row r="64" spans="1:2" x14ac:dyDescent="0.25">
      <c r="A64" s="13" t="s">
        <v>61</v>
      </c>
      <c r="B64">
        <v>0</v>
      </c>
    </row>
    <row r="65" spans="1:2" x14ac:dyDescent="0.25">
      <c r="A65" s="13" t="s">
        <v>62</v>
      </c>
      <c r="B65">
        <v>0</v>
      </c>
    </row>
    <row r="66" spans="1:2" x14ac:dyDescent="0.25">
      <c r="A66" s="13" t="s">
        <v>63</v>
      </c>
      <c r="B66">
        <v>0</v>
      </c>
    </row>
    <row r="67" spans="1:2" x14ac:dyDescent="0.25">
      <c r="A67" t="s">
        <v>64</v>
      </c>
      <c r="B67">
        <v>0</v>
      </c>
    </row>
    <row r="68" spans="1:2" x14ac:dyDescent="0.25">
      <c r="A68" t="s">
        <v>65</v>
      </c>
      <c r="B68">
        <v>0</v>
      </c>
    </row>
    <row r="69" spans="1:2" x14ac:dyDescent="0.25">
      <c r="A69" t="s">
        <v>66</v>
      </c>
      <c r="B69">
        <v>0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-109.375</v>
      </c>
    </row>
    <row r="72" spans="1:2" x14ac:dyDescent="0.25">
      <c r="A72" t="s">
        <v>69</v>
      </c>
      <c r="B72">
        <v>-15.625</v>
      </c>
    </row>
    <row r="73" spans="1:2" x14ac:dyDescent="0.25">
      <c r="A73" t="s">
        <v>70</v>
      </c>
      <c r="B73">
        <v>-93.75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 s="33">
        <v>111.30037171195607</v>
      </c>
    </row>
    <row r="79" spans="1:2" x14ac:dyDescent="0.25">
      <c r="A79" t="s">
        <v>76</v>
      </c>
      <c r="B79" s="33">
        <v>-63.815865924112998</v>
      </c>
    </row>
    <row r="80" spans="1:2" x14ac:dyDescent="0.25">
      <c r="A80" t="s">
        <v>77</v>
      </c>
      <c r="B80" s="33">
        <v>-63.815865924112998</v>
      </c>
    </row>
    <row r="81" spans="1:2" x14ac:dyDescent="0.25">
      <c r="A81" t="s">
        <v>78</v>
      </c>
      <c r="B81" s="33">
        <v>-6381.5865924112995</v>
      </c>
    </row>
    <row r="82" spans="1:2" x14ac:dyDescent="0.25">
      <c r="A82" t="s">
        <v>79</v>
      </c>
      <c r="B82" s="33">
        <v>111281.25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 s="2">
        <v>-6381.5865924112995</v>
      </c>
    </row>
    <row r="87" spans="1:2" x14ac:dyDescent="0.25">
      <c r="A87" t="s">
        <v>84</v>
      </c>
      <c r="B87">
        <v>-15.625</v>
      </c>
    </row>
    <row r="88" spans="1:2" x14ac:dyDescent="0.25">
      <c r="A88" t="s">
        <v>85</v>
      </c>
      <c r="B88">
        <v>-109.375</v>
      </c>
    </row>
    <row r="89" spans="1:2" x14ac:dyDescent="0.25">
      <c r="A89" t="s">
        <v>86</v>
      </c>
      <c r="B89">
        <v>-109.375</v>
      </c>
    </row>
    <row r="90" spans="1:2" x14ac:dyDescent="0.25">
      <c r="A90" t="s">
        <v>87</v>
      </c>
      <c r="B90">
        <v>-109.375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 s="32">
        <v>5.6415667803532425</v>
      </c>
    </row>
    <row r="98" spans="1:2" x14ac:dyDescent="0.25">
      <c r="A98" t="s">
        <v>95</v>
      </c>
      <c r="B98" s="32">
        <v>0</v>
      </c>
    </row>
    <row r="99" spans="1:2" x14ac:dyDescent="0.25">
      <c r="A99" t="s">
        <v>96</v>
      </c>
      <c r="B99" s="32">
        <v>37.592029514752504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47AC-8BEF-4048-B714-B20F35FB11E6}">
  <dimension ref="A1:Q103"/>
  <sheetViews>
    <sheetView tabSelected="1" zoomScale="55" zoomScaleNormal="55" workbookViewId="0">
      <selection activeCell="K10" sqref="K10"/>
    </sheetView>
  </sheetViews>
  <sheetFormatPr defaultRowHeight="15" x14ac:dyDescent="0.25"/>
  <cols>
    <col min="1" max="1" width="41" bestFit="1" customWidth="1"/>
    <col min="2" max="2" width="19.85546875" bestFit="1" customWidth="1"/>
    <col min="3" max="3" width="21.85546875" bestFit="1" customWidth="1"/>
    <col min="4" max="4" width="19.85546875" bestFit="1" customWidth="1"/>
    <col min="5" max="5" width="16" bestFit="1" customWidth="1"/>
    <col min="6" max="6" width="11.28515625" bestFit="1" customWidth="1"/>
    <col min="7" max="7" width="17.7109375" bestFit="1" customWidth="1"/>
    <col min="8" max="8" width="25" bestFit="1" customWidth="1"/>
    <col min="9" max="9" width="26.42578125" bestFit="1" customWidth="1"/>
    <col min="10" max="10" width="33.42578125" bestFit="1" customWidth="1"/>
    <col min="11" max="11" width="37.42578125" bestFit="1" customWidth="1"/>
    <col min="12" max="12" width="41.85546875" bestFit="1" customWidth="1"/>
    <col min="13" max="13" width="11.5703125" bestFit="1" customWidth="1"/>
    <col min="14" max="14" width="14.7109375" bestFit="1" customWidth="1"/>
    <col min="15" max="17" width="9.42578125" bestFit="1" customWidth="1"/>
  </cols>
  <sheetData>
    <row r="1" spans="1:17" x14ac:dyDescent="0.25">
      <c r="A1" s="56" t="s">
        <v>211</v>
      </c>
      <c r="B1" s="57">
        <v>46133</v>
      </c>
      <c r="C1" s="58"/>
      <c r="D1" s="57">
        <v>46134</v>
      </c>
      <c r="E1" s="59"/>
      <c r="G1" s="3"/>
    </row>
    <row r="2" spans="1:17" x14ac:dyDescent="0.25">
      <c r="A2" s="56" t="s">
        <v>230</v>
      </c>
      <c r="B2" s="62">
        <v>50801</v>
      </c>
      <c r="C2" s="63"/>
      <c r="D2" s="62">
        <v>50801</v>
      </c>
      <c r="E2" s="64"/>
      <c r="G2" s="3"/>
    </row>
    <row r="3" spans="1:17" x14ac:dyDescent="0.25">
      <c r="A3" t="s">
        <v>99</v>
      </c>
      <c r="B3" s="38">
        <v>1096094587</v>
      </c>
      <c r="C3" s="39"/>
      <c r="D3" s="38">
        <v>1096094587</v>
      </c>
      <c r="E3" s="39"/>
      <c r="J3" t="s">
        <v>217</v>
      </c>
      <c r="K3" s="36">
        <v>1.3211000000496398</v>
      </c>
    </row>
    <row r="4" spans="1:17" x14ac:dyDescent="0.25">
      <c r="A4" t="s">
        <v>104</v>
      </c>
      <c r="B4" s="40">
        <v>46072</v>
      </c>
      <c r="C4" s="39"/>
      <c r="D4" s="40">
        <v>46072</v>
      </c>
      <c r="E4" s="39"/>
      <c r="J4" t="s">
        <v>216</v>
      </c>
      <c r="K4" s="37">
        <v>1.3233499999912681</v>
      </c>
      <c r="N4" s="30">
        <v>45869</v>
      </c>
      <c r="O4" s="30">
        <v>46053</v>
      </c>
    </row>
    <row r="5" spans="1:17" x14ac:dyDescent="0.25">
      <c r="A5" t="s">
        <v>1</v>
      </c>
      <c r="B5" s="38" t="s">
        <v>212</v>
      </c>
      <c r="C5" s="41"/>
      <c r="D5" s="38" t="s">
        <v>212</v>
      </c>
      <c r="E5" s="39"/>
      <c r="G5" t="s">
        <v>225</v>
      </c>
      <c r="H5" s="35">
        <f>E13-C13</f>
        <v>-6044.6878453046083</v>
      </c>
      <c r="J5" t="s">
        <v>219</v>
      </c>
      <c r="K5">
        <v>1.32375</v>
      </c>
      <c r="N5" s="30">
        <f>O4</f>
        <v>46053</v>
      </c>
      <c r="O5" s="30">
        <v>46233</v>
      </c>
      <c r="P5" s="30">
        <v>46234</v>
      </c>
    </row>
    <row r="6" spans="1:17" x14ac:dyDescent="0.25">
      <c r="A6" t="s">
        <v>2</v>
      </c>
      <c r="B6" s="42">
        <v>130794850</v>
      </c>
      <c r="C6" s="41"/>
      <c r="D6" s="42">
        <v>130794850</v>
      </c>
      <c r="E6" s="39"/>
      <c r="G6" t="s">
        <v>228</v>
      </c>
      <c r="H6" s="66">
        <f>H5*K11</f>
        <v>-8163.9554038684046</v>
      </c>
      <c r="J6" t="s">
        <v>224</v>
      </c>
      <c r="K6">
        <v>1.3659999999945558</v>
      </c>
      <c r="O6" s="3"/>
      <c r="Q6" s="3"/>
    </row>
    <row r="7" spans="1:17" x14ac:dyDescent="0.25">
      <c r="A7" t="s">
        <v>3</v>
      </c>
      <c r="B7" s="38" t="s">
        <v>97</v>
      </c>
      <c r="C7" s="41"/>
      <c r="D7" s="38" t="s">
        <v>97</v>
      </c>
      <c r="E7" s="39"/>
      <c r="G7" t="s">
        <v>226</v>
      </c>
      <c r="H7" s="70">
        <f>E17-C17</f>
        <v>-16764.251640003175</v>
      </c>
      <c r="J7" t="s">
        <v>221</v>
      </c>
      <c r="K7">
        <v>1.3499000681862499</v>
      </c>
      <c r="P7" s="2"/>
      <c r="Q7" s="2"/>
    </row>
    <row r="8" spans="1:17" x14ac:dyDescent="0.25">
      <c r="A8" t="s">
        <v>4</v>
      </c>
      <c r="B8" s="42">
        <v>155300000</v>
      </c>
      <c r="C8" s="41"/>
      <c r="D8" s="42">
        <v>155300000</v>
      </c>
      <c r="E8" s="39"/>
      <c r="G8" t="s">
        <v>229</v>
      </c>
      <c r="H8" s="68">
        <f>E19-C19</f>
        <v>6720.0837016574224</v>
      </c>
      <c r="J8" t="s">
        <v>222</v>
      </c>
      <c r="K8">
        <v>1.3452000000353266</v>
      </c>
      <c r="Q8" s="4"/>
    </row>
    <row r="9" spans="1:17" x14ac:dyDescent="0.25">
      <c r="A9" t="s">
        <v>5</v>
      </c>
      <c r="B9" s="43">
        <v>0.65065255247907272</v>
      </c>
      <c r="C9" s="44"/>
      <c r="D9" s="49">
        <f>(M15*N15+M16*N16)/(N15+N16)/100</f>
        <v>0.65065255247907272</v>
      </c>
      <c r="E9" s="39"/>
      <c r="G9" t="s">
        <v>11</v>
      </c>
      <c r="H9" s="69">
        <f>H7+H8</f>
        <v>-10044.167938345752</v>
      </c>
      <c r="J9" t="s">
        <v>223</v>
      </c>
      <c r="K9">
        <v>1.3487500000244641</v>
      </c>
      <c r="O9" s="2"/>
      <c r="P9" s="2"/>
    </row>
    <row r="10" spans="1:17" x14ac:dyDescent="0.25">
      <c r="A10" t="s">
        <v>6</v>
      </c>
      <c r="B10" s="43">
        <v>0.62830999999999992</v>
      </c>
      <c r="C10" s="44"/>
      <c r="D10" s="49">
        <v>0.62823999999999991</v>
      </c>
      <c r="E10" s="39"/>
      <c r="G10" t="s">
        <v>227</v>
      </c>
      <c r="H10" s="67">
        <f>E18-C18</f>
        <v>60627.804839993129</v>
      </c>
      <c r="J10" t="s">
        <v>220</v>
      </c>
      <c r="K10">
        <v>1.35</v>
      </c>
    </row>
    <row r="11" spans="1:17" x14ac:dyDescent="0.25">
      <c r="A11" t="s">
        <v>7</v>
      </c>
      <c r="B11" s="45">
        <v>97576543</v>
      </c>
      <c r="C11" s="41">
        <f>C12/K10</f>
        <v>97576542.999999985</v>
      </c>
      <c r="D11" s="42">
        <v>97565672</v>
      </c>
      <c r="E11" s="50">
        <f>E12/K11</f>
        <v>97565671.999999985</v>
      </c>
      <c r="F11" s="35"/>
      <c r="J11" t="s">
        <v>218</v>
      </c>
      <c r="K11" s="34">
        <v>1.3506</v>
      </c>
    </row>
    <row r="12" spans="1:17" x14ac:dyDescent="0.25">
      <c r="A12" t="s">
        <v>8</v>
      </c>
      <c r="B12" s="45">
        <v>131728333.05000001</v>
      </c>
      <c r="C12" s="41">
        <f>B8*B10*K10</f>
        <v>131728333.04999998</v>
      </c>
      <c r="D12" s="42">
        <v>131772196.6032</v>
      </c>
      <c r="E12" s="51">
        <f>D8*D10*K11</f>
        <v>131772196.60319999</v>
      </c>
      <c r="F12" s="35"/>
      <c r="H12" s="6">
        <f>E14-C14</f>
        <v>50614.884553581476</v>
      </c>
    </row>
    <row r="13" spans="1:17" x14ac:dyDescent="0.25">
      <c r="A13" t="s">
        <v>9</v>
      </c>
      <c r="B13" s="45">
        <v>97967474.284530386</v>
      </c>
      <c r="C13" s="41">
        <f>C11+(B1-O4+1)/(P5-O4)*(N15*0.01125/2)+(B1-O4)/(P5-O4)*((N16)*0.01125/2)</f>
        <v>97964733.262430921</v>
      </c>
      <c r="D13" s="42">
        <v>97961429.596685097</v>
      </c>
      <c r="E13" s="41">
        <f>E11+(D1-O4+1)/(P5-O4)*(N15*0.01125/2)+(D1-O4)/(P5-O4)*((N16)*0.01125/2)</f>
        <v>97958688.574585617</v>
      </c>
      <c r="F13" s="35"/>
    </row>
    <row r="14" spans="1:17" x14ac:dyDescent="0.25">
      <c r="A14" t="s">
        <v>10</v>
      </c>
      <c r="B14" s="45">
        <v>132256090.284116</v>
      </c>
      <c r="C14" s="41">
        <f>C13*K10</f>
        <v>132252389.90428175</v>
      </c>
      <c r="D14" s="42">
        <v>132306706.813283</v>
      </c>
      <c r="E14" s="51">
        <f>E13*K11</f>
        <v>132303004.78883533</v>
      </c>
      <c r="F14" s="35"/>
      <c r="J14" t="s">
        <v>106</v>
      </c>
      <c r="K14" t="s">
        <v>213</v>
      </c>
      <c r="M14" t="s">
        <v>214</v>
      </c>
      <c r="N14" t="s">
        <v>215</v>
      </c>
    </row>
    <row r="15" spans="1:17" x14ac:dyDescent="0.25">
      <c r="A15" s="7" t="s">
        <v>11</v>
      </c>
      <c r="B15" s="45">
        <v>-2505323.8728329702</v>
      </c>
      <c r="C15" s="41">
        <f>C16+C45</f>
        <v>-2505528.6852415516</v>
      </c>
      <c r="D15" s="42">
        <v>-2454707.3436661186</v>
      </c>
      <c r="E15" s="51">
        <f>E16+E45</f>
        <v>-2454945.0483399043</v>
      </c>
      <c r="F15" s="35"/>
      <c r="J15" s="3">
        <v>45986</v>
      </c>
      <c r="K15" s="3">
        <v>45987</v>
      </c>
      <c r="L15" s="3">
        <v>46054</v>
      </c>
      <c r="M15">
        <v>64.563599999999994</v>
      </c>
      <c r="N15" s="2">
        <v>67100000</v>
      </c>
      <c r="P15" s="4"/>
    </row>
    <row r="16" spans="1:17" x14ac:dyDescent="0.25">
      <c r="A16" s="28" t="s">
        <v>12</v>
      </c>
      <c r="B16" s="45">
        <v>-2701128.1910919724</v>
      </c>
      <c r="C16" s="41">
        <f>SUM(C17:C44)</f>
        <v>-2701391.3360787597</v>
      </c>
      <c r="D16" s="42">
        <v>-2650511.6619251184</v>
      </c>
      <c r="E16" s="51">
        <f>SUM(E17:E44)</f>
        <v>-2650807.6991771124</v>
      </c>
      <c r="F16" s="35"/>
      <c r="G16" s="4"/>
      <c r="J16" s="3">
        <v>46072</v>
      </c>
      <c r="K16" s="3">
        <v>46073</v>
      </c>
      <c r="L16" s="3"/>
      <c r="M16">
        <v>65.446899999999999</v>
      </c>
      <c r="N16" s="2">
        <v>88200000</v>
      </c>
      <c r="P16" s="6"/>
    </row>
    <row r="17" spans="1:13" x14ac:dyDescent="0.25">
      <c r="A17" s="9" t="s">
        <v>13</v>
      </c>
      <c r="B17" s="45">
        <v>-4684227.8399999989</v>
      </c>
      <c r="C17" s="41">
        <f>(B8)*(B10-B9)*K10</f>
        <v>-4684227.8400000073</v>
      </c>
      <c r="D17" s="42">
        <v>-4700992.0916400021</v>
      </c>
      <c r="E17" s="51">
        <f>(D8)*(D10-D9)*K11</f>
        <v>-4700992.0916400105</v>
      </c>
      <c r="F17" s="35"/>
    </row>
    <row r="18" spans="1:13" x14ac:dyDescent="0.25">
      <c r="A18" s="9" t="s">
        <v>14</v>
      </c>
      <c r="B18" s="45">
        <v>1529086.8706799999</v>
      </c>
      <c r="C18" s="41">
        <f>N15*(M15)*(K10-K3)/100+(N16)*(M16)*(K10-K8)/100</f>
        <v>1529086.866490308</v>
      </c>
      <c r="D18" s="42">
        <v>1589714.6755200108</v>
      </c>
      <c r="E18" s="51">
        <f>N15*(M15)*(K11-K3)/100+(N16)*(M16)*(K11-K8)/100</f>
        <v>1589714.6713303011</v>
      </c>
      <c r="F18" s="35"/>
    </row>
    <row r="19" spans="1:13" x14ac:dyDescent="0.25">
      <c r="A19" s="9" t="s">
        <v>15</v>
      </c>
      <c r="B19" s="45">
        <v>454012.7782280221</v>
      </c>
      <c r="C19" s="41">
        <f>C68*K10</f>
        <v>453749.6374309393</v>
      </c>
      <c r="D19" s="42">
        <v>460765.75419487292</v>
      </c>
      <c r="E19" s="52">
        <f>E68*K11</f>
        <v>460469.72113259672</v>
      </c>
      <c r="F19" s="35"/>
      <c r="H19" s="4"/>
    </row>
    <row r="20" spans="1:13" x14ac:dyDescent="0.25">
      <c r="A20" s="9" t="s">
        <v>16</v>
      </c>
      <c r="B20" s="38">
        <v>0</v>
      </c>
      <c r="C20" s="41"/>
      <c r="D20" s="38">
        <v>0</v>
      </c>
      <c r="E20" s="39"/>
      <c r="F20" s="35"/>
    </row>
    <row r="21" spans="1:13" x14ac:dyDescent="0.25">
      <c r="A21" s="9" t="s">
        <v>17</v>
      </c>
      <c r="B21" s="38">
        <v>0</v>
      </c>
      <c r="C21" s="41"/>
      <c r="D21" s="38">
        <v>0</v>
      </c>
      <c r="E21" s="39"/>
      <c r="F21" s="35"/>
      <c r="G21" s="6"/>
    </row>
    <row r="22" spans="1:13" x14ac:dyDescent="0.25">
      <c r="A22" s="9" t="s">
        <v>18</v>
      </c>
      <c r="B22" s="38">
        <v>0</v>
      </c>
      <c r="C22" s="41"/>
      <c r="D22" s="38">
        <v>0</v>
      </c>
      <c r="E22" s="39"/>
      <c r="F22" s="35"/>
      <c r="G22" s="60"/>
    </row>
    <row r="23" spans="1:13" x14ac:dyDescent="0.25">
      <c r="A23" s="9" t="s">
        <v>19</v>
      </c>
      <c r="B23" s="38">
        <v>0</v>
      </c>
      <c r="C23" s="41"/>
      <c r="D23" s="38">
        <v>0</v>
      </c>
      <c r="E23" s="39"/>
      <c r="F23" s="35"/>
      <c r="G23" s="2"/>
      <c r="I23" s="2"/>
    </row>
    <row r="24" spans="1:13" x14ac:dyDescent="0.25">
      <c r="A24" s="9" t="s">
        <v>20</v>
      </c>
      <c r="B24" s="38">
        <v>0</v>
      </c>
      <c r="C24" s="41"/>
      <c r="D24" s="38">
        <v>0</v>
      </c>
      <c r="E24" s="39"/>
      <c r="F24" s="35"/>
      <c r="I24" s="2"/>
    </row>
    <row r="25" spans="1:13" x14ac:dyDescent="0.25">
      <c r="A25" s="9" t="s">
        <v>21</v>
      </c>
      <c r="B25" s="38">
        <v>0</v>
      </c>
      <c r="C25" s="41"/>
      <c r="D25" s="38">
        <v>0</v>
      </c>
      <c r="E25" s="39"/>
      <c r="F25" s="35"/>
      <c r="I25" s="2"/>
    </row>
    <row r="26" spans="1:13" x14ac:dyDescent="0.25">
      <c r="A26" s="9" t="s">
        <v>22</v>
      </c>
      <c r="B26" s="38">
        <v>0</v>
      </c>
      <c r="C26" s="41"/>
      <c r="D26" s="38">
        <v>0</v>
      </c>
      <c r="E26" s="39"/>
      <c r="F26" s="35"/>
      <c r="I26" s="4"/>
      <c r="J26" s="6"/>
    </row>
    <row r="27" spans="1:13" x14ac:dyDescent="0.25">
      <c r="A27" s="9" t="s">
        <v>23</v>
      </c>
      <c r="B27" s="38">
        <v>0</v>
      </c>
      <c r="C27" s="41"/>
      <c r="D27" s="38">
        <v>0</v>
      </c>
      <c r="E27" s="39"/>
      <c r="F27" s="35"/>
    </row>
    <row r="28" spans="1:13" x14ac:dyDescent="0.25">
      <c r="A28" s="9" t="s">
        <v>24</v>
      </c>
      <c r="B28" s="38">
        <v>0</v>
      </c>
      <c r="C28" s="41"/>
      <c r="D28" s="38">
        <v>0</v>
      </c>
      <c r="E28" s="39"/>
      <c r="F28" s="35"/>
    </row>
    <row r="29" spans="1:13" x14ac:dyDescent="0.25">
      <c r="A29" s="9" t="s">
        <v>25</v>
      </c>
      <c r="B29" s="38">
        <v>0</v>
      </c>
      <c r="C29" s="41"/>
      <c r="D29" s="38">
        <v>0</v>
      </c>
      <c r="E29" s="39"/>
      <c r="F29" s="35"/>
    </row>
    <row r="30" spans="1:13" x14ac:dyDescent="0.25">
      <c r="A30" s="9" t="s">
        <v>26</v>
      </c>
      <c r="B30" s="38">
        <v>0</v>
      </c>
      <c r="C30" s="41"/>
      <c r="D30" s="38">
        <v>0</v>
      </c>
      <c r="E30" s="39"/>
      <c r="F30" s="35"/>
    </row>
    <row r="31" spans="1:13" x14ac:dyDescent="0.25">
      <c r="A31" s="9" t="s">
        <v>27</v>
      </c>
      <c r="B31" s="38">
        <v>0</v>
      </c>
      <c r="C31" s="41"/>
      <c r="D31" s="38">
        <v>0</v>
      </c>
      <c r="E31" s="39"/>
      <c r="F31" s="35"/>
    </row>
    <row r="32" spans="1:13" x14ac:dyDescent="0.25">
      <c r="A32" s="9" t="s">
        <v>28</v>
      </c>
      <c r="B32" s="38">
        <v>0</v>
      </c>
      <c r="C32" s="41"/>
      <c r="D32" s="38">
        <v>0</v>
      </c>
      <c r="E32" s="39"/>
      <c r="F32" s="35"/>
      <c r="G32" s="2"/>
      <c r="I32" s="2"/>
      <c r="J32" s="2"/>
      <c r="K32" s="2"/>
      <c r="L32" s="2"/>
      <c r="M32" s="2"/>
    </row>
    <row r="33" spans="1:13" x14ac:dyDescent="0.25">
      <c r="A33" s="9" t="s">
        <v>29</v>
      </c>
      <c r="B33" s="38">
        <v>0</v>
      </c>
      <c r="C33" s="41"/>
      <c r="D33" s="38">
        <v>0</v>
      </c>
      <c r="E33" s="39"/>
      <c r="F33" s="35"/>
      <c r="G33" s="2"/>
      <c r="H33" s="2"/>
      <c r="I33" s="2"/>
      <c r="J33" s="2"/>
      <c r="K33" s="2"/>
      <c r="L33" s="2"/>
    </row>
    <row r="34" spans="1:13" x14ac:dyDescent="0.25">
      <c r="A34" s="9" t="s">
        <v>30</v>
      </c>
      <c r="B34" s="38">
        <v>0</v>
      </c>
      <c r="C34" s="41"/>
      <c r="D34" s="38">
        <v>0</v>
      </c>
      <c r="E34" s="39"/>
      <c r="F34" s="35"/>
      <c r="G34" s="2"/>
      <c r="H34" s="2"/>
      <c r="I34" s="2"/>
      <c r="J34" s="2"/>
      <c r="K34" s="2"/>
      <c r="L34" s="2"/>
    </row>
    <row r="35" spans="1:13" x14ac:dyDescent="0.25">
      <c r="A35" s="9" t="s">
        <v>31</v>
      </c>
      <c r="B35" s="38">
        <v>0</v>
      </c>
      <c r="C35" s="41"/>
      <c r="D35" s="38">
        <v>0</v>
      </c>
      <c r="E35" s="39"/>
      <c r="F35" s="35"/>
      <c r="G35" s="2"/>
      <c r="H35" s="2"/>
      <c r="I35" s="2"/>
      <c r="J35" s="2"/>
      <c r="K35" s="2"/>
      <c r="L35" s="2"/>
      <c r="M35" s="2"/>
    </row>
    <row r="36" spans="1:13" x14ac:dyDescent="0.25">
      <c r="A36" s="9" t="s">
        <v>32</v>
      </c>
      <c r="B36" s="38">
        <v>0</v>
      </c>
      <c r="C36" s="41"/>
      <c r="D36" s="38">
        <v>0</v>
      </c>
      <c r="E36" s="39"/>
      <c r="F36" s="35"/>
      <c r="G36" s="2"/>
      <c r="H36" s="2"/>
      <c r="I36" s="2"/>
      <c r="J36" s="2"/>
      <c r="K36" s="2"/>
      <c r="L36" s="2"/>
      <c r="M36" s="2"/>
    </row>
    <row r="37" spans="1:13" x14ac:dyDescent="0.25">
      <c r="A37" s="9" t="s">
        <v>33</v>
      </c>
      <c r="B37" s="38">
        <v>0</v>
      </c>
      <c r="C37" s="41"/>
      <c r="D37" s="38">
        <v>0</v>
      </c>
      <c r="E37" s="39"/>
      <c r="F37" s="35"/>
      <c r="G37" s="2"/>
      <c r="H37" s="2"/>
      <c r="I37" s="2"/>
      <c r="J37" s="2"/>
      <c r="K37" s="2"/>
      <c r="L37" s="2"/>
    </row>
    <row r="38" spans="1:13" x14ac:dyDescent="0.25">
      <c r="A38" s="9" t="s">
        <v>34</v>
      </c>
      <c r="B38" s="38">
        <v>0</v>
      </c>
      <c r="C38" s="41"/>
      <c r="D38" s="38">
        <v>0</v>
      </c>
      <c r="E38" s="39"/>
      <c r="F38" s="35"/>
      <c r="G38" s="2"/>
      <c r="H38" s="2"/>
      <c r="I38" s="2"/>
      <c r="J38" s="2"/>
      <c r="K38" s="2"/>
      <c r="L38" s="2"/>
    </row>
    <row r="39" spans="1:13" x14ac:dyDescent="0.25">
      <c r="A39" s="9" t="s">
        <v>35</v>
      </c>
      <c r="B39" s="38">
        <v>0</v>
      </c>
      <c r="C39" s="41"/>
      <c r="D39" s="38">
        <v>0</v>
      </c>
      <c r="E39" s="39"/>
      <c r="F39" s="35"/>
      <c r="G39" s="2"/>
      <c r="H39" s="2"/>
      <c r="I39" s="2"/>
      <c r="J39" s="2"/>
      <c r="K39" s="2"/>
      <c r="L39" s="2"/>
    </row>
    <row r="40" spans="1:13" x14ac:dyDescent="0.25">
      <c r="A40" s="9" t="s">
        <v>36</v>
      </c>
      <c r="B40" s="38">
        <v>0</v>
      </c>
      <c r="C40" s="41"/>
      <c r="D40" s="38">
        <v>0</v>
      </c>
      <c r="E40" s="39"/>
      <c r="F40" s="35"/>
    </row>
    <row r="41" spans="1:13" x14ac:dyDescent="0.25">
      <c r="A41" s="9" t="s">
        <v>37</v>
      </c>
      <c r="B41" s="38">
        <v>0</v>
      </c>
      <c r="C41" s="41"/>
      <c r="D41" s="38">
        <v>0</v>
      </c>
      <c r="E41" s="39"/>
      <c r="F41" s="35"/>
    </row>
    <row r="42" spans="1:13" x14ac:dyDescent="0.25">
      <c r="A42" s="9" t="s">
        <v>38</v>
      </c>
      <c r="B42" s="38">
        <v>0</v>
      </c>
      <c r="C42" s="41"/>
      <c r="D42" s="38">
        <v>0</v>
      </c>
      <c r="E42" s="39"/>
      <c r="F42" s="35"/>
    </row>
    <row r="43" spans="1:13" x14ac:dyDescent="0.25">
      <c r="A43" s="9" t="s">
        <v>39</v>
      </c>
      <c r="B43" s="38">
        <v>0</v>
      </c>
      <c r="C43" s="41"/>
      <c r="D43" s="38">
        <v>0</v>
      </c>
      <c r="E43" s="39"/>
      <c r="F43" s="35"/>
    </row>
    <row r="44" spans="1:13" x14ac:dyDescent="0.25">
      <c r="A44" s="9" t="s">
        <v>40</v>
      </c>
      <c r="B44" s="38">
        <v>0</v>
      </c>
      <c r="C44" s="41"/>
      <c r="D44" s="38">
        <v>0</v>
      </c>
      <c r="E44" s="39"/>
      <c r="F44" s="35"/>
    </row>
    <row r="45" spans="1:13" x14ac:dyDescent="0.25">
      <c r="A45" s="11" t="s">
        <v>41</v>
      </c>
      <c r="B45" s="42">
        <v>195804.31825900008</v>
      </c>
      <c r="C45" s="41">
        <f>+C48+C49</f>
        <v>195862.65083720826</v>
      </c>
      <c r="D45" s="42">
        <v>195804.31825899999</v>
      </c>
      <c r="E45" s="51">
        <f>+E48+E49</f>
        <v>195862.65083720826</v>
      </c>
      <c r="F45" s="35"/>
    </row>
    <row r="46" spans="1:13" x14ac:dyDescent="0.25">
      <c r="A46" s="13" t="s">
        <v>42</v>
      </c>
      <c r="B46" s="38">
        <v>0</v>
      </c>
      <c r="C46" s="41"/>
      <c r="D46" s="42">
        <v>0</v>
      </c>
      <c r="E46" s="39"/>
      <c r="F46" s="35"/>
    </row>
    <row r="47" spans="1:13" x14ac:dyDescent="0.25">
      <c r="A47" s="13" t="s">
        <v>43</v>
      </c>
      <c r="B47" s="38">
        <v>0</v>
      </c>
      <c r="C47" s="41"/>
      <c r="D47" s="42">
        <v>0</v>
      </c>
      <c r="E47" s="39"/>
      <c r="F47" s="35"/>
      <c r="H47" s="6"/>
    </row>
    <row r="48" spans="1:13" x14ac:dyDescent="0.25">
      <c r="A48" s="13" t="s">
        <v>44</v>
      </c>
      <c r="B48" s="42">
        <v>-319775.30674099998</v>
      </c>
      <c r="C48" s="41">
        <f>C49*(-1+(L15-J15)/179)</f>
        <v>-319716.97416073689</v>
      </c>
      <c r="D48" s="42">
        <v>-319775.30674099998</v>
      </c>
      <c r="E48" s="51">
        <f>E49*(-1+(L15-J15)/179)</f>
        <v>-319716.97416073689</v>
      </c>
      <c r="F48" s="35"/>
      <c r="H48" s="4"/>
    </row>
    <row r="49" spans="1:8" x14ac:dyDescent="0.25">
      <c r="A49" s="13" t="s">
        <v>45</v>
      </c>
      <c r="B49" s="42">
        <v>515579.625</v>
      </c>
      <c r="C49" s="41">
        <f>N15*0.01125/2*K6</f>
        <v>515579.62499794515</v>
      </c>
      <c r="D49" s="42">
        <v>515579.625</v>
      </c>
      <c r="E49" s="41">
        <f>N15*0.01125/2*K6</f>
        <v>515579.62499794515</v>
      </c>
      <c r="F49" s="35"/>
      <c r="H49" s="4"/>
    </row>
    <row r="50" spans="1:8" x14ac:dyDescent="0.25">
      <c r="A50" s="13" t="s">
        <v>46</v>
      </c>
      <c r="B50" s="38">
        <v>0</v>
      </c>
      <c r="C50" s="41"/>
      <c r="D50" s="42">
        <v>0</v>
      </c>
      <c r="E50" s="39"/>
      <c r="F50" s="35"/>
    </row>
    <row r="51" spans="1:8" x14ac:dyDescent="0.25">
      <c r="A51" s="13" t="s">
        <v>47</v>
      </c>
      <c r="B51" s="38">
        <v>0</v>
      </c>
      <c r="C51" s="41"/>
      <c r="D51" s="42">
        <v>0</v>
      </c>
      <c r="E51" s="39"/>
      <c r="F51" s="35"/>
    </row>
    <row r="52" spans="1:8" x14ac:dyDescent="0.25">
      <c r="A52" s="13" t="s">
        <v>48</v>
      </c>
      <c r="B52" s="38">
        <v>0</v>
      </c>
      <c r="C52" s="41"/>
      <c r="D52" s="42">
        <v>0</v>
      </c>
      <c r="E52" s="39"/>
      <c r="F52" s="35"/>
    </row>
    <row r="53" spans="1:8" x14ac:dyDescent="0.25">
      <c r="A53" s="13" t="s">
        <v>49</v>
      </c>
      <c r="B53" s="38">
        <v>0</v>
      </c>
      <c r="C53" s="41"/>
      <c r="D53" s="42">
        <v>0</v>
      </c>
      <c r="E53" s="39"/>
      <c r="F53" s="35"/>
    </row>
    <row r="54" spans="1:8" x14ac:dyDescent="0.25">
      <c r="A54" s="13" t="s">
        <v>50</v>
      </c>
      <c r="B54" s="38">
        <v>0</v>
      </c>
      <c r="C54" s="41"/>
      <c r="D54" s="42">
        <v>0</v>
      </c>
      <c r="E54" s="39"/>
      <c r="F54" s="35"/>
    </row>
    <row r="55" spans="1:8" x14ac:dyDescent="0.25">
      <c r="A55" s="13" t="s">
        <v>51</v>
      </c>
      <c r="B55" s="38">
        <v>0</v>
      </c>
      <c r="C55" s="41"/>
      <c r="D55" s="42">
        <v>0</v>
      </c>
      <c r="E55" s="39"/>
      <c r="F55" s="35"/>
    </row>
    <row r="56" spans="1:8" x14ac:dyDescent="0.25">
      <c r="A56" s="13" t="s">
        <v>52</v>
      </c>
      <c r="B56" s="38">
        <v>0</v>
      </c>
      <c r="C56" s="41"/>
      <c r="D56" s="42">
        <v>0</v>
      </c>
      <c r="E56" s="39"/>
      <c r="F56" s="35"/>
    </row>
    <row r="57" spans="1:8" x14ac:dyDescent="0.25">
      <c r="A57" s="13" t="s">
        <v>53</v>
      </c>
      <c r="B57" s="38">
        <v>0</v>
      </c>
      <c r="C57" s="41"/>
      <c r="D57" s="42">
        <v>0</v>
      </c>
      <c r="E57" s="39"/>
      <c r="F57" s="35"/>
    </row>
    <row r="58" spans="1:8" x14ac:dyDescent="0.25">
      <c r="A58" s="13" t="s">
        <v>54</v>
      </c>
      <c r="B58" s="38">
        <v>0</v>
      </c>
      <c r="C58" s="41"/>
      <c r="D58" s="42">
        <v>0</v>
      </c>
      <c r="E58" s="39"/>
      <c r="F58" s="35"/>
    </row>
    <row r="59" spans="1:8" x14ac:dyDescent="0.25">
      <c r="A59" s="13" t="s">
        <v>55</v>
      </c>
      <c r="B59" s="38">
        <v>0</v>
      </c>
      <c r="C59" s="41"/>
      <c r="D59" s="42">
        <v>0</v>
      </c>
      <c r="E59" s="39"/>
      <c r="F59" s="35"/>
    </row>
    <row r="60" spans="1:8" x14ac:dyDescent="0.25">
      <c r="A60" s="13" t="s">
        <v>56</v>
      </c>
      <c r="B60" s="38">
        <v>0</v>
      </c>
      <c r="C60" s="41"/>
      <c r="D60" s="42">
        <v>0</v>
      </c>
      <c r="E60" s="39"/>
      <c r="F60" s="35"/>
    </row>
    <row r="61" spans="1:8" x14ac:dyDescent="0.25">
      <c r="A61" s="13" t="s">
        <v>57</v>
      </c>
      <c r="B61" s="38">
        <v>0</v>
      </c>
      <c r="C61" s="41"/>
      <c r="D61" s="42">
        <v>0</v>
      </c>
      <c r="E61" s="39"/>
      <c r="F61" s="35"/>
    </row>
    <row r="62" spans="1:8" x14ac:dyDescent="0.25">
      <c r="A62" s="13" t="s">
        <v>58</v>
      </c>
      <c r="B62" s="38">
        <v>0</v>
      </c>
      <c r="C62" s="41"/>
      <c r="D62" s="42">
        <v>0</v>
      </c>
      <c r="E62" s="39"/>
      <c r="F62" s="35"/>
    </row>
    <row r="63" spans="1:8" x14ac:dyDescent="0.25">
      <c r="A63" s="13" t="s">
        <v>59</v>
      </c>
      <c r="B63" s="38">
        <v>0</v>
      </c>
      <c r="C63" s="41"/>
      <c r="D63" s="42">
        <v>0</v>
      </c>
      <c r="E63" s="39"/>
      <c r="F63" s="35"/>
    </row>
    <row r="64" spans="1:8" x14ac:dyDescent="0.25">
      <c r="A64" s="13" t="s">
        <v>60</v>
      </c>
      <c r="B64" s="38">
        <v>0</v>
      </c>
      <c r="C64" s="41"/>
      <c r="D64" s="42">
        <v>0</v>
      </c>
      <c r="E64" s="39"/>
      <c r="F64" s="35"/>
    </row>
    <row r="65" spans="1:7" x14ac:dyDescent="0.25">
      <c r="A65" s="13" t="s">
        <v>61</v>
      </c>
      <c r="B65" s="38">
        <v>0</v>
      </c>
      <c r="C65" s="41"/>
      <c r="D65" s="42">
        <v>0</v>
      </c>
      <c r="E65" s="39"/>
      <c r="F65" s="35"/>
    </row>
    <row r="66" spans="1:7" x14ac:dyDescent="0.25">
      <c r="A66" s="13" t="s">
        <v>62</v>
      </c>
      <c r="B66" s="38">
        <v>0</v>
      </c>
      <c r="C66" s="41"/>
      <c r="D66" s="42">
        <v>0</v>
      </c>
      <c r="E66" s="39"/>
      <c r="F66" s="35"/>
    </row>
    <row r="67" spans="1:7" x14ac:dyDescent="0.25">
      <c r="A67" s="13" t="s">
        <v>63</v>
      </c>
      <c r="B67" s="38">
        <v>0</v>
      </c>
      <c r="C67" s="41"/>
      <c r="D67" s="42">
        <v>0</v>
      </c>
      <c r="E67" s="39"/>
      <c r="F67" s="35"/>
    </row>
    <row r="68" spans="1:7" x14ac:dyDescent="0.25">
      <c r="A68" t="s">
        <v>64</v>
      </c>
      <c r="B68" s="42">
        <v>336110.84453038673</v>
      </c>
      <c r="C68" s="41">
        <f>(B1-O4+1)/(P5-O4)*(N15*0.01125/2)+(B1-J16)/(P5-O4)*((N16)*0.01125/2)</f>
        <v>336110.84254143649</v>
      </c>
      <c r="D68" s="42">
        <v>340937.15668508288</v>
      </c>
      <c r="E68" s="51">
        <f>(D1-O4+1)/(P5-O4)*(N15*0.01125/2)+(D1-J16)/(P5-O4)*((N16)*0.01125/2)</f>
        <v>340937.15469613264</v>
      </c>
      <c r="F68" s="35"/>
      <c r="G68" s="6"/>
    </row>
    <row r="69" spans="1:7" x14ac:dyDescent="0.25">
      <c r="A69" t="s">
        <v>65</v>
      </c>
      <c r="B69" s="42">
        <v>135385.19</v>
      </c>
      <c r="C69" s="41">
        <f>(O4-K15)/(O4-N4)*(N15*0.01125/2)</f>
        <v>135385.1902173913</v>
      </c>
      <c r="D69" s="42">
        <v>135385.19</v>
      </c>
      <c r="E69" s="41">
        <f>(O4-K15)/(O4-N4)*(N15*0.01125/2)</f>
        <v>135385.1902173913</v>
      </c>
      <c r="F69" s="35"/>
      <c r="G69" s="6"/>
    </row>
    <row r="70" spans="1:7" x14ac:dyDescent="0.25">
      <c r="A70" t="s">
        <v>66</v>
      </c>
      <c r="B70" s="38">
        <v>0</v>
      </c>
      <c r="C70" s="41"/>
      <c r="D70" s="42">
        <v>0</v>
      </c>
      <c r="E70" s="39"/>
      <c r="F70" s="35"/>
    </row>
    <row r="71" spans="1:7" x14ac:dyDescent="0.25">
      <c r="A71" t="s">
        <v>67</v>
      </c>
      <c r="B71" s="38">
        <v>0</v>
      </c>
      <c r="C71" s="41"/>
      <c r="D71" s="42">
        <v>0</v>
      </c>
      <c r="E71" s="39"/>
      <c r="F71" s="35"/>
    </row>
    <row r="72" spans="1:7" x14ac:dyDescent="0.25">
      <c r="A72" t="s">
        <v>68</v>
      </c>
      <c r="B72" s="42">
        <v>-2998302.3654696122</v>
      </c>
      <c r="C72" s="41">
        <f>C69+C68+C74</f>
        <v>-2998302.3672411772</v>
      </c>
      <c r="D72" s="42">
        <v>-3004347.05331492</v>
      </c>
      <c r="E72" s="51">
        <f>E69+E68+E74</f>
        <v>-3004347.0550864837</v>
      </c>
      <c r="F72" s="35"/>
    </row>
    <row r="73" spans="1:7" x14ac:dyDescent="0.25">
      <c r="A73" t="s">
        <v>69</v>
      </c>
      <c r="B73" s="42">
        <v>0</v>
      </c>
      <c r="C73" s="41"/>
      <c r="D73" s="42">
        <v>0</v>
      </c>
      <c r="E73" s="51"/>
      <c r="F73" s="35"/>
    </row>
    <row r="74" spans="1:7" x14ac:dyDescent="0.25">
      <c r="A74" t="s">
        <v>70</v>
      </c>
      <c r="B74" s="42">
        <v>-3469798.399999999</v>
      </c>
      <c r="C74" s="41">
        <f>C17/K10</f>
        <v>-3469798.400000005</v>
      </c>
      <c r="D74" s="42">
        <v>-3480669.4</v>
      </c>
      <c r="E74" s="51">
        <f>E17/K11</f>
        <v>-3480669.4000000078</v>
      </c>
      <c r="F74" s="35"/>
    </row>
    <row r="75" spans="1:7" x14ac:dyDescent="0.25">
      <c r="A75" t="s">
        <v>71</v>
      </c>
      <c r="B75" s="38">
        <v>0</v>
      </c>
      <c r="C75" s="41"/>
      <c r="D75" s="42">
        <v>0</v>
      </c>
      <c r="E75" s="39"/>
      <c r="F75" s="35"/>
    </row>
    <row r="76" spans="1:7" x14ac:dyDescent="0.25">
      <c r="A76" t="s">
        <v>72</v>
      </c>
      <c r="B76" s="38">
        <v>0</v>
      </c>
      <c r="C76" s="41"/>
      <c r="D76" s="42">
        <v>0</v>
      </c>
      <c r="E76" s="39"/>
      <c r="F76" s="35"/>
    </row>
    <row r="77" spans="1:7" x14ac:dyDescent="0.25">
      <c r="A77" t="s">
        <v>73</v>
      </c>
      <c r="B77" s="38">
        <v>0</v>
      </c>
      <c r="C77" s="41"/>
      <c r="D77" s="42">
        <v>0</v>
      </c>
      <c r="E77" s="39"/>
      <c r="F77" s="35"/>
    </row>
    <row r="78" spans="1:7" x14ac:dyDescent="0.25">
      <c r="A78" t="s">
        <v>74</v>
      </c>
      <c r="B78" s="38">
        <v>0</v>
      </c>
      <c r="C78" s="41"/>
      <c r="D78" s="42">
        <v>0</v>
      </c>
      <c r="E78" s="39"/>
      <c r="F78" s="35"/>
    </row>
    <row r="79" spans="1:7" x14ac:dyDescent="0.25">
      <c r="A79" t="s">
        <v>75</v>
      </c>
      <c r="B79" s="38">
        <v>0.6283477275096544</v>
      </c>
      <c r="C79" s="41"/>
      <c r="D79" s="53">
        <v>0.62827716201064132</v>
      </c>
      <c r="E79" s="39"/>
      <c r="F79" s="35"/>
    </row>
    <row r="80" spans="1:7" x14ac:dyDescent="0.25">
      <c r="A80" t="s">
        <v>76</v>
      </c>
      <c r="B80" s="42">
        <v>-110717.86547335006</v>
      </c>
      <c r="D80" s="42">
        <v>-110682.20182018349</v>
      </c>
      <c r="E80" s="39"/>
      <c r="F80" s="35"/>
    </row>
    <row r="81" spans="1:7" x14ac:dyDescent="0.25">
      <c r="A81" t="s">
        <v>77</v>
      </c>
      <c r="B81" s="42">
        <v>-149469.11838902259</v>
      </c>
      <c r="C81" s="41">
        <f>B80*K10</f>
        <v>-149469.11838902259</v>
      </c>
      <c r="D81" s="42">
        <v>-149487.38177833983</v>
      </c>
      <c r="E81" s="51">
        <f>D80*K11</f>
        <v>-149487.38177833983</v>
      </c>
      <c r="F81" s="35"/>
      <c r="G81" s="6"/>
    </row>
    <row r="82" spans="1:7" x14ac:dyDescent="0.25">
      <c r="A82" t="s">
        <v>78</v>
      </c>
      <c r="B82" s="42">
        <v>-14946911.838902259</v>
      </c>
      <c r="C82" s="41"/>
      <c r="D82" s="42">
        <v>-14948738.177833982</v>
      </c>
      <c r="E82" s="39"/>
      <c r="F82" s="35"/>
      <c r="G82" s="4"/>
    </row>
    <row r="83" spans="1:7" x14ac:dyDescent="0.25">
      <c r="A83" t="s">
        <v>79</v>
      </c>
      <c r="B83" s="38">
        <v>0</v>
      </c>
      <c r="C83" s="41"/>
      <c r="D83" s="38">
        <v>0</v>
      </c>
      <c r="E83" s="39"/>
      <c r="F83" s="35"/>
    </row>
    <row r="84" spans="1:7" x14ac:dyDescent="0.25">
      <c r="A84" t="s">
        <v>80</v>
      </c>
      <c r="B84" s="38">
        <v>0</v>
      </c>
      <c r="C84" s="41"/>
      <c r="D84" s="42">
        <v>0</v>
      </c>
      <c r="E84" s="41"/>
      <c r="F84" s="35"/>
    </row>
    <row r="85" spans="1:7" x14ac:dyDescent="0.25">
      <c r="A85" t="s">
        <v>81</v>
      </c>
      <c r="B85" s="42">
        <v>15567.161785101296</v>
      </c>
      <c r="C85" s="41"/>
      <c r="D85" s="42">
        <v>15560.553034851926</v>
      </c>
      <c r="E85" s="41"/>
      <c r="F85" s="35"/>
    </row>
    <row r="86" spans="1:7" x14ac:dyDescent="0.25">
      <c r="A86" t="s">
        <v>82</v>
      </c>
      <c r="B86" s="42">
        <v>0</v>
      </c>
      <c r="C86" s="41"/>
      <c r="D86" s="42">
        <v>0</v>
      </c>
      <c r="E86" s="41"/>
      <c r="F86" s="35"/>
    </row>
    <row r="87" spans="1:7" x14ac:dyDescent="0.25">
      <c r="A87" t="s">
        <v>83</v>
      </c>
      <c r="B87" s="42">
        <v>-14947905.116846414</v>
      </c>
      <c r="C87" s="41"/>
      <c r="D87" s="42">
        <v>-14949716.795105232</v>
      </c>
      <c r="E87" s="41"/>
      <c r="F87" s="35"/>
    </row>
    <row r="88" spans="1:7" x14ac:dyDescent="0.25">
      <c r="A88" t="s">
        <v>84</v>
      </c>
      <c r="B88" s="42">
        <v>-867778.75819721352</v>
      </c>
      <c r="C88" s="41"/>
      <c r="D88" s="42">
        <v>50616.529166853987</v>
      </c>
      <c r="E88" s="41"/>
      <c r="F88" s="35"/>
    </row>
    <row r="89" spans="1:7" x14ac:dyDescent="0.25">
      <c r="A89" t="s">
        <v>85</v>
      </c>
      <c r="B89" s="42">
        <v>3090486.0147762345</v>
      </c>
      <c r="C89" s="41"/>
      <c r="D89" s="42">
        <v>3141102.5439430885</v>
      </c>
      <c r="E89" s="39"/>
      <c r="F89" s="35"/>
    </row>
    <row r="90" spans="1:7" x14ac:dyDescent="0.25">
      <c r="A90" t="s">
        <v>86</v>
      </c>
      <c r="B90" s="42">
        <v>3090486.0147762345</v>
      </c>
      <c r="C90" s="41"/>
      <c r="D90" s="42">
        <v>3141102.5439430885</v>
      </c>
      <c r="E90" s="39"/>
      <c r="F90" s="35"/>
    </row>
    <row r="91" spans="1:7" x14ac:dyDescent="0.25">
      <c r="A91" t="s">
        <v>87</v>
      </c>
      <c r="B91" s="42">
        <v>-3921510.0085610403</v>
      </c>
      <c r="C91" s="41"/>
      <c r="D91" s="42">
        <v>-3870893.4793941863</v>
      </c>
      <c r="E91" s="39"/>
      <c r="F91" s="35"/>
    </row>
    <row r="92" spans="1:7" x14ac:dyDescent="0.25">
      <c r="A92" t="s">
        <v>88</v>
      </c>
      <c r="B92" s="46">
        <v>5.1243605539038103E-2</v>
      </c>
      <c r="C92" s="41"/>
      <c r="D92" s="49">
        <v>5.1261424786583326E-2</v>
      </c>
      <c r="E92" s="39"/>
      <c r="F92" s="61"/>
    </row>
    <row r="93" spans="1:7" x14ac:dyDescent="0.25">
      <c r="A93" t="s">
        <v>89</v>
      </c>
      <c r="B93" s="46">
        <v>5.124897224105078E-2</v>
      </c>
      <c r="C93" s="41"/>
      <c r="D93" s="49">
        <v>5.1266793596598706E-2</v>
      </c>
      <c r="E93" s="39"/>
      <c r="F93" s="35"/>
    </row>
    <row r="94" spans="1:7" x14ac:dyDescent="0.25">
      <c r="A94" t="s">
        <v>90</v>
      </c>
      <c r="B94" s="46">
        <v>0</v>
      </c>
      <c r="C94" s="41"/>
      <c r="D94" s="38">
        <v>0</v>
      </c>
      <c r="E94" s="39"/>
      <c r="F94" s="35"/>
    </row>
    <row r="95" spans="1:7" x14ac:dyDescent="0.25">
      <c r="A95" t="s">
        <v>91</v>
      </c>
      <c r="B95" s="46">
        <v>5.124897224105078E-2</v>
      </c>
      <c r="C95" s="41"/>
      <c r="D95" s="38">
        <v>5.1266793596598706E-2</v>
      </c>
      <c r="E95" s="39"/>
      <c r="F95" s="35"/>
    </row>
    <row r="96" spans="1:7" x14ac:dyDescent="0.25">
      <c r="A96" t="s">
        <v>92</v>
      </c>
      <c r="B96" s="46">
        <v>0</v>
      </c>
      <c r="C96" s="41"/>
      <c r="D96" s="38">
        <v>0</v>
      </c>
      <c r="E96" s="39"/>
      <c r="F96" s="35"/>
    </row>
    <row r="97" spans="1:5" x14ac:dyDescent="0.25">
      <c r="A97" t="s">
        <v>93</v>
      </c>
      <c r="B97" s="46">
        <v>5.124897224105078E-2</v>
      </c>
      <c r="C97" s="41"/>
      <c r="D97" s="38">
        <v>5.1266793596598706E-2</v>
      </c>
      <c r="E97" s="39"/>
    </row>
    <row r="98" spans="1:5" x14ac:dyDescent="0.25">
      <c r="A98" t="s">
        <v>94</v>
      </c>
      <c r="B98" s="38">
        <v>11.309154570374121</v>
      </c>
      <c r="C98" s="65">
        <f>MDURATION(B1,B2,0.01125,B95,2)</f>
        <v>11.305249120654382</v>
      </c>
      <c r="D98" s="53">
        <v>11.306207878477981</v>
      </c>
      <c r="E98" s="39">
        <f>MDURATION(D1,D2,0.01125,B95,2)</f>
        <v>11.302540743645672</v>
      </c>
    </row>
    <row r="99" spans="1:5" ht="13.5" customHeight="1" x14ac:dyDescent="0.25">
      <c r="A99" t="s">
        <v>95</v>
      </c>
      <c r="B99" s="38">
        <v>11.277479071631328</v>
      </c>
      <c r="C99" s="41"/>
      <c r="D99" s="42">
        <v>11.275722027869957</v>
      </c>
      <c r="E99" s="39"/>
    </row>
    <row r="100" spans="1:5" x14ac:dyDescent="0.25">
      <c r="A100" t="s">
        <v>96</v>
      </c>
      <c r="B100" s="47">
        <v>142.10994162575099</v>
      </c>
      <c r="C100" s="48"/>
      <c r="D100" s="54">
        <v>142.042818827416</v>
      </c>
      <c r="E100" s="55"/>
    </row>
    <row r="101" spans="1:5" x14ac:dyDescent="0.25">
      <c r="D101" s="2"/>
    </row>
    <row r="103" spans="1:5" x14ac:dyDescent="0.25">
      <c r="D103" s="2"/>
      <c r="E103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D3D5-B70C-42DD-902F-09C81486D507}">
  <dimension ref="A1:C102"/>
  <sheetViews>
    <sheetView topLeftCell="A16" zoomScale="85" zoomScaleNormal="85" workbookViewId="0">
      <selection activeCell="I65" sqref="I65"/>
    </sheetView>
  </sheetViews>
  <sheetFormatPr defaultRowHeight="15" x14ac:dyDescent="0.25"/>
  <cols>
    <col min="1" max="1" width="41" bestFit="1" customWidth="1"/>
    <col min="2" max="2" width="22.42578125" bestFit="1" customWidth="1"/>
    <col min="3" max="3" width="14.28515625" bestFit="1" customWidth="1"/>
  </cols>
  <sheetData>
    <row r="1" spans="1:3" x14ac:dyDescent="0.25">
      <c r="A1" t="s">
        <v>99</v>
      </c>
      <c r="B1">
        <v>197460229</v>
      </c>
    </row>
    <row r="2" spans="1:3" x14ac:dyDescent="0.25">
      <c r="A2" t="s">
        <v>104</v>
      </c>
      <c r="B2" s="18">
        <v>46127</v>
      </c>
    </row>
    <row r="3" spans="1:3" x14ac:dyDescent="0.25">
      <c r="A3" t="s">
        <v>105</v>
      </c>
      <c r="B3" s="18">
        <v>46134</v>
      </c>
    </row>
    <row r="4" spans="1:3" x14ac:dyDescent="0.25">
      <c r="A4" t="s">
        <v>103</v>
      </c>
      <c r="B4" s="18"/>
    </row>
    <row r="5" spans="1:3" x14ac:dyDescent="0.25">
      <c r="A5" t="s">
        <v>98</v>
      </c>
      <c r="B5" s="18">
        <v>45976</v>
      </c>
    </row>
    <row r="6" spans="1:3" x14ac:dyDescent="0.25">
      <c r="A6" t="s">
        <v>101</v>
      </c>
      <c r="B6" s="18">
        <v>47983</v>
      </c>
    </row>
    <row r="7" spans="1:3" x14ac:dyDescent="0.25">
      <c r="A7" t="s">
        <v>1</v>
      </c>
      <c r="B7" t="s">
        <v>102</v>
      </c>
    </row>
    <row r="8" spans="1:3" x14ac:dyDescent="0.25">
      <c r="A8" t="s">
        <v>2</v>
      </c>
      <c r="B8">
        <v>197460229</v>
      </c>
    </row>
    <row r="9" spans="1:3" x14ac:dyDescent="0.25">
      <c r="A9" t="s">
        <v>3</v>
      </c>
      <c r="B9" t="s">
        <v>97</v>
      </c>
    </row>
    <row r="10" spans="1:3" x14ac:dyDescent="0.25">
      <c r="A10" t="s">
        <v>4</v>
      </c>
      <c r="B10" s="2">
        <v>4000000</v>
      </c>
    </row>
    <row r="11" spans="1:3" x14ac:dyDescent="0.25">
      <c r="A11" t="s">
        <v>5</v>
      </c>
      <c r="B11">
        <v>1.06125</v>
      </c>
    </row>
    <row r="12" spans="1:3" x14ac:dyDescent="0.25">
      <c r="A12" t="s">
        <v>6</v>
      </c>
      <c r="B12">
        <v>1.0581585</v>
      </c>
    </row>
    <row r="13" spans="1:3" x14ac:dyDescent="0.25">
      <c r="A13" t="s">
        <v>7</v>
      </c>
      <c r="B13" s="2">
        <v>4232634</v>
      </c>
      <c r="C13" s="2">
        <f>B10*B12</f>
        <v>4232634</v>
      </c>
    </row>
    <row r="14" spans="1:3" x14ac:dyDescent="0.25">
      <c r="A14" t="s">
        <v>8</v>
      </c>
      <c r="B14" s="2">
        <v>4232634</v>
      </c>
      <c r="C14" s="2">
        <f>C13</f>
        <v>4232634</v>
      </c>
    </row>
    <row r="15" spans="1:3" x14ac:dyDescent="0.25">
      <c r="A15" t="s">
        <v>9</v>
      </c>
      <c r="B15" s="2">
        <v>4381856.2222222229</v>
      </c>
      <c r="C15" s="2">
        <f>C14+(B3-B5)/360*B10*0.085</f>
        <v>4381856.222222222</v>
      </c>
    </row>
    <row r="16" spans="1:3" x14ac:dyDescent="0.25">
      <c r="A16" t="s">
        <v>10</v>
      </c>
      <c r="B16" s="2">
        <v>4381856.2222222229</v>
      </c>
      <c r="C16" s="4">
        <f>C15</f>
        <v>4381856.222222222</v>
      </c>
    </row>
    <row r="17" spans="1:3" x14ac:dyDescent="0.25">
      <c r="A17" s="7" t="s">
        <v>11</v>
      </c>
      <c r="B17" s="8">
        <v>-5754.8877777777525</v>
      </c>
      <c r="C17" s="4">
        <f>C47+C18</f>
        <v>-5754.8877777778653</v>
      </c>
    </row>
    <row r="18" spans="1:3" x14ac:dyDescent="0.25">
      <c r="A18" s="9" t="s">
        <v>12</v>
      </c>
      <c r="B18" s="10">
        <v>-5754.8877777777525</v>
      </c>
      <c r="C18" s="4">
        <f>C19+B21</f>
        <v>-5754.8877777778653</v>
      </c>
    </row>
    <row r="19" spans="1:3" x14ac:dyDescent="0.25">
      <c r="A19" s="9" t="s">
        <v>13</v>
      </c>
      <c r="B19" s="10">
        <v>-12365.999999999985</v>
      </c>
      <c r="C19" s="2">
        <f>(B12-B11)*B10</f>
        <v>-12366.000000000098</v>
      </c>
    </row>
    <row r="20" spans="1:3" x14ac:dyDescent="0.25">
      <c r="A20" s="9" t="s">
        <v>14</v>
      </c>
      <c r="B20" s="9">
        <v>0</v>
      </c>
    </row>
    <row r="21" spans="1:3" x14ac:dyDescent="0.25">
      <c r="A21" s="9" t="s">
        <v>15</v>
      </c>
      <c r="B21" s="10">
        <v>6611.112222222233</v>
      </c>
      <c r="C21" s="6">
        <f>B10*0.085/360*(B2-B3)</f>
        <v>-6611.1111111111113</v>
      </c>
    </row>
    <row r="22" spans="1:3" x14ac:dyDescent="0.25">
      <c r="A22" s="9" t="s">
        <v>16</v>
      </c>
      <c r="B22" s="9">
        <v>0</v>
      </c>
    </row>
    <row r="23" spans="1:3" x14ac:dyDescent="0.25">
      <c r="A23" s="9" t="s">
        <v>17</v>
      </c>
      <c r="B23" s="9">
        <v>0</v>
      </c>
    </row>
    <row r="24" spans="1:3" x14ac:dyDescent="0.25">
      <c r="A24" s="9" t="s">
        <v>18</v>
      </c>
      <c r="B24" s="9">
        <v>0</v>
      </c>
    </row>
    <row r="25" spans="1:3" x14ac:dyDescent="0.25">
      <c r="A25" s="9" t="s">
        <v>19</v>
      </c>
      <c r="B25" s="9">
        <v>0</v>
      </c>
    </row>
    <row r="26" spans="1:3" x14ac:dyDescent="0.25">
      <c r="A26" s="9" t="s">
        <v>20</v>
      </c>
      <c r="B26" s="9">
        <v>0</v>
      </c>
    </row>
    <row r="27" spans="1:3" x14ac:dyDescent="0.25">
      <c r="A27" s="9" t="s">
        <v>21</v>
      </c>
      <c r="B27" s="9">
        <v>0</v>
      </c>
    </row>
    <row r="28" spans="1:3" x14ac:dyDescent="0.25">
      <c r="A28" s="9" t="s">
        <v>22</v>
      </c>
      <c r="B28" s="9">
        <v>0</v>
      </c>
    </row>
    <row r="29" spans="1:3" x14ac:dyDescent="0.25">
      <c r="A29" s="9" t="s">
        <v>23</v>
      </c>
      <c r="B29" s="9">
        <v>0</v>
      </c>
    </row>
    <row r="30" spans="1:3" x14ac:dyDescent="0.25">
      <c r="A30" s="9" t="s">
        <v>24</v>
      </c>
      <c r="B30" s="9">
        <v>0</v>
      </c>
    </row>
    <row r="31" spans="1:3" x14ac:dyDescent="0.25">
      <c r="A31" s="9" t="s">
        <v>25</v>
      </c>
      <c r="B31" s="9">
        <v>0</v>
      </c>
    </row>
    <row r="32" spans="1:3" x14ac:dyDescent="0.25">
      <c r="A32" s="9" t="s">
        <v>26</v>
      </c>
      <c r="B32" s="9">
        <v>0</v>
      </c>
    </row>
    <row r="33" spans="1:3" x14ac:dyDescent="0.25">
      <c r="A33" s="9" t="s">
        <v>27</v>
      </c>
      <c r="B33" s="9">
        <v>0</v>
      </c>
    </row>
    <row r="34" spans="1:3" x14ac:dyDescent="0.25">
      <c r="A34" s="9" t="s">
        <v>28</v>
      </c>
      <c r="B34" s="9">
        <v>0</v>
      </c>
    </row>
    <row r="35" spans="1:3" x14ac:dyDescent="0.25">
      <c r="A35" s="9" t="s">
        <v>29</v>
      </c>
      <c r="B35" s="9">
        <v>0</v>
      </c>
    </row>
    <row r="36" spans="1:3" x14ac:dyDescent="0.25">
      <c r="A36" s="9" t="s">
        <v>30</v>
      </c>
      <c r="B36" s="9">
        <v>0</v>
      </c>
    </row>
    <row r="37" spans="1:3" x14ac:dyDescent="0.25">
      <c r="A37" s="9" t="s">
        <v>31</v>
      </c>
      <c r="B37" s="9">
        <v>0</v>
      </c>
    </row>
    <row r="38" spans="1:3" x14ac:dyDescent="0.25">
      <c r="A38" s="9" t="s">
        <v>32</v>
      </c>
      <c r="B38" s="9">
        <v>0</v>
      </c>
    </row>
    <row r="39" spans="1:3" x14ac:dyDescent="0.25">
      <c r="A39" s="9" t="s">
        <v>33</v>
      </c>
      <c r="B39" s="9">
        <v>0</v>
      </c>
    </row>
    <row r="40" spans="1:3" x14ac:dyDescent="0.25">
      <c r="A40" s="9" t="s">
        <v>34</v>
      </c>
      <c r="B40" s="9">
        <v>0</v>
      </c>
    </row>
    <row r="41" spans="1:3" x14ac:dyDescent="0.25">
      <c r="A41" s="9" t="s">
        <v>35</v>
      </c>
      <c r="B41" s="9">
        <v>0</v>
      </c>
    </row>
    <row r="42" spans="1:3" x14ac:dyDescent="0.25">
      <c r="A42" s="9" t="s">
        <v>36</v>
      </c>
      <c r="B42" s="9">
        <v>0</v>
      </c>
    </row>
    <row r="43" spans="1:3" x14ac:dyDescent="0.25">
      <c r="A43" s="9" t="s">
        <v>37</v>
      </c>
      <c r="B43" s="9">
        <v>0</v>
      </c>
    </row>
    <row r="44" spans="1:3" x14ac:dyDescent="0.25">
      <c r="A44" s="9" t="s">
        <v>38</v>
      </c>
      <c r="B44" s="9">
        <v>0</v>
      </c>
    </row>
    <row r="45" spans="1:3" x14ac:dyDescent="0.25">
      <c r="A45" s="9" t="s">
        <v>39</v>
      </c>
      <c r="B45" s="9">
        <v>0</v>
      </c>
    </row>
    <row r="46" spans="1:3" x14ac:dyDescent="0.25">
      <c r="A46" s="9" t="s">
        <v>40</v>
      </c>
      <c r="B46" s="9">
        <v>0</v>
      </c>
    </row>
    <row r="47" spans="1:3" x14ac:dyDescent="0.25">
      <c r="A47" s="11" t="s">
        <v>41</v>
      </c>
      <c r="B47" s="12">
        <v>0</v>
      </c>
      <c r="C47">
        <f>B48+B50+B51</f>
        <v>0</v>
      </c>
    </row>
    <row r="48" spans="1:3" x14ac:dyDescent="0.25">
      <c r="A48" s="13" t="s">
        <v>42</v>
      </c>
      <c r="B48" s="14">
        <v>0</v>
      </c>
    </row>
    <row r="49" spans="1:2" x14ac:dyDescent="0.25">
      <c r="A49" s="13" t="s">
        <v>43</v>
      </c>
      <c r="B49" s="14">
        <v>0</v>
      </c>
    </row>
    <row r="50" spans="1:2" x14ac:dyDescent="0.25">
      <c r="A50" s="13" t="s">
        <v>44</v>
      </c>
      <c r="B50" s="14">
        <v>0</v>
      </c>
    </row>
    <row r="51" spans="1:2" x14ac:dyDescent="0.25">
      <c r="A51" s="13" t="s">
        <v>45</v>
      </c>
      <c r="B51" s="14">
        <v>0</v>
      </c>
    </row>
    <row r="52" spans="1:2" x14ac:dyDescent="0.25">
      <c r="A52" s="13" t="s">
        <v>46</v>
      </c>
      <c r="B52" s="13">
        <v>0</v>
      </c>
    </row>
    <row r="53" spans="1:2" x14ac:dyDescent="0.25">
      <c r="A53" s="13" t="s">
        <v>47</v>
      </c>
      <c r="B53" s="13">
        <v>0</v>
      </c>
    </row>
    <row r="54" spans="1:2" x14ac:dyDescent="0.25">
      <c r="A54" s="13" t="s">
        <v>48</v>
      </c>
      <c r="B54" s="13">
        <v>0</v>
      </c>
    </row>
    <row r="55" spans="1:2" x14ac:dyDescent="0.25">
      <c r="A55" s="13" t="s">
        <v>49</v>
      </c>
      <c r="B55" s="13">
        <v>0</v>
      </c>
    </row>
    <row r="56" spans="1:2" x14ac:dyDescent="0.25">
      <c r="A56" s="13" t="s">
        <v>50</v>
      </c>
      <c r="B56" s="13">
        <v>0</v>
      </c>
    </row>
    <row r="57" spans="1:2" x14ac:dyDescent="0.25">
      <c r="A57" s="13" t="s">
        <v>51</v>
      </c>
      <c r="B57" s="13">
        <v>0</v>
      </c>
    </row>
    <row r="58" spans="1:2" x14ac:dyDescent="0.25">
      <c r="A58" s="13" t="s">
        <v>52</v>
      </c>
      <c r="B58" s="13">
        <v>0</v>
      </c>
    </row>
    <row r="59" spans="1:2" x14ac:dyDescent="0.25">
      <c r="A59" s="13" t="s">
        <v>53</v>
      </c>
      <c r="B59" s="13">
        <v>0</v>
      </c>
    </row>
    <row r="60" spans="1:2" x14ac:dyDescent="0.25">
      <c r="A60" s="13" t="s">
        <v>54</v>
      </c>
      <c r="B60" s="13">
        <v>0</v>
      </c>
    </row>
    <row r="61" spans="1:2" x14ac:dyDescent="0.25">
      <c r="A61" s="13" t="s">
        <v>55</v>
      </c>
      <c r="B61" s="13">
        <v>0</v>
      </c>
    </row>
    <row r="62" spans="1:2" x14ac:dyDescent="0.25">
      <c r="A62" s="13" t="s">
        <v>56</v>
      </c>
      <c r="B62" s="13">
        <v>0</v>
      </c>
    </row>
    <row r="63" spans="1:2" x14ac:dyDescent="0.25">
      <c r="A63" s="13" t="s">
        <v>57</v>
      </c>
      <c r="B63" s="13">
        <v>0</v>
      </c>
    </row>
    <row r="64" spans="1:2" x14ac:dyDescent="0.25">
      <c r="A64" s="13" t="s">
        <v>58</v>
      </c>
      <c r="B64" s="13">
        <v>0</v>
      </c>
    </row>
    <row r="65" spans="1:2" x14ac:dyDescent="0.25">
      <c r="A65" s="13" t="s">
        <v>59</v>
      </c>
      <c r="B65" s="13">
        <v>0</v>
      </c>
    </row>
    <row r="66" spans="1:2" x14ac:dyDescent="0.25">
      <c r="A66" s="13" t="s">
        <v>60</v>
      </c>
      <c r="B66" s="13">
        <v>0</v>
      </c>
    </row>
    <row r="67" spans="1:2" x14ac:dyDescent="0.25">
      <c r="A67" s="13" t="s">
        <v>61</v>
      </c>
      <c r="B67" s="13">
        <v>0</v>
      </c>
    </row>
    <row r="68" spans="1:2" x14ac:dyDescent="0.25">
      <c r="A68" s="13" t="s">
        <v>62</v>
      </c>
      <c r="B68" s="13">
        <v>0</v>
      </c>
    </row>
    <row r="69" spans="1:2" x14ac:dyDescent="0.25">
      <c r="A69" s="13" t="s">
        <v>63</v>
      </c>
      <c r="B69" s="13">
        <v>0</v>
      </c>
    </row>
    <row r="70" spans="1:2" x14ac:dyDescent="0.25">
      <c r="A70" t="s">
        <v>64</v>
      </c>
      <c r="B70" s="2">
        <v>6611.112222222233</v>
      </c>
    </row>
    <row r="71" spans="1:2" x14ac:dyDescent="0.25">
      <c r="A71" t="s">
        <v>65</v>
      </c>
      <c r="B71">
        <v>0</v>
      </c>
    </row>
    <row r="72" spans="1:2" x14ac:dyDescent="0.25">
      <c r="A72" t="s">
        <v>66</v>
      </c>
      <c r="B72">
        <v>0</v>
      </c>
    </row>
    <row r="73" spans="1:2" x14ac:dyDescent="0.25">
      <c r="A73" t="s">
        <v>67</v>
      </c>
      <c r="B73">
        <v>0</v>
      </c>
    </row>
    <row r="74" spans="1:2" x14ac:dyDescent="0.25">
      <c r="A74" t="s">
        <v>68</v>
      </c>
      <c r="B74" s="2">
        <v>-5754.8877777777525</v>
      </c>
    </row>
    <row r="75" spans="1:2" x14ac:dyDescent="0.25">
      <c r="A75" t="s">
        <v>69</v>
      </c>
      <c r="B75">
        <v>0</v>
      </c>
    </row>
    <row r="76" spans="1:2" x14ac:dyDescent="0.25">
      <c r="A76" t="s">
        <v>70</v>
      </c>
      <c r="B76" s="2">
        <v>-12365.999999999985</v>
      </c>
    </row>
    <row r="77" spans="1:2" x14ac:dyDescent="0.25">
      <c r="A77" t="s">
        <v>71</v>
      </c>
      <c r="B77">
        <v>0</v>
      </c>
    </row>
    <row r="78" spans="1:2" x14ac:dyDescent="0.25">
      <c r="A78" t="s">
        <v>72</v>
      </c>
      <c r="B78">
        <v>0</v>
      </c>
    </row>
    <row r="79" spans="1:2" x14ac:dyDescent="0.25">
      <c r="A79" t="s">
        <v>73</v>
      </c>
      <c r="B79">
        <v>0</v>
      </c>
    </row>
    <row r="80" spans="1:2" x14ac:dyDescent="0.25">
      <c r="A80" t="s">
        <v>74</v>
      </c>
      <c r="B80">
        <v>0</v>
      </c>
    </row>
    <row r="81" spans="1:2" x14ac:dyDescent="0.25">
      <c r="A81" t="s">
        <v>75</v>
      </c>
      <c r="B81">
        <v>1.0590750233999118</v>
      </c>
    </row>
    <row r="82" spans="1:2" x14ac:dyDescent="0.25">
      <c r="A82" t="s">
        <v>76</v>
      </c>
      <c r="B82" s="1">
        <v>-458.01620373879354</v>
      </c>
    </row>
    <row r="83" spans="1:2" x14ac:dyDescent="0.25">
      <c r="A83" t="s">
        <v>77</v>
      </c>
      <c r="B83" s="1">
        <v>-458.01620373879354</v>
      </c>
    </row>
    <row r="84" spans="1:2" x14ac:dyDescent="0.25">
      <c r="A84" t="s">
        <v>78</v>
      </c>
      <c r="B84" s="1">
        <v>-45801.620373879356</v>
      </c>
    </row>
    <row r="85" spans="1:2" x14ac:dyDescent="0.25">
      <c r="A85" t="s">
        <v>79</v>
      </c>
      <c r="B85" s="1">
        <v>0</v>
      </c>
    </row>
    <row r="86" spans="1:2" x14ac:dyDescent="0.25">
      <c r="A86" t="s">
        <v>80</v>
      </c>
      <c r="B86" s="1">
        <v>0</v>
      </c>
    </row>
    <row r="87" spans="1:2" x14ac:dyDescent="0.25">
      <c r="A87" t="s">
        <v>81</v>
      </c>
      <c r="B87" s="1">
        <v>756.74800178876467</v>
      </c>
    </row>
    <row r="88" spans="1:2" x14ac:dyDescent="0.25">
      <c r="A88" t="s">
        <v>82</v>
      </c>
      <c r="B88" s="1">
        <v>0</v>
      </c>
    </row>
    <row r="89" spans="1:2" x14ac:dyDescent="0.25">
      <c r="A89" t="s">
        <v>83</v>
      </c>
      <c r="B89" s="1">
        <v>-85172.710689312225</v>
      </c>
    </row>
    <row r="90" spans="1:2" x14ac:dyDescent="0.25">
      <c r="A90" t="s">
        <v>84</v>
      </c>
      <c r="B90" s="1">
        <v>3734.4444444444016</v>
      </c>
    </row>
    <row r="91" spans="1:2" x14ac:dyDescent="0.25">
      <c r="A91" t="s">
        <v>85</v>
      </c>
      <c r="B91" s="1">
        <v>-5754.8877777777525</v>
      </c>
    </row>
    <row r="92" spans="1:2" x14ac:dyDescent="0.25">
      <c r="A92" t="s">
        <v>86</v>
      </c>
      <c r="B92" s="1">
        <v>-5754.8877777777525</v>
      </c>
    </row>
    <row r="93" spans="1:2" x14ac:dyDescent="0.25">
      <c r="A93" t="s">
        <v>87</v>
      </c>
      <c r="B93" s="1">
        <v>-5754.8877777777525</v>
      </c>
    </row>
    <row r="94" spans="1:2" x14ac:dyDescent="0.25">
      <c r="A94" t="s">
        <v>88</v>
      </c>
      <c r="B94" s="19">
        <v>7.1054221087931246E-2</v>
      </c>
    </row>
    <row r="95" spans="1:2" x14ac:dyDescent="0.25">
      <c r="A95" t="s">
        <v>89</v>
      </c>
      <c r="B95" s="19">
        <v>7.1161580742520922E-2</v>
      </c>
    </row>
    <row r="96" spans="1:2" x14ac:dyDescent="0.25">
      <c r="A96" t="s">
        <v>90</v>
      </c>
      <c r="B96" s="19">
        <v>6.6602908344242956E-2</v>
      </c>
    </row>
    <row r="97" spans="1:2" x14ac:dyDescent="0.25">
      <c r="A97" t="s">
        <v>91</v>
      </c>
      <c r="B97" s="19">
        <v>7.1102970536320642E-2</v>
      </c>
    </row>
    <row r="98" spans="1:2" x14ac:dyDescent="0.25">
      <c r="A98" t="s">
        <v>92</v>
      </c>
      <c r="B98" s="19">
        <v>0</v>
      </c>
    </row>
    <row r="99" spans="1:2" x14ac:dyDescent="0.25">
      <c r="A99" t="s">
        <v>93</v>
      </c>
      <c r="B99" s="19">
        <v>6.377584237239968E-2</v>
      </c>
    </row>
    <row r="100" spans="1:2" x14ac:dyDescent="0.25">
      <c r="A100" t="s">
        <v>94</v>
      </c>
      <c r="B100" s="20">
        <v>1.0157037054487368</v>
      </c>
    </row>
    <row r="101" spans="1:2" x14ac:dyDescent="0.25">
      <c r="A101" t="s">
        <v>95</v>
      </c>
      <c r="B101" s="20">
        <v>1.9389829489869215</v>
      </c>
    </row>
    <row r="102" spans="1:2" x14ac:dyDescent="0.25">
      <c r="A102" t="s">
        <v>96</v>
      </c>
      <c r="B102" s="20">
        <v>1.6161719824230909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F793-B3ED-4421-9EC7-1A9847F4ADAF}">
  <dimension ref="A1:I102"/>
  <sheetViews>
    <sheetView zoomScale="85" zoomScaleNormal="85" workbookViewId="0">
      <selection activeCell="B50" sqref="B50"/>
    </sheetView>
  </sheetViews>
  <sheetFormatPr defaultRowHeight="15" x14ac:dyDescent="0.25"/>
  <cols>
    <col min="1" max="1" width="41" bestFit="1" customWidth="1"/>
    <col min="2" max="2" width="22.7109375" bestFit="1" customWidth="1"/>
    <col min="3" max="3" width="13.28515625" bestFit="1" customWidth="1"/>
    <col min="4" max="4" width="15.28515625" bestFit="1" customWidth="1"/>
    <col min="5" max="5" width="12.28515625" bestFit="1" customWidth="1"/>
    <col min="6" max="6" width="16.42578125" bestFit="1" customWidth="1"/>
    <col min="7" max="7" width="15" bestFit="1" customWidth="1"/>
    <col min="8" max="8" width="11.5703125" bestFit="1" customWidth="1"/>
    <col min="9" max="9" width="15" bestFit="1" customWidth="1"/>
    <col min="10" max="10" width="11.28515625" bestFit="1" customWidth="1"/>
  </cols>
  <sheetData>
    <row r="1" spans="1:5" x14ac:dyDescent="0.25">
      <c r="A1" t="s">
        <v>99</v>
      </c>
      <c r="B1">
        <v>1056500469</v>
      </c>
    </row>
    <row r="2" spans="1:5" x14ac:dyDescent="0.25">
      <c r="A2" t="s">
        <v>104</v>
      </c>
    </row>
    <row r="3" spans="1:5" x14ac:dyDescent="0.25">
      <c r="A3" t="s">
        <v>0</v>
      </c>
      <c r="B3" s="18">
        <v>46134</v>
      </c>
    </row>
    <row r="4" spans="1:5" x14ac:dyDescent="0.25">
      <c r="A4" t="s">
        <v>103</v>
      </c>
      <c r="B4" s="18">
        <v>45965</v>
      </c>
    </row>
    <row r="5" spans="1:5" x14ac:dyDescent="0.25">
      <c r="A5" t="s">
        <v>98</v>
      </c>
      <c r="B5" s="18">
        <v>46085</v>
      </c>
    </row>
    <row r="6" spans="1:5" x14ac:dyDescent="0.25">
      <c r="A6" t="s">
        <v>101</v>
      </c>
      <c r="B6" s="18">
        <v>48461</v>
      </c>
    </row>
    <row r="7" spans="1:5" x14ac:dyDescent="0.25">
      <c r="A7" t="s">
        <v>1</v>
      </c>
      <c r="B7" t="s">
        <v>100</v>
      </c>
    </row>
    <row r="8" spans="1:5" x14ac:dyDescent="0.25">
      <c r="A8" t="s">
        <v>2</v>
      </c>
      <c r="B8">
        <v>226694506</v>
      </c>
    </row>
    <row r="9" spans="1:5" x14ac:dyDescent="0.25">
      <c r="A9" t="s">
        <v>3</v>
      </c>
      <c r="B9" t="s">
        <v>97</v>
      </c>
    </row>
    <row r="10" spans="1:5" x14ac:dyDescent="0.25">
      <c r="A10" t="s">
        <v>4</v>
      </c>
      <c r="B10" s="2">
        <v>7200000</v>
      </c>
    </row>
    <row r="11" spans="1:5" x14ac:dyDescent="0.25">
      <c r="A11" t="s">
        <v>5</v>
      </c>
      <c r="B11">
        <v>1.0145972222222222</v>
      </c>
    </row>
    <row r="12" spans="1:5" x14ac:dyDescent="0.25">
      <c r="A12" t="s">
        <v>6</v>
      </c>
      <c r="B12">
        <v>1.0197008000000001</v>
      </c>
    </row>
    <row r="13" spans="1:5" x14ac:dyDescent="0.25">
      <c r="A13" t="s">
        <v>7</v>
      </c>
      <c r="B13" s="2">
        <v>7341845.7599999998</v>
      </c>
      <c r="C13" s="2">
        <f>B10*B12</f>
        <v>7341845.7600000007</v>
      </c>
    </row>
    <row r="14" spans="1:5" x14ac:dyDescent="0.25">
      <c r="A14" t="s">
        <v>8</v>
      </c>
      <c r="B14" s="2">
        <v>7341845.7599999998</v>
      </c>
      <c r="C14" s="4">
        <f>C13</f>
        <v>7341845.7600000007</v>
      </c>
    </row>
    <row r="15" spans="1:5" x14ac:dyDescent="0.25">
      <c r="A15" t="s">
        <v>9</v>
      </c>
      <c r="B15" s="2">
        <v>7361445.7555555552</v>
      </c>
      <c r="C15" s="2">
        <f>C14+(B3-B5)/360*B10*0.02</f>
        <v>7361445.7600000007</v>
      </c>
    </row>
    <row r="16" spans="1:5" x14ac:dyDescent="0.25">
      <c r="A16" t="s">
        <v>10</v>
      </c>
      <c r="B16" s="2">
        <v>7361445.7555555552</v>
      </c>
      <c r="C16" s="4">
        <f>C15</f>
        <v>7361445.7600000007</v>
      </c>
      <c r="E16" s="6"/>
    </row>
    <row r="17" spans="1:6" x14ac:dyDescent="0.25">
      <c r="A17" s="7" t="s">
        <v>11</v>
      </c>
      <c r="B17" s="8">
        <v>1831351.3155555599</v>
      </c>
      <c r="C17" s="4">
        <f>C56+C18</f>
        <v>1831351.3155555562</v>
      </c>
    </row>
    <row r="18" spans="1:6" x14ac:dyDescent="0.25">
      <c r="A18" s="9" t="s">
        <v>12</v>
      </c>
      <c r="B18" s="10">
        <v>43456.871111111468</v>
      </c>
      <c r="C18" s="4">
        <f>C19+B21</f>
        <v>43456.871111112159</v>
      </c>
    </row>
    <row r="19" spans="1:6" x14ac:dyDescent="0.25">
      <c r="A19" s="9" t="s">
        <v>13</v>
      </c>
      <c r="B19" s="10">
        <v>36745.760000000359</v>
      </c>
      <c r="C19" s="4">
        <f>(B12-B11)*B10</f>
        <v>36745.76000000105</v>
      </c>
    </row>
    <row r="20" spans="1:6" x14ac:dyDescent="0.25">
      <c r="A20" s="9" t="s">
        <v>14</v>
      </c>
      <c r="B20" s="9">
        <v>0</v>
      </c>
      <c r="F20" s="3"/>
    </row>
    <row r="21" spans="1:6" x14ac:dyDescent="0.25">
      <c r="A21" s="9" t="s">
        <v>15</v>
      </c>
      <c r="B21" s="10">
        <v>6711.1111111111113</v>
      </c>
      <c r="D21" s="6"/>
      <c r="F21" s="4"/>
    </row>
    <row r="22" spans="1:6" x14ac:dyDescent="0.25">
      <c r="A22" s="9" t="s">
        <v>16</v>
      </c>
      <c r="B22" s="9">
        <v>0</v>
      </c>
      <c r="D22" s="6"/>
      <c r="F22" s="4"/>
    </row>
    <row r="23" spans="1:6" x14ac:dyDescent="0.25">
      <c r="A23" s="9" t="s">
        <v>17</v>
      </c>
      <c r="B23" s="9">
        <v>0</v>
      </c>
      <c r="D23" s="6"/>
      <c r="F23" s="4"/>
    </row>
    <row r="24" spans="1:6" x14ac:dyDescent="0.25">
      <c r="A24" s="9" t="s">
        <v>18</v>
      </c>
      <c r="B24" s="9">
        <v>0</v>
      </c>
      <c r="D24" s="6"/>
      <c r="F24" s="4"/>
    </row>
    <row r="25" spans="1:6" x14ac:dyDescent="0.25">
      <c r="A25" s="9" t="s">
        <v>19</v>
      </c>
      <c r="B25" s="9">
        <v>0</v>
      </c>
      <c r="D25" s="6"/>
      <c r="F25" s="4"/>
    </row>
    <row r="26" spans="1:6" x14ac:dyDescent="0.25">
      <c r="A26" s="9" t="s">
        <v>20</v>
      </c>
      <c r="B26" s="9">
        <v>0</v>
      </c>
      <c r="D26" s="6"/>
      <c r="F26" s="4"/>
    </row>
    <row r="27" spans="1:6" x14ac:dyDescent="0.25">
      <c r="A27" s="9" t="s">
        <v>21</v>
      </c>
      <c r="B27" s="9">
        <v>0</v>
      </c>
      <c r="D27" s="6"/>
      <c r="F27" s="4"/>
    </row>
    <row r="28" spans="1:6" x14ac:dyDescent="0.25">
      <c r="A28" s="9" t="s">
        <v>22</v>
      </c>
      <c r="B28" s="9">
        <v>0</v>
      </c>
      <c r="D28" s="6"/>
    </row>
    <row r="29" spans="1:6" x14ac:dyDescent="0.25">
      <c r="A29" s="9" t="s">
        <v>23</v>
      </c>
      <c r="B29" s="9">
        <v>0</v>
      </c>
      <c r="D29" s="6"/>
    </row>
    <row r="30" spans="1:6" x14ac:dyDescent="0.25">
      <c r="A30" s="9" t="s">
        <v>24</v>
      </c>
      <c r="B30" s="9">
        <v>0</v>
      </c>
      <c r="D30" s="6"/>
    </row>
    <row r="31" spans="1:6" x14ac:dyDescent="0.25">
      <c r="A31" s="9" t="s">
        <v>25</v>
      </c>
      <c r="B31" s="9">
        <v>0</v>
      </c>
      <c r="D31" s="6"/>
    </row>
    <row r="32" spans="1:6" x14ac:dyDescent="0.25">
      <c r="A32" s="9" t="s">
        <v>26</v>
      </c>
      <c r="B32" s="9">
        <v>0</v>
      </c>
      <c r="D32" s="6"/>
    </row>
    <row r="33" spans="1:7" x14ac:dyDescent="0.25">
      <c r="A33" s="9" t="s">
        <v>27</v>
      </c>
      <c r="B33" s="9">
        <v>0</v>
      </c>
      <c r="D33" s="6"/>
    </row>
    <row r="34" spans="1:7" x14ac:dyDescent="0.25">
      <c r="A34" s="9" t="s">
        <v>28</v>
      </c>
      <c r="B34" s="9">
        <v>0</v>
      </c>
      <c r="D34" s="6"/>
    </row>
    <row r="35" spans="1:7" x14ac:dyDescent="0.25">
      <c r="A35" s="9" t="s">
        <v>29</v>
      </c>
      <c r="B35" s="9">
        <v>0</v>
      </c>
      <c r="D35" s="6"/>
    </row>
    <row r="36" spans="1:7" x14ac:dyDescent="0.25">
      <c r="A36" s="9" t="s">
        <v>30</v>
      </c>
      <c r="B36" s="9">
        <v>0</v>
      </c>
      <c r="D36" s="6"/>
      <c r="G36" s="3"/>
    </row>
    <row r="37" spans="1:7" x14ac:dyDescent="0.25">
      <c r="A37" s="9" t="s">
        <v>31</v>
      </c>
      <c r="B37" s="9">
        <v>0</v>
      </c>
      <c r="D37" s="6"/>
    </row>
    <row r="38" spans="1:7" x14ac:dyDescent="0.25">
      <c r="A38" s="9" t="s">
        <v>32</v>
      </c>
      <c r="B38" s="9">
        <v>0</v>
      </c>
      <c r="D38" s="6"/>
    </row>
    <row r="39" spans="1:7" x14ac:dyDescent="0.25">
      <c r="A39" s="9" t="s">
        <v>33</v>
      </c>
      <c r="B39" s="9">
        <v>0</v>
      </c>
      <c r="D39" s="6"/>
    </row>
    <row r="40" spans="1:7" x14ac:dyDescent="0.25">
      <c r="A40" s="9" t="s">
        <v>34</v>
      </c>
      <c r="B40" s="9">
        <v>0</v>
      </c>
      <c r="D40" s="6"/>
    </row>
    <row r="41" spans="1:7" x14ac:dyDescent="0.25">
      <c r="A41" s="9" t="s">
        <v>35</v>
      </c>
      <c r="B41" s="9">
        <v>0</v>
      </c>
      <c r="D41" s="6"/>
    </row>
    <row r="42" spans="1:7" x14ac:dyDescent="0.25">
      <c r="A42" s="9" t="s">
        <v>36</v>
      </c>
      <c r="B42" s="9">
        <v>0</v>
      </c>
      <c r="D42" s="6"/>
      <c r="F42" s="3"/>
    </row>
    <row r="43" spans="1:7" x14ac:dyDescent="0.25">
      <c r="A43" s="9" t="s">
        <v>37</v>
      </c>
      <c r="B43" s="9">
        <v>0</v>
      </c>
      <c r="D43" s="6"/>
    </row>
    <row r="44" spans="1:7" x14ac:dyDescent="0.25">
      <c r="A44" s="9" t="s">
        <v>38</v>
      </c>
      <c r="B44" s="9">
        <v>0</v>
      </c>
      <c r="D44" s="6"/>
    </row>
    <row r="45" spans="1:7" x14ac:dyDescent="0.25">
      <c r="A45" s="9" t="s">
        <v>39</v>
      </c>
      <c r="B45" s="9">
        <v>0</v>
      </c>
      <c r="D45" s="6"/>
    </row>
    <row r="46" spans="1:7" x14ac:dyDescent="0.25">
      <c r="A46" s="9" t="s">
        <v>40</v>
      </c>
      <c r="B46" s="9">
        <v>0</v>
      </c>
      <c r="D46" s="6"/>
    </row>
    <row r="47" spans="1:7" x14ac:dyDescent="0.25">
      <c r="A47" s="11" t="s">
        <v>41</v>
      </c>
      <c r="B47" s="12">
        <v>1787894.444444444</v>
      </c>
      <c r="D47" s="6"/>
    </row>
    <row r="48" spans="1:7" x14ac:dyDescent="0.25">
      <c r="A48" s="13" t="s">
        <v>42</v>
      </c>
      <c r="B48" s="14">
        <v>1726249.9999999995</v>
      </c>
      <c r="D48" s="6"/>
    </row>
    <row r="49" spans="1:9" x14ac:dyDescent="0.25">
      <c r="A49" s="13" t="s">
        <v>43</v>
      </c>
      <c r="B49" s="14">
        <v>0</v>
      </c>
      <c r="D49" s="6"/>
    </row>
    <row r="50" spans="1:9" x14ac:dyDescent="0.25">
      <c r="A50" s="13" t="s">
        <v>44</v>
      </c>
      <c r="B50" s="14">
        <v>59644.444444444453</v>
      </c>
      <c r="D50" s="6"/>
    </row>
    <row r="51" spans="1:9" x14ac:dyDescent="0.25">
      <c r="A51" s="13" t="s">
        <v>45</v>
      </c>
      <c r="B51" s="14">
        <v>2000</v>
      </c>
      <c r="D51" s="6"/>
    </row>
    <row r="52" spans="1:9" x14ac:dyDescent="0.25">
      <c r="A52" s="13" t="s">
        <v>46</v>
      </c>
      <c r="B52" s="13">
        <v>0</v>
      </c>
      <c r="D52" t="s">
        <v>106</v>
      </c>
      <c r="E52" s="18">
        <v>45961</v>
      </c>
      <c r="F52" s="18">
        <v>45965</v>
      </c>
      <c r="G52" s="2">
        <v>14000000</v>
      </c>
      <c r="H52">
        <v>102.35</v>
      </c>
      <c r="I52" s="21">
        <f>($E$53-F52)/360*0.02*G52</f>
        <v>59888.888888888891</v>
      </c>
    </row>
    <row r="53" spans="1:9" x14ac:dyDescent="0.25">
      <c r="A53" s="13" t="s">
        <v>47</v>
      </c>
      <c r="B53" s="13">
        <v>0</v>
      </c>
      <c r="D53" t="s">
        <v>106</v>
      </c>
      <c r="E53" s="18">
        <v>46042</v>
      </c>
      <c r="F53" s="18">
        <f>F42</f>
        <v>0</v>
      </c>
      <c r="G53" s="2">
        <v>-4000000</v>
      </c>
      <c r="H53">
        <v>115</v>
      </c>
      <c r="I53" s="21">
        <f>(E53-F53)/360*0.02*G53</f>
        <v>-10231555.555555556</v>
      </c>
    </row>
    <row r="54" spans="1:9" x14ac:dyDescent="0.25">
      <c r="A54" s="13" t="s">
        <v>48</v>
      </c>
      <c r="B54" s="13">
        <v>0</v>
      </c>
      <c r="D54" t="s">
        <v>106</v>
      </c>
      <c r="E54" s="18">
        <v>46042</v>
      </c>
      <c r="F54" s="18">
        <v>46044</v>
      </c>
      <c r="G54" s="2">
        <v>-7000000</v>
      </c>
      <c r="H54">
        <v>113.715</v>
      </c>
      <c r="I54" s="21">
        <f t="shared" ref="I54:I57" si="0">($B$5-F54)/360*0.02*G54</f>
        <v>-15944.444444444445</v>
      </c>
    </row>
    <row r="55" spans="1:9" x14ac:dyDescent="0.25">
      <c r="A55" s="13" t="s">
        <v>49</v>
      </c>
      <c r="B55" s="13">
        <v>0</v>
      </c>
      <c r="D55" t="s">
        <v>106</v>
      </c>
      <c r="E55" s="18">
        <v>46044</v>
      </c>
      <c r="F55" s="18">
        <v>46048</v>
      </c>
      <c r="G55" s="2">
        <v>-800000</v>
      </c>
      <c r="H55">
        <v>118.5</v>
      </c>
      <c r="I55" s="21">
        <f t="shared" si="0"/>
        <v>-1644.4444444444446</v>
      </c>
    </row>
    <row r="56" spans="1:9" x14ac:dyDescent="0.25">
      <c r="A56" s="13" t="s">
        <v>50</v>
      </c>
      <c r="B56" s="13">
        <v>0</v>
      </c>
      <c r="C56" s="4">
        <f>B48+B50+B51</f>
        <v>1787894.444444444</v>
      </c>
      <c r="D56" t="s">
        <v>106</v>
      </c>
      <c r="E56" s="18">
        <v>46043</v>
      </c>
      <c r="F56" s="18">
        <v>46044</v>
      </c>
      <c r="G56" s="2">
        <v>-1000000</v>
      </c>
      <c r="H56">
        <v>116.375</v>
      </c>
      <c r="I56" s="21">
        <f t="shared" si="0"/>
        <v>-2277.7777777777778</v>
      </c>
    </row>
    <row r="57" spans="1:9" x14ac:dyDescent="0.25">
      <c r="A57" s="13" t="s">
        <v>51</v>
      </c>
      <c r="B57" s="13">
        <v>0</v>
      </c>
      <c r="D57" t="s">
        <v>106</v>
      </c>
      <c r="E57" s="22">
        <v>46048</v>
      </c>
      <c r="F57" s="22">
        <v>46050</v>
      </c>
      <c r="G57" s="10">
        <v>-1000000</v>
      </c>
      <c r="H57" s="9">
        <v>117.875</v>
      </c>
      <c r="I57" s="21">
        <f t="shared" si="0"/>
        <v>-1944.4444444444446</v>
      </c>
    </row>
    <row r="58" spans="1:9" x14ac:dyDescent="0.25">
      <c r="A58" s="13" t="s">
        <v>52</v>
      </c>
      <c r="B58" s="13">
        <v>0</v>
      </c>
    </row>
    <row r="59" spans="1:9" x14ac:dyDescent="0.25">
      <c r="A59" s="13" t="s">
        <v>53</v>
      </c>
      <c r="B59" s="13">
        <v>0</v>
      </c>
      <c r="D59" t="s">
        <v>106</v>
      </c>
      <c r="E59" s="22">
        <v>46108</v>
      </c>
      <c r="F59" s="22">
        <v>46112</v>
      </c>
      <c r="G59" s="10">
        <v>3000000</v>
      </c>
      <c r="H59" s="9">
        <v>101</v>
      </c>
      <c r="I59" s="21">
        <f>($B$3-E59)/360*0.02*G59</f>
        <v>4333.333333333333</v>
      </c>
    </row>
    <row r="60" spans="1:9" x14ac:dyDescent="0.25">
      <c r="A60" s="13" t="s">
        <v>54</v>
      </c>
      <c r="B60" s="13">
        <v>0</v>
      </c>
      <c r="D60" t="s">
        <v>106</v>
      </c>
      <c r="E60" s="22">
        <v>46112</v>
      </c>
      <c r="F60" s="22">
        <v>46114</v>
      </c>
      <c r="G60" s="10">
        <v>2000000</v>
      </c>
      <c r="H60" s="9">
        <v>101</v>
      </c>
      <c r="I60" s="21">
        <f>($B$3-$E$60)/360*0.02*G60</f>
        <v>2444.4444444444443</v>
      </c>
    </row>
    <row r="61" spans="1:9" x14ac:dyDescent="0.25">
      <c r="A61" s="13" t="s">
        <v>55</v>
      </c>
      <c r="B61" s="13">
        <v>0</v>
      </c>
      <c r="D61" t="s">
        <v>106</v>
      </c>
      <c r="E61" s="18">
        <v>46133</v>
      </c>
      <c r="F61" s="18">
        <v>46135</v>
      </c>
      <c r="G61" s="2">
        <v>2000000</v>
      </c>
      <c r="H61">
        <v>102.5</v>
      </c>
      <c r="I61" s="6">
        <f>($B$3-$E$61)/360*0.02*G61</f>
        <v>111.11111111111111</v>
      </c>
    </row>
    <row r="62" spans="1:9" x14ac:dyDescent="0.25">
      <c r="A62" s="13" t="s">
        <v>56</v>
      </c>
      <c r="B62" s="13">
        <v>0</v>
      </c>
      <c r="I62" s="17"/>
    </row>
    <row r="63" spans="1:9" x14ac:dyDescent="0.25">
      <c r="A63" s="13" t="s">
        <v>57</v>
      </c>
      <c r="B63" s="13">
        <v>0</v>
      </c>
    </row>
    <row r="64" spans="1:9" x14ac:dyDescent="0.25">
      <c r="A64" s="13" t="s">
        <v>58</v>
      </c>
      <c r="B64" s="13">
        <v>0</v>
      </c>
    </row>
    <row r="65" spans="1:3" x14ac:dyDescent="0.25">
      <c r="A65" s="13" t="s">
        <v>59</v>
      </c>
      <c r="B65" s="13">
        <v>0</v>
      </c>
    </row>
    <row r="66" spans="1:3" x14ac:dyDescent="0.25">
      <c r="A66" s="13" t="s">
        <v>60</v>
      </c>
      <c r="B66" s="13">
        <v>0</v>
      </c>
    </row>
    <row r="67" spans="1:3" x14ac:dyDescent="0.25">
      <c r="A67" s="13" t="s">
        <v>61</v>
      </c>
      <c r="B67" s="13">
        <v>0</v>
      </c>
    </row>
    <row r="68" spans="1:3" x14ac:dyDescent="0.25">
      <c r="A68" s="13" t="s">
        <v>62</v>
      </c>
      <c r="B68" s="13">
        <v>0</v>
      </c>
    </row>
    <row r="69" spans="1:3" x14ac:dyDescent="0.25">
      <c r="A69" s="13" t="s">
        <v>63</v>
      </c>
      <c r="B69" s="13">
        <v>0</v>
      </c>
    </row>
    <row r="70" spans="1:3" x14ac:dyDescent="0.25">
      <c r="A70" t="s">
        <v>64</v>
      </c>
      <c r="B70" s="2">
        <v>6711.1111111111113</v>
      </c>
    </row>
    <row r="71" spans="1:3" x14ac:dyDescent="0.25">
      <c r="A71" t="s">
        <v>65</v>
      </c>
      <c r="B71" s="2">
        <v>61644.444444444453</v>
      </c>
      <c r="C71" s="4">
        <f>B50+B51</f>
        <v>61644.444444444453</v>
      </c>
    </row>
    <row r="72" spans="1:3" x14ac:dyDescent="0.25">
      <c r="A72" t="s">
        <v>66</v>
      </c>
      <c r="B72">
        <v>0</v>
      </c>
    </row>
    <row r="73" spans="1:3" x14ac:dyDescent="0.25">
      <c r="A73" t="s">
        <v>67</v>
      </c>
      <c r="B73">
        <v>0</v>
      </c>
    </row>
    <row r="74" spans="1:3" x14ac:dyDescent="0.25">
      <c r="A74" t="s">
        <v>68</v>
      </c>
      <c r="B74" s="2">
        <v>1831351.3155555555</v>
      </c>
      <c r="C74" s="4">
        <f>B75+C76+B71+B70</f>
        <v>1831351.315555556</v>
      </c>
    </row>
    <row r="75" spans="1:3" x14ac:dyDescent="0.25">
      <c r="A75" t="s">
        <v>69</v>
      </c>
      <c r="B75" s="2">
        <v>1726249.9999999995</v>
      </c>
      <c r="C75" s="4"/>
    </row>
    <row r="76" spans="1:3" x14ac:dyDescent="0.25">
      <c r="A76" t="s">
        <v>70</v>
      </c>
      <c r="B76" s="2">
        <v>36745.760000000359</v>
      </c>
      <c r="C76" s="4">
        <f>(B12-B11)*B10</f>
        <v>36745.76000000105</v>
      </c>
    </row>
    <row r="77" spans="1:3" x14ac:dyDescent="0.25">
      <c r="A77" t="s">
        <v>71</v>
      </c>
      <c r="B77">
        <v>0</v>
      </c>
    </row>
    <row r="78" spans="1:3" x14ac:dyDescent="0.25">
      <c r="A78" t="s">
        <v>72</v>
      </c>
      <c r="B78">
        <v>0</v>
      </c>
    </row>
    <row r="79" spans="1:3" x14ac:dyDescent="0.25">
      <c r="A79" t="s">
        <v>73</v>
      </c>
      <c r="B79">
        <v>0</v>
      </c>
    </row>
    <row r="80" spans="1:3" x14ac:dyDescent="0.25">
      <c r="A80" t="s">
        <v>74</v>
      </c>
      <c r="B80">
        <v>0</v>
      </c>
    </row>
    <row r="81" spans="1:3" x14ac:dyDescent="0.25">
      <c r="A81" t="s">
        <v>75</v>
      </c>
      <c r="B81">
        <v>0.93415031281109695</v>
      </c>
      <c r="C81" s="6"/>
    </row>
    <row r="82" spans="1:3" x14ac:dyDescent="0.25">
      <c r="A82" t="s">
        <v>76</v>
      </c>
      <c r="B82" s="2">
        <v>-2777.6342789561568</v>
      </c>
      <c r="C82" s="6"/>
    </row>
    <row r="83" spans="1:3" x14ac:dyDescent="0.25">
      <c r="A83" t="s">
        <v>77</v>
      </c>
      <c r="B83" s="2">
        <v>-2777.6342789561568</v>
      </c>
    </row>
    <row r="84" spans="1:3" x14ac:dyDescent="0.25">
      <c r="A84" t="s">
        <v>78</v>
      </c>
      <c r="B84" s="2">
        <v>-277763.42789561569</v>
      </c>
    </row>
    <row r="85" spans="1:3" x14ac:dyDescent="0.25">
      <c r="A85" t="s">
        <v>79</v>
      </c>
      <c r="B85" s="2">
        <v>755120.63366574701</v>
      </c>
    </row>
    <row r="86" spans="1:3" x14ac:dyDescent="0.25">
      <c r="A86" t="s">
        <v>80</v>
      </c>
      <c r="B86" s="2">
        <v>56625.652395024634</v>
      </c>
    </row>
    <row r="87" spans="1:3" x14ac:dyDescent="0.25">
      <c r="A87" t="s">
        <v>81</v>
      </c>
      <c r="B87" s="2">
        <v>672.54869862238263</v>
      </c>
    </row>
    <row r="88" spans="1:3" x14ac:dyDescent="0.25">
      <c r="A88" t="s">
        <v>82</v>
      </c>
      <c r="B88" s="2">
        <v>22604.952712204187</v>
      </c>
    </row>
    <row r="89" spans="1:3" x14ac:dyDescent="0.25">
      <c r="A89" t="s">
        <v>83</v>
      </c>
      <c r="B89" s="2">
        <v>-239444.23813130858</v>
      </c>
    </row>
    <row r="90" spans="1:3" x14ac:dyDescent="0.25">
      <c r="A90" t="s">
        <v>84</v>
      </c>
      <c r="B90" s="2">
        <v>288.88888888899237</v>
      </c>
      <c r="C90" s="4">
        <f>B17-1831062</f>
        <v>289.31555555993691</v>
      </c>
    </row>
    <row r="91" spans="1:3" x14ac:dyDescent="0.25">
      <c r="A91" t="s">
        <v>85</v>
      </c>
      <c r="B91" s="2">
        <v>28998.204444444971</v>
      </c>
    </row>
    <row r="92" spans="1:3" x14ac:dyDescent="0.25">
      <c r="A92" t="s">
        <v>86</v>
      </c>
      <c r="B92" s="2">
        <v>28998.204444444971</v>
      </c>
      <c r="C92" s="4"/>
    </row>
    <row r="93" spans="1:3" x14ac:dyDescent="0.25">
      <c r="A93" t="s">
        <v>87</v>
      </c>
      <c r="B93" s="2">
        <v>1865149.1822222245</v>
      </c>
      <c r="C93" s="4">
        <f>B17--33020.09</f>
        <v>1864371.40555556</v>
      </c>
    </row>
    <row r="94" spans="1:3" x14ac:dyDescent="0.25">
      <c r="A94" t="s">
        <v>88</v>
      </c>
      <c r="B94" s="5">
        <v>0</v>
      </c>
    </row>
    <row r="95" spans="1:3" x14ac:dyDescent="0.25">
      <c r="A95" t="s">
        <v>89</v>
      </c>
      <c r="B95" s="5">
        <v>1.6723715600026938E-2</v>
      </c>
    </row>
    <row r="96" spans="1:3" x14ac:dyDescent="0.25">
      <c r="A96" t="s">
        <v>90</v>
      </c>
      <c r="B96" s="5">
        <v>1.5376679773041999E-2</v>
      </c>
    </row>
    <row r="97" spans="1:2" x14ac:dyDescent="0.25">
      <c r="A97" s="15" t="s">
        <v>91</v>
      </c>
      <c r="B97" s="16">
        <v>1.6723715600026938E-2</v>
      </c>
    </row>
    <row r="98" spans="1:2" x14ac:dyDescent="0.25">
      <c r="A98" t="s">
        <v>92</v>
      </c>
      <c r="B98" s="5">
        <v>1.531678905653914E-2</v>
      </c>
    </row>
    <row r="99" spans="1:2" x14ac:dyDescent="0.25">
      <c r="A99" t="s">
        <v>93</v>
      </c>
      <c r="B99" s="5">
        <v>1.531678905653914E-2</v>
      </c>
    </row>
    <row r="100" spans="1:2" x14ac:dyDescent="0.25">
      <c r="A100" t="s">
        <v>94</v>
      </c>
      <c r="B100">
        <v>4.112791327330334</v>
      </c>
    </row>
    <row r="101" spans="1:2" x14ac:dyDescent="0.25">
      <c r="A101" t="s">
        <v>95</v>
      </c>
      <c r="B101">
        <v>4.1612657146767589</v>
      </c>
    </row>
    <row r="102" spans="1:2" x14ac:dyDescent="0.25">
      <c r="A102" t="s">
        <v>96</v>
      </c>
      <c r="B102">
        <v>19.41521395751343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1085913817 MMFuture</vt:lpstr>
      <vt:lpstr>836650090 USD IRDSwap SOFR</vt:lpstr>
      <vt:lpstr>1103709551 BondFuture</vt:lpstr>
      <vt:lpstr>GILT Bond at 04-22</vt:lpstr>
      <vt:lpstr>197460229  Bond call CARV</vt:lpstr>
      <vt:lpstr>226694506 ConvertibleBond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2026-04-22T13:52:02Z</dcterms:created>
  <dcterms:modified xsi:type="dcterms:W3CDTF">2026-04-25T23:20:11Z</dcterms:modified>
</cp:coreProperties>
</file>
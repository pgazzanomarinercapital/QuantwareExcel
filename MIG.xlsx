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797" documentId="13_ncr:1_{ACACB909-0F8F-4148-B24D-AAA30FC52434}" xr6:coauthVersionLast="47" xr6:coauthVersionMax="47" xr10:uidLastSave="{5B4CC1DA-82BC-4A57-8487-9370A57B662E}"/>
  <bookViews>
    <workbookView xWindow="4485" yWindow="2235" windowWidth="30615" windowHeight="16485" activeTab="3" xr2:uid="{0EEE04AB-4382-40A8-9C18-0ADDC4AD2616}"/>
  </bookViews>
  <sheets>
    <sheet name="USD SOFR" sheetId="1" r:id="rId1"/>
    <sheet name="Sheet2" sheetId="2" r:id="rId2"/>
    <sheet name="ESTEUR" sheetId="4" r:id="rId3"/>
    <sheet name="EIBEUR" sheetId="3" r:id="rId4"/>
  </sheets>
  <definedNames>
    <definedName name="_xlnm._FilterDatabase" localSheetId="0" hidden="1">'USD SOFR'!$C$1:$L$72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4" l="1"/>
  <c r="I22" i="4"/>
  <c r="I21" i="4"/>
  <c r="I20" i="4"/>
  <c r="I18" i="4"/>
  <c r="H17" i="4"/>
  <c r="H19" i="4"/>
  <c r="H3" i="4"/>
  <c r="H18" i="3"/>
  <c r="H24" i="3"/>
  <c r="H16" i="3"/>
  <c r="G5" i="3"/>
  <c r="G4" i="3"/>
  <c r="G10" i="3"/>
  <c r="G11" i="3"/>
  <c r="G12" i="3"/>
  <c r="G13" i="3"/>
  <c r="G14" i="3"/>
  <c r="G15" i="3"/>
  <c r="H22" i="3"/>
  <c r="F10" i="3"/>
  <c r="H20" i="3"/>
  <c r="F15" i="3"/>
  <c r="F14" i="3"/>
  <c r="F13" i="3"/>
  <c r="F12" i="3"/>
  <c r="F11" i="3"/>
  <c r="F3" i="3"/>
  <c r="F4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3" i="3"/>
  <c r="O4" i="1"/>
  <c r="K3" i="1"/>
  <c r="L20" i="1"/>
  <c r="J19" i="1"/>
  <c r="K19" i="1"/>
  <c r="J21" i="1"/>
  <c r="J52" i="1"/>
  <c r="K52" i="1"/>
  <c r="J53" i="1"/>
  <c r="K53" i="1"/>
  <c r="J48" i="1"/>
  <c r="K48" i="1"/>
  <c r="J49" i="1"/>
  <c r="K49" i="1"/>
  <c r="J50" i="1"/>
  <c r="K50" i="1"/>
  <c r="J51" i="1"/>
  <c r="K51" i="1"/>
  <c r="K12" i="1"/>
  <c r="K18" i="1"/>
  <c r="H2" i="1"/>
  <c r="K4" i="1"/>
  <c r="K5" i="1"/>
  <c r="K16" i="1"/>
  <c r="K17" i="1"/>
  <c r="K6" i="1"/>
  <c r="K7" i="1"/>
  <c r="K8" i="1"/>
  <c r="K9" i="1"/>
  <c r="K10" i="1"/>
  <c r="K11" i="1"/>
  <c r="K13" i="1"/>
  <c r="K14" i="1"/>
  <c r="K15" i="1"/>
  <c r="J43" i="1"/>
  <c r="K43" i="1" s="1"/>
  <c r="J44" i="1"/>
  <c r="K44" i="1" s="1"/>
  <c r="J45" i="1"/>
  <c r="K45" i="1" s="1"/>
  <c r="J46" i="1"/>
  <c r="K46" i="1" s="1"/>
  <c r="J47" i="1"/>
  <c r="K47" i="1" s="1"/>
  <c r="J42" i="1"/>
  <c r="K42" i="1" s="1"/>
  <c r="J41" i="1"/>
  <c r="K41" i="1" s="1"/>
  <c r="J34" i="1"/>
  <c r="K34" i="1"/>
  <c r="J35" i="1"/>
  <c r="K35" i="1" s="1"/>
  <c r="J36" i="1"/>
  <c r="K36" i="1" s="1"/>
  <c r="J37" i="1"/>
  <c r="K37" i="1" s="1"/>
  <c r="J38" i="1"/>
  <c r="K38" i="1" s="1"/>
  <c r="J39" i="1"/>
  <c r="K39" i="1"/>
  <c r="J40" i="1"/>
  <c r="K40" i="1" s="1"/>
  <c r="K21" i="1"/>
  <c r="J22" i="1"/>
  <c r="K22" i="1" s="1"/>
  <c r="J23" i="1"/>
  <c r="K23" i="1" s="1"/>
  <c r="J24" i="1"/>
  <c r="K24" i="1" s="1"/>
  <c r="J25" i="1"/>
  <c r="K25" i="1" s="1"/>
  <c r="J26" i="1"/>
  <c r="K26" i="1" s="1"/>
  <c r="J29" i="1"/>
  <c r="K29" i="1"/>
  <c r="J30" i="1"/>
  <c r="K30" i="1" s="1"/>
  <c r="J31" i="1"/>
  <c r="K31" i="1" s="1"/>
  <c r="J32" i="1"/>
  <c r="K32" i="1" s="1"/>
  <c r="J33" i="1"/>
  <c r="K33" i="1" s="1"/>
  <c r="J27" i="1"/>
  <c r="K27" i="1" s="1"/>
  <c r="J28" i="1"/>
  <c r="K28" i="1" s="1"/>
  <c r="H14" i="4" l="1"/>
  <c r="H15" i="4"/>
  <c r="H16" i="4"/>
  <c r="H18" i="4"/>
  <c r="H11" i="4"/>
  <c r="H12" i="4"/>
  <c r="H13" i="4"/>
  <c r="H8" i="4"/>
  <c r="H9" i="4"/>
  <c r="H10" i="4"/>
  <c r="H7" i="4"/>
  <c r="H6" i="4"/>
  <c r="H5" i="4"/>
  <c r="L19" i="1"/>
  <c r="N19" i="1" s="1"/>
  <c r="L24" i="1"/>
  <c r="N24" i="1" s="1"/>
  <c r="L25" i="1"/>
  <c r="N25" i="1" s="1"/>
  <c r="N20" i="1"/>
  <c r="L22" i="1"/>
  <c r="N22" i="1" s="1"/>
  <c r="L26" i="1"/>
  <c r="N26" i="1" s="1"/>
  <c r="L27" i="1"/>
  <c r="L32" i="1"/>
  <c r="N32" i="1" s="1"/>
  <c r="L23" i="1"/>
  <c r="N23" i="1" s="1"/>
  <c r="L28" i="1"/>
  <c r="N28" i="1" s="1"/>
  <c r="L21" i="1"/>
  <c r="N21" i="1" s="1"/>
  <c r="L53" i="1"/>
  <c r="L52" i="1"/>
  <c r="N52" i="1" s="1"/>
  <c r="L48" i="1"/>
  <c r="L50" i="1"/>
  <c r="L49" i="1"/>
  <c r="L51" i="1"/>
  <c r="L41" i="1"/>
  <c r="N41" i="1" s="1"/>
  <c r="L40" i="1"/>
  <c r="L47" i="1"/>
  <c r="N47" i="1" s="1"/>
  <c r="L46" i="1"/>
  <c r="L45" i="1"/>
  <c r="L44" i="1"/>
  <c r="L43" i="1"/>
  <c r="L42" i="1"/>
  <c r="L29" i="1"/>
  <c r="N29" i="1" s="1"/>
  <c r="L31" i="1"/>
  <c r="L34" i="1"/>
  <c r="L36" i="1"/>
  <c r="L38" i="1"/>
  <c r="L30" i="1"/>
  <c r="N30" i="1" s="1"/>
  <c r="L33" i="1"/>
  <c r="L35" i="1"/>
  <c r="N35" i="1" s="1"/>
  <c r="L37" i="1"/>
  <c r="L39" i="1"/>
  <c r="G3" i="1"/>
  <c r="L4" i="1"/>
  <c r="O5" i="1" s="1"/>
  <c r="L3" i="1"/>
  <c r="G27" i="1" l="1"/>
  <c r="H27" i="1" s="1"/>
  <c r="G4" i="1"/>
  <c r="H4" i="1" s="1"/>
  <c r="G5" i="1"/>
  <c r="H5" i="1" s="1"/>
  <c r="G6" i="1"/>
  <c r="H6" i="1" s="1"/>
  <c r="L8" i="1"/>
  <c r="N8" i="1" s="1"/>
  <c r="G39" i="1"/>
  <c r="H39" i="1" s="1"/>
  <c r="G29" i="1"/>
  <c r="H29" i="1" s="1"/>
  <c r="G11" i="1"/>
  <c r="H11" i="1" s="1"/>
  <c r="G31" i="1"/>
  <c r="H31" i="1" s="1"/>
  <c r="G12" i="1"/>
  <c r="H12" i="1" s="1"/>
  <c r="G22" i="1"/>
  <c r="H22" i="1" s="1"/>
  <c r="G14" i="1"/>
  <c r="H14" i="1" s="1"/>
  <c r="G25" i="1"/>
  <c r="H25" i="1" s="1"/>
  <c r="G19" i="1"/>
  <c r="H19" i="1" s="1"/>
  <c r="G35" i="1"/>
  <c r="H35" i="1" s="1"/>
  <c r="G36" i="1"/>
  <c r="H36" i="1" s="1"/>
  <c r="G37" i="1"/>
  <c r="H37" i="1" s="1"/>
  <c r="G10" i="1"/>
  <c r="H10" i="1" s="1"/>
  <c r="G30" i="1"/>
  <c r="H30" i="1" s="1"/>
  <c r="G21" i="1"/>
  <c r="H21" i="1" s="1"/>
  <c r="G13" i="1"/>
  <c r="H13" i="1" s="1"/>
  <c r="G23" i="1"/>
  <c r="H23" i="1" s="1"/>
  <c r="G15" i="1"/>
  <c r="H15" i="1" s="1"/>
  <c r="G24" i="1"/>
  <c r="H24" i="1" s="1"/>
  <c r="G16" i="1"/>
  <c r="H16" i="1" s="1"/>
  <c r="G17" i="1"/>
  <c r="H17" i="1" s="1"/>
  <c r="G26" i="1"/>
  <c r="H26" i="1" s="1"/>
  <c r="G18" i="1"/>
  <c r="H18" i="1" s="1"/>
  <c r="G28" i="1"/>
  <c r="H28" i="1" s="1"/>
  <c r="G43" i="1"/>
  <c r="H43" i="1" s="1"/>
  <c r="G42" i="1"/>
  <c r="H42" i="1" s="1"/>
  <c r="G33" i="1"/>
  <c r="H33" i="1" s="1"/>
  <c r="G34" i="1"/>
  <c r="H34" i="1" s="1"/>
  <c r="G9" i="1"/>
  <c r="H9" i="1" s="1"/>
  <c r="G44" i="1"/>
  <c r="H44" i="1" s="1"/>
  <c r="G46" i="1"/>
  <c r="H46" i="1" s="1"/>
  <c r="G41" i="1"/>
  <c r="H41" i="1" s="1"/>
  <c r="G45" i="1"/>
  <c r="H45" i="1" s="1"/>
  <c r="G7" i="1"/>
  <c r="H7" i="1" s="1"/>
  <c r="G8" i="1"/>
  <c r="H8" i="1" s="1"/>
  <c r="G38" i="1"/>
  <c r="H38" i="1" s="1"/>
  <c r="G40" i="1"/>
  <c r="H40" i="1" s="1"/>
  <c r="G47" i="1"/>
  <c r="H47" i="1" s="1"/>
  <c r="G32" i="1"/>
  <c r="H32" i="1" s="1"/>
  <c r="G48" i="1"/>
  <c r="H48" i="1" s="1"/>
  <c r="G53" i="1"/>
  <c r="H53" i="1" s="1"/>
  <c r="L12" i="1"/>
  <c r="N12" i="1" s="1"/>
  <c r="G50" i="1"/>
  <c r="H50" i="1" s="1"/>
  <c r="G51" i="1"/>
  <c r="H51" i="1" s="1"/>
  <c r="L5" i="1"/>
  <c r="N5" i="1" s="1"/>
  <c r="L15" i="1"/>
  <c r="N15" i="1" s="1"/>
  <c r="L6" i="1"/>
  <c r="N6" i="1" s="1"/>
  <c r="L14" i="1"/>
  <c r="N14" i="1" s="1"/>
  <c r="H3" i="1"/>
  <c r="L18" i="1"/>
  <c r="N18" i="1" s="1"/>
  <c r="L9" i="1"/>
  <c r="N9" i="1" s="1"/>
  <c r="L10" i="1"/>
  <c r="N10" i="1" s="1"/>
  <c r="L16" i="1"/>
  <c r="N16" i="1" s="1"/>
  <c r="L17" i="1"/>
  <c r="N17" i="1" s="1"/>
  <c r="L11" i="1"/>
  <c r="N11" i="1" s="1"/>
  <c r="L13" i="1"/>
  <c r="N13" i="1" s="1"/>
  <c r="L7" i="1"/>
  <c r="N7" i="1" s="1"/>
  <c r="G49" i="1"/>
  <c r="H49" i="1" s="1"/>
  <c r="G52" i="1"/>
  <c r="H52" i="1" s="1"/>
  <c r="G20" i="1"/>
  <c r="H20" i="1" s="1"/>
</calcChain>
</file>

<file path=xl/sharedStrings.xml><?xml version="1.0" encoding="utf-8"?>
<sst xmlns="http://schemas.openxmlformats.org/spreadsheetml/2006/main" count="409" uniqueCount="149">
  <si>
    <t>Description</t>
  </si>
  <si>
    <t>Tenor</t>
  </si>
  <si>
    <t>Payment date</t>
  </si>
  <si>
    <t>Discount Factor (as per Enfusion)</t>
  </si>
  <si>
    <t>Zero Coupon</t>
  </si>
  <si>
    <t>Recomputed Discount Factor</t>
  </si>
  <si>
    <t>Diff</t>
  </si>
  <si>
    <t>Convention</t>
  </si>
  <si>
    <t>Recomputed Swap Rate</t>
  </si>
  <si>
    <t>Swap Rates (as per Enfusion)</t>
  </si>
  <si>
    <t>NOT MARKED IN ENFUSION</t>
  </si>
  <si>
    <t>Today</t>
  </si>
  <si>
    <t>SpotDay</t>
  </si>
  <si>
    <t>TomorrowNext</t>
  </si>
  <si>
    <t>US Dollar S Week Overnight Index Swap</t>
  </si>
  <si>
    <t>Spot Week</t>
  </si>
  <si>
    <t>US Dollar 2 Week Overnight Index Swap</t>
  </si>
  <si>
    <t>2W</t>
  </si>
  <si>
    <t>US Dollar 3 Week Overnight Index Swap</t>
  </si>
  <si>
    <t>3W</t>
  </si>
  <si>
    <t>US Dollar 1 Month Overnight Index Swap</t>
  </si>
  <si>
    <t>1M</t>
  </si>
  <si>
    <t>US Dollar 2 Month Overnight Index Swap</t>
  </si>
  <si>
    <t>2M</t>
  </si>
  <si>
    <t>US Dollar 3 Month Overnight Index Swap</t>
  </si>
  <si>
    <t>3M</t>
  </si>
  <si>
    <t>US Dollar 4 Month Overnight Index Swap</t>
  </si>
  <si>
    <t>4M</t>
  </si>
  <si>
    <t>US Dollar 5 Month Overnight Index Swap</t>
  </si>
  <si>
    <t>5M</t>
  </si>
  <si>
    <t>US Dollar 6 Month Overnight Index Swap</t>
  </si>
  <si>
    <t>6M</t>
  </si>
  <si>
    <t>US Dollar 7 Month Overnight Index Swap</t>
  </si>
  <si>
    <t>7M</t>
  </si>
  <si>
    <t>US Dollar 8 Month Overnight Index Swap</t>
  </si>
  <si>
    <t>8M</t>
  </si>
  <si>
    <t>US Dollar 9 Month Overnight Index Swap</t>
  </si>
  <si>
    <t>9M</t>
  </si>
  <si>
    <t>US Dollar 10 Month Overnight Index Swap</t>
  </si>
  <si>
    <t>10M</t>
  </si>
  <si>
    <t>US Dollar 11 Month Overnight Index Swap</t>
  </si>
  <si>
    <t>11M</t>
  </si>
  <si>
    <t>US Dollar 1 Year Overnight Index Swap</t>
  </si>
  <si>
    <t>1Y</t>
  </si>
  <si>
    <t>US Dollar 18 Month Overnight Index Swap</t>
  </si>
  <si>
    <t>18M</t>
  </si>
  <si>
    <t>US Dollar 2 Year Overnight Index Swap</t>
  </si>
  <si>
    <t>2Y</t>
  </si>
  <si>
    <t>US Dollar 3 Year Overnight Index Swap</t>
  </si>
  <si>
    <t>3Y</t>
  </si>
  <si>
    <t>US Dollar 4 Year Overnight Index Swap</t>
  </si>
  <si>
    <t>4Y</t>
  </si>
  <si>
    <t>US Dollar 5 Year Overnight Index Swap</t>
  </si>
  <si>
    <t>5Y</t>
  </si>
  <si>
    <t>US Dollar 6 Year Overnight Index Swap</t>
  </si>
  <si>
    <t>6Y</t>
  </si>
  <si>
    <t>US Dollar 7 Year Overnight Index Swap</t>
  </si>
  <si>
    <t>7Y</t>
  </si>
  <si>
    <t>7Y+1D</t>
  </si>
  <si>
    <t>US Dollar 8 Year Overnight Index Swap</t>
  </si>
  <si>
    <t>8Y</t>
  </si>
  <si>
    <t>US Dollar 9 Year Overnight Index Swap</t>
  </si>
  <si>
    <t>9Y</t>
  </si>
  <si>
    <t>US Dollar 10 Year Overnight Index Swap</t>
  </si>
  <si>
    <t>10Y</t>
  </si>
  <si>
    <t>11Y</t>
  </si>
  <si>
    <t>US Dollar 12 Year Overnight Index Swap</t>
  </si>
  <si>
    <t>12Y</t>
  </si>
  <si>
    <t>13Y</t>
  </si>
  <si>
    <t>14Y</t>
  </si>
  <si>
    <t>US Dollar 15 Year Overnight Index Swap</t>
  </si>
  <si>
    <t>15Y</t>
  </si>
  <si>
    <t>15Y+1D</t>
  </si>
  <si>
    <t>16Y</t>
  </si>
  <si>
    <t>17Y</t>
  </si>
  <si>
    <t>18Y</t>
  </si>
  <si>
    <t>19Y</t>
  </si>
  <si>
    <t>US Dollar 20 Year Overnight Index Swap</t>
  </si>
  <si>
    <t>20Y</t>
  </si>
  <si>
    <t>20Y+1D</t>
  </si>
  <si>
    <t>21Y</t>
  </si>
  <si>
    <t>22Y</t>
  </si>
  <si>
    <t>23Y</t>
  </si>
  <si>
    <t>24Y</t>
  </si>
  <si>
    <t>US Dollar 25 Year Overnight Index Swap</t>
  </si>
  <si>
    <t>25Y</t>
  </si>
  <si>
    <t>26Y</t>
  </si>
  <si>
    <t>27Y</t>
  </si>
  <si>
    <t>28Y</t>
  </si>
  <si>
    <t>29Y</t>
  </si>
  <si>
    <t>US Dollar 30 Year Overnight Index Swap</t>
  </si>
  <si>
    <t>30Y</t>
  </si>
  <si>
    <t>31Y</t>
  </si>
  <si>
    <t>32Y</t>
  </si>
  <si>
    <t>Actual/360</t>
  </si>
  <si>
    <t>Annual</t>
  </si>
  <si>
    <t>Bloomberg Data License</t>
  </si>
  <si>
    <t>US Dollar 40 Year Overnight Index Swap</t>
  </si>
  <si>
    <t>US Dollar 50 Year Overnight Index Swap</t>
  </si>
  <si>
    <t>USD ON SOFR</t>
  </si>
  <si>
    <t>EUR O/N EONIA</t>
  </si>
  <si>
    <t>n/a</t>
  </si>
  <si>
    <t>EUR 6M EURIBOR</t>
  </si>
  <si>
    <t>EUR 1x7 FRA</t>
  </si>
  <si>
    <t>Internal</t>
  </si>
  <si>
    <t>EUR 1Y Interest Rate Swap</t>
  </si>
  <si>
    <t>30/360</t>
  </si>
  <si>
    <t>EUR 2x8 FRA</t>
  </si>
  <si>
    <t>EUR 3x9 FRA</t>
  </si>
  <si>
    <t>EUR 4x10 FRA</t>
  </si>
  <si>
    <t>EUR 5x11 FRA</t>
  </si>
  <si>
    <t>EUR 2Y Interest Rate Swap</t>
  </si>
  <si>
    <t>EUR 3Y Interest Rate Swap</t>
  </si>
  <si>
    <t>EUR 4Y Interest Rate Swap</t>
  </si>
  <si>
    <t>EUR 5Y Interest Rate Swap</t>
  </si>
  <si>
    <t>Pillars</t>
  </si>
  <si>
    <t>Discount Factor</t>
  </si>
  <si>
    <t>ZC</t>
  </si>
  <si>
    <t>Recomputation of DF</t>
  </si>
  <si>
    <t>Recomputation of ZC</t>
  </si>
  <si>
    <t>Recomputation of SwapRates</t>
  </si>
  <si>
    <t>Fra</t>
  </si>
  <si>
    <t>Deposit</t>
  </si>
  <si>
    <t>Swaps</t>
  </si>
  <si>
    <t>Euro Short Term Rate</t>
  </si>
  <si>
    <t>Euro Spot Week Overnight Index</t>
  </si>
  <si>
    <t>Euro 2 Week Overnight Index</t>
  </si>
  <si>
    <t>Euro 1 Month Overnight Index</t>
  </si>
  <si>
    <t>Euro 2 Month Overnight Index</t>
  </si>
  <si>
    <t>Euro 3 Month Overnight Index</t>
  </si>
  <si>
    <t>Euro 4 Month Overnight Index</t>
  </si>
  <si>
    <t>Euro 5 Month Overnight Index</t>
  </si>
  <si>
    <t>Euro 6 Month Overnight Index</t>
  </si>
  <si>
    <t>Euro 7 Month Overnight Index</t>
  </si>
  <si>
    <t>Euro 8 Month Overnight Index</t>
  </si>
  <si>
    <t>Euro 9 Month Overnight Index</t>
  </si>
  <si>
    <t>Euro 10 Month Overnight Index</t>
  </si>
  <si>
    <t>Euro 11 Month Overnight Index</t>
  </si>
  <si>
    <t>Euro 1 Year Overnight Index</t>
  </si>
  <si>
    <t>Euro 18 Month Overnight Index</t>
  </si>
  <si>
    <t>Euro 2 Year Overnight Index</t>
  </si>
  <si>
    <t>Euro 3 Year Overnight Index</t>
  </si>
  <si>
    <t>Euro 4 Year Overnight Index</t>
  </si>
  <si>
    <t>Euro 5 Year Overnight Index</t>
  </si>
  <si>
    <t>Euro 6 Year Overnight Index</t>
  </si>
  <si>
    <t>Euro 7 Year Overnight Index</t>
  </si>
  <si>
    <t>Euro 8 Year Overnight Index</t>
  </si>
  <si>
    <t>Euro 9 Year Overnight Index</t>
  </si>
  <si>
    <t>Rate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</si>
</sst>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%"/>
    <numFmt numFmtId="165" formatCode="0.0000%"/>
    <numFmt numFmtId="166" formatCode="0.00000%"/>
    <numFmt numFmtId="167" formatCode="0.000000%"/>
    <numFmt numFmtId="168" formatCode="0.0000000%"/>
    <numFmt numFmtId="169" formatCode="_(* #,##0.000000000_);_(* \(#,##0.000000000\);_(* &quot;-&quot;??_);_(@_)"/>
    <numFmt numFmtId="170" formatCode="0.000000000000000000%"/>
    <numFmt numFmtId="171" formatCode="0.000000000"/>
    <numFmt numFmtId="172" formatCode="0.000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65" fontId="0" fillId="0" borderId="0" xfId="1" applyNumberFormat="1" applyFont="1"/>
    <xf numFmtId="166" fontId="0" fillId="0" borderId="0" xfId="1" applyNumberFormat="1" applyFont="1"/>
    <xf numFmtId="164" fontId="0" fillId="0" borderId="0" xfId="1" applyNumberFormat="1" applyFont="1" applyAlignment="1">
      <alignment vertical="center" wrapText="1"/>
    </xf>
    <xf numFmtId="168" fontId="0" fillId="0" borderId="0" xfId="0" applyNumberFormat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168" fontId="0" fillId="3" borderId="0" xfId="0" applyNumberFormat="1" applyFill="1" applyAlignment="1">
      <alignment vertical="center" wrapText="1"/>
    </xf>
    <xf numFmtId="0" fontId="0" fillId="3" borderId="0" xfId="0" applyFill="1"/>
    <xf numFmtId="165" fontId="0" fillId="3" borderId="0" xfId="1" applyNumberFormat="1" applyFont="1" applyFill="1"/>
    <xf numFmtId="0" fontId="0" fillId="4" borderId="0" xfId="0" applyFill="1"/>
    <xf numFmtId="1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168" fontId="0" fillId="4" borderId="0" xfId="0" applyNumberFormat="1" applyFill="1" applyAlignment="1">
      <alignment vertical="center" wrapText="1"/>
    </xf>
    <xf numFmtId="168" fontId="2" fillId="4" borderId="0" xfId="0" applyNumberFormat="1" applyFont="1" applyFill="1" applyAlignment="1">
      <alignment vertical="center" wrapText="1"/>
    </xf>
    <xf numFmtId="0" fontId="3" fillId="0" borderId="0" xfId="0" applyFont="1"/>
    <xf numFmtId="14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68" fontId="3" fillId="0" borderId="0" xfId="0" applyNumberFormat="1" applyFont="1" applyAlignment="1">
      <alignment vertical="center" wrapText="1"/>
    </xf>
    <xf numFmtId="168" fontId="0" fillId="0" borderId="0" xfId="1" applyNumberFormat="1" applyFont="1" applyAlignment="1">
      <alignment vertical="center" wrapText="1"/>
    </xf>
    <xf numFmtId="168" fontId="0" fillId="3" borderId="0" xfId="1" applyNumberFormat="1" applyFont="1" applyFill="1" applyAlignment="1">
      <alignment vertical="center" wrapText="1"/>
    </xf>
    <xf numFmtId="168" fontId="0" fillId="3" borderId="0" xfId="1" applyNumberFormat="1" applyFont="1" applyFill="1"/>
    <xf numFmtId="165" fontId="0" fillId="0" borderId="0" xfId="0" applyNumberFormat="1"/>
    <xf numFmtId="168" fontId="0" fillId="4" borderId="0" xfId="1" applyNumberFormat="1" applyFont="1" applyFill="1" applyAlignment="1">
      <alignment vertical="center" wrapText="1"/>
    </xf>
    <xf numFmtId="165" fontId="0" fillId="3" borderId="0" xfId="0" applyNumberFormat="1" applyFill="1"/>
    <xf numFmtId="10" fontId="2" fillId="0" borderId="0" xfId="0" applyNumberFormat="1" applyFont="1" applyAlignment="1">
      <alignment vertical="center" wrapText="1"/>
    </xf>
    <xf numFmtId="168" fontId="2" fillId="3" borderId="0" xfId="1" applyNumberFormat="1" applyFont="1" applyFill="1" applyAlignment="1">
      <alignment vertical="center" wrapText="1"/>
    </xf>
    <xf numFmtId="168" fontId="2" fillId="0" borderId="0" xfId="1" applyNumberFormat="1" applyFont="1" applyAlignment="1">
      <alignment vertical="center" wrapText="1"/>
    </xf>
    <xf numFmtId="168" fontId="2" fillId="0" borderId="0" xfId="0" applyNumberFormat="1" applyFont="1" applyAlignment="1">
      <alignment vertical="center" wrapText="1"/>
    </xf>
    <xf numFmtId="168" fontId="2" fillId="3" borderId="0" xfId="0" applyNumberFormat="1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0" fontId="2" fillId="0" borderId="0" xfId="0" applyFont="1"/>
    <xf numFmtId="166" fontId="2" fillId="0" borderId="0" xfId="1" applyNumberFormat="1" applyFont="1"/>
    <xf numFmtId="166" fontId="2" fillId="3" borderId="0" xfId="1" applyNumberFormat="1" applyFont="1" applyFill="1"/>
    <xf numFmtId="166" fontId="2" fillId="0" borderId="0" xfId="1" applyNumberFormat="1" applyFont="1" applyFill="1"/>
    <xf numFmtId="166" fontId="2" fillId="4" borderId="0" xfId="1" applyNumberFormat="1" applyFont="1" applyFill="1"/>
    <xf numFmtId="0" fontId="0" fillId="2" borderId="0" xfId="0" applyFill="1"/>
    <xf numFmtId="168" fontId="0" fillId="2" borderId="0" xfId="1" applyNumberFormat="1" applyFont="1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168" fontId="2" fillId="2" borderId="0" xfId="1" applyNumberFormat="1" applyFont="1" applyFill="1" applyAlignment="1">
      <alignment vertical="center" wrapText="1"/>
    </xf>
    <xf numFmtId="166" fontId="2" fillId="2" borderId="0" xfId="1" applyNumberFormat="1" applyFont="1" applyFill="1"/>
    <xf numFmtId="165" fontId="0" fillId="2" borderId="0" xfId="1" applyNumberFormat="1" applyFont="1" applyFill="1"/>
    <xf numFmtId="10" fontId="0" fillId="2" borderId="0" xfId="0" applyNumberFormat="1" applyFill="1"/>
    <xf numFmtId="166" fontId="0" fillId="0" borderId="0" xfId="0" applyNumberFormat="1" applyAlignment="1">
      <alignment vertical="center" wrapText="1"/>
    </xf>
    <xf numFmtId="167" fontId="0" fillId="0" borderId="0" xfId="1" applyNumberFormat="1" applyFont="1"/>
    <xf numFmtId="168" fontId="0" fillId="0" borderId="0" xfId="0" applyNumberFormat="1"/>
    <xf numFmtId="166" fontId="0" fillId="0" borderId="0" xfId="0" applyNumberFormat="1"/>
    <xf numFmtId="0" fontId="0" fillId="0" borderId="0" xfId="0" applyFill="1"/>
    <xf numFmtId="14" fontId="0" fillId="0" borderId="0" xfId="0" applyNumberFormat="1" applyFill="1" applyAlignment="1">
      <alignment vertical="center" wrapText="1"/>
    </xf>
    <xf numFmtId="168" fontId="0" fillId="0" borderId="0" xfId="1" applyNumberFormat="1" applyFont="1" applyFill="1" applyAlignment="1">
      <alignment vertical="center" wrapText="1"/>
    </xf>
    <xf numFmtId="166" fontId="0" fillId="0" borderId="0" xfId="0" applyNumberFormat="1" applyFill="1" applyAlignment="1">
      <alignment vertical="center" wrapText="1"/>
    </xf>
    <xf numFmtId="168" fontId="2" fillId="0" borderId="0" xfId="1" applyNumberFormat="1" applyFont="1" applyFill="1" applyAlignment="1">
      <alignment vertical="center" wrapText="1"/>
    </xf>
    <xf numFmtId="167" fontId="0" fillId="0" borderId="0" xfId="0" applyNumberFormat="1" applyFill="1" applyAlignment="1">
      <alignment vertical="center" wrapText="1"/>
    </xf>
    <xf numFmtId="10" fontId="0" fillId="0" borderId="0" xfId="0" applyNumberFormat="1" applyFill="1"/>
    <xf numFmtId="169" fontId="0" fillId="0" borderId="0" xfId="2" applyNumberFormat="1" applyFont="1"/>
    <xf numFmtId="170" fontId="0" fillId="0" borderId="0" xfId="0" applyNumberFormat="1"/>
    <xf numFmtId="171" fontId="0" fillId="0" borderId="0" xfId="0" applyNumberFormat="1"/>
    <xf numFmtId="172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169" fontId="0" fillId="0" borderId="0" xfId="0" applyNumberFormat="1"/>
    <xf numFmtId="166" fontId="0" fillId="2" borderId="0" xfId="1" applyNumberFormat="1" applyFont="1" applyFill="1" applyAlignment="1">
      <alignment vertical="center" wrapText="1"/>
    </xf>
    <xf numFmtId="165" fontId="0" fillId="0" borderId="0" xfId="1" applyNumberFormat="1" applyFont="1" applyAlignment="1">
      <alignment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335F-8814-4A76-9B6D-E3C7ADB7D577}">
  <dimension ref="B1:S71"/>
  <sheetViews>
    <sheetView zoomScale="85" zoomScaleNormal="85" workbookViewId="0">
      <selection activeCell="G4" sqref="G4"/>
    </sheetView>
  </sheetViews>
  <sheetFormatPr defaultRowHeight="15" x14ac:dyDescent="0.25"/>
  <cols>
    <col min="1" max="1" width="9.85546875" bestFit="1" customWidth="1"/>
    <col min="2" max="2" width="35.42578125" bestFit="1" customWidth="1"/>
    <col min="3" max="3" width="13" bestFit="1" customWidth="1"/>
    <col min="4" max="4" width="15.140625" bestFit="1" customWidth="1"/>
    <col min="5" max="5" width="30.85546875" bestFit="1" customWidth="1"/>
    <col min="6" max="6" width="14.42578125" bestFit="1" customWidth="1"/>
    <col min="7" max="7" width="27.85546875" style="36" customWidth="1"/>
    <col min="8" max="8" width="12.140625" bestFit="1" customWidth="1"/>
    <col min="9" max="9" width="13.7109375" bestFit="1" customWidth="1"/>
    <col min="10" max="11" width="13.42578125" bestFit="1" customWidth="1"/>
    <col min="12" max="12" width="24.42578125" style="37" bestFit="1" customWidth="1"/>
    <col min="13" max="13" width="25.85546875" style="6" bestFit="1" customWidth="1"/>
    <col min="15" max="15" width="24.28515625" bestFit="1" customWidth="1"/>
    <col min="16" max="16" width="13.28515625" bestFit="1" customWidth="1"/>
    <col min="17" max="17" width="12.5703125" bestFit="1" customWidth="1"/>
    <col min="18" max="18" width="11.42578125" bestFit="1" customWidth="1"/>
  </cols>
  <sheetData>
    <row r="1" spans="2:17" x14ac:dyDescent="0.25"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30" t="s">
        <v>5</v>
      </c>
      <c r="H1" t="s">
        <v>6</v>
      </c>
      <c r="I1" s="4" t="s">
        <v>7</v>
      </c>
      <c r="L1" s="37" t="s">
        <v>8</v>
      </c>
      <c r="M1" s="6" t="s">
        <v>9</v>
      </c>
      <c r="N1" t="s">
        <v>6</v>
      </c>
    </row>
    <row r="2" spans="2:17" x14ac:dyDescent="0.25">
      <c r="B2" s="13" t="s">
        <v>10</v>
      </c>
      <c r="C2" s="13" t="s">
        <v>11</v>
      </c>
      <c r="D2" s="10">
        <v>46132</v>
      </c>
      <c r="E2" s="26">
        <v>1</v>
      </c>
      <c r="F2" s="12">
        <v>3.7698280000000001E-2</v>
      </c>
      <c r="G2" s="31">
        <v>1</v>
      </c>
      <c r="H2" s="12">
        <f>G2-E2</f>
        <v>0</v>
      </c>
      <c r="I2" s="13">
        <v>360</v>
      </c>
      <c r="J2" s="13"/>
      <c r="K2" s="13"/>
      <c r="L2" s="38"/>
      <c r="M2" s="13" t="s">
        <v>10</v>
      </c>
      <c r="N2" s="13"/>
    </row>
    <row r="3" spans="2:17" x14ac:dyDescent="0.25">
      <c r="B3" s="13" t="s">
        <v>10</v>
      </c>
      <c r="C3" s="13" t="s">
        <v>12</v>
      </c>
      <c r="D3" s="10">
        <v>46134</v>
      </c>
      <c r="E3" s="25">
        <v>0.99979725306099998</v>
      </c>
      <c r="F3" s="12">
        <v>3.7698280000000001E-2</v>
      </c>
      <c r="G3" s="31">
        <f>1/(1+F3)^((D3-D2)/I3)</f>
        <v>0.9997972530594138</v>
      </c>
      <c r="H3" s="12">
        <f>G3-E3</f>
        <v>-1.5861756352819611E-12</v>
      </c>
      <c r="I3" s="13">
        <v>365</v>
      </c>
      <c r="J3" s="13"/>
      <c r="K3" s="13">
        <f>(D3-D2)/360</f>
        <v>5.5555555555555558E-3</v>
      </c>
      <c r="L3" s="39">
        <f>L4</f>
        <v>3.6499998700834292E-2</v>
      </c>
      <c r="M3" s="13" t="s">
        <v>10</v>
      </c>
      <c r="N3" s="14"/>
      <c r="O3" s="59"/>
      <c r="P3" s="50"/>
    </row>
    <row r="4" spans="2:17" x14ac:dyDescent="0.25">
      <c r="B4" s="52" t="s">
        <v>99</v>
      </c>
      <c r="C4" s="52" t="s">
        <v>13</v>
      </c>
      <c r="D4" s="53">
        <v>46135</v>
      </c>
      <c r="E4" s="54">
        <v>0.99969589500699996</v>
      </c>
      <c r="F4" s="55">
        <v>3.7172379999999998E-2</v>
      </c>
      <c r="G4" s="56">
        <f>$G$3/(1+F4)^((D4-$D$3)/I4)</f>
        <v>0.99969589501682432</v>
      </c>
      <c r="H4" s="57">
        <f t="shared" ref="H4" si="0">G4-E4</f>
        <v>9.8243635449080102E-12</v>
      </c>
      <c r="I4" s="52">
        <v>360</v>
      </c>
      <c r="J4" s="52"/>
      <c r="K4" s="52">
        <f t="shared" ref="K4:K18" si="1">(D4-$D$3)/360</f>
        <v>2.7777777777777779E-3</v>
      </c>
      <c r="L4" s="39">
        <f>($G$3-E4)/(K4*E4)</f>
        <v>3.6499998700834292E-2</v>
      </c>
      <c r="M4" s="58">
        <v>3.6499999999999998E-2</v>
      </c>
      <c r="N4" s="52"/>
      <c r="O4" s="49">
        <f>-LN(1/(1+L4*2/360))/((D3-D2)/I3)</f>
        <v>3.7003191541684813E-2</v>
      </c>
    </row>
    <row r="5" spans="2:17" x14ac:dyDescent="0.25">
      <c r="B5" t="s">
        <v>14</v>
      </c>
      <c r="C5" t="s">
        <v>15</v>
      </c>
      <c r="D5" s="1">
        <v>46141</v>
      </c>
      <c r="E5" s="24">
        <v>0.99909089773899995</v>
      </c>
      <c r="F5" s="48">
        <v>3.70505E-2</v>
      </c>
      <c r="G5" s="32">
        <f>$G$3/(1+F5)^((D5-$D$3)/I5)</f>
        <v>0.99909024551567083</v>
      </c>
      <c r="H5" s="4">
        <f>G5-E5</f>
        <v>-6.5222332912284742E-7</v>
      </c>
      <c r="I5">
        <v>360</v>
      </c>
      <c r="K5">
        <f t="shared" si="1"/>
        <v>1.9444444444444445E-2</v>
      </c>
      <c r="L5" s="37">
        <f t="shared" ref="L5:L18" si="2">($G$3-E5)/(K5*E5)</f>
        <v>3.6359899917079698E-2</v>
      </c>
      <c r="M5" s="6">
        <v>3.6360000000000003E-2</v>
      </c>
      <c r="N5" s="3">
        <f>M5-L5</f>
        <v>1.000829203054443E-7</v>
      </c>
      <c r="O5" s="49">
        <f>EXP(O4)-1</f>
        <v>3.7696332683974099E-2</v>
      </c>
    </row>
    <row r="6" spans="2:17" x14ac:dyDescent="0.25">
      <c r="B6" t="s">
        <v>16</v>
      </c>
      <c r="C6" t="s">
        <v>17</v>
      </c>
      <c r="D6" s="1">
        <v>46148</v>
      </c>
      <c r="E6" s="24">
        <v>0.99838224036599998</v>
      </c>
      <c r="F6" s="4">
        <v>3.710074E-2</v>
      </c>
      <c r="G6" s="32">
        <f>$G$3/(1+F6)^((D6-$D$3)/I6)</f>
        <v>0.99838185704974769</v>
      </c>
      <c r="H6" s="4">
        <f t="shared" ref="H6:H29" si="3">G6-E6</f>
        <v>-3.8331625229481858E-7</v>
      </c>
      <c r="I6">
        <v>360</v>
      </c>
      <c r="K6">
        <f t="shared" si="1"/>
        <v>3.888888888888889E-2</v>
      </c>
      <c r="L6" s="37">
        <f t="shared" si="2"/>
        <v>3.644499993754402E-2</v>
      </c>
      <c r="M6" s="6">
        <v>3.6444999999999998E-2</v>
      </c>
      <c r="N6" s="3">
        <f t="shared" ref="N6:N35" si="4">M6-L6</f>
        <v>6.2455977889452896E-11</v>
      </c>
      <c r="O6" s="60"/>
      <c r="Q6" s="50"/>
    </row>
    <row r="7" spans="2:17" x14ac:dyDescent="0.25">
      <c r="B7" t="s">
        <v>18</v>
      </c>
      <c r="C7" t="s">
        <v>19</v>
      </c>
      <c r="D7" s="1">
        <v>46155</v>
      </c>
      <c r="E7" s="24">
        <v>0.99767478310000002</v>
      </c>
      <c r="F7" s="4">
        <v>3.7109040000000003E-2</v>
      </c>
      <c r="G7" s="32">
        <f t="shared" ref="G7:G8" si="5">$G$3/(1+F7)^((D7-$D$3)/I7)</f>
        <v>0.99767444487045498</v>
      </c>
      <c r="H7" s="4">
        <f t="shared" si="3"/>
        <v>-3.3822954503825997E-7</v>
      </c>
      <c r="I7">
        <v>360</v>
      </c>
      <c r="K7">
        <f t="shared" si="1"/>
        <v>5.8333333333333334E-2</v>
      </c>
      <c r="L7" s="37">
        <f t="shared" si="2"/>
        <v>3.6469999964496784E-2</v>
      </c>
      <c r="M7" s="6">
        <v>3.6470000000000002E-2</v>
      </c>
      <c r="N7" s="3">
        <f t="shared" si="4"/>
        <v>3.5503218420718241E-11</v>
      </c>
      <c r="Q7" s="50"/>
    </row>
    <row r="8" spans="2:17" x14ac:dyDescent="0.25">
      <c r="B8" t="s">
        <v>20</v>
      </c>
      <c r="C8" t="s">
        <v>21</v>
      </c>
      <c r="D8" s="1">
        <v>46164</v>
      </c>
      <c r="E8" s="24">
        <v>0.99676666707399997</v>
      </c>
      <c r="F8" s="4">
        <v>3.7105779999999998E-2</v>
      </c>
      <c r="G8" s="32">
        <f t="shared" si="5"/>
        <v>0.99676631135403737</v>
      </c>
      <c r="H8" s="4">
        <f t="shared" si="3"/>
        <v>-3.5571996259697869E-7</v>
      </c>
      <c r="I8">
        <v>360</v>
      </c>
      <c r="K8">
        <f t="shared" si="1"/>
        <v>8.3333333333333329E-2</v>
      </c>
      <c r="L8" s="37">
        <f>($G$3-E8)/(K8*E8)</f>
        <v>3.6484999976695798E-2</v>
      </c>
      <c r="M8" s="6">
        <v>3.6484999999999997E-2</v>
      </c>
      <c r="N8" s="3">
        <f t="shared" si="4"/>
        <v>2.3304198848439484E-11</v>
      </c>
      <c r="Q8" s="51"/>
    </row>
    <row r="9" spans="2:17" x14ac:dyDescent="0.25">
      <c r="B9" t="s">
        <v>22</v>
      </c>
      <c r="C9" t="s">
        <v>23</v>
      </c>
      <c r="D9" s="1">
        <v>46195</v>
      </c>
      <c r="E9" s="24">
        <v>0.99364158547699999</v>
      </c>
      <c r="F9" s="4">
        <v>3.7122240000000001E-2</v>
      </c>
      <c r="G9" s="32">
        <f t="shared" ref="G9:G19" si="6">$G$3/(1+F9)^((D9-$D$3)/I9)</f>
        <v>0.99364131878152928</v>
      </c>
      <c r="H9" s="4">
        <f t="shared" si="3"/>
        <v>-2.6669547070756749E-7</v>
      </c>
      <c r="I9">
        <v>360</v>
      </c>
      <c r="K9">
        <f t="shared" si="1"/>
        <v>0.16944444444444445</v>
      </c>
      <c r="L9" s="37">
        <f t="shared" si="2"/>
        <v>3.6560999987871622E-2</v>
      </c>
      <c r="M9" s="6">
        <v>3.6561000000000003E-2</v>
      </c>
      <c r="N9" s="3">
        <f t="shared" si="4"/>
        <v>1.2128381632336982E-11</v>
      </c>
      <c r="Q9" s="51"/>
    </row>
    <row r="10" spans="2:17" x14ac:dyDescent="0.25">
      <c r="B10" t="s">
        <v>24</v>
      </c>
      <c r="C10" t="s">
        <v>25</v>
      </c>
      <c r="D10" s="1">
        <v>46225</v>
      </c>
      <c r="E10" s="24">
        <v>0.99061835945300003</v>
      </c>
      <c r="F10" s="4">
        <v>3.716129E-2</v>
      </c>
      <c r="G10" s="32">
        <f t="shared" si="6"/>
        <v>0.9906183007209598</v>
      </c>
      <c r="H10" s="4">
        <f t="shared" si="3"/>
        <v>-5.8732040231213034E-8</v>
      </c>
      <c r="I10">
        <v>360</v>
      </c>
      <c r="K10">
        <f t="shared" si="1"/>
        <v>0.25277777777777777</v>
      </c>
      <c r="L10" s="37">
        <f t="shared" si="2"/>
        <v>3.6655999990626617E-2</v>
      </c>
      <c r="M10" s="6">
        <v>3.6656000000000001E-2</v>
      </c>
      <c r="N10" s="3">
        <f t="shared" si="4"/>
        <v>9.3733840134113677E-12</v>
      </c>
    </row>
    <row r="11" spans="2:17" x14ac:dyDescent="0.25">
      <c r="B11" t="s">
        <v>26</v>
      </c>
      <c r="C11" t="s">
        <v>27</v>
      </c>
      <c r="D11" s="1">
        <v>46258</v>
      </c>
      <c r="E11" s="24">
        <v>0.98731815494399999</v>
      </c>
      <c r="F11" s="4">
        <v>3.7138579999999997E-2</v>
      </c>
      <c r="G11" s="32">
        <f t="shared" si="6"/>
        <v>0.98731797766972818</v>
      </c>
      <c r="H11" s="4">
        <f t="shared" si="3"/>
        <v>-1.7727427181757349E-7</v>
      </c>
      <c r="I11">
        <v>360</v>
      </c>
      <c r="K11">
        <f t="shared" si="1"/>
        <v>0.34444444444444444</v>
      </c>
      <c r="L11" s="37">
        <f t="shared" si="2"/>
        <v>3.6694999994167012E-2</v>
      </c>
      <c r="M11" s="6">
        <v>3.6694999999999998E-2</v>
      </c>
      <c r="N11" s="3">
        <f t="shared" si="4"/>
        <v>5.8329868712903021E-12</v>
      </c>
    </row>
    <row r="12" spans="2:17" x14ac:dyDescent="0.25">
      <c r="B12" t="s">
        <v>28</v>
      </c>
      <c r="C12" t="s">
        <v>29</v>
      </c>
      <c r="D12" s="1">
        <v>46287</v>
      </c>
      <c r="E12" s="24">
        <v>0.98443343183300003</v>
      </c>
      <c r="F12" s="4">
        <v>3.7110999999999998E-2</v>
      </c>
      <c r="G12" s="32">
        <f t="shared" si="6"/>
        <v>0.98443310954137342</v>
      </c>
      <c r="H12" s="4">
        <f t="shared" si="3"/>
        <v>-3.2229162660879496E-7</v>
      </c>
      <c r="I12">
        <v>360</v>
      </c>
      <c r="K12">
        <f t="shared" si="1"/>
        <v>0.42499999999999999</v>
      </c>
      <c r="L12" s="37">
        <f t="shared" si="2"/>
        <v>3.6721799994389424E-2</v>
      </c>
      <c r="M12" s="6">
        <v>3.6721999999999998E-2</v>
      </c>
      <c r="N12" s="3">
        <f t="shared" si="4"/>
        <v>2.0000561057331723E-7</v>
      </c>
    </row>
    <row r="13" spans="2:17" x14ac:dyDescent="0.25">
      <c r="B13" t="s">
        <v>30</v>
      </c>
      <c r="C13" t="s">
        <v>31</v>
      </c>
      <c r="D13" s="1">
        <v>46317</v>
      </c>
      <c r="E13" s="24">
        <v>0.98148630913699997</v>
      </c>
      <c r="F13" s="4">
        <v>3.7033580000000003E-2</v>
      </c>
      <c r="G13" s="32">
        <f t="shared" si="6"/>
        <v>0.98148557848530116</v>
      </c>
      <c r="H13" s="4">
        <f t="shared" si="3"/>
        <v>-7.3065169881036951E-7</v>
      </c>
      <c r="I13">
        <v>360</v>
      </c>
      <c r="K13">
        <f t="shared" si="1"/>
        <v>0.5083333333333333</v>
      </c>
      <c r="L13" s="37">
        <f t="shared" si="2"/>
        <v>3.670099999598804E-2</v>
      </c>
      <c r="M13" s="6">
        <v>3.6700999999999998E-2</v>
      </c>
      <c r="N13" s="3">
        <f t="shared" si="4"/>
        <v>4.0119574329366969E-12</v>
      </c>
    </row>
    <row r="14" spans="2:17" x14ac:dyDescent="0.25">
      <c r="B14" t="s">
        <v>32</v>
      </c>
      <c r="C14" t="s">
        <v>33</v>
      </c>
      <c r="D14" s="1">
        <v>46349</v>
      </c>
      <c r="E14" s="24">
        <v>0.97837031071299996</v>
      </c>
      <c r="F14" s="4">
        <v>3.6943160000000003E-2</v>
      </c>
      <c r="G14" s="32">
        <f t="shared" si="6"/>
        <v>0.97836910986184145</v>
      </c>
      <c r="H14" s="4">
        <f t="shared" si="3"/>
        <v>-1.20085115851154E-6</v>
      </c>
      <c r="I14">
        <v>360</v>
      </c>
      <c r="K14">
        <f t="shared" si="1"/>
        <v>0.59722222222222221</v>
      </c>
      <c r="L14" s="37">
        <f t="shared" si="2"/>
        <v>3.6670849996947343E-2</v>
      </c>
      <c r="M14" s="6">
        <v>3.6671000000000002E-2</v>
      </c>
      <c r="N14" s="3">
        <f t="shared" si="4"/>
        <v>1.5000305265966407E-7</v>
      </c>
    </row>
    <row r="15" spans="2:17" x14ac:dyDescent="0.25">
      <c r="B15" t="s">
        <v>34</v>
      </c>
      <c r="C15" t="s">
        <v>35</v>
      </c>
      <c r="D15" s="1">
        <v>46378</v>
      </c>
      <c r="E15" s="24">
        <v>0.97556951529199998</v>
      </c>
      <c r="F15" s="4">
        <v>3.685894E-2</v>
      </c>
      <c r="G15" s="32">
        <f t="shared" si="6"/>
        <v>0.97556787716789406</v>
      </c>
      <c r="H15" s="4">
        <f>G15-E15</f>
        <v>-1.6381241059182372E-6</v>
      </c>
      <c r="I15">
        <v>360</v>
      </c>
      <c r="K15">
        <f t="shared" si="1"/>
        <v>0.67777777777777781</v>
      </c>
      <c r="L15" s="37">
        <f t="shared" si="2"/>
        <v>3.6640999997791621E-2</v>
      </c>
      <c r="M15" s="6">
        <v>3.6641E-2</v>
      </c>
      <c r="N15" s="3">
        <f t="shared" si="4"/>
        <v>2.2083793127514184E-12</v>
      </c>
    </row>
    <row r="16" spans="2:17" x14ac:dyDescent="0.25">
      <c r="B16" t="s">
        <v>36</v>
      </c>
      <c r="C16" t="s">
        <v>37</v>
      </c>
      <c r="D16" s="1">
        <v>46409</v>
      </c>
      <c r="E16" s="24">
        <v>0.97259978340999997</v>
      </c>
      <c r="F16" s="4">
        <v>3.6767139999999997E-2</v>
      </c>
      <c r="G16" s="32">
        <f t="shared" si="6"/>
        <v>0.97259767371789152</v>
      </c>
      <c r="H16" s="4">
        <f t="shared" si="3"/>
        <v>-2.1096921084540199E-6</v>
      </c>
      <c r="I16">
        <v>360</v>
      </c>
      <c r="K16">
        <f t="shared" si="1"/>
        <v>0.76388888888888884</v>
      </c>
      <c r="L16" s="37">
        <f t="shared" si="2"/>
        <v>3.6606999996950128E-2</v>
      </c>
      <c r="M16" s="6">
        <v>3.6607000000000001E-2</v>
      </c>
      <c r="N16" s="3">
        <f t="shared" si="4"/>
        <v>3.0498728542660558E-12</v>
      </c>
    </row>
    <row r="17" spans="2:19" x14ac:dyDescent="0.25">
      <c r="B17" t="s">
        <v>38</v>
      </c>
      <c r="C17" t="s">
        <v>39</v>
      </c>
      <c r="D17" s="1">
        <v>46440</v>
      </c>
      <c r="E17" s="24">
        <v>0.96967116977400003</v>
      </c>
      <c r="F17" s="4">
        <v>3.6653739999999997E-2</v>
      </c>
      <c r="G17" s="32">
        <f t="shared" si="6"/>
        <v>0.96966847884483687</v>
      </c>
      <c r="H17" s="4">
        <f t="shared" si="3"/>
        <v>-2.6909291631627141E-6</v>
      </c>
      <c r="I17">
        <v>360</v>
      </c>
      <c r="K17">
        <f t="shared" si="1"/>
        <v>0.85</v>
      </c>
      <c r="L17" s="37">
        <f t="shared" si="2"/>
        <v>3.6550999997531877E-2</v>
      </c>
      <c r="M17" s="6">
        <v>3.6551E-2</v>
      </c>
      <c r="N17" s="3">
        <f t="shared" si="4"/>
        <v>2.4681229282563777E-12</v>
      </c>
    </row>
    <row r="18" spans="2:19" x14ac:dyDescent="0.25">
      <c r="B18" t="s">
        <v>40</v>
      </c>
      <c r="C18" t="s">
        <v>41</v>
      </c>
      <c r="D18" s="1">
        <v>46468</v>
      </c>
      <c r="E18" s="24">
        <v>0.96703098233600004</v>
      </c>
      <c r="F18" s="4">
        <v>3.6572260000000002E-2</v>
      </c>
      <c r="G18" s="32">
        <f t="shared" si="6"/>
        <v>0.96702787572682647</v>
      </c>
      <c r="H18" s="4">
        <f t="shared" si="3"/>
        <v>-3.1066091735754142E-6</v>
      </c>
      <c r="I18">
        <v>360</v>
      </c>
      <c r="K18">
        <f t="shared" si="1"/>
        <v>0.92777777777777781</v>
      </c>
      <c r="L18" s="37">
        <f t="shared" si="2"/>
        <v>3.6520999998330195E-2</v>
      </c>
      <c r="M18" s="6">
        <v>3.6520999999999998E-2</v>
      </c>
      <c r="N18" s="3">
        <f t="shared" si="4"/>
        <v>1.6698031846118511E-12</v>
      </c>
    </row>
    <row r="19" spans="2:19" x14ac:dyDescent="0.25">
      <c r="B19" t="s">
        <v>42</v>
      </c>
      <c r="C19" t="s">
        <v>43</v>
      </c>
      <c r="D19" s="1">
        <v>46499</v>
      </c>
      <c r="E19" s="24">
        <v>0.96413326719000003</v>
      </c>
      <c r="F19" s="4">
        <v>3.6478669999999998E-2</v>
      </c>
      <c r="G19" s="32">
        <f t="shared" si="6"/>
        <v>0.96412968314785941</v>
      </c>
      <c r="H19" s="4">
        <f t="shared" si="3"/>
        <v>-3.5840421406252432E-6</v>
      </c>
      <c r="I19">
        <v>360</v>
      </c>
      <c r="J19">
        <f>(D19-D3)/360</f>
        <v>1.0138888888888888</v>
      </c>
      <c r="K19">
        <f>J19*E19</f>
        <v>0.97752400701208331</v>
      </c>
      <c r="L19" s="37">
        <f>($E$3-E19)/(SUM(K19))</f>
        <v>3.6483999999152042E-2</v>
      </c>
      <c r="M19" s="6">
        <v>3.6484000000000003E-2</v>
      </c>
      <c r="N19" s="3">
        <f t="shared" si="4"/>
        <v>8.4796059063307894E-13</v>
      </c>
      <c r="R19" s="2"/>
      <c r="S19" s="4"/>
    </row>
    <row r="20" spans="2:19" x14ac:dyDescent="0.25">
      <c r="B20" s="41" t="s">
        <v>44</v>
      </c>
      <c r="C20" s="41" t="s">
        <v>45</v>
      </c>
      <c r="D20" s="5">
        <v>46682</v>
      </c>
      <c r="E20" s="42">
        <v>0.94749561668299997</v>
      </c>
      <c r="F20" s="43">
        <v>3.5932079999999998E-2</v>
      </c>
      <c r="G20" s="44">
        <f>$G$3/(1+F20)^((D20-$D$3)/I20)</f>
        <v>0.9474893143150438</v>
      </c>
      <c r="H20" s="43">
        <f>G20-E20</f>
        <v>-6.3023679561791113E-6</v>
      </c>
      <c r="I20" s="41">
        <v>360</v>
      </c>
      <c r="J20" s="41"/>
      <c r="K20" s="41"/>
      <c r="L20" s="45">
        <f>(E3-E20)/SUM((D20-D13)/360*E20,(D13-D3)/360*E13)</f>
        <v>3.5833408578436525E-2</v>
      </c>
      <c r="M20" s="46">
        <v>3.5832999999999997E-2</v>
      </c>
      <c r="N20" s="47">
        <f>M20-L20</f>
        <v>-4.0857843652819525E-7</v>
      </c>
      <c r="R20" s="2"/>
    </row>
    <row r="21" spans="2:19" x14ac:dyDescent="0.25">
      <c r="B21" t="s">
        <v>46</v>
      </c>
      <c r="C21" t="s">
        <v>47</v>
      </c>
      <c r="D21" s="1">
        <v>46867</v>
      </c>
      <c r="E21" s="24">
        <v>0.93148198429600004</v>
      </c>
      <c r="F21" s="4">
        <v>3.5376310000000001E-2</v>
      </c>
      <c r="G21" s="32">
        <f t="shared" ref="G21:G30" si="7">$G$3/(1+F21)^((D21-$D$3)/I21)</f>
        <v>0.93147301510673997</v>
      </c>
      <c r="H21" s="4">
        <f t="shared" si="3"/>
        <v>-8.9691892600773926E-6</v>
      </c>
      <c r="I21">
        <v>360</v>
      </c>
      <c r="J21">
        <f>(D21-D19)/360</f>
        <v>1.0222222222222221</v>
      </c>
      <c r="K21">
        <f t="shared" ref="K21:K33" si="8">J21*E21</f>
        <v>0.95218158394702224</v>
      </c>
      <c r="L21" s="37">
        <f>($E$3-E21)/(SUM(K19:K21))</f>
        <v>3.5401912646708854E-2</v>
      </c>
      <c r="M21" s="6">
        <v>3.5397999999999999E-2</v>
      </c>
      <c r="N21" s="3">
        <f t="shared" si="4"/>
        <v>-3.9126467088548833E-6</v>
      </c>
    </row>
    <row r="22" spans="2:19" x14ac:dyDescent="0.25">
      <c r="B22" t="s">
        <v>48</v>
      </c>
      <c r="C22" t="s">
        <v>49</v>
      </c>
      <c r="D22" s="1">
        <v>47231</v>
      </c>
      <c r="E22" s="24">
        <v>0.900337984566</v>
      </c>
      <c r="F22" s="4">
        <v>3.4988180000000001E-2</v>
      </c>
      <c r="G22" s="32">
        <f t="shared" si="7"/>
        <v>0.90032744044735136</v>
      </c>
      <c r="H22" s="4">
        <f t="shared" si="3"/>
        <v>-1.0544118648647682E-5</v>
      </c>
      <c r="I22">
        <v>360</v>
      </c>
      <c r="J22">
        <f t="shared" ref="J22:J26" si="9">(D22-D21)/360</f>
        <v>1.0111111111111111</v>
      </c>
      <c r="K22">
        <f t="shared" si="8"/>
        <v>0.91034173995006662</v>
      </c>
      <c r="L22" s="37">
        <f>($E$3-E22)/(SUM(K19:K22))</f>
        <v>3.5020285546847031E-2</v>
      </c>
      <c r="M22" s="6">
        <v>3.5019000000000002E-2</v>
      </c>
      <c r="N22" s="3">
        <f t="shared" si="4"/>
        <v>-1.2855468470296394E-6</v>
      </c>
      <c r="R22" s="7"/>
    </row>
    <row r="23" spans="2:19" x14ac:dyDescent="0.25">
      <c r="B23" t="s">
        <v>50</v>
      </c>
      <c r="C23" t="s">
        <v>51</v>
      </c>
      <c r="D23" s="1">
        <v>47595</v>
      </c>
      <c r="E23" s="24">
        <v>0.86907181592000005</v>
      </c>
      <c r="F23" s="4">
        <v>3.5133959999999999E-2</v>
      </c>
      <c r="G23" s="32">
        <f t="shared" si="7"/>
        <v>0.86906230393845318</v>
      </c>
      <c r="H23" s="4">
        <f t="shared" si="3"/>
        <v>-9.5119815468613922E-6</v>
      </c>
      <c r="I23">
        <v>360</v>
      </c>
      <c r="J23">
        <f t="shared" si="9"/>
        <v>1.0111111111111111</v>
      </c>
      <c r="K23">
        <f t="shared" si="8"/>
        <v>0.87872816943022225</v>
      </c>
      <c r="L23" s="37">
        <f>($E$3-E23)/(SUM(K19:K23))</f>
        <v>3.5152817675890694E-2</v>
      </c>
      <c r="M23" s="6">
        <v>3.5152999999999997E-2</v>
      </c>
      <c r="N23" s="3">
        <f t="shared" si="4"/>
        <v>1.8232410930324461E-7</v>
      </c>
    </row>
    <row r="24" spans="2:19" x14ac:dyDescent="0.25">
      <c r="B24" t="s">
        <v>52</v>
      </c>
      <c r="C24" t="s">
        <v>53</v>
      </c>
      <c r="D24" s="1">
        <v>47960</v>
      </c>
      <c r="E24" s="24">
        <v>0.83749711357699996</v>
      </c>
      <c r="F24" s="4">
        <v>3.5541240000000002E-2</v>
      </c>
      <c r="G24" s="32">
        <f t="shared" si="7"/>
        <v>0.83748978786311867</v>
      </c>
      <c r="H24" s="4">
        <f t="shared" si="3"/>
        <v>-7.3257138812898859E-6</v>
      </c>
      <c r="I24">
        <v>360</v>
      </c>
      <c r="J24">
        <f t="shared" si="9"/>
        <v>1.0138888888888888</v>
      </c>
      <c r="K24">
        <f t="shared" si="8"/>
        <v>0.84912901793223605</v>
      </c>
      <c r="L24" s="37">
        <f>($E$3-E24)/(SUM(K19:K24))</f>
        <v>3.553054553456602E-2</v>
      </c>
      <c r="M24" s="6">
        <v>3.5529999999999999E-2</v>
      </c>
      <c r="N24" s="3">
        <f t="shared" si="4"/>
        <v>-5.4553456602102202E-7</v>
      </c>
    </row>
    <row r="25" spans="2:19" x14ac:dyDescent="0.25">
      <c r="B25" t="s">
        <v>54</v>
      </c>
      <c r="C25" t="s">
        <v>55</v>
      </c>
      <c r="D25" s="1">
        <v>48326</v>
      </c>
      <c r="E25" s="24">
        <v>0.80559465688700005</v>
      </c>
      <c r="F25" s="4">
        <v>3.6107350000000003E-2</v>
      </c>
      <c r="G25" s="32">
        <f t="shared" si="7"/>
        <v>0.80559006285540702</v>
      </c>
      <c r="H25" s="4">
        <f t="shared" si="3"/>
        <v>-4.594031593030401E-6</v>
      </c>
      <c r="I25">
        <v>360</v>
      </c>
      <c r="J25">
        <f t="shared" si="9"/>
        <v>1.0166666666666666</v>
      </c>
      <c r="K25">
        <f t="shared" si="8"/>
        <v>0.81902123450178332</v>
      </c>
      <c r="L25" s="37">
        <f>($E$3-E25)/(SUM(K19:K25))</f>
        <v>3.6050728205046512E-2</v>
      </c>
      <c r="M25" s="6">
        <v>3.6051E-2</v>
      </c>
      <c r="N25" s="3">
        <f t="shared" si="4"/>
        <v>2.7179495348805816E-7</v>
      </c>
    </row>
    <row r="26" spans="2:19" x14ac:dyDescent="0.25">
      <c r="B26" t="s">
        <v>56</v>
      </c>
      <c r="C26" t="s">
        <v>57</v>
      </c>
      <c r="D26" s="1">
        <v>48691</v>
      </c>
      <c r="E26" s="24">
        <v>0.77384142589500005</v>
      </c>
      <c r="F26" s="4">
        <v>3.6727059999999999E-2</v>
      </c>
      <c r="G26" s="32">
        <f t="shared" si="7"/>
        <v>0.77383958681989906</v>
      </c>
      <c r="H26" s="4">
        <f t="shared" si="3"/>
        <v>-1.8390751009844664E-6</v>
      </c>
      <c r="I26">
        <v>360</v>
      </c>
      <c r="J26">
        <f t="shared" si="9"/>
        <v>1.0138888888888888</v>
      </c>
      <c r="K26">
        <f t="shared" si="8"/>
        <v>0.78458922347687499</v>
      </c>
      <c r="L26" s="37">
        <f>($E$3-E26)/(SUM(K19:K26))</f>
        <v>3.6612700128824283E-2</v>
      </c>
      <c r="M26" s="6">
        <v>3.6611999999999999E-2</v>
      </c>
      <c r="N26" s="3">
        <f t="shared" si="4"/>
        <v>-7.0012882428388545E-7</v>
      </c>
    </row>
    <row r="27" spans="2:19" x14ac:dyDescent="0.25">
      <c r="B27" s="13" t="s">
        <v>10</v>
      </c>
      <c r="C27" s="13" t="s">
        <v>58</v>
      </c>
      <c r="D27" s="10">
        <v>48694</v>
      </c>
      <c r="E27" s="25">
        <v>0.77358217582</v>
      </c>
      <c r="F27" s="11">
        <v>3.7251640000000003E-2</v>
      </c>
      <c r="G27" s="31">
        <f>$G$3/(1+F27)^((D27-$D$3)/I27)</f>
        <v>0.77358036366962435</v>
      </c>
      <c r="H27" s="11">
        <f t="shared" si="3"/>
        <v>-1.8121503756463042E-6</v>
      </c>
      <c r="I27" s="13">
        <v>365</v>
      </c>
      <c r="J27" s="13">
        <f t="shared" ref="J27:J33" si="10">(D27-D26)/360</f>
        <v>8.3333333333333332E-3</v>
      </c>
      <c r="K27" s="13">
        <f t="shared" si="8"/>
        <v>6.4465181318333334E-3</v>
      </c>
      <c r="L27" s="38">
        <f>($E$3-E27)/(SUM(K19:K27))</f>
        <v>3.6616459563030106E-2</v>
      </c>
      <c r="M27" s="13" t="s">
        <v>10</v>
      </c>
      <c r="N27" s="29"/>
    </row>
    <row r="28" spans="2:19" x14ac:dyDescent="0.25">
      <c r="B28" t="s">
        <v>59</v>
      </c>
      <c r="C28" t="s">
        <v>60</v>
      </c>
      <c r="D28" s="1">
        <v>49058</v>
      </c>
      <c r="E28" s="24">
        <v>0.742349350578</v>
      </c>
      <c r="F28" s="4">
        <v>3.7336559999999998E-2</v>
      </c>
      <c r="G28" s="32">
        <f t="shared" si="7"/>
        <v>0.74235001918529209</v>
      </c>
      <c r="H28" s="4">
        <f t="shared" si="3"/>
        <v>6.6860729208695346E-7</v>
      </c>
      <c r="I28">
        <v>360</v>
      </c>
      <c r="J28">
        <f t="shared" si="10"/>
        <v>1.0111111111111111</v>
      </c>
      <c r="K28">
        <f t="shared" si="8"/>
        <v>0.75059767669553334</v>
      </c>
      <c r="L28" s="37">
        <f>($E$3-E28)/(SUM(K19:K28))</f>
        <v>3.7157494960522508E-2</v>
      </c>
      <c r="M28" s="6">
        <v>3.7157999999999997E-2</v>
      </c>
      <c r="N28" s="3">
        <f t="shared" si="4"/>
        <v>5.0503947748858913E-7</v>
      </c>
    </row>
    <row r="29" spans="2:19" x14ac:dyDescent="0.25">
      <c r="B29" t="s">
        <v>61</v>
      </c>
      <c r="C29" t="s">
        <v>62</v>
      </c>
      <c r="D29" s="1">
        <v>49422</v>
      </c>
      <c r="E29" s="9">
        <v>0.71156804334299995</v>
      </c>
      <c r="F29" s="4">
        <v>3.7936650000000002E-2</v>
      </c>
      <c r="G29" s="33">
        <f>$G$3/(1+F29)^((D29-$D$3)/I29)</f>
        <v>0.7115709343041936</v>
      </c>
      <c r="H29" s="4">
        <f t="shared" si="3"/>
        <v>2.8909611936578372E-6</v>
      </c>
      <c r="I29">
        <v>360</v>
      </c>
      <c r="J29">
        <f t="shared" si="10"/>
        <v>1.0111111111111111</v>
      </c>
      <c r="K29">
        <f t="shared" si="8"/>
        <v>0.71947435493569989</v>
      </c>
      <c r="L29" s="37">
        <f>($E$3-E29)/(SUM(K19:K29))</f>
        <v>3.7686708450955696E-2</v>
      </c>
      <c r="M29" s="6">
        <v>3.7686999999999998E-2</v>
      </c>
      <c r="N29" s="3">
        <f t="shared" si="4"/>
        <v>2.9154904430256368E-7</v>
      </c>
    </row>
    <row r="30" spans="2:19" x14ac:dyDescent="0.25">
      <c r="B30" t="s">
        <v>63</v>
      </c>
      <c r="C30" t="s">
        <v>64</v>
      </c>
      <c r="D30" s="1">
        <v>49787</v>
      </c>
      <c r="E30" s="9">
        <v>0.68126579302900003</v>
      </c>
      <c r="F30" s="4">
        <v>3.8526350000000001E-2</v>
      </c>
      <c r="G30" s="33">
        <f t="shared" si="7"/>
        <v>0.68127070423426017</v>
      </c>
      <c r="H30" s="4">
        <f>G30-E30</f>
        <v>4.9112052601385514E-6</v>
      </c>
      <c r="I30">
        <v>360</v>
      </c>
      <c r="J30">
        <f t="shared" si="10"/>
        <v>1.0138888888888888</v>
      </c>
      <c r="K30">
        <f t="shared" si="8"/>
        <v>0.69072781793218052</v>
      </c>
      <c r="L30" s="37">
        <f>($E$3-E30)/(SUM(K19:K30))</f>
        <v>3.8198893923648961E-2</v>
      </c>
      <c r="M30" s="6">
        <v>3.8199999999999998E-2</v>
      </c>
      <c r="N30" s="3">
        <f t="shared" si="4"/>
        <v>1.1060763510373217E-6</v>
      </c>
    </row>
    <row r="31" spans="2:19" x14ac:dyDescent="0.25">
      <c r="B31" s="13" t="s">
        <v>10</v>
      </c>
      <c r="C31" s="13" t="s">
        <v>65</v>
      </c>
      <c r="D31" s="10">
        <v>50152</v>
      </c>
      <c r="E31" s="12">
        <v>0.65175089608400005</v>
      </c>
      <c r="F31" s="11">
        <v>3.9634410000000002E-2</v>
      </c>
      <c r="G31" s="34">
        <f>$G$3/(1+F31)^((D31-$D$3)/I31)</f>
        <v>0.65175758567248776</v>
      </c>
      <c r="H31" s="11">
        <f>G31-E31</f>
        <v>6.6895884877071765E-6</v>
      </c>
      <c r="I31" s="13">
        <v>365</v>
      </c>
      <c r="J31" s="13">
        <f t="shared" si="10"/>
        <v>1.0138888888888888</v>
      </c>
      <c r="K31" s="13">
        <f t="shared" si="8"/>
        <v>0.66080299186294444</v>
      </c>
      <c r="L31" s="38">
        <f>($E$3-E31)/(SUM(K19:K31))</f>
        <v>3.8673689524297741E-2</v>
      </c>
      <c r="M31" s="13" t="s">
        <v>10</v>
      </c>
      <c r="N31" s="29"/>
    </row>
    <row r="32" spans="2:19" x14ac:dyDescent="0.25">
      <c r="B32" t="s">
        <v>66</v>
      </c>
      <c r="C32" t="s">
        <v>67</v>
      </c>
      <c r="D32" s="1">
        <v>50517</v>
      </c>
      <c r="E32" s="9">
        <v>0.62255889806499998</v>
      </c>
      <c r="F32" s="4">
        <v>3.967449E-2</v>
      </c>
      <c r="G32" s="33">
        <f t="shared" ref="G32:G40" si="11">$G$3/(1+F32)^((D32-$D$3)/I32)</f>
        <v>0.62256720556045919</v>
      </c>
      <c r="H32" s="4">
        <f t="shared" ref="H32:H36" si="12">G32-E32</f>
        <v>8.3074954592143868E-6</v>
      </c>
      <c r="I32">
        <v>360</v>
      </c>
      <c r="J32">
        <f t="shared" si="10"/>
        <v>1.0138888888888888</v>
      </c>
      <c r="K32">
        <f t="shared" si="8"/>
        <v>0.63120554942701379</v>
      </c>
      <c r="L32" s="37">
        <f>($E$3-E32)/(SUM(K19:K32))</f>
        <v>3.917011407097655E-2</v>
      </c>
      <c r="M32" s="6">
        <v>3.9170999999999997E-2</v>
      </c>
      <c r="N32" s="27">
        <f t="shared" si="4"/>
        <v>8.8592902344752922E-7</v>
      </c>
    </row>
    <row r="33" spans="2:14" x14ac:dyDescent="0.25">
      <c r="B33" s="13" t="s">
        <v>10</v>
      </c>
      <c r="C33" s="13" t="s">
        <v>68</v>
      </c>
      <c r="D33" s="10">
        <v>50882</v>
      </c>
      <c r="E33" s="12">
        <v>0.59424593986300001</v>
      </c>
      <c r="F33" s="11">
        <v>4.0803899999999997E-2</v>
      </c>
      <c r="G33" s="34">
        <f t="shared" si="11"/>
        <v>0.59425567699208259</v>
      </c>
      <c r="H33" s="11">
        <f t="shared" si="12"/>
        <v>9.7371290825876144E-6</v>
      </c>
      <c r="I33" s="13">
        <v>365</v>
      </c>
      <c r="J33" s="13">
        <f t="shared" si="10"/>
        <v>1.0138888888888888</v>
      </c>
      <c r="K33" s="13">
        <f t="shared" si="8"/>
        <v>0.60249935569443058</v>
      </c>
      <c r="L33" s="38">
        <f>($E$3-E33)/(SUM(K19:K33))</f>
        <v>3.9630669696045888E-2</v>
      </c>
      <c r="M33" s="13" t="s">
        <v>10</v>
      </c>
      <c r="N33" s="29"/>
    </row>
    <row r="34" spans="2:14" x14ac:dyDescent="0.25">
      <c r="B34" s="13" t="s">
        <v>10</v>
      </c>
      <c r="C34" s="13" t="s">
        <v>69</v>
      </c>
      <c r="D34" s="10">
        <v>51249</v>
      </c>
      <c r="E34" s="12">
        <v>0.56707596257799997</v>
      </c>
      <c r="F34" s="11">
        <v>4.1293080000000003E-2</v>
      </c>
      <c r="G34" s="34">
        <f t="shared" si="11"/>
        <v>0.56708669994229344</v>
      </c>
      <c r="H34" s="11">
        <f t="shared" si="12"/>
        <v>1.0737364293467166E-5</v>
      </c>
      <c r="I34" s="13">
        <v>365</v>
      </c>
      <c r="J34" s="13">
        <f t="shared" ref="J34:J41" si="13">(D34-D33)/360</f>
        <v>1.0194444444444444</v>
      </c>
      <c r="K34" s="13">
        <f t="shared" ref="K34:K39" si="14">J34*E34</f>
        <v>0.57810243962812768</v>
      </c>
      <c r="L34" s="38">
        <f>($E$3-E34)/(SUM(K19:K34))</f>
        <v>4.0024642873129325E-2</v>
      </c>
      <c r="M34" s="13" t="s">
        <v>10</v>
      </c>
      <c r="N34" s="29"/>
    </row>
    <row r="35" spans="2:14" x14ac:dyDescent="0.25">
      <c r="B35" t="s">
        <v>70</v>
      </c>
      <c r="C35" t="s">
        <v>71</v>
      </c>
      <c r="D35" s="1">
        <v>51613</v>
      </c>
      <c r="E35" s="9">
        <v>0.54135530680900001</v>
      </c>
      <c r="F35" s="4">
        <v>4.1130720000000003E-2</v>
      </c>
      <c r="G35" s="33">
        <f t="shared" si="11"/>
        <v>0.54136676437800768</v>
      </c>
      <c r="H35" s="4">
        <f t="shared" si="12"/>
        <v>1.1457569007666812E-5</v>
      </c>
      <c r="I35">
        <v>360</v>
      </c>
      <c r="J35">
        <f t="shared" si="13"/>
        <v>1.0111111111111111</v>
      </c>
      <c r="K35">
        <f t="shared" si="14"/>
        <v>0.54737036577354448</v>
      </c>
      <c r="L35" s="37">
        <f>($E$3-E35)/(SUM(K19:K35))</f>
        <v>4.0360274437261111E-2</v>
      </c>
      <c r="M35" s="6">
        <v>4.0361000000000001E-2</v>
      </c>
      <c r="N35" s="27">
        <f t="shared" si="4"/>
        <v>7.255627388902397E-7</v>
      </c>
    </row>
    <row r="36" spans="2:14" x14ac:dyDescent="0.25">
      <c r="B36" s="13" t="s">
        <v>10</v>
      </c>
      <c r="C36" s="13" t="s">
        <v>72</v>
      </c>
      <c r="D36" s="10">
        <v>51614</v>
      </c>
      <c r="E36" s="12">
        <v>0.54128680685700004</v>
      </c>
      <c r="F36" s="11">
        <v>4.171474E-2</v>
      </c>
      <c r="G36" s="34">
        <f t="shared" si="11"/>
        <v>0.541298301546843</v>
      </c>
      <c r="H36" s="11">
        <f t="shared" si="12"/>
        <v>1.1494689842961314E-5</v>
      </c>
      <c r="I36" s="13">
        <v>365</v>
      </c>
      <c r="J36" s="13">
        <f t="shared" si="13"/>
        <v>2.7777777777777779E-3</v>
      </c>
      <c r="K36" s="13">
        <f t="shared" si="14"/>
        <v>1.5035744634916668E-3</v>
      </c>
      <c r="L36" s="38">
        <f>($E$3-E36)/(SUM(K19:K36))</f>
        <v>4.0360962386648602E-2</v>
      </c>
      <c r="M36" s="13" t="s">
        <v>10</v>
      </c>
      <c r="N36" s="29"/>
    </row>
    <row r="37" spans="2:14" x14ac:dyDescent="0.25">
      <c r="B37" s="13" t="s">
        <v>10</v>
      </c>
      <c r="C37" s="13" t="s">
        <v>73</v>
      </c>
      <c r="D37" s="10">
        <v>51979</v>
      </c>
      <c r="E37" s="12">
        <v>0.51691768732400001</v>
      </c>
      <c r="F37" s="11">
        <v>4.205279E-2</v>
      </c>
      <c r="G37" s="34">
        <f t="shared" si="11"/>
        <v>0.51692953095697947</v>
      </c>
      <c r="H37" s="11">
        <f>G37-E37</f>
        <v>1.1843632979458008E-5</v>
      </c>
      <c r="I37" s="13">
        <v>365</v>
      </c>
      <c r="J37" s="13">
        <f t="shared" si="13"/>
        <v>1.0138888888888888</v>
      </c>
      <c r="K37" s="13">
        <f t="shared" si="14"/>
        <v>0.52409709964794438</v>
      </c>
      <c r="L37" s="38">
        <f>($E$3-E37)/(SUM(K19:K37))</f>
        <v>4.0631575266368535E-2</v>
      </c>
      <c r="M37" s="13" t="s">
        <v>10</v>
      </c>
      <c r="N37" s="29"/>
    </row>
    <row r="38" spans="2:14" x14ac:dyDescent="0.25">
      <c r="B38" s="13" t="s">
        <v>10</v>
      </c>
      <c r="C38" s="13" t="s">
        <v>74</v>
      </c>
      <c r="D38" s="10">
        <v>52344</v>
      </c>
      <c r="E38" s="12">
        <v>0.49370605149199998</v>
      </c>
      <c r="F38" s="11">
        <v>4.234371E-2</v>
      </c>
      <c r="G38" s="34">
        <f t="shared" si="11"/>
        <v>0.49371811682732075</v>
      </c>
      <c r="H38" s="11">
        <f t="shared" ref="H38:H43" si="15">G38-E38</f>
        <v>1.2065335320776693E-5</v>
      </c>
      <c r="I38" s="13">
        <v>365</v>
      </c>
      <c r="J38" s="13">
        <f t="shared" si="13"/>
        <v>1.0138888888888888</v>
      </c>
      <c r="K38" s="13">
        <f t="shared" si="14"/>
        <v>0.50056307998494443</v>
      </c>
      <c r="L38" s="38">
        <f>($E$3-E38)/(SUM(K19:K38))</f>
        <v>4.0863548720048513E-2</v>
      </c>
      <c r="M38" s="13" t="s">
        <v>10</v>
      </c>
      <c r="N38" s="29"/>
    </row>
    <row r="39" spans="2:14" x14ac:dyDescent="0.25">
      <c r="B39" s="13" t="s">
        <v>10</v>
      </c>
      <c r="C39" s="13" t="s">
        <v>75</v>
      </c>
      <c r="D39" s="10">
        <v>52712</v>
      </c>
      <c r="E39" s="12">
        <v>0.47141680679300002</v>
      </c>
      <c r="F39" s="11">
        <v>4.2597280000000001E-2</v>
      </c>
      <c r="G39" s="34">
        <f t="shared" si="11"/>
        <v>0.47142899161700941</v>
      </c>
      <c r="H39" s="11">
        <f>G39-E39</f>
        <v>1.2184824009386919E-5</v>
      </c>
      <c r="I39" s="13">
        <v>365</v>
      </c>
      <c r="J39" s="13">
        <f t="shared" si="13"/>
        <v>1.0222222222222221</v>
      </c>
      <c r="K39" s="13">
        <f t="shared" si="14"/>
        <v>0.48189273583284442</v>
      </c>
      <c r="L39" s="38">
        <f>($E$3-E39)/(SUM(K19:K39))</f>
        <v>4.1065416916176496E-2</v>
      </c>
      <c r="M39" s="13" t="s">
        <v>10</v>
      </c>
      <c r="N39" s="29"/>
    </row>
    <row r="40" spans="2:14" x14ac:dyDescent="0.25">
      <c r="B40" s="13" t="s">
        <v>10</v>
      </c>
      <c r="C40" s="13" t="s">
        <v>76</v>
      </c>
      <c r="D40" s="10">
        <v>53076</v>
      </c>
      <c r="E40" s="12">
        <v>0.45041487835799998</v>
      </c>
      <c r="F40" s="11">
        <v>4.2815029999999997E-2</v>
      </c>
      <c r="G40" s="34">
        <f t="shared" si="11"/>
        <v>0.4504269845082492</v>
      </c>
      <c r="H40" s="11">
        <f>G40-E40</f>
        <v>1.2106150249213687E-5</v>
      </c>
      <c r="I40" s="13">
        <v>365</v>
      </c>
      <c r="J40" s="13">
        <f t="shared" si="13"/>
        <v>1.0111111111111111</v>
      </c>
      <c r="K40" s="13">
        <f>J40*E40</f>
        <v>0.4554194881175333</v>
      </c>
      <c r="L40" s="38">
        <f>($E$3-E40)/(SUM($K$19:K40))</f>
        <v>4.1238056132821443E-2</v>
      </c>
      <c r="M40" s="13" t="s">
        <v>10</v>
      </c>
      <c r="N40" s="29"/>
    </row>
    <row r="41" spans="2:14" x14ac:dyDescent="0.25">
      <c r="B41" t="s">
        <v>77</v>
      </c>
      <c r="C41" s="20" t="s">
        <v>78</v>
      </c>
      <c r="D41" s="21">
        <v>53440</v>
      </c>
      <c r="E41" s="23">
        <v>0.43040110251899999</v>
      </c>
      <c r="F41" s="22">
        <v>4.2403339999999998E-2</v>
      </c>
      <c r="G41" s="33">
        <f>$G$3/(1+F41)^((D41-$D$3)/I41)</f>
        <v>0.43041313359343203</v>
      </c>
      <c r="H41" s="22">
        <f>G41-E41</f>
        <v>1.2031074432039546E-5</v>
      </c>
      <c r="I41" s="20">
        <v>360</v>
      </c>
      <c r="J41" s="20">
        <f t="shared" si="13"/>
        <v>1.0111111111111111</v>
      </c>
      <c r="K41" s="20">
        <f t="shared" ref="K41:K47" si="16">J41*E41</f>
        <v>0.4351833369914333</v>
      </c>
      <c r="L41" s="39">
        <f>($E$3-E41)/(SUM($K$19:K41))</f>
        <v>4.1388350574756143E-2</v>
      </c>
      <c r="M41" s="6">
        <v>4.1389000000000002E-2</v>
      </c>
      <c r="N41" s="27">
        <f>M41-L41</f>
        <v>6.494252438593584E-7</v>
      </c>
    </row>
    <row r="42" spans="2:14" x14ac:dyDescent="0.25">
      <c r="B42" s="13" t="s">
        <v>10</v>
      </c>
      <c r="C42" s="13" t="s">
        <v>79</v>
      </c>
      <c r="D42" s="10">
        <v>53441</v>
      </c>
      <c r="E42" s="12">
        <v>0.43034926573799998</v>
      </c>
      <c r="F42" s="11">
        <v>4.300503E-2</v>
      </c>
      <c r="G42" s="34">
        <f>$G$3/(1+F42)^((D42-$D$3)/I42)</f>
        <v>0.43036127334091817</v>
      </c>
      <c r="H42" s="11">
        <f t="shared" si="15"/>
        <v>1.2007602918195914E-5</v>
      </c>
      <c r="I42" s="13">
        <v>365</v>
      </c>
      <c r="J42" s="13">
        <f>(D42-D41)/360</f>
        <v>2.7777777777777779E-3</v>
      </c>
      <c r="K42" s="13">
        <f t="shared" si="16"/>
        <v>1.1954146270499999E-3</v>
      </c>
      <c r="L42" s="38">
        <f>($E$3-E42)/(SUM($K$19:K42))</f>
        <v>4.1388522143221439E-2</v>
      </c>
      <c r="M42" s="13" t="s">
        <v>10</v>
      </c>
      <c r="N42" s="29"/>
    </row>
    <row r="43" spans="2:14" x14ac:dyDescent="0.25">
      <c r="B43" s="13" t="s">
        <v>10</v>
      </c>
      <c r="C43" s="13" t="s">
        <v>80</v>
      </c>
      <c r="D43" s="10">
        <v>53806</v>
      </c>
      <c r="E43" s="12">
        <v>0.41206822065299997</v>
      </c>
      <c r="F43" s="11">
        <v>4.3069629999999998E-2</v>
      </c>
      <c r="G43" s="34">
        <f>$G$3/(1+F43)^((D43-$D$3)/I43)</f>
        <v>0.41207988059367967</v>
      </c>
      <c r="H43" s="11">
        <f t="shared" si="15"/>
        <v>1.1659940679698E-5</v>
      </c>
      <c r="I43" s="13">
        <v>365</v>
      </c>
      <c r="J43" s="13">
        <f t="shared" ref="J43:J47" si="17">(D43-D42)/360</f>
        <v>1.0138888888888888</v>
      </c>
      <c r="K43" s="13">
        <f t="shared" si="16"/>
        <v>0.41779139038429164</v>
      </c>
      <c r="L43" s="38">
        <f>($E$3-E43)/(SUM($K$19:K43))</f>
        <v>4.1458305564867473E-2</v>
      </c>
      <c r="M43" s="13" t="s">
        <v>10</v>
      </c>
      <c r="N43" s="29"/>
    </row>
    <row r="44" spans="2:14" x14ac:dyDescent="0.25">
      <c r="B44" s="13" t="s">
        <v>10</v>
      </c>
      <c r="C44" s="13" t="s">
        <v>81</v>
      </c>
      <c r="D44" s="10">
        <v>54172</v>
      </c>
      <c r="E44" s="12">
        <v>0.39473633713900003</v>
      </c>
      <c r="F44" s="11">
        <v>4.3102179999999997E-2</v>
      </c>
      <c r="G44" s="34">
        <f t="shared" ref="G44:G53" si="18">$G$3/(1+F44)^((D44-$D$3)/I44)</f>
        <v>0.39474759046970459</v>
      </c>
      <c r="H44" s="11">
        <f t="shared" ref="H44:H47" si="19">G44-E44</f>
        <v>1.1253330704563691E-5</v>
      </c>
      <c r="I44" s="13">
        <v>365</v>
      </c>
      <c r="J44" s="13">
        <f t="shared" si="17"/>
        <v>1.0166666666666666</v>
      </c>
      <c r="K44" s="13">
        <f t="shared" si="16"/>
        <v>0.40131527609131668</v>
      </c>
      <c r="L44" s="38">
        <f>($E$3-E44)/(SUM($K$19:K44))</f>
        <v>4.1505914721734725E-2</v>
      </c>
      <c r="M44" s="13" t="s">
        <v>10</v>
      </c>
      <c r="N44" s="29"/>
    </row>
    <row r="45" spans="2:14" x14ac:dyDescent="0.25">
      <c r="B45" s="13" t="s">
        <v>10</v>
      </c>
      <c r="C45" s="13" t="s">
        <v>82</v>
      </c>
      <c r="D45" s="10">
        <v>54539</v>
      </c>
      <c r="E45" s="12">
        <v>0.37830011597000002</v>
      </c>
      <c r="F45" s="11">
        <v>4.3106699999999998E-2</v>
      </c>
      <c r="G45" s="34">
        <f t="shared" si="18"/>
        <v>0.37831092092342417</v>
      </c>
      <c r="H45" s="11">
        <f t="shared" si="19"/>
        <v>1.0804953424148334E-5</v>
      </c>
      <c r="I45" s="13">
        <v>365</v>
      </c>
      <c r="J45" s="13">
        <f t="shared" si="17"/>
        <v>1.0194444444444444</v>
      </c>
      <c r="K45" s="13">
        <f t="shared" si="16"/>
        <v>0.38565595155830557</v>
      </c>
      <c r="L45" s="38">
        <f>($E$3-E45)/(SUM($K$19:K45))</f>
        <v>4.153459933194751E-2</v>
      </c>
      <c r="M45" s="13" t="s">
        <v>10</v>
      </c>
      <c r="N45" s="29"/>
    </row>
    <row r="46" spans="2:14" x14ac:dyDescent="0.25">
      <c r="B46" s="13" t="s">
        <v>10</v>
      </c>
      <c r="C46" s="13" t="s">
        <v>83</v>
      </c>
      <c r="D46" s="10">
        <v>54903</v>
      </c>
      <c r="E46" s="12">
        <v>0.36287525371599999</v>
      </c>
      <c r="F46" s="11">
        <v>4.3086770000000003E-2</v>
      </c>
      <c r="G46" s="34">
        <f t="shared" si="18"/>
        <v>0.3628855816582604</v>
      </c>
      <c r="H46" s="11">
        <f t="shared" si="19"/>
        <v>1.0327942260413003E-5</v>
      </c>
      <c r="I46" s="13">
        <v>365</v>
      </c>
      <c r="J46" s="13">
        <f t="shared" si="17"/>
        <v>1.0111111111111111</v>
      </c>
      <c r="K46" s="13">
        <f t="shared" si="16"/>
        <v>0.36690720097951107</v>
      </c>
      <c r="L46" s="38">
        <f>($E$3-E46)/(SUM($K$19:K46))</f>
        <v>4.1546700795947487E-2</v>
      </c>
      <c r="M46" s="13" t="s">
        <v>10</v>
      </c>
      <c r="N46" s="29"/>
    </row>
    <row r="47" spans="2:14" x14ac:dyDescent="0.25">
      <c r="B47" t="s">
        <v>84</v>
      </c>
      <c r="C47" t="s">
        <v>85</v>
      </c>
      <c r="D47" s="16">
        <v>55267</v>
      </c>
      <c r="E47" s="18">
        <v>0.348272263586</v>
      </c>
      <c r="F47" s="17">
        <v>4.2443340000000003E-2</v>
      </c>
      <c r="G47" s="19">
        <f t="shared" si="18"/>
        <v>0.34828204217724451</v>
      </c>
      <c r="H47" s="17">
        <f t="shared" si="19"/>
        <v>9.7785912445136347E-6</v>
      </c>
      <c r="I47" s="15">
        <v>360</v>
      </c>
      <c r="J47" s="15">
        <f t="shared" si="17"/>
        <v>1.0111111111111111</v>
      </c>
      <c r="K47" s="15">
        <f t="shared" si="16"/>
        <v>0.3521419554036222</v>
      </c>
      <c r="L47" s="40">
        <f>($E$3-E47)/(SUM($K$19:K47))</f>
        <v>4.1544957037725254E-2</v>
      </c>
      <c r="M47" s="6">
        <v>4.1544999999999999E-2</v>
      </c>
      <c r="N47" s="27">
        <f>M47-L47</f>
        <v>4.2962274744706708E-8</v>
      </c>
    </row>
    <row r="48" spans="2:14" x14ac:dyDescent="0.25">
      <c r="B48" s="13" t="s">
        <v>10</v>
      </c>
      <c r="C48" s="13" t="s">
        <v>86</v>
      </c>
      <c r="D48" s="10">
        <v>55633</v>
      </c>
      <c r="E48" s="12">
        <v>0.33463097241299999</v>
      </c>
      <c r="F48" s="11">
        <v>4.2953020000000001E-2</v>
      </c>
      <c r="G48" s="34">
        <f t="shared" si="18"/>
        <v>0.33464025281927257</v>
      </c>
      <c r="H48" s="11">
        <f>G48-E48</f>
        <v>9.2804062725715397E-6</v>
      </c>
      <c r="I48" s="13">
        <v>365</v>
      </c>
      <c r="J48" s="13">
        <f t="shared" ref="J48:J52" si="20">(D48-D47)/360</f>
        <v>1.0166666666666666</v>
      </c>
      <c r="K48" s="13">
        <f t="shared" ref="K48:K52" si="21">J48*E48</f>
        <v>0.34020815528654996</v>
      </c>
      <c r="L48" s="38">
        <f>($E$3-E48)/(SUM($K$19:K48))</f>
        <v>4.1514210373100359E-2</v>
      </c>
      <c r="M48" s="13" t="s">
        <v>10</v>
      </c>
      <c r="N48" s="29"/>
    </row>
    <row r="49" spans="2:14" x14ac:dyDescent="0.25">
      <c r="B49" s="13" t="s">
        <v>10</v>
      </c>
      <c r="C49" s="13" t="s">
        <v>87</v>
      </c>
      <c r="D49" s="10">
        <v>55998</v>
      </c>
      <c r="E49" s="25">
        <v>0.321783950692</v>
      </c>
      <c r="F49" s="11">
        <v>4.2840820000000002E-2</v>
      </c>
      <c r="G49" s="34">
        <f t="shared" si="18"/>
        <v>0.32179265091461845</v>
      </c>
      <c r="H49" s="11">
        <f t="shared" ref="H49:H53" si="22">G49-E49</f>
        <v>8.700222618451825E-6</v>
      </c>
      <c r="I49" s="13">
        <v>365</v>
      </c>
      <c r="J49" s="13">
        <f t="shared" si="20"/>
        <v>1.0138888888888888</v>
      </c>
      <c r="K49" s="13">
        <f t="shared" si="21"/>
        <v>0.32625317222938888</v>
      </c>
      <c r="L49" s="38">
        <f>($E$3-E49)/(SUM($K$19:K49))</f>
        <v>4.147157004927203E-2</v>
      </c>
      <c r="M49" s="13" t="s">
        <v>10</v>
      </c>
      <c r="N49" s="29"/>
    </row>
    <row r="50" spans="2:14" x14ac:dyDescent="0.25">
      <c r="B50" s="13" t="s">
        <v>10</v>
      </c>
      <c r="C50" s="13" t="s">
        <v>88</v>
      </c>
      <c r="D50" s="10">
        <v>56363</v>
      </c>
      <c r="E50" s="25">
        <v>0.309646675062</v>
      </c>
      <c r="F50" s="11">
        <v>4.2710610000000003E-2</v>
      </c>
      <c r="G50" s="34">
        <f t="shared" si="18"/>
        <v>0.30965483795714438</v>
      </c>
      <c r="H50" s="11">
        <f t="shared" si="22"/>
        <v>8.162895144381288E-6</v>
      </c>
      <c r="I50" s="13">
        <v>365</v>
      </c>
      <c r="J50" s="13">
        <f t="shared" si="20"/>
        <v>1.0138888888888888</v>
      </c>
      <c r="K50" s="13">
        <f t="shared" si="21"/>
        <v>0.31394732332674996</v>
      </c>
      <c r="L50" s="38">
        <f>($E$3-E50)/(SUM($K$19:K50))</f>
        <v>4.1418601048264191E-2</v>
      </c>
      <c r="M50" s="13" t="s">
        <v>10</v>
      </c>
      <c r="N50" s="29"/>
    </row>
    <row r="51" spans="2:14" x14ac:dyDescent="0.25">
      <c r="B51" s="13" t="s">
        <v>10</v>
      </c>
      <c r="C51" s="13" t="s">
        <v>89</v>
      </c>
      <c r="D51" s="10">
        <v>56730</v>
      </c>
      <c r="E51" s="25">
        <v>0.29811418613000001</v>
      </c>
      <c r="F51" s="11">
        <v>4.2563469999999999E-2</v>
      </c>
      <c r="G51" s="34">
        <f t="shared" si="18"/>
        <v>0.29812182755806721</v>
      </c>
      <c r="H51" s="11">
        <f t="shared" si="22"/>
        <v>7.6414280671954771E-6</v>
      </c>
      <c r="I51" s="13">
        <v>365</v>
      </c>
      <c r="J51" s="13">
        <f t="shared" si="20"/>
        <v>1.0194444444444444</v>
      </c>
      <c r="K51" s="13">
        <f t="shared" si="21"/>
        <v>0.30391085086030556</v>
      </c>
      <c r="L51" s="38">
        <f>($E$3-E51)/(SUM($K$19:K51))</f>
        <v>4.1356416203267514E-2</v>
      </c>
      <c r="M51" s="13" t="s">
        <v>10</v>
      </c>
      <c r="N51" s="29"/>
    </row>
    <row r="52" spans="2:14" x14ac:dyDescent="0.25">
      <c r="B52" t="s">
        <v>90</v>
      </c>
      <c r="C52" s="15" t="s">
        <v>91</v>
      </c>
      <c r="D52" s="16">
        <v>57094</v>
      </c>
      <c r="E52" s="28">
        <v>0.28730090858899998</v>
      </c>
      <c r="F52" s="17">
        <v>4.1810199999999999E-2</v>
      </c>
      <c r="G52" s="19">
        <f>$G$3/(1+F52)^((D52-$D$3)/I52)</f>
        <v>0.287308012713482</v>
      </c>
      <c r="H52" s="17">
        <f t="shared" si="22"/>
        <v>7.1041244820158056E-6</v>
      </c>
      <c r="I52" s="15">
        <v>360</v>
      </c>
      <c r="J52" s="15">
        <f t="shared" si="20"/>
        <v>1.0111111111111111</v>
      </c>
      <c r="K52" s="15">
        <f t="shared" si="21"/>
        <v>0.29049314090665551</v>
      </c>
      <c r="L52" s="39">
        <f>($E$3-E52)/(SUM($K$19:K52))</f>
        <v>4.1286852413993304E-2</v>
      </c>
      <c r="M52" s="6">
        <v>4.1286999999999997E-2</v>
      </c>
      <c r="N52" s="27">
        <f>M52-L52</f>
        <v>1.4758600669351196E-7</v>
      </c>
    </row>
    <row r="53" spans="2:14" x14ac:dyDescent="0.25">
      <c r="B53" s="13" t="s">
        <v>10</v>
      </c>
      <c r="C53" s="13" t="s">
        <v>92</v>
      </c>
      <c r="D53" s="10">
        <v>57458</v>
      </c>
      <c r="E53" s="25">
        <v>0.27745204489399999</v>
      </c>
      <c r="F53" s="11">
        <v>4.2183600000000002E-2</v>
      </c>
      <c r="G53" s="34">
        <f t="shared" si="18"/>
        <v>0.27745860701167879</v>
      </c>
      <c r="H53" s="11">
        <f t="shared" si="22"/>
        <v>6.5621176787988844E-6</v>
      </c>
      <c r="I53" s="13">
        <v>365</v>
      </c>
      <c r="J53" s="13">
        <f t="shared" ref="J53" si="23">(D53-D52)/360</f>
        <v>1.0111111111111111</v>
      </c>
      <c r="K53" s="13">
        <f t="shared" ref="K53" si="24">J53*E53</f>
        <v>0.2805348453928222</v>
      </c>
      <c r="L53" s="38">
        <f>($E$3-E53)/(SUM($K$19:K53))</f>
        <v>4.1188006412263174E-2</v>
      </c>
      <c r="M53" s="13" t="s">
        <v>10</v>
      </c>
      <c r="N53" s="29"/>
    </row>
    <row r="54" spans="2:14" x14ac:dyDescent="0.25">
      <c r="B54" s="13" t="s">
        <v>10</v>
      </c>
      <c r="C54" s="13" t="s">
        <v>93</v>
      </c>
      <c r="D54" s="10">
        <v>57822</v>
      </c>
      <c r="E54" s="25">
        <v>0.26807281972000002</v>
      </c>
      <c r="F54" s="11">
        <v>4.1961850000000002E-2</v>
      </c>
      <c r="G54" s="35"/>
      <c r="H54" s="11"/>
      <c r="I54" s="13"/>
      <c r="J54" s="13"/>
      <c r="K54" s="11"/>
      <c r="L54" s="38"/>
      <c r="M54" s="14"/>
      <c r="N54" s="29"/>
    </row>
    <row r="55" spans="2:14" x14ac:dyDescent="0.25">
      <c r="G55" s="30"/>
      <c r="H55" s="4"/>
      <c r="K55" s="4"/>
      <c r="N55" s="27"/>
    </row>
    <row r="56" spans="2:14" x14ac:dyDescent="0.25">
      <c r="G56" s="30"/>
      <c r="H56" s="4"/>
      <c r="N56" s="27"/>
    </row>
    <row r="57" spans="2:14" x14ac:dyDescent="0.25">
      <c r="G57" s="30"/>
      <c r="H57" s="4"/>
      <c r="N57" s="27"/>
    </row>
    <row r="58" spans="2:14" x14ac:dyDescent="0.25">
      <c r="G58" s="30"/>
      <c r="H58" s="4"/>
      <c r="N58" s="27"/>
    </row>
    <row r="59" spans="2:14" x14ac:dyDescent="0.25">
      <c r="D59" s="1"/>
      <c r="E59" s="4"/>
      <c r="F59" s="4"/>
      <c r="G59" s="30"/>
      <c r="H59" s="4"/>
      <c r="N59" s="27"/>
    </row>
    <row r="60" spans="2:14" x14ac:dyDescent="0.25">
      <c r="D60" s="1"/>
      <c r="E60" s="4"/>
      <c r="F60" s="4"/>
      <c r="G60" s="30"/>
      <c r="H60" s="4"/>
      <c r="N60" s="27"/>
    </row>
    <row r="61" spans="2:14" x14ac:dyDescent="0.25">
      <c r="D61" s="1"/>
      <c r="E61" s="4"/>
      <c r="F61" s="4"/>
      <c r="G61" s="30"/>
      <c r="H61" s="4"/>
      <c r="N61" s="27"/>
    </row>
    <row r="62" spans="2:14" x14ac:dyDescent="0.25">
      <c r="D62" s="1"/>
      <c r="E62" s="4"/>
      <c r="F62" s="4"/>
      <c r="G62" s="30"/>
      <c r="H62" s="4"/>
      <c r="N62" s="27"/>
    </row>
    <row r="63" spans="2:14" x14ac:dyDescent="0.25">
      <c r="D63" s="1"/>
      <c r="E63" s="4"/>
      <c r="F63" s="4"/>
      <c r="G63" s="30"/>
      <c r="H63" s="4"/>
      <c r="N63" s="27"/>
    </row>
    <row r="64" spans="2:14" x14ac:dyDescent="0.25">
      <c r="D64" s="1"/>
      <c r="E64" s="4"/>
      <c r="F64" s="4"/>
      <c r="G64" s="30"/>
      <c r="H64" s="4"/>
      <c r="N64" s="27"/>
    </row>
    <row r="65" spans="4:14" x14ac:dyDescent="0.25">
      <c r="D65" s="1"/>
      <c r="E65" s="4"/>
      <c r="F65" s="4"/>
      <c r="G65" s="30"/>
      <c r="H65" s="4"/>
      <c r="N65" s="27"/>
    </row>
    <row r="66" spans="4:14" x14ac:dyDescent="0.25">
      <c r="D66" s="1"/>
      <c r="E66" s="4"/>
      <c r="F66" s="4"/>
      <c r="G66" s="30"/>
      <c r="H66" s="4"/>
      <c r="N66" s="27"/>
    </row>
    <row r="67" spans="4:14" x14ac:dyDescent="0.25">
      <c r="D67" s="1"/>
      <c r="E67" s="4"/>
      <c r="F67" s="4"/>
      <c r="G67" s="30"/>
      <c r="H67" s="4"/>
      <c r="N67" s="27"/>
    </row>
    <row r="68" spans="4:14" x14ac:dyDescent="0.25">
      <c r="D68" s="1"/>
      <c r="E68" s="4"/>
      <c r="F68" s="4"/>
      <c r="G68" s="30"/>
      <c r="H68" s="4"/>
      <c r="N68" s="27"/>
    </row>
    <row r="69" spans="4:14" x14ac:dyDescent="0.25">
      <c r="D69" s="1"/>
      <c r="E69" s="4"/>
      <c r="F69" s="4"/>
      <c r="G69" s="30"/>
      <c r="H69" s="4"/>
      <c r="N69" s="27"/>
    </row>
    <row r="70" spans="4:14" x14ac:dyDescent="0.25">
      <c r="D70" s="1"/>
      <c r="E70" s="4"/>
      <c r="F70" s="4"/>
      <c r="G70" s="30"/>
      <c r="H70" s="4"/>
      <c r="N70" s="27"/>
    </row>
    <row r="71" spans="4:14" x14ac:dyDescent="0.25">
      <c r="D71" s="1"/>
      <c r="E71" s="4"/>
      <c r="F71" s="4"/>
      <c r="G71" s="30"/>
      <c r="H71" s="4"/>
      <c r="N71" s="27"/>
    </row>
  </sheetData>
  <autoFilter ref="C1:L72" xr:uid="{A7DD335F-8814-4A76-9B6D-E3C7ADB7D57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B5A0-7CB4-4352-A74A-E636E25631BB}">
  <dimension ref="A1:N46"/>
  <sheetViews>
    <sheetView workbookViewId="0">
      <selection activeCell="G46" sqref="G46"/>
    </sheetView>
  </sheetViews>
  <sheetFormatPr defaultRowHeight="15" x14ac:dyDescent="0.25"/>
  <cols>
    <col min="1" max="1" width="9.140625" bestFit="1" customWidth="1"/>
    <col min="2" max="2" width="9.85546875" bestFit="1" customWidth="1"/>
    <col min="3" max="3" width="35.42578125" bestFit="1" customWidth="1"/>
    <col min="4" max="4" width="8.85546875" bestFit="1" customWidth="1"/>
  </cols>
  <sheetData>
    <row r="1" spans="1:11" x14ac:dyDescent="0.25">
      <c r="A1">
        <v>46134</v>
      </c>
      <c r="B1">
        <v>46141</v>
      </c>
      <c r="F1">
        <v>0</v>
      </c>
      <c r="G1">
        <v>2</v>
      </c>
      <c r="H1" t="s">
        <v>94</v>
      </c>
      <c r="I1" t="s">
        <v>95</v>
      </c>
      <c r="J1" t="s">
        <v>96</v>
      </c>
      <c r="K1">
        <v>46132</v>
      </c>
    </row>
    <row r="2" spans="1:11" x14ac:dyDescent="0.25">
      <c r="A2">
        <v>46134</v>
      </c>
      <c r="B2">
        <v>46148</v>
      </c>
      <c r="F2">
        <v>0</v>
      </c>
      <c r="G2">
        <v>2</v>
      </c>
      <c r="H2" t="s">
        <v>94</v>
      </c>
      <c r="I2" t="s">
        <v>95</v>
      </c>
      <c r="J2" t="s">
        <v>96</v>
      </c>
      <c r="K2">
        <v>46132</v>
      </c>
    </row>
    <row r="3" spans="1:11" x14ac:dyDescent="0.25">
      <c r="A3">
        <v>46134</v>
      </c>
      <c r="B3">
        <v>46155</v>
      </c>
      <c r="F3">
        <v>0</v>
      </c>
      <c r="G3">
        <v>2</v>
      </c>
      <c r="H3" t="s">
        <v>94</v>
      </c>
      <c r="I3" t="s">
        <v>95</v>
      </c>
      <c r="J3" t="s">
        <v>96</v>
      </c>
      <c r="K3">
        <v>46132</v>
      </c>
    </row>
    <row r="4" spans="1:11" x14ac:dyDescent="0.25">
      <c r="A4">
        <v>46134</v>
      </c>
      <c r="B4">
        <v>46164</v>
      </c>
      <c r="F4">
        <v>0</v>
      </c>
      <c r="G4">
        <v>2</v>
      </c>
      <c r="H4" t="s">
        <v>94</v>
      </c>
      <c r="I4" t="s">
        <v>95</v>
      </c>
      <c r="J4" t="s">
        <v>96</v>
      </c>
      <c r="K4">
        <v>46132</v>
      </c>
    </row>
    <row r="5" spans="1:11" x14ac:dyDescent="0.25">
      <c r="A5">
        <v>46134</v>
      </c>
      <c r="B5">
        <v>46195</v>
      </c>
      <c r="F5">
        <v>0</v>
      </c>
      <c r="G5">
        <v>2</v>
      </c>
      <c r="H5" t="s">
        <v>94</v>
      </c>
      <c r="I5" t="s">
        <v>95</v>
      </c>
      <c r="J5" t="s">
        <v>96</v>
      </c>
      <c r="K5">
        <v>46132</v>
      </c>
    </row>
    <row r="6" spans="1:11" x14ac:dyDescent="0.25">
      <c r="A6">
        <v>46134</v>
      </c>
      <c r="B6">
        <v>46225</v>
      </c>
      <c r="F6">
        <v>0</v>
      </c>
      <c r="G6">
        <v>2</v>
      </c>
      <c r="H6" t="s">
        <v>94</v>
      </c>
      <c r="I6" t="s">
        <v>95</v>
      </c>
      <c r="J6" t="s">
        <v>96</v>
      </c>
      <c r="K6">
        <v>46132</v>
      </c>
    </row>
    <row r="7" spans="1:11" x14ac:dyDescent="0.25">
      <c r="A7">
        <v>46134</v>
      </c>
      <c r="B7">
        <v>46258</v>
      </c>
      <c r="F7">
        <v>0</v>
      </c>
      <c r="G7">
        <v>2</v>
      </c>
      <c r="H7" t="s">
        <v>94</v>
      </c>
      <c r="I7" t="s">
        <v>95</v>
      </c>
      <c r="J7" t="s">
        <v>96</v>
      </c>
      <c r="K7">
        <v>46132</v>
      </c>
    </row>
    <row r="8" spans="1:11" x14ac:dyDescent="0.25">
      <c r="A8">
        <v>46134</v>
      </c>
      <c r="B8">
        <v>46287</v>
      </c>
      <c r="F8">
        <v>0</v>
      </c>
      <c r="G8">
        <v>2</v>
      </c>
      <c r="H8" t="s">
        <v>94</v>
      </c>
      <c r="I8" t="s">
        <v>95</v>
      </c>
      <c r="J8" t="s">
        <v>96</v>
      </c>
      <c r="K8">
        <v>46132</v>
      </c>
    </row>
    <row r="9" spans="1:11" x14ac:dyDescent="0.25">
      <c r="A9">
        <v>46134</v>
      </c>
      <c r="B9">
        <v>46317</v>
      </c>
      <c r="F9">
        <v>0</v>
      </c>
      <c r="G9">
        <v>2</v>
      </c>
      <c r="H9" t="s">
        <v>94</v>
      </c>
      <c r="I9" t="s">
        <v>95</v>
      </c>
      <c r="J9" t="s">
        <v>96</v>
      </c>
      <c r="K9">
        <v>46132</v>
      </c>
    </row>
    <row r="10" spans="1:11" x14ac:dyDescent="0.25">
      <c r="A10">
        <v>46134</v>
      </c>
      <c r="B10">
        <v>46349</v>
      </c>
      <c r="F10">
        <v>0</v>
      </c>
      <c r="G10">
        <v>2</v>
      </c>
      <c r="H10" t="s">
        <v>94</v>
      </c>
      <c r="I10" t="s">
        <v>95</v>
      </c>
      <c r="J10" t="s">
        <v>96</v>
      </c>
      <c r="K10">
        <v>46132</v>
      </c>
    </row>
    <row r="11" spans="1:11" x14ac:dyDescent="0.25">
      <c r="A11">
        <v>46134</v>
      </c>
      <c r="B11">
        <v>46378</v>
      </c>
      <c r="F11">
        <v>0</v>
      </c>
      <c r="G11">
        <v>2</v>
      </c>
      <c r="H11" t="s">
        <v>94</v>
      </c>
      <c r="I11" t="s">
        <v>95</v>
      </c>
      <c r="J11" t="s">
        <v>96</v>
      </c>
      <c r="K11">
        <v>46132</v>
      </c>
    </row>
    <row r="12" spans="1:11" x14ac:dyDescent="0.25">
      <c r="A12">
        <v>46134</v>
      </c>
      <c r="B12">
        <v>46409</v>
      </c>
      <c r="F12">
        <v>0</v>
      </c>
      <c r="G12">
        <v>2</v>
      </c>
      <c r="H12" t="s">
        <v>94</v>
      </c>
      <c r="I12" t="s">
        <v>95</v>
      </c>
      <c r="J12" t="s">
        <v>96</v>
      </c>
      <c r="K12">
        <v>46132</v>
      </c>
    </row>
    <row r="13" spans="1:11" x14ac:dyDescent="0.25">
      <c r="A13">
        <v>46134</v>
      </c>
      <c r="B13">
        <v>46440</v>
      </c>
      <c r="F13">
        <v>0</v>
      </c>
      <c r="G13">
        <v>2</v>
      </c>
      <c r="H13" t="s">
        <v>94</v>
      </c>
      <c r="I13" t="s">
        <v>95</v>
      </c>
      <c r="J13" t="s">
        <v>96</v>
      </c>
      <c r="K13">
        <v>46132</v>
      </c>
    </row>
    <row r="14" spans="1:11" x14ac:dyDescent="0.25">
      <c r="A14">
        <v>46134</v>
      </c>
      <c r="B14">
        <v>46468</v>
      </c>
      <c r="F14">
        <v>0</v>
      </c>
      <c r="G14">
        <v>2</v>
      </c>
      <c r="H14" t="s">
        <v>94</v>
      </c>
      <c r="I14" t="s">
        <v>95</v>
      </c>
      <c r="J14" t="s">
        <v>96</v>
      </c>
      <c r="K14">
        <v>46132</v>
      </c>
    </row>
    <row r="15" spans="1:11" x14ac:dyDescent="0.25">
      <c r="A15">
        <v>46134</v>
      </c>
      <c r="B15">
        <v>46499</v>
      </c>
      <c r="F15">
        <v>0</v>
      </c>
      <c r="G15">
        <v>2</v>
      </c>
      <c r="H15" t="s">
        <v>94</v>
      </c>
      <c r="I15" t="s">
        <v>95</v>
      </c>
      <c r="J15" t="s">
        <v>96</v>
      </c>
      <c r="K15">
        <v>46132</v>
      </c>
    </row>
    <row r="16" spans="1:11" x14ac:dyDescent="0.25">
      <c r="A16">
        <v>46134</v>
      </c>
      <c r="B16">
        <v>46682</v>
      </c>
      <c r="C16" t="s">
        <v>44</v>
      </c>
      <c r="D16">
        <v>3.5832999999999997E-2</v>
      </c>
      <c r="F16">
        <v>0</v>
      </c>
      <c r="G16">
        <v>2</v>
      </c>
      <c r="H16" t="s">
        <v>94</v>
      </c>
      <c r="I16" t="s">
        <v>95</v>
      </c>
      <c r="J16" t="s">
        <v>96</v>
      </c>
      <c r="K16">
        <v>46132</v>
      </c>
    </row>
    <row r="17" spans="1:11" x14ac:dyDescent="0.25">
      <c r="A17">
        <v>46134</v>
      </c>
      <c r="B17">
        <v>46867</v>
      </c>
      <c r="F17">
        <v>0</v>
      </c>
      <c r="G17">
        <v>2</v>
      </c>
      <c r="H17" t="s">
        <v>94</v>
      </c>
      <c r="I17" t="s">
        <v>95</v>
      </c>
      <c r="J17" t="s">
        <v>96</v>
      </c>
      <c r="K17">
        <v>46132</v>
      </c>
    </row>
    <row r="18" spans="1:11" x14ac:dyDescent="0.25">
      <c r="A18">
        <v>46134</v>
      </c>
      <c r="B18">
        <v>47231</v>
      </c>
      <c r="F18">
        <v>0</v>
      </c>
      <c r="G18">
        <v>2</v>
      </c>
      <c r="H18" t="s">
        <v>94</v>
      </c>
      <c r="I18" t="s">
        <v>95</v>
      </c>
      <c r="J18" t="s">
        <v>96</v>
      </c>
      <c r="K18">
        <v>46132</v>
      </c>
    </row>
    <row r="19" spans="1:11" x14ac:dyDescent="0.25">
      <c r="A19">
        <v>46134</v>
      </c>
      <c r="B19">
        <v>47595</v>
      </c>
      <c r="F19">
        <v>0</v>
      </c>
      <c r="G19">
        <v>2</v>
      </c>
      <c r="H19" t="s">
        <v>94</v>
      </c>
      <c r="I19" t="s">
        <v>95</v>
      </c>
      <c r="J19" t="s">
        <v>96</v>
      </c>
      <c r="K19">
        <v>46132</v>
      </c>
    </row>
    <row r="20" spans="1:11" x14ac:dyDescent="0.25">
      <c r="A20">
        <v>46134</v>
      </c>
      <c r="B20">
        <v>47960</v>
      </c>
      <c r="F20">
        <v>0</v>
      </c>
      <c r="G20">
        <v>2</v>
      </c>
      <c r="H20" t="s">
        <v>94</v>
      </c>
      <c r="I20" t="s">
        <v>95</v>
      </c>
      <c r="J20" t="s">
        <v>96</v>
      </c>
      <c r="K20">
        <v>46132</v>
      </c>
    </row>
    <row r="21" spans="1:11" x14ac:dyDescent="0.25">
      <c r="A21">
        <v>46134</v>
      </c>
      <c r="B21">
        <v>48326</v>
      </c>
      <c r="F21">
        <v>0</v>
      </c>
      <c r="G21">
        <v>2</v>
      </c>
      <c r="H21" t="s">
        <v>94</v>
      </c>
      <c r="I21" t="s">
        <v>95</v>
      </c>
      <c r="J21" t="s">
        <v>96</v>
      </c>
      <c r="K21">
        <v>46132</v>
      </c>
    </row>
    <row r="22" spans="1:11" x14ac:dyDescent="0.25">
      <c r="A22">
        <v>46134</v>
      </c>
      <c r="B22">
        <v>48691</v>
      </c>
      <c r="F22">
        <v>0</v>
      </c>
      <c r="G22">
        <v>2</v>
      </c>
      <c r="H22" t="s">
        <v>94</v>
      </c>
      <c r="I22" t="s">
        <v>95</v>
      </c>
      <c r="J22" t="s">
        <v>96</v>
      </c>
      <c r="K22">
        <v>46132</v>
      </c>
    </row>
    <row r="23" spans="1:11" x14ac:dyDescent="0.25">
      <c r="A23">
        <v>46134</v>
      </c>
      <c r="B23">
        <v>49058</v>
      </c>
      <c r="F23">
        <v>0</v>
      </c>
      <c r="G23">
        <v>2</v>
      </c>
      <c r="H23" t="s">
        <v>94</v>
      </c>
      <c r="I23" t="s">
        <v>95</v>
      </c>
      <c r="J23" t="s">
        <v>96</v>
      </c>
      <c r="K23">
        <v>46132</v>
      </c>
    </row>
    <row r="24" spans="1:11" x14ac:dyDescent="0.25">
      <c r="A24">
        <v>46134</v>
      </c>
      <c r="B24">
        <v>49422</v>
      </c>
      <c r="F24">
        <v>0</v>
      </c>
      <c r="G24">
        <v>2</v>
      </c>
      <c r="H24" t="s">
        <v>94</v>
      </c>
      <c r="I24" t="s">
        <v>95</v>
      </c>
      <c r="J24" t="s">
        <v>96</v>
      </c>
      <c r="K24">
        <v>46132</v>
      </c>
    </row>
    <row r="25" spans="1:11" x14ac:dyDescent="0.25">
      <c r="A25">
        <v>46134</v>
      </c>
      <c r="B25">
        <v>49787</v>
      </c>
      <c r="F25">
        <v>0</v>
      </c>
      <c r="G25">
        <v>2</v>
      </c>
      <c r="H25" t="s">
        <v>94</v>
      </c>
      <c r="I25" t="s">
        <v>95</v>
      </c>
      <c r="J25" t="s">
        <v>96</v>
      </c>
      <c r="K25">
        <v>46132</v>
      </c>
    </row>
    <row r="26" spans="1:11" x14ac:dyDescent="0.25">
      <c r="A26">
        <v>46134</v>
      </c>
      <c r="B26">
        <v>50517</v>
      </c>
      <c r="F26">
        <v>0</v>
      </c>
      <c r="G26">
        <v>2</v>
      </c>
      <c r="H26" t="s">
        <v>94</v>
      </c>
      <c r="I26" t="s">
        <v>95</v>
      </c>
      <c r="J26" t="s">
        <v>96</v>
      </c>
      <c r="K26">
        <v>46132</v>
      </c>
    </row>
    <row r="27" spans="1:11" x14ac:dyDescent="0.25">
      <c r="A27">
        <v>46134</v>
      </c>
      <c r="B27">
        <v>51613</v>
      </c>
      <c r="F27">
        <v>0</v>
      </c>
      <c r="G27">
        <v>2</v>
      </c>
      <c r="H27" t="s">
        <v>94</v>
      </c>
      <c r="I27" t="s">
        <v>95</v>
      </c>
      <c r="J27" t="s">
        <v>96</v>
      </c>
      <c r="K27">
        <v>46132</v>
      </c>
    </row>
    <row r="28" spans="1:11" x14ac:dyDescent="0.25">
      <c r="A28">
        <v>46134</v>
      </c>
      <c r="B28">
        <v>53440</v>
      </c>
      <c r="F28">
        <v>0</v>
      </c>
      <c r="G28">
        <v>2</v>
      </c>
      <c r="H28" t="s">
        <v>94</v>
      </c>
      <c r="I28" t="s">
        <v>95</v>
      </c>
      <c r="J28" t="s">
        <v>96</v>
      </c>
      <c r="K28">
        <v>46132</v>
      </c>
    </row>
    <row r="29" spans="1:11" x14ac:dyDescent="0.25">
      <c r="A29">
        <v>46134</v>
      </c>
      <c r="B29">
        <v>55267</v>
      </c>
      <c r="F29">
        <v>0</v>
      </c>
      <c r="G29">
        <v>2</v>
      </c>
      <c r="H29" t="s">
        <v>94</v>
      </c>
      <c r="I29" t="s">
        <v>95</v>
      </c>
      <c r="J29" t="s">
        <v>96</v>
      </c>
      <c r="K29">
        <v>46132</v>
      </c>
    </row>
    <row r="30" spans="1:11" x14ac:dyDescent="0.25">
      <c r="A30">
        <v>46134</v>
      </c>
      <c r="B30">
        <v>57094</v>
      </c>
      <c r="C30" t="s">
        <v>90</v>
      </c>
      <c r="D30">
        <v>4.1286999999999997E-2</v>
      </c>
      <c r="F30">
        <v>0</v>
      </c>
      <c r="G30">
        <v>2</v>
      </c>
      <c r="H30" t="s">
        <v>94</v>
      </c>
      <c r="I30" t="s">
        <v>95</v>
      </c>
      <c r="J30" t="s">
        <v>96</v>
      </c>
      <c r="K30">
        <v>46132</v>
      </c>
    </row>
    <row r="31" spans="1:11" x14ac:dyDescent="0.25">
      <c r="A31">
        <v>46134</v>
      </c>
      <c r="B31">
        <v>60744</v>
      </c>
      <c r="C31" t="s">
        <v>97</v>
      </c>
      <c r="D31">
        <v>4.0259999999999997E-2</v>
      </c>
      <c r="F31">
        <v>0</v>
      </c>
      <c r="G31">
        <v>2</v>
      </c>
      <c r="H31" t="s">
        <v>94</v>
      </c>
      <c r="I31" t="s">
        <v>95</v>
      </c>
      <c r="J31" t="s">
        <v>96</v>
      </c>
      <c r="K31">
        <v>46132</v>
      </c>
    </row>
    <row r="32" spans="1:11" x14ac:dyDescent="0.25">
      <c r="A32">
        <v>46134</v>
      </c>
      <c r="B32">
        <v>64397</v>
      </c>
      <c r="C32" t="s">
        <v>98</v>
      </c>
      <c r="D32">
        <v>3.9109999999999999E-2</v>
      </c>
      <c r="F32">
        <v>0</v>
      </c>
      <c r="G32">
        <v>2</v>
      </c>
      <c r="H32" t="s">
        <v>94</v>
      </c>
      <c r="I32" t="s">
        <v>95</v>
      </c>
      <c r="J32" t="s">
        <v>96</v>
      </c>
      <c r="K32">
        <v>46132</v>
      </c>
    </row>
    <row r="42" spans="3:14" x14ac:dyDescent="0.25">
      <c r="C42">
        <v>46134</v>
      </c>
      <c r="D42">
        <v>46682</v>
      </c>
      <c r="F42">
        <v>3.5832999999999997E-2</v>
      </c>
      <c r="H42">
        <v>0</v>
      </c>
      <c r="I42">
        <v>2</v>
      </c>
      <c r="J42" t="s">
        <v>94</v>
      </c>
      <c r="K42" t="s">
        <v>95</v>
      </c>
      <c r="L42" t="s">
        <v>96</v>
      </c>
      <c r="M42">
        <v>46132</v>
      </c>
    </row>
    <row r="46" spans="3:14" ht="75" x14ac:dyDescent="0.25">
      <c r="D46" s="1">
        <v>46134</v>
      </c>
      <c r="E46" s="1">
        <v>46682</v>
      </c>
      <c r="F46" s="2" t="s">
        <v>44</v>
      </c>
      <c r="G46" s="8">
        <v>3.5832999999999997E-2</v>
      </c>
      <c r="H46" s="2"/>
      <c r="I46" s="2">
        <v>0</v>
      </c>
      <c r="J46" s="2">
        <v>2</v>
      </c>
      <c r="K46" s="2" t="s">
        <v>94</v>
      </c>
      <c r="L46" s="2" t="s">
        <v>95</v>
      </c>
      <c r="M46" s="2" t="s">
        <v>96</v>
      </c>
      <c r="N46" s="1">
        <v>46132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C52-FBE8-42E6-9D05-6CBF58D95FFF}">
  <dimension ref="C1:AA64"/>
  <sheetViews>
    <sheetView workbookViewId="0">
      <selection activeCell="AG23" sqref="A21:AG23"/>
    </sheetView>
  </sheetViews>
  <sheetFormatPr defaultRowHeight="15" x14ac:dyDescent="0.25"/>
  <cols>
    <col min="3" max="3" width="10.42578125" bestFit="1" customWidth="1"/>
    <col min="8" max="8" width="15" bestFit="1" customWidth="1"/>
    <col min="9" max="9" width="12.5703125" bestFit="1" customWidth="1"/>
    <col min="18" max="18" width="10.42578125" bestFit="1" customWidth="1"/>
    <col min="19" max="19" width="29" bestFit="1" customWidth="1"/>
    <col min="24" max="24" width="10.28515625" bestFit="1" customWidth="1"/>
    <col min="26" max="26" width="22.5703125" bestFit="1" customWidth="1"/>
  </cols>
  <sheetData>
    <row r="1" spans="3:27" x14ac:dyDescent="0.25">
      <c r="H1" t="s">
        <v>116</v>
      </c>
      <c r="I1" t="s">
        <v>148</v>
      </c>
    </row>
    <row r="2" spans="3:27" x14ac:dyDescent="0.25">
      <c r="C2" s="1">
        <v>46133</v>
      </c>
      <c r="D2" s="2">
        <v>1</v>
      </c>
      <c r="E2" s="4">
        <v>1.9770570000000001E-2</v>
      </c>
      <c r="F2" s="4"/>
      <c r="G2" s="4"/>
      <c r="Q2" s="1">
        <v>46135</v>
      </c>
      <c r="R2" s="1">
        <v>46136</v>
      </c>
      <c r="S2" t="s">
        <v>124</v>
      </c>
      <c r="T2" s="2">
        <v>1.9310000000000001E-2</v>
      </c>
      <c r="U2" s="2"/>
      <c r="V2" s="2">
        <v>0</v>
      </c>
      <c r="W2" s="2">
        <v>2</v>
      </c>
      <c r="X2" t="s">
        <v>94</v>
      </c>
      <c r="Y2" s="2" t="s">
        <v>95</v>
      </c>
      <c r="Z2" t="s">
        <v>96</v>
      </c>
      <c r="AA2" s="1">
        <v>46133</v>
      </c>
    </row>
    <row r="3" spans="3:27" x14ac:dyDescent="0.25">
      <c r="C3" s="1">
        <v>46135</v>
      </c>
      <c r="D3" s="2">
        <v>0.99989273085399999</v>
      </c>
      <c r="E3" s="4">
        <v>1.9770570000000001E-2</v>
      </c>
      <c r="F3" s="4"/>
      <c r="G3" s="4"/>
      <c r="H3">
        <f>1/(1+T2*2/360)</f>
        <v>0.99989273372950938</v>
      </c>
      <c r="Q3" s="1">
        <v>46135</v>
      </c>
      <c r="R3" s="1">
        <v>46142</v>
      </c>
      <c r="S3" t="s">
        <v>125</v>
      </c>
      <c r="T3" s="2">
        <v>1.9342000000000002E-2</v>
      </c>
      <c r="U3" s="2"/>
      <c r="V3" s="2">
        <v>0</v>
      </c>
      <c r="W3" s="2">
        <v>2</v>
      </c>
      <c r="X3" s="2" t="s">
        <v>94</v>
      </c>
      <c r="Y3" s="2" t="s">
        <v>95</v>
      </c>
      <c r="Z3" s="2" t="s">
        <v>96</v>
      </c>
      <c r="AA3" s="1">
        <v>46133</v>
      </c>
    </row>
    <row r="4" spans="3:27" x14ac:dyDescent="0.25">
      <c r="C4" s="1">
        <v>46136</v>
      </c>
      <c r="D4" s="2">
        <v>0.99983910059500003</v>
      </c>
      <c r="E4" s="4">
        <v>1.949712E-2</v>
      </c>
      <c r="F4" s="4"/>
      <c r="G4" s="4"/>
      <c r="Q4" s="1">
        <v>46135</v>
      </c>
      <c r="R4" s="1">
        <v>46149</v>
      </c>
      <c r="S4" t="s">
        <v>126</v>
      </c>
      <c r="T4" s="2">
        <v>1.9351E-2</v>
      </c>
      <c r="U4" s="2"/>
      <c r="V4" s="2">
        <v>0</v>
      </c>
      <c r="W4" s="2">
        <v>2</v>
      </c>
      <c r="X4" s="2" t="s">
        <v>94</v>
      </c>
      <c r="Y4" s="2" t="s">
        <v>95</v>
      </c>
      <c r="Z4" s="2" t="s">
        <v>104</v>
      </c>
      <c r="AA4" s="1">
        <v>46133</v>
      </c>
    </row>
    <row r="5" spans="3:27" x14ac:dyDescent="0.25">
      <c r="C5" s="1">
        <v>46142</v>
      </c>
      <c r="D5" s="2">
        <v>0.99951681813100002</v>
      </c>
      <c r="E5" s="4">
        <v>1.9520019999999999E-2</v>
      </c>
      <c r="F5" s="4"/>
      <c r="G5" s="4"/>
      <c r="H5">
        <f>H3/(1+T3*(C5-C3)/360)</f>
        <v>0.99951682100600026</v>
      </c>
      <c r="Q5" s="1">
        <v>46135</v>
      </c>
      <c r="R5" s="1">
        <v>46167</v>
      </c>
      <c r="S5" t="s">
        <v>127</v>
      </c>
      <c r="T5" s="2">
        <v>1.9508000000000001E-2</v>
      </c>
      <c r="U5" s="2"/>
      <c r="V5" s="2">
        <v>0</v>
      </c>
      <c r="W5" s="2">
        <v>2</v>
      </c>
      <c r="X5" s="2" t="s">
        <v>94</v>
      </c>
      <c r="Y5" s="2" t="s">
        <v>95</v>
      </c>
      <c r="Z5" s="2" t="s">
        <v>104</v>
      </c>
      <c r="AA5" s="1">
        <v>46133</v>
      </c>
    </row>
    <row r="6" spans="3:27" x14ac:dyDescent="0.25">
      <c r="C6" s="1">
        <v>46149</v>
      </c>
      <c r="D6" s="2">
        <v>0.99914085210600001</v>
      </c>
      <c r="E6" s="4">
        <v>1.9527349999999999E-2</v>
      </c>
      <c r="F6" s="4"/>
      <c r="G6" s="4"/>
      <c r="H6">
        <f t="shared" ref="H6:H19" si="0">$H$3/(1+T4*(C6-$C$3)/360)</f>
        <v>0.99914084139088555</v>
      </c>
      <c r="Q6" s="1">
        <v>46135</v>
      </c>
      <c r="R6" s="1">
        <v>46196</v>
      </c>
      <c r="S6" t="s">
        <v>128</v>
      </c>
      <c r="T6" s="2">
        <v>1.9753E-2</v>
      </c>
      <c r="U6" s="2"/>
      <c r="V6" s="2">
        <v>0</v>
      </c>
      <c r="W6" s="2">
        <v>2</v>
      </c>
      <c r="X6" s="2" t="s">
        <v>94</v>
      </c>
      <c r="Y6" s="2" t="s">
        <v>95</v>
      </c>
      <c r="Z6" s="2" t="s">
        <v>104</v>
      </c>
      <c r="AA6" s="1">
        <v>46133</v>
      </c>
    </row>
    <row r="7" spans="3:27" x14ac:dyDescent="0.25">
      <c r="C7" s="1">
        <v>46167</v>
      </c>
      <c r="D7" s="2">
        <v>0.99816187823000002</v>
      </c>
      <c r="E7" s="4">
        <v>1.9671359999999999E-2</v>
      </c>
      <c r="F7" s="4"/>
      <c r="G7" s="4"/>
      <c r="H7">
        <f t="shared" si="0"/>
        <v>0.99816187667260892</v>
      </c>
      <c r="Q7" s="1">
        <v>46135</v>
      </c>
      <c r="R7" s="1">
        <v>46226</v>
      </c>
      <c r="S7" t="s">
        <v>129</v>
      </c>
      <c r="T7" s="2">
        <v>2.0333E-2</v>
      </c>
      <c r="U7" s="2"/>
      <c r="V7" s="2">
        <v>0</v>
      </c>
      <c r="W7" s="2">
        <v>2</v>
      </c>
      <c r="X7" s="2" t="s">
        <v>94</v>
      </c>
      <c r="Y7" s="2" t="s">
        <v>95</v>
      </c>
      <c r="Z7" s="2" t="s">
        <v>104</v>
      </c>
      <c r="AA7" s="1">
        <v>46133</v>
      </c>
    </row>
    <row r="8" spans="3:27" x14ac:dyDescent="0.25">
      <c r="C8" s="1">
        <v>46196</v>
      </c>
      <c r="D8" s="2">
        <v>0.99655725151800001</v>
      </c>
      <c r="E8" s="4">
        <v>1.990225E-2</v>
      </c>
      <c r="F8" s="4"/>
      <c r="G8" s="4"/>
      <c r="H8">
        <f t="shared" si="0"/>
        <v>0.99655722072495434</v>
      </c>
      <c r="Q8" s="1">
        <v>46135</v>
      </c>
      <c r="R8" s="1">
        <v>46258</v>
      </c>
      <c r="S8" t="s">
        <v>130</v>
      </c>
      <c r="T8" s="2">
        <v>2.0889000000000001E-2</v>
      </c>
      <c r="U8" s="2"/>
      <c r="V8" s="2">
        <v>0</v>
      </c>
      <c r="W8" s="2">
        <v>2</v>
      </c>
      <c r="X8" s="2" t="s">
        <v>94</v>
      </c>
      <c r="Y8" s="2" t="s">
        <v>95</v>
      </c>
      <c r="Z8" s="2" t="s">
        <v>104</v>
      </c>
      <c r="AA8" s="1">
        <v>46133</v>
      </c>
    </row>
    <row r="9" spans="3:27" x14ac:dyDescent="0.25">
      <c r="C9" s="1">
        <v>46226</v>
      </c>
      <c r="D9" s="2">
        <v>0.99477983056200003</v>
      </c>
      <c r="E9" s="4">
        <v>2.0466660000000001E-2</v>
      </c>
      <c r="F9" s="4"/>
      <c r="G9" s="4"/>
      <c r="H9">
        <f t="shared" si="0"/>
        <v>0.99477983342361154</v>
      </c>
      <c r="Q9" s="1">
        <v>46135</v>
      </c>
      <c r="R9" s="1">
        <v>46288</v>
      </c>
      <c r="S9" t="s">
        <v>131</v>
      </c>
      <c r="T9" s="2">
        <v>2.1307E-2</v>
      </c>
      <c r="U9" s="2"/>
      <c r="V9" s="2">
        <v>0</v>
      </c>
      <c r="W9" s="2">
        <v>2</v>
      </c>
      <c r="X9" s="2" t="s">
        <v>94</v>
      </c>
      <c r="Y9" s="2" t="s">
        <v>95</v>
      </c>
      <c r="Z9" s="2" t="s">
        <v>104</v>
      </c>
      <c r="AA9" s="1">
        <v>46133</v>
      </c>
    </row>
    <row r="10" spans="3:27" x14ac:dyDescent="0.25">
      <c r="C10" s="1">
        <v>46258</v>
      </c>
      <c r="D10" s="2">
        <v>0.99280687500300002</v>
      </c>
      <c r="E10" s="4">
        <v>2.100871E-2</v>
      </c>
      <c r="F10" s="4"/>
      <c r="G10" s="4"/>
      <c r="H10">
        <f t="shared" si="0"/>
        <v>0.99280699574038567</v>
      </c>
      <c r="Q10" s="1">
        <v>46135</v>
      </c>
      <c r="R10" s="1">
        <v>46318</v>
      </c>
      <c r="S10" t="s">
        <v>132</v>
      </c>
      <c r="T10" s="2">
        <v>2.1749999999999999E-2</v>
      </c>
      <c r="U10" s="2"/>
      <c r="V10" s="2">
        <v>0</v>
      </c>
      <c r="W10" s="2">
        <v>2</v>
      </c>
      <c r="X10" s="2" t="s">
        <v>94</v>
      </c>
      <c r="Y10" s="2" t="s">
        <v>95</v>
      </c>
      <c r="Z10" s="2" t="s">
        <v>104</v>
      </c>
      <c r="AA10" s="1">
        <v>46133</v>
      </c>
    </row>
    <row r="11" spans="3:27" x14ac:dyDescent="0.25">
      <c r="C11" s="1">
        <v>46288</v>
      </c>
      <c r="D11" s="2">
        <v>0.99091929642499998</v>
      </c>
      <c r="E11" s="4">
        <v>2.1413049999999999E-2</v>
      </c>
      <c r="F11" s="4"/>
      <c r="G11" s="4"/>
      <c r="H11">
        <f t="shared" si="0"/>
        <v>0.99091948708717859</v>
      </c>
      <c r="Q11" s="1">
        <v>46135</v>
      </c>
      <c r="R11" s="1">
        <v>46349</v>
      </c>
      <c r="S11" t="s">
        <v>133</v>
      </c>
      <c r="T11" s="2">
        <v>2.2138999999999999E-2</v>
      </c>
      <c r="U11" s="2"/>
      <c r="V11" s="2">
        <v>0</v>
      </c>
      <c r="W11" s="2">
        <v>2</v>
      </c>
      <c r="X11" s="2" t="s">
        <v>94</v>
      </c>
      <c r="Y11" s="2" t="s">
        <v>95</v>
      </c>
      <c r="Z11" s="2" t="s">
        <v>104</v>
      </c>
      <c r="AA11" s="1">
        <v>46133</v>
      </c>
    </row>
    <row r="12" spans="3:27" x14ac:dyDescent="0.25">
      <c r="C12" s="1">
        <v>46318</v>
      </c>
      <c r="D12" s="2">
        <v>0.98895858266000003</v>
      </c>
      <c r="E12" s="4">
        <v>2.184059E-2</v>
      </c>
      <c r="F12" s="4"/>
      <c r="G12" s="4"/>
      <c r="H12">
        <f t="shared" si="0"/>
        <v>0.98895856064339582</v>
      </c>
      <c r="Q12" s="1">
        <v>46135</v>
      </c>
      <c r="R12" s="1">
        <v>46379</v>
      </c>
      <c r="S12" t="s">
        <v>134</v>
      </c>
      <c r="T12" s="2">
        <v>2.2452E-2</v>
      </c>
      <c r="U12" s="2"/>
      <c r="V12" s="2">
        <v>0</v>
      </c>
      <c r="W12" s="2">
        <v>2</v>
      </c>
      <c r="X12" s="2" t="s">
        <v>94</v>
      </c>
      <c r="Y12" s="2" t="s">
        <v>95</v>
      </c>
      <c r="Z12" s="2" t="s">
        <v>104</v>
      </c>
      <c r="AA12" s="1">
        <v>46133</v>
      </c>
    </row>
    <row r="13" spans="3:27" x14ac:dyDescent="0.25">
      <c r="C13" s="1">
        <v>46349</v>
      </c>
      <c r="D13" s="2">
        <v>0.98690489683100002</v>
      </c>
      <c r="E13" s="4">
        <v>2.221244E-2</v>
      </c>
      <c r="F13" s="4"/>
      <c r="G13" s="4"/>
      <c r="H13">
        <f t="shared" si="0"/>
        <v>0.98690466805325749</v>
      </c>
      <c r="Q13" s="1">
        <v>46135</v>
      </c>
      <c r="R13" s="1">
        <v>46412</v>
      </c>
      <c r="S13" t="s">
        <v>135</v>
      </c>
      <c r="T13" s="2">
        <v>2.2764E-2</v>
      </c>
      <c r="U13" s="2"/>
      <c r="V13" s="2">
        <v>0</v>
      </c>
      <c r="W13" s="2">
        <v>2</v>
      </c>
      <c r="X13" s="2" t="s">
        <v>94</v>
      </c>
      <c r="Y13" s="2" t="s">
        <v>95</v>
      </c>
      <c r="Z13" s="2" t="s">
        <v>104</v>
      </c>
      <c r="AA13" s="1">
        <v>46133</v>
      </c>
    </row>
    <row r="14" spans="3:27" x14ac:dyDescent="0.25">
      <c r="C14" s="1">
        <v>46379</v>
      </c>
      <c r="D14" s="2">
        <v>0.98490510377600005</v>
      </c>
      <c r="E14" s="4">
        <v>2.250808E-2</v>
      </c>
      <c r="F14" s="4"/>
      <c r="G14" s="4"/>
      <c r="H14">
        <f t="shared" si="0"/>
        <v>0.98490497510107455</v>
      </c>
      <c r="Q14" s="1">
        <v>46135</v>
      </c>
      <c r="R14" s="1">
        <v>46441</v>
      </c>
      <c r="S14" t="s">
        <v>136</v>
      </c>
      <c r="T14" s="2">
        <v>2.2998000000000001E-2</v>
      </c>
      <c r="U14" s="2"/>
      <c r="V14" s="2">
        <v>0</v>
      </c>
      <c r="W14" s="2">
        <v>2</v>
      </c>
      <c r="X14" s="2" t="s">
        <v>94</v>
      </c>
      <c r="Y14" s="2" t="s">
        <v>95</v>
      </c>
      <c r="Z14" s="2" t="s">
        <v>104</v>
      </c>
      <c r="AA14" s="1">
        <v>46133</v>
      </c>
    </row>
    <row r="15" spans="3:27" x14ac:dyDescent="0.25">
      <c r="C15" s="1">
        <v>46412</v>
      </c>
      <c r="D15" s="2">
        <v>0.98268012583300002</v>
      </c>
      <c r="E15" s="4">
        <v>2.280006E-2</v>
      </c>
      <c r="F15" s="4"/>
      <c r="G15" s="4"/>
      <c r="H15">
        <f t="shared" si="0"/>
        <v>0.98268046305481116</v>
      </c>
      <c r="Q15" s="1">
        <v>46135</v>
      </c>
      <c r="R15" s="1">
        <v>46469</v>
      </c>
      <c r="S15" t="s">
        <v>137</v>
      </c>
      <c r="T15" s="2">
        <v>2.3193999999999999E-2</v>
      </c>
      <c r="U15" s="2"/>
      <c r="V15" s="2">
        <v>0</v>
      </c>
      <c r="W15" s="2">
        <v>2</v>
      </c>
      <c r="X15" s="2" t="s">
        <v>94</v>
      </c>
      <c r="Y15" s="2" t="s">
        <v>95</v>
      </c>
      <c r="Z15" s="2" t="s">
        <v>104</v>
      </c>
      <c r="AA15" s="1">
        <v>46133</v>
      </c>
    </row>
    <row r="16" spans="3:27" x14ac:dyDescent="0.25">
      <c r="C16" s="1">
        <v>46441</v>
      </c>
      <c r="D16" s="2">
        <v>0.98072158289900002</v>
      </c>
      <c r="E16" s="4">
        <v>2.3014079999999999E-2</v>
      </c>
      <c r="F16" s="4"/>
      <c r="G16" s="4"/>
      <c r="H16">
        <f t="shared" si="0"/>
        <v>0.98072129954952536</v>
      </c>
      <c r="Q16" s="1">
        <v>46135</v>
      </c>
      <c r="R16" s="5">
        <v>46500</v>
      </c>
      <c r="S16" t="s">
        <v>138</v>
      </c>
      <c r="T16" s="2">
        <v>2.3392E-2</v>
      </c>
      <c r="U16" s="2"/>
      <c r="V16" s="2">
        <v>0</v>
      </c>
      <c r="W16" s="2">
        <v>2</v>
      </c>
      <c r="X16" s="2" t="s">
        <v>94</v>
      </c>
      <c r="Y16" s="2" t="s">
        <v>95</v>
      </c>
      <c r="Z16" s="2" t="s">
        <v>104</v>
      </c>
      <c r="AA16" s="1">
        <v>46133</v>
      </c>
    </row>
    <row r="17" spans="3:27" x14ac:dyDescent="0.25">
      <c r="C17" s="1">
        <v>46469</v>
      </c>
      <c r="D17" s="2">
        <v>0.97882933129500005</v>
      </c>
      <c r="E17" s="4">
        <v>2.3191239999999998E-2</v>
      </c>
      <c r="F17" s="4"/>
      <c r="G17" s="4"/>
      <c r="H17">
        <f t="shared" si="0"/>
        <v>0.97882942301045472</v>
      </c>
      <c r="Q17" s="1">
        <v>46135</v>
      </c>
      <c r="R17" s="1">
        <v>46685</v>
      </c>
      <c r="S17" t="s">
        <v>139</v>
      </c>
      <c r="T17" s="2">
        <v>2.3942999999999999E-2</v>
      </c>
      <c r="U17" s="2"/>
      <c r="V17" s="2">
        <v>0</v>
      </c>
      <c r="W17" s="2">
        <v>2</v>
      </c>
      <c r="X17" s="2" t="s">
        <v>94</v>
      </c>
      <c r="Y17" s="2" t="s">
        <v>95</v>
      </c>
      <c r="Z17" s="2" t="s">
        <v>104</v>
      </c>
      <c r="AA17" s="1">
        <v>46133</v>
      </c>
    </row>
    <row r="18" spans="3:27" x14ac:dyDescent="0.25">
      <c r="C18" s="5">
        <v>46500</v>
      </c>
      <c r="D18" s="2">
        <v>0.97672812503999995</v>
      </c>
      <c r="E18" s="4">
        <v>2.3366640000000001E-2</v>
      </c>
      <c r="F18" s="4"/>
      <c r="G18" s="4"/>
      <c r="H18">
        <f t="shared" si="0"/>
        <v>0.97672778927654746</v>
      </c>
      <c r="I18" s="6">
        <f>(D3-D18)/((C18-C3)/360*D18)</f>
        <v>2.3391650000607188E-2</v>
      </c>
      <c r="Q18" s="1">
        <v>46135</v>
      </c>
      <c r="R18" s="1">
        <v>46867</v>
      </c>
      <c r="S18" t="s">
        <v>140</v>
      </c>
      <c r="T18" s="66">
        <v>2.4166E-2</v>
      </c>
      <c r="U18" s="2"/>
      <c r="V18" s="2">
        <v>0</v>
      </c>
      <c r="W18" s="2">
        <v>2</v>
      </c>
      <c r="X18" s="2" t="s">
        <v>94</v>
      </c>
      <c r="Y18" s="2" t="s">
        <v>95</v>
      </c>
      <c r="Z18" s="2" t="s">
        <v>104</v>
      </c>
      <c r="AA18" s="1">
        <v>46133</v>
      </c>
    </row>
    <row r="19" spans="3:27" x14ac:dyDescent="0.25">
      <c r="C19" s="1">
        <v>46685</v>
      </c>
      <c r="D19" s="2">
        <v>0.96431643216899998</v>
      </c>
      <c r="E19" s="4">
        <v>2.398026E-2</v>
      </c>
      <c r="F19" s="4"/>
      <c r="G19" s="4"/>
      <c r="H19">
        <f t="shared" si="0"/>
        <v>0.9646077829491394</v>
      </c>
      <c r="I19" s="49"/>
      <c r="Q19" s="1">
        <v>46135</v>
      </c>
      <c r="R19" s="1">
        <v>47231</v>
      </c>
      <c r="S19" t="s">
        <v>141</v>
      </c>
      <c r="T19" s="67">
        <v>2.4504000000000001E-2</v>
      </c>
      <c r="U19" s="2"/>
      <c r="V19" s="2">
        <v>0</v>
      </c>
      <c r="W19" s="2">
        <v>2</v>
      </c>
      <c r="X19" s="2" t="s">
        <v>94</v>
      </c>
      <c r="Y19" s="2" t="s">
        <v>95</v>
      </c>
      <c r="Z19" s="2" t="s">
        <v>104</v>
      </c>
      <c r="AA19" s="1">
        <v>46133</v>
      </c>
    </row>
    <row r="20" spans="3:27" x14ac:dyDescent="0.25">
      <c r="C20" s="5">
        <v>46867</v>
      </c>
      <c r="D20" s="2">
        <v>0.95249420553800002</v>
      </c>
      <c r="E20" s="4">
        <v>2.4158659999999998E-2</v>
      </c>
      <c r="F20" s="4"/>
      <c r="G20" s="4"/>
      <c r="I20" s="6">
        <f>($D$3-D20)/((C18-C3)/360*D18+(C20-C18)/360*D20)</f>
        <v>2.416678457667262E-2</v>
      </c>
      <c r="Q20" s="1">
        <v>46135</v>
      </c>
      <c r="R20" s="1">
        <v>47596</v>
      </c>
      <c r="S20" s="2" t="s">
        <v>142</v>
      </c>
      <c r="T20" s="67">
        <v>2.4936E-2</v>
      </c>
      <c r="U20" s="2"/>
      <c r="V20" s="2">
        <v>0</v>
      </c>
      <c r="W20" s="2">
        <v>2</v>
      </c>
      <c r="X20" s="2" t="s">
        <v>94</v>
      </c>
      <c r="Y20" s="2" t="s">
        <v>95</v>
      </c>
      <c r="Z20" s="2" t="s">
        <v>104</v>
      </c>
      <c r="AA20" s="1">
        <v>46133</v>
      </c>
    </row>
    <row r="21" spans="3:27" x14ac:dyDescent="0.25">
      <c r="C21" s="1">
        <v>47231</v>
      </c>
      <c r="D21" s="2">
        <v>0.92881942446400001</v>
      </c>
      <c r="E21" s="4">
        <v>2.4505590000000001E-2</v>
      </c>
      <c r="F21" s="4"/>
      <c r="G21" s="4"/>
      <c r="I21" s="6">
        <f>($D$3-D21)/((C18-C3)/360*D18+(C20-C18)/360*D20+(C21-C20)/360*D21)</f>
        <v>2.4504248160987594E-2</v>
      </c>
      <c r="Q21" s="1">
        <v>46135</v>
      </c>
      <c r="R21" s="1">
        <v>47961</v>
      </c>
      <c r="S21" s="2" t="s">
        <v>143</v>
      </c>
      <c r="T21" s="67">
        <v>2.5430000000000001E-2</v>
      </c>
      <c r="U21" s="2"/>
      <c r="V21" s="2">
        <v>0</v>
      </c>
      <c r="W21" s="2">
        <v>2</v>
      </c>
      <c r="X21" s="2" t="s">
        <v>94</v>
      </c>
      <c r="Y21" s="2" t="s">
        <v>95</v>
      </c>
      <c r="Z21" s="2" t="s">
        <v>104</v>
      </c>
      <c r="AA21" s="1">
        <v>46133</v>
      </c>
    </row>
    <row r="22" spans="3:27" x14ac:dyDescent="0.25">
      <c r="C22" s="1">
        <v>47596</v>
      </c>
      <c r="D22" s="2">
        <v>0.904693074406</v>
      </c>
      <c r="E22" s="4">
        <v>2.4952459999999999E-2</v>
      </c>
      <c r="F22" s="4"/>
      <c r="G22" s="4"/>
      <c r="I22" s="6">
        <f>($D$3-D22)/((C18-C3)/360*D18+(C20-C18)/360*D20+(C21-C20)/360*D21+(C22-C21)/360*D22)</f>
        <v>2.4936346876614612E-2</v>
      </c>
      <c r="Q22" s="1">
        <v>46135</v>
      </c>
      <c r="R22" s="1">
        <v>48327</v>
      </c>
      <c r="S22" s="2" t="s">
        <v>144</v>
      </c>
      <c r="T22" s="67">
        <v>2.5958999999999999E-2</v>
      </c>
      <c r="U22" s="2"/>
      <c r="V22" s="2">
        <v>0</v>
      </c>
      <c r="W22" s="2">
        <v>2</v>
      </c>
      <c r="X22" s="2" t="s">
        <v>94</v>
      </c>
      <c r="Y22" s="2" t="s">
        <v>95</v>
      </c>
      <c r="Z22" s="2" t="s">
        <v>104</v>
      </c>
      <c r="AA22" s="1">
        <v>46133</v>
      </c>
    </row>
    <row r="23" spans="3:27" x14ac:dyDescent="0.25">
      <c r="C23" s="1">
        <v>47961</v>
      </c>
      <c r="D23" s="2">
        <v>0.88011878887700001</v>
      </c>
      <c r="E23" s="4">
        <v>2.546737E-2</v>
      </c>
      <c r="F23" s="4"/>
      <c r="G23" s="4"/>
      <c r="I23" s="6">
        <f>($D$3-D23)/((C18-C3)/360*D18+(C20-C18)/360*D20+(C21-C20)/360*D21+(C22-C21)/360*D22+(C23-C22)/360*D23)</f>
        <v>2.5429445624919292E-2</v>
      </c>
      <c r="Q23" s="1">
        <v>46135</v>
      </c>
      <c r="R23" s="1">
        <v>48694</v>
      </c>
      <c r="S23" s="2" t="s">
        <v>145</v>
      </c>
      <c r="T23" s="67">
        <v>2.6522E-2</v>
      </c>
      <c r="U23" s="2"/>
      <c r="V23" s="2">
        <v>0</v>
      </c>
      <c r="W23" s="2">
        <v>2</v>
      </c>
      <c r="X23" s="2" t="s">
        <v>94</v>
      </c>
      <c r="Y23" s="2" t="s">
        <v>95</v>
      </c>
      <c r="Z23" s="2" t="s">
        <v>104</v>
      </c>
      <c r="AA23" s="1">
        <v>46133</v>
      </c>
    </row>
    <row r="24" spans="3:27" x14ac:dyDescent="0.25">
      <c r="C24" s="1"/>
      <c r="D24" s="2"/>
      <c r="E24" s="4"/>
      <c r="F24" s="4"/>
      <c r="G24" s="4"/>
      <c r="Q24" s="1">
        <v>46135</v>
      </c>
      <c r="R24" s="1">
        <v>49058</v>
      </c>
      <c r="S24" s="2" t="s">
        <v>146</v>
      </c>
      <c r="T24" s="67">
        <v>2.7095999999999999E-2</v>
      </c>
      <c r="U24" s="2"/>
      <c r="V24" s="2">
        <v>0</v>
      </c>
      <c r="W24" s="2">
        <v>2</v>
      </c>
      <c r="X24" s="2" t="s">
        <v>94</v>
      </c>
      <c r="Y24" s="2" t="s">
        <v>95</v>
      </c>
      <c r="Z24" s="2" t="s">
        <v>104</v>
      </c>
      <c r="AA24" s="1">
        <v>46133</v>
      </c>
    </row>
    <row r="25" spans="3:27" x14ac:dyDescent="0.25">
      <c r="C25" s="1"/>
      <c r="D25" s="2"/>
      <c r="E25" s="4"/>
      <c r="F25" s="4"/>
      <c r="G25" s="4"/>
      <c r="Q25" s="1">
        <v>46135</v>
      </c>
      <c r="R25" s="1">
        <v>49422</v>
      </c>
      <c r="S25" s="2" t="s">
        <v>147</v>
      </c>
      <c r="T25" s="67">
        <v>2.7642E-2</v>
      </c>
      <c r="U25" s="2"/>
      <c r="V25" s="2">
        <v>0</v>
      </c>
      <c r="W25" s="2">
        <v>2</v>
      </c>
      <c r="X25" s="2" t="s">
        <v>94</v>
      </c>
      <c r="Y25" s="2" t="s">
        <v>95</v>
      </c>
      <c r="Z25" s="2" t="s">
        <v>104</v>
      </c>
      <c r="AA25" s="1">
        <v>46133</v>
      </c>
    </row>
    <row r="26" spans="3:27" x14ac:dyDescent="0.25">
      <c r="C26" s="1"/>
      <c r="D26" s="2"/>
      <c r="E26" s="4"/>
      <c r="F26" s="4"/>
      <c r="G26" s="4"/>
    </row>
    <row r="27" spans="3:27" x14ac:dyDescent="0.25">
      <c r="C27" s="1"/>
      <c r="D27" s="2"/>
      <c r="E27" s="4"/>
      <c r="F27" s="4"/>
      <c r="G27" s="4"/>
    </row>
    <row r="28" spans="3:27" x14ac:dyDescent="0.25">
      <c r="C28" s="1"/>
      <c r="D28" s="2"/>
      <c r="E28" s="4"/>
      <c r="F28" s="4"/>
      <c r="G28" s="4"/>
    </row>
    <row r="29" spans="3:27" x14ac:dyDescent="0.25">
      <c r="C29" s="1"/>
      <c r="D29" s="2"/>
      <c r="E29" s="4"/>
      <c r="F29" s="4"/>
      <c r="G29" s="4"/>
    </row>
    <row r="30" spans="3:27" x14ac:dyDescent="0.25">
      <c r="C30" s="1"/>
      <c r="D30" s="2"/>
      <c r="E30" s="4"/>
      <c r="F30" s="4"/>
      <c r="G30" s="4"/>
    </row>
    <row r="31" spans="3:27" x14ac:dyDescent="0.25">
      <c r="C31" s="1"/>
      <c r="D31" s="2"/>
      <c r="E31" s="4"/>
      <c r="F31" s="4"/>
      <c r="G31" s="4"/>
    </row>
    <row r="32" spans="3:27" x14ac:dyDescent="0.25">
      <c r="C32" s="1"/>
      <c r="D32" s="2"/>
      <c r="E32" s="4"/>
      <c r="F32" s="4"/>
      <c r="G32" s="4"/>
    </row>
    <row r="33" spans="3:7" x14ac:dyDescent="0.25">
      <c r="C33" s="1"/>
      <c r="D33" s="2"/>
      <c r="E33" s="4"/>
      <c r="F33" s="4"/>
      <c r="G33" s="4"/>
    </row>
    <row r="34" spans="3:7" x14ac:dyDescent="0.25">
      <c r="C34" s="1"/>
      <c r="D34" s="2"/>
      <c r="E34" s="4"/>
      <c r="F34" s="4"/>
      <c r="G34" s="4"/>
    </row>
    <row r="35" spans="3:7" x14ac:dyDescent="0.25">
      <c r="C35" s="1"/>
      <c r="D35" s="2"/>
      <c r="E35" s="4"/>
      <c r="F35" s="4"/>
      <c r="G35" s="4"/>
    </row>
    <row r="36" spans="3:7" x14ac:dyDescent="0.25">
      <c r="C36" s="1"/>
      <c r="D36" s="2"/>
      <c r="E36" s="4"/>
      <c r="F36" s="4"/>
      <c r="G36" s="4"/>
    </row>
    <row r="37" spans="3:7" x14ac:dyDescent="0.25">
      <c r="C37" s="1"/>
      <c r="D37" s="2"/>
      <c r="E37" s="4"/>
      <c r="F37" s="4"/>
      <c r="G37" s="4"/>
    </row>
    <row r="38" spans="3:7" x14ac:dyDescent="0.25">
      <c r="C38" s="1"/>
      <c r="D38" s="2"/>
      <c r="E38" s="4"/>
      <c r="F38" s="4"/>
      <c r="G38" s="4"/>
    </row>
    <row r="39" spans="3:7" x14ac:dyDescent="0.25">
      <c r="C39" s="1"/>
      <c r="D39" s="2"/>
      <c r="E39" s="4"/>
      <c r="F39" s="4"/>
      <c r="G39" s="4"/>
    </row>
    <row r="40" spans="3:7" x14ac:dyDescent="0.25">
      <c r="C40" s="1"/>
      <c r="D40" s="2"/>
      <c r="E40" s="4"/>
      <c r="F40" s="4"/>
      <c r="G40" s="4"/>
    </row>
    <row r="41" spans="3:7" x14ac:dyDescent="0.25">
      <c r="C41" s="1"/>
      <c r="D41" s="2"/>
      <c r="E41" s="4"/>
      <c r="F41" s="4"/>
      <c r="G41" s="4"/>
    </row>
    <row r="42" spans="3:7" x14ac:dyDescent="0.25">
      <c r="C42" s="1"/>
      <c r="D42" s="2"/>
      <c r="E42" s="4"/>
      <c r="F42" s="4"/>
      <c r="G42" s="4"/>
    </row>
    <row r="43" spans="3:7" x14ac:dyDescent="0.25">
      <c r="C43" s="1"/>
      <c r="D43" s="2"/>
      <c r="E43" s="4"/>
      <c r="F43" s="4"/>
      <c r="G43" s="4"/>
    </row>
    <row r="44" spans="3:7" x14ac:dyDescent="0.25">
      <c r="C44" s="1"/>
      <c r="D44" s="2"/>
      <c r="E44" s="4"/>
      <c r="F44" s="4"/>
      <c r="G44" s="4"/>
    </row>
    <row r="45" spans="3:7" x14ac:dyDescent="0.25">
      <c r="C45" s="1"/>
      <c r="D45" s="2"/>
      <c r="E45" s="4"/>
      <c r="F45" s="4"/>
      <c r="G45" s="4"/>
    </row>
    <row r="46" spans="3:7" x14ac:dyDescent="0.25">
      <c r="C46" s="1"/>
      <c r="D46" s="2"/>
      <c r="E46" s="4"/>
      <c r="F46" s="4"/>
      <c r="G46" s="4"/>
    </row>
    <row r="47" spans="3:7" x14ac:dyDescent="0.25">
      <c r="C47" s="1"/>
      <c r="D47" s="2"/>
      <c r="E47" s="4"/>
      <c r="F47" s="4"/>
      <c r="G47" s="4"/>
    </row>
    <row r="48" spans="3:7" x14ac:dyDescent="0.25">
      <c r="C48" s="1"/>
      <c r="D48" s="2"/>
      <c r="E48" s="4"/>
      <c r="F48" s="4"/>
      <c r="G48" s="4"/>
    </row>
    <row r="49" spans="3:7" x14ac:dyDescent="0.25">
      <c r="C49" s="1"/>
      <c r="D49" s="2"/>
      <c r="E49" s="4"/>
      <c r="F49" s="4"/>
      <c r="G49" s="4"/>
    </row>
    <row r="50" spans="3:7" x14ac:dyDescent="0.25">
      <c r="C50" s="1"/>
      <c r="D50" s="2"/>
      <c r="E50" s="4"/>
      <c r="F50" s="4"/>
      <c r="G50" s="4"/>
    </row>
    <row r="51" spans="3:7" x14ac:dyDescent="0.25">
      <c r="C51" s="1"/>
      <c r="D51" s="2"/>
      <c r="E51" s="4"/>
      <c r="F51" s="4"/>
      <c r="G51" s="4"/>
    </row>
    <row r="52" spans="3:7" x14ac:dyDescent="0.25">
      <c r="C52" s="1"/>
      <c r="D52" s="2"/>
      <c r="E52" s="4"/>
      <c r="F52" s="4"/>
      <c r="G52" s="4"/>
    </row>
    <row r="53" spans="3:7" x14ac:dyDescent="0.25">
      <c r="C53" s="1"/>
      <c r="D53" s="2"/>
      <c r="E53" s="4"/>
      <c r="F53" s="4"/>
      <c r="G53" s="4"/>
    </row>
    <row r="54" spans="3:7" x14ac:dyDescent="0.25">
      <c r="C54" s="1"/>
      <c r="D54" s="2"/>
      <c r="E54" s="4"/>
      <c r="F54" s="4"/>
      <c r="G54" s="4"/>
    </row>
    <row r="55" spans="3:7" x14ac:dyDescent="0.25">
      <c r="C55" s="1"/>
      <c r="D55" s="2"/>
      <c r="E55" s="4"/>
      <c r="F55" s="4"/>
      <c r="G55" s="4"/>
    </row>
    <row r="56" spans="3:7" x14ac:dyDescent="0.25">
      <c r="C56" s="1"/>
      <c r="D56" s="2"/>
      <c r="E56" s="4"/>
      <c r="F56" s="4"/>
      <c r="G56" s="4"/>
    </row>
    <row r="57" spans="3:7" x14ac:dyDescent="0.25">
      <c r="C57" s="1"/>
      <c r="D57" s="2"/>
      <c r="E57" s="4"/>
      <c r="F57" s="4"/>
      <c r="G57" s="4"/>
    </row>
    <row r="58" spans="3:7" x14ac:dyDescent="0.25">
      <c r="C58" s="1"/>
      <c r="D58" s="2"/>
      <c r="E58" s="4"/>
      <c r="F58" s="4"/>
      <c r="G58" s="4"/>
    </row>
    <row r="59" spans="3:7" x14ac:dyDescent="0.25">
      <c r="C59" s="1"/>
      <c r="D59" s="2"/>
      <c r="E59" s="4"/>
      <c r="F59" s="4"/>
      <c r="G59" s="4"/>
    </row>
    <row r="60" spans="3:7" x14ac:dyDescent="0.25">
      <c r="C60" s="1"/>
      <c r="D60" s="2"/>
      <c r="E60" s="4"/>
      <c r="F60" s="4"/>
      <c r="G60" s="4"/>
    </row>
    <row r="61" spans="3:7" x14ac:dyDescent="0.25">
      <c r="C61" s="1"/>
      <c r="D61" s="2"/>
      <c r="E61" s="4"/>
      <c r="F61" s="4"/>
      <c r="G61" s="4"/>
    </row>
    <row r="62" spans="3:7" x14ac:dyDescent="0.25">
      <c r="C62" s="1"/>
      <c r="D62" s="2"/>
      <c r="E62" s="4"/>
      <c r="F62" s="4"/>
      <c r="G62" s="4"/>
    </row>
    <row r="63" spans="3:7" x14ac:dyDescent="0.25">
      <c r="C63" s="1"/>
      <c r="D63" s="2"/>
      <c r="E63" s="4"/>
      <c r="F63" s="4"/>
      <c r="G63" s="4"/>
    </row>
    <row r="64" spans="3:7" x14ac:dyDescent="0.25">
      <c r="C64" s="1"/>
      <c r="D64" s="2"/>
      <c r="E64" s="4"/>
      <c r="F64" s="4"/>
      <c r="G6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73D7-4E30-49A6-8D04-55DB746429E8}">
  <dimension ref="A1:T25"/>
  <sheetViews>
    <sheetView tabSelected="1" workbookViewId="0">
      <selection activeCell="O16" sqref="A15:O16"/>
    </sheetView>
  </sheetViews>
  <sheetFormatPr defaultRowHeight="15" x14ac:dyDescent="0.25"/>
  <cols>
    <col min="2" max="2" width="11.7109375" customWidth="1"/>
    <col min="3" max="3" width="10.42578125" bestFit="1" customWidth="1"/>
    <col min="4" max="4" width="15" bestFit="1" customWidth="1"/>
    <col min="5" max="5" width="11.140625" bestFit="1" customWidth="1"/>
    <col min="6" max="6" width="19.5703125" bestFit="1" customWidth="1"/>
    <col min="7" max="7" width="19.42578125" bestFit="1" customWidth="1"/>
    <col min="8" max="8" width="27.140625" bestFit="1" customWidth="1"/>
    <col min="11" max="11" width="10.42578125" bestFit="1" customWidth="1"/>
    <col min="12" max="12" width="33.42578125" customWidth="1"/>
    <col min="15" max="15" width="11.5703125" bestFit="1" customWidth="1"/>
    <col min="17" max="17" width="10.28515625" bestFit="1" customWidth="1"/>
    <col min="18" max="18" width="4" bestFit="1" customWidth="1"/>
    <col min="19" max="19" width="22.5703125" bestFit="1" customWidth="1"/>
    <col min="20" max="20" width="9.42578125" bestFit="1" customWidth="1"/>
  </cols>
  <sheetData>
    <row r="1" spans="1:20" x14ac:dyDescent="0.25"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20" x14ac:dyDescent="0.25">
      <c r="C2" s="1">
        <v>46133</v>
      </c>
      <c r="D2" s="2">
        <v>1</v>
      </c>
      <c r="E2" s="4">
        <v>-5.1071600000000003E-3</v>
      </c>
      <c r="F2">
        <v>1</v>
      </c>
      <c r="J2" s="1">
        <v>46135</v>
      </c>
      <c r="K2" s="1">
        <v>46136</v>
      </c>
      <c r="L2" t="s">
        <v>100</v>
      </c>
      <c r="M2">
        <v>-5.0499999999999998E-3</v>
      </c>
      <c r="O2">
        <v>0</v>
      </c>
      <c r="P2">
        <v>2</v>
      </c>
      <c r="Q2" t="s">
        <v>94</v>
      </c>
      <c r="R2" t="s">
        <v>101</v>
      </c>
      <c r="S2" t="s">
        <v>96</v>
      </c>
      <c r="T2" s="1">
        <v>46133</v>
      </c>
    </row>
    <row r="3" spans="1:20" x14ac:dyDescent="0.25">
      <c r="A3" t="s">
        <v>122</v>
      </c>
      <c r="B3">
        <f>C3-$C$2</f>
        <v>2</v>
      </c>
      <c r="C3" s="1">
        <v>46135</v>
      </c>
      <c r="D3" s="2">
        <v>1.0000280565390001</v>
      </c>
      <c r="E3" s="4">
        <v>-5.1071600000000003E-3</v>
      </c>
      <c r="F3" s="61">
        <f>F2*1/3+F4*2/3</f>
        <v>1.0000280567362765</v>
      </c>
      <c r="J3" s="1">
        <v>46135</v>
      </c>
      <c r="K3" s="1">
        <v>46318</v>
      </c>
      <c r="L3" t="s">
        <v>102</v>
      </c>
      <c r="M3" s="2">
        <v>2.4160000000000001E-2</v>
      </c>
      <c r="N3" s="2"/>
      <c r="O3" s="2">
        <v>0</v>
      </c>
      <c r="P3" s="2">
        <v>2</v>
      </c>
      <c r="Q3" s="2" t="s">
        <v>94</v>
      </c>
      <c r="R3" s="2" t="s">
        <v>101</v>
      </c>
      <c r="S3" s="2" t="s">
        <v>96</v>
      </c>
      <c r="T3" s="1">
        <v>46133</v>
      </c>
    </row>
    <row r="4" spans="1:20" x14ac:dyDescent="0.25">
      <c r="A4" t="s">
        <v>122</v>
      </c>
      <c r="B4">
        <f t="shared" ref="B4:B24" si="0">C4-$C$2</f>
        <v>3</v>
      </c>
      <c r="C4" s="5">
        <v>46136</v>
      </c>
      <c r="D4" s="62">
        <v>1.0000420851039999</v>
      </c>
      <c r="E4" s="4">
        <v>-5.1071600000000003E-3</v>
      </c>
      <c r="F4" s="61">
        <f>1/(1+M2*(K2-C2)/360)</f>
        <v>1.0000420851044147</v>
      </c>
      <c r="G4" s="7">
        <f t="shared" ref="G4" si="1">EXP(-LN(F4)*365/(C4-$C$2))-1</f>
        <v>-5.1071605096350003E-3</v>
      </c>
      <c r="J4" s="1">
        <v>46167</v>
      </c>
      <c r="K4" s="1">
        <v>46349</v>
      </c>
      <c r="L4" t="s">
        <v>103</v>
      </c>
      <c r="M4" s="2">
        <v>2.4799999999999999E-2</v>
      </c>
      <c r="N4" s="2"/>
      <c r="O4" s="2">
        <v>0</v>
      </c>
      <c r="P4" s="2">
        <v>2</v>
      </c>
      <c r="Q4" s="2"/>
      <c r="R4" s="2" t="s">
        <v>101</v>
      </c>
      <c r="S4" s="2" t="s">
        <v>104</v>
      </c>
      <c r="T4" s="1">
        <v>46133</v>
      </c>
    </row>
    <row r="5" spans="1:20" x14ac:dyDescent="0.25">
      <c r="B5">
        <f t="shared" si="0"/>
        <v>34</v>
      </c>
      <c r="C5" s="1">
        <v>46167</v>
      </c>
      <c r="D5" s="2">
        <v>0.99796263890299997</v>
      </c>
      <c r="E5" s="4">
        <v>2.2135410000000001E-2</v>
      </c>
      <c r="G5" s="7">
        <f>EXP(-LN(D5)*365/(C5-$C$2))-1</f>
        <v>2.2135413108682611E-2</v>
      </c>
      <c r="J5" s="1">
        <v>46196</v>
      </c>
      <c r="K5" s="1">
        <v>46379</v>
      </c>
      <c r="L5" s="2" t="s">
        <v>107</v>
      </c>
      <c r="M5" s="2">
        <v>2.555E-2</v>
      </c>
      <c r="N5" s="2"/>
      <c r="O5" s="2">
        <v>0</v>
      </c>
      <c r="P5" s="2">
        <v>2</v>
      </c>
      <c r="Q5" s="2"/>
      <c r="R5" s="2" t="s">
        <v>101</v>
      </c>
      <c r="S5" s="2" t="s">
        <v>104</v>
      </c>
      <c r="T5" s="1">
        <v>46133</v>
      </c>
    </row>
    <row r="6" spans="1:20" x14ac:dyDescent="0.25">
      <c r="B6">
        <f t="shared" si="0"/>
        <v>63</v>
      </c>
      <c r="C6" s="1">
        <v>46196</v>
      </c>
      <c r="D6" s="2">
        <v>0.99602126516699996</v>
      </c>
      <c r="E6" s="4">
        <v>2.3366189999999998E-2</v>
      </c>
      <c r="G6" s="7"/>
      <c r="J6" s="1">
        <v>46226</v>
      </c>
      <c r="K6" s="1">
        <v>46412</v>
      </c>
      <c r="L6" s="2" t="s">
        <v>108</v>
      </c>
      <c r="M6" s="2">
        <v>2.6044999999999999E-2</v>
      </c>
      <c r="N6" s="2"/>
      <c r="O6" s="2">
        <v>0</v>
      </c>
      <c r="P6" s="2">
        <v>2</v>
      </c>
      <c r="Q6" s="2"/>
      <c r="R6" s="2" t="s">
        <v>101</v>
      </c>
      <c r="S6" s="2" t="s">
        <v>104</v>
      </c>
      <c r="T6" s="1">
        <v>46133</v>
      </c>
    </row>
    <row r="7" spans="1:20" x14ac:dyDescent="0.25">
      <c r="B7">
        <f t="shared" si="0"/>
        <v>93</v>
      </c>
      <c r="C7" s="1">
        <v>46226</v>
      </c>
      <c r="D7" s="2">
        <v>0.99401692163300004</v>
      </c>
      <c r="E7" s="4">
        <v>2.383205E-2</v>
      </c>
      <c r="G7" s="7"/>
      <c r="J7" s="1">
        <v>46258</v>
      </c>
      <c r="K7" s="1">
        <v>46441</v>
      </c>
      <c r="L7" s="2" t="s">
        <v>109</v>
      </c>
      <c r="M7" s="2">
        <v>2.649E-2</v>
      </c>
      <c r="N7" s="2"/>
      <c r="O7" s="2">
        <v>0</v>
      </c>
      <c r="P7" s="2">
        <v>2</v>
      </c>
      <c r="Q7" s="2"/>
      <c r="R7" s="2" t="s">
        <v>101</v>
      </c>
      <c r="S7" s="2" t="s">
        <v>104</v>
      </c>
      <c r="T7" s="1">
        <v>46133</v>
      </c>
    </row>
    <row r="8" spans="1:20" x14ac:dyDescent="0.25">
      <c r="B8">
        <f t="shared" si="0"/>
        <v>125</v>
      </c>
      <c r="C8" s="1">
        <v>46258</v>
      </c>
      <c r="D8" s="2">
        <v>0.99188340074699999</v>
      </c>
      <c r="E8" s="4">
        <v>2.4082590000000001E-2</v>
      </c>
      <c r="G8" s="7"/>
      <c r="J8" s="1">
        <v>46288</v>
      </c>
      <c r="K8" s="1">
        <v>46469</v>
      </c>
      <c r="L8" s="2" t="s">
        <v>110</v>
      </c>
      <c r="M8" s="2">
        <v>2.6855E-2</v>
      </c>
      <c r="N8" s="2"/>
      <c r="O8" s="2">
        <v>0</v>
      </c>
      <c r="P8" s="2">
        <v>2</v>
      </c>
      <c r="Q8" s="2"/>
      <c r="R8" s="2" t="s">
        <v>101</v>
      </c>
      <c r="S8" s="2" t="s">
        <v>104</v>
      </c>
      <c r="T8" s="1">
        <v>46133</v>
      </c>
    </row>
    <row r="9" spans="1:20" x14ac:dyDescent="0.25">
      <c r="B9">
        <f t="shared" si="0"/>
        <v>155</v>
      </c>
      <c r="C9" s="1">
        <v>46288</v>
      </c>
      <c r="D9" s="2">
        <v>0.98988738404599996</v>
      </c>
      <c r="E9" s="4">
        <v>2.4223539999999998E-2</v>
      </c>
      <c r="G9" s="7"/>
      <c r="J9" s="1"/>
      <c r="K9" s="1"/>
      <c r="L9" s="2"/>
      <c r="M9" s="2"/>
      <c r="N9" s="2"/>
      <c r="O9" s="2"/>
      <c r="P9" s="2"/>
      <c r="Q9" s="2"/>
      <c r="R9" s="2"/>
      <c r="S9" s="2"/>
      <c r="T9" s="1"/>
    </row>
    <row r="10" spans="1:20" x14ac:dyDescent="0.25">
      <c r="A10" t="s">
        <v>121</v>
      </c>
      <c r="B10">
        <f t="shared" si="0"/>
        <v>185</v>
      </c>
      <c r="C10" s="5">
        <v>46318</v>
      </c>
      <c r="D10" s="2">
        <v>0.98789538402999999</v>
      </c>
      <c r="E10" s="9">
        <v>2.431879E-2</v>
      </c>
      <c r="F10">
        <f>D3/(1+M3*(K3-C3)/360)</f>
        <v>0.98789538402927513</v>
      </c>
      <c r="G10" s="7">
        <f t="shared" ref="G10:G12" si="2">EXP(-LN(F10)*365/(C10-$C$2))-1</f>
        <v>2.4318792502522779E-2</v>
      </c>
      <c r="J10" s="1">
        <v>46135</v>
      </c>
      <c r="K10" s="1">
        <v>46500</v>
      </c>
      <c r="L10" s="2" t="s">
        <v>105</v>
      </c>
      <c r="M10" s="2">
        <v>2.5933999999999999E-2</v>
      </c>
      <c r="N10" s="2"/>
      <c r="O10" s="2">
        <v>0</v>
      </c>
      <c r="P10" s="2">
        <v>2</v>
      </c>
      <c r="Q10" s="2" t="s">
        <v>106</v>
      </c>
      <c r="R10" s="2" t="s">
        <v>101</v>
      </c>
      <c r="S10" s="2" t="s">
        <v>104</v>
      </c>
      <c r="T10" s="1">
        <v>46133</v>
      </c>
    </row>
    <row r="11" spans="1:20" x14ac:dyDescent="0.25">
      <c r="A11" t="s">
        <v>121</v>
      </c>
      <c r="B11">
        <f t="shared" si="0"/>
        <v>216</v>
      </c>
      <c r="C11" s="1">
        <v>46349</v>
      </c>
      <c r="D11" s="2">
        <v>0.98560533819600005</v>
      </c>
      <c r="E11" s="64">
        <v>2.4803700000000001E-2</v>
      </c>
      <c r="F11">
        <f>D5/(1+M4*(C11-C5)/360)</f>
        <v>0.98560533819610574</v>
      </c>
      <c r="G11" s="7">
        <f t="shared" si="2"/>
        <v>2.4803699224639431E-2</v>
      </c>
      <c r="J11" s="1">
        <v>46135</v>
      </c>
      <c r="K11" s="1">
        <v>46866</v>
      </c>
      <c r="L11" s="2" t="s">
        <v>111</v>
      </c>
      <c r="M11" s="2">
        <v>2.6845999999999998E-2</v>
      </c>
      <c r="N11" s="2"/>
      <c r="O11" s="2">
        <v>0</v>
      </c>
      <c r="P11" s="2">
        <v>2</v>
      </c>
      <c r="Q11" s="2" t="s">
        <v>106</v>
      </c>
      <c r="R11" s="2" t="s">
        <v>101</v>
      </c>
      <c r="S11" s="2" t="s">
        <v>104</v>
      </c>
      <c r="T11" s="1">
        <v>46133</v>
      </c>
    </row>
    <row r="12" spans="1:20" x14ac:dyDescent="0.25">
      <c r="A12" t="s">
        <v>121</v>
      </c>
      <c r="B12">
        <f t="shared" si="0"/>
        <v>246</v>
      </c>
      <c r="C12" s="1">
        <v>46379</v>
      </c>
      <c r="D12" s="2">
        <v>0.98325088461499999</v>
      </c>
      <c r="E12" s="64">
        <v>2.537849E-2</v>
      </c>
      <c r="F12">
        <f>D6/(1+M5*(C12-C6)/360)</f>
        <v>0.98325088461519161</v>
      </c>
      <c r="G12" s="7">
        <f t="shared" si="2"/>
        <v>2.5378489102604318E-2</v>
      </c>
      <c r="J12" s="1">
        <v>46135</v>
      </c>
      <c r="K12" s="1">
        <v>47231</v>
      </c>
      <c r="L12" s="2" t="s">
        <v>112</v>
      </c>
      <c r="M12" s="63">
        <v>2.7156E-2</v>
      </c>
      <c r="N12" s="2"/>
      <c r="O12" s="2">
        <v>0</v>
      </c>
      <c r="P12" s="2">
        <v>2</v>
      </c>
      <c r="Q12" s="2" t="s">
        <v>106</v>
      </c>
      <c r="R12" s="2" t="s">
        <v>101</v>
      </c>
      <c r="S12" s="2" t="s">
        <v>104</v>
      </c>
      <c r="T12" s="1">
        <v>46133</v>
      </c>
    </row>
    <row r="13" spans="1:20" x14ac:dyDescent="0.25">
      <c r="A13" t="s">
        <v>121</v>
      </c>
      <c r="B13">
        <f t="shared" si="0"/>
        <v>279</v>
      </c>
      <c r="C13" s="1">
        <v>46412</v>
      </c>
      <c r="D13" s="2">
        <v>0.98081845634099996</v>
      </c>
      <c r="E13" s="64">
        <v>2.5661659999999999E-2</v>
      </c>
      <c r="F13">
        <f>D7/(1+M6*(C13-C7)/360)</f>
        <v>0.98081845634038434</v>
      </c>
      <c r="G13" s="7">
        <f>EXP(-LN(F13)*365/(C13-$C$2))-1</f>
        <v>2.5661662686510267E-2</v>
      </c>
      <c r="H13" s="6"/>
      <c r="J13" s="1">
        <v>46135</v>
      </c>
      <c r="K13" s="1">
        <v>47596</v>
      </c>
      <c r="L13" s="2" t="s">
        <v>113</v>
      </c>
      <c r="M13" s="2">
        <v>2.7524E-2</v>
      </c>
      <c r="N13" s="2"/>
      <c r="O13" s="2">
        <v>0</v>
      </c>
      <c r="P13" s="2">
        <v>2</v>
      </c>
      <c r="Q13" s="2" t="s">
        <v>106</v>
      </c>
      <c r="R13" s="2" t="s">
        <v>101</v>
      </c>
      <c r="S13" s="2" t="s">
        <v>104</v>
      </c>
      <c r="T13" s="1">
        <v>46133</v>
      </c>
    </row>
    <row r="14" spans="1:20" x14ac:dyDescent="0.25">
      <c r="A14" t="s">
        <v>121</v>
      </c>
      <c r="B14">
        <f t="shared" si="0"/>
        <v>308</v>
      </c>
      <c r="C14" s="1">
        <v>46441</v>
      </c>
      <c r="D14" s="2">
        <v>0.97870441181400003</v>
      </c>
      <c r="E14" s="64">
        <v>2.5837389999999998E-2</v>
      </c>
      <c r="F14">
        <f>D8/(1+M7*(C14-C8)/360)</f>
        <v>0.97870441181362078</v>
      </c>
      <c r="G14" s="7">
        <f>EXP(-LN(F14)*365/(C14-$C$2))-1</f>
        <v>2.583739161368781E-2</v>
      </c>
      <c r="H14" s="6"/>
      <c r="J14" s="1">
        <v>46135</v>
      </c>
      <c r="K14" s="1">
        <v>47961</v>
      </c>
      <c r="L14" s="2" t="s">
        <v>114</v>
      </c>
      <c r="M14" s="2">
        <v>2.7938999999999999E-2</v>
      </c>
      <c r="N14" s="2"/>
      <c r="O14" s="2">
        <v>0</v>
      </c>
      <c r="P14" s="2">
        <v>2</v>
      </c>
      <c r="Q14" s="2" t="s">
        <v>106</v>
      </c>
      <c r="R14" s="2" t="s">
        <v>101</v>
      </c>
      <c r="S14" s="2" t="s">
        <v>104</v>
      </c>
      <c r="T14" s="1">
        <v>46133</v>
      </c>
    </row>
    <row r="15" spans="1:20" x14ac:dyDescent="0.25">
      <c r="A15" t="s">
        <v>121</v>
      </c>
      <c r="B15">
        <f t="shared" si="0"/>
        <v>336</v>
      </c>
      <c r="C15" s="1">
        <v>46469</v>
      </c>
      <c r="D15" s="2">
        <v>0.97669988721199996</v>
      </c>
      <c r="E15" s="64">
        <v>2.594144E-2</v>
      </c>
      <c r="F15">
        <f>D9/(1+M8*(C15-C9)/360)</f>
        <v>0.97669988721193102</v>
      </c>
      <c r="G15" s="7">
        <f>EXP(-LN(F15)*365/(C15-$C$2))-1</f>
        <v>2.5941443561364297E-2</v>
      </c>
      <c r="H15" s="6"/>
      <c r="J15" s="1"/>
      <c r="K15" s="1"/>
      <c r="L15" s="2"/>
      <c r="M15" s="2"/>
      <c r="N15" s="2"/>
      <c r="O15" s="2"/>
      <c r="P15" s="2"/>
      <c r="Q15" s="2"/>
      <c r="R15" s="2"/>
      <c r="S15" s="2"/>
      <c r="T15" s="1"/>
    </row>
    <row r="16" spans="1:20" x14ac:dyDescent="0.25">
      <c r="A16" t="s">
        <v>123</v>
      </c>
      <c r="B16">
        <f t="shared" si="0"/>
        <v>367</v>
      </c>
      <c r="C16" s="5">
        <v>46500</v>
      </c>
      <c r="D16" s="2">
        <v>0.97458072693200004</v>
      </c>
      <c r="E16" s="4">
        <v>2.5938300000000001E-2</v>
      </c>
      <c r="G16" s="65"/>
      <c r="H16" s="6">
        <f>(D3-D16)/(0.5*D10+0.5*D16)</f>
        <v>2.5933899999960576E-2</v>
      </c>
    </row>
    <row r="17" spans="1:8" x14ac:dyDescent="0.25">
      <c r="A17" t="s">
        <v>123</v>
      </c>
      <c r="B17">
        <f t="shared" si="0"/>
        <v>550</v>
      </c>
      <c r="C17" s="1">
        <v>46683</v>
      </c>
      <c r="D17" s="2">
        <v>0.96118358293100004</v>
      </c>
      <c r="E17" s="4">
        <v>2.6621450000000001E-2</v>
      </c>
      <c r="H17" s="6"/>
    </row>
    <row r="18" spans="1:8" x14ac:dyDescent="0.25">
      <c r="A18" t="s">
        <v>123</v>
      </c>
      <c r="B18">
        <f t="shared" si="0"/>
        <v>733</v>
      </c>
      <c r="C18" s="1">
        <v>46866</v>
      </c>
      <c r="D18" s="2">
        <v>0.94805894517699996</v>
      </c>
      <c r="E18" s="4">
        <v>2.6916010000000001E-2</v>
      </c>
      <c r="H18" s="6">
        <f>(D3-D18)/(0.5*D10+0.5*D18+0.5*D16+0.5*D17)</f>
        <v>2.684549999970208E-2</v>
      </c>
    </row>
    <row r="19" spans="1:8" x14ac:dyDescent="0.25">
      <c r="A19" t="s">
        <v>123</v>
      </c>
      <c r="B19">
        <f t="shared" si="0"/>
        <v>916</v>
      </c>
      <c r="C19" s="1">
        <v>47049</v>
      </c>
      <c r="D19" s="2">
        <v>0.93506927291700004</v>
      </c>
      <c r="E19" s="4">
        <v>2.7112279999999999E-2</v>
      </c>
      <c r="H19" s="6"/>
    </row>
    <row r="20" spans="1:8" x14ac:dyDescent="0.25">
      <c r="A20" t="s">
        <v>123</v>
      </c>
      <c r="B20">
        <f t="shared" si="0"/>
        <v>1098</v>
      </c>
      <c r="C20" s="5">
        <v>47231</v>
      </c>
      <c r="D20" s="2">
        <v>0.92224031386899996</v>
      </c>
      <c r="E20" s="4">
        <v>2.727475E-2</v>
      </c>
      <c r="H20" s="46">
        <f>(D3-D20)/(0.5*D10+0.5*D20+0.5*D16+0.5*D17+0.5*D18+0.5*D19)</f>
        <v>2.7155649999744062E-2</v>
      </c>
    </row>
    <row r="21" spans="1:8" x14ac:dyDescent="0.25">
      <c r="A21" t="s">
        <v>123</v>
      </c>
      <c r="B21">
        <f t="shared" si="0"/>
        <v>1281</v>
      </c>
      <c r="C21" s="1">
        <v>47414</v>
      </c>
      <c r="D21" s="2">
        <v>0.90926059012000005</v>
      </c>
      <c r="E21" s="4">
        <v>2.747455E-2</v>
      </c>
      <c r="H21" s="6"/>
    </row>
    <row r="22" spans="1:8" x14ac:dyDescent="0.25">
      <c r="A22" t="s">
        <v>123</v>
      </c>
      <c r="B22">
        <f t="shared" si="0"/>
        <v>1463</v>
      </c>
      <c r="C22" s="5">
        <v>47596</v>
      </c>
      <c r="D22" s="2">
        <v>0.89633561331599998</v>
      </c>
      <c r="E22" s="4">
        <v>2.7680159999999999E-2</v>
      </c>
      <c r="H22" s="46">
        <f>(D3-D22)/(0.5*D10+0.5*D20+0.5*D16+0.5*D17+0.5*D18+0.5*D19+0.5*D22+0.5*D21)</f>
        <v>2.7524249999742501E-2</v>
      </c>
    </row>
    <row r="23" spans="1:8" x14ac:dyDescent="0.25">
      <c r="A23" t="s">
        <v>123</v>
      </c>
      <c r="B23">
        <f t="shared" si="0"/>
        <v>1646</v>
      </c>
      <c r="C23" s="1">
        <v>47779</v>
      </c>
      <c r="D23" s="2">
        <v>0.88328708513999998</v>
      </c>
      <c r="E23" s="4">
        <v>2.7902429999999999E-2</v>
      </c>
      <c r="H23" s="6"/>
    </row>
    <row r="24" spans="1:8" x14ac:dyDescent="0.25">
      <c r="A24" t="s">
        <v>123</v>
      </c>
      <c r="B24">
        <f t="shared" si="0"/>
        <v>1828</v>
      </c>
      <c r="C24" s="5">
        <v>47961</v>
      </c>
      <c r="D24" s="2">
        <v>0.87027785615099995</v>
      </c>
      <c r="E24" s="4">
        <v>2.8131360000000001E-2</v>
      </c>
      <c r="H24" s="6">
        <f>(D3-D24)/(0.5*D10+0.5*D20+0.5*D16+0.5*D17+0.5*D18+0.5*D19+0.5*D22+0.5*D21+0.5*D23+0.5*D24)</f>
        <v>2.7938749999851901E-2</v>
      </c>
    </row>
    <row r="25" spans="1:8" x14ac:dyDescent="0.25">
      <c r="H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USD SOFR</vt:lpstr>
      <vt:lpstr>Sheet2</vt:lpstr>
      <vt:lpstr>ESTEUR</vt:lpstr>
      <vt:lpstr>EIBEUR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Gazzano, Pierre</dc:creator>
  <cp:keywords/>
  <dc:description/>
  <cp:lastModifiedBy>Gazzano, Pierre</cp:lastModifiedBy>
  <cp:revision/>
  <dcterms:created xsi:type="dcterms:W3CDTF">2026-04-20T18:33:15Z</dcterms:created>
  <dcterms:modified xsi:type="dcterms:W3CDTF">2026-05-11T19:55:59Z</dcterms:modified>
  <cp:category/>
  <cp:contentStatus/>
</cp:coreProperties>
</file>
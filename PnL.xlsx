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1242" documentId="8_{5557B96E-A8ED-417B-B598-E38ECAC02E27}" xr6:coauthVersionLast="47" xr6:coauthVersionMax="47" xr10:uidLastSave="{DC11A8C4-AE97-4073-BE60-776EC424BE8E}"/>
  <bookViews>
    <workbookView xWindow="49455" yWindow="3195" windowWidth="28800" windowHeight="15345" tabRatio="718" firstSheet="1" activeTab="3" xr2:uid="{C448CA47-130C-4FDA-ADE2-BAEF8A55A592}"/>
  </bookViews>
  <sheets>
    <sheet name="1085913817 MMFuture" sheetId="5" r:id="rId1"/>
    <sheet name="GBP Curve" sheetId="10" r:id="rId2"/>
    <sheet name="Sheet1" sheetId="11" r:id="rId3"/>
    <sheet name="GILT Bond at 04-22" sheetId="8" r:id="rId4"/>
    <sheet name="LONG GILT JUN6  at 04-22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D101" i="8" a="1"/>
  <c r="D101" i="8"/>
  <c r="G3" i="10" l="1" a="1"/>
  <c r="G3" i="10" s="1"/>
  <c r="G6" i="10" s="1" a="1"/>
  <c r="G6" i="10" s="1"/>
  <c r="G2" i="10"/>
  <c r="I13" i="10" a="1"/>
  <c r="I13" i="10" s="1"/>
  <c r="D102" i="8" a="1"/>
  <c r="D102" i="8" s="1"/>
  <c r="E80" i="8" a="1"/>
  <c r="E80" i="8"/>
  <c r="E81" i="8"/>
  <c r="C81" i="8"/>
  <c r="E98" i="8"/>
  <c r="E95" i="8"/>
  <c r="F95" i="8"/>
  <c r="H6" i="10"/>
  <c r="C98" i="8"/>
  <c r="C95" i="8" a="1"/>
  <c r="C95" i="8"/>
  <c r="K9" i="10" l="1" a="1"/>
  <c r="K9" i="10" s="1"/>
  <c r="K7" i="10" a="1"/>
  <c r="K7" i="10" s="1"/>
  <c r="C28" i="10"/>
  <c r="C12" i="10"/>
  <c r="C13" i="10"/>
  <c r="C14" i="10" l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AA6" i="10" a="1"/>
  <c r="AA6" i="10" l="1"/>
  <c r="H11" i="8"/>
  <c r="J13" i="9"/>
  <c r="C74" i="9"/>
  <c r="C17" i="9" s="1"/>
  <c r="C16" i="9" s="1"/>
  <c r="C73" i="9"/>
  <c r="C72" i="9"/>
  <c r="C11" i="9"/>
  <c r="C12" i="9"/>
  <c r="C13" i="9"/>
  <c r="C14" i="9"/>
  <c r="E73" i="9"/>
  <c r="E74" i="9"/>
  <c r="E11" i="9"/>
  <c r="J7" i="9" s="1"/>
  <c r="J8" i="9" s="1"/>
  <c r="E12" i="9"/>
  <c r="E13" i="9"/>
  <c r="E14" i="9" s="1"/>
  <c r="J5" i="9" s="1"/>
  <c r="E12" i="8"/>
  <c r="E11" i="8"/>
  <c r="C49" i="8"/>
  <c r="C48" i="8"/>
  <c r="C45" i="8" s="1"/>
  <c r="C17" i="8"/>
  <c r="E18" i="8"/>
  <c r="C69" i="8"/>
  <c r="C68" i="8"/>
  <c r="C19" i="8" s="1"/>
  <c r="C18" i="8"/>
  <c r="C74" i="8"/>
  <c r="C16" i="8"/>
  <c r="C15" i="8" s="1"/>
  <c r="C12" i="8"/>
  <c r="C11" i="8"/>
  <c r="C13" i="8" s="1"/>
  <c r="C14" i="8" s="1"/>
  <c r="E13" i="8"/>
  <c r="H5" i="8" s="1"/>
  <c r="H6" i="8" s="1"/>
  <c r="E69" i="8"/>
  <c r="E68" i="8"/>
  <c r="E19" i="8" s="1"/>
  <c r="H8" i="8" s="1"/>
  <c r="E49" i="8"/>
  <c r="N5" i="8"/>
  <c r="D45" i="5"/>
  <c r="D9" i="8"/>
  <c r="E17" i="8" s="1"/>
  <c r="H7" i="8" s="1"/>
  <c r="H9" i="8" s="1"/>
  <c r="D81" i="5"/>
  <c r="D80" i="5"/>
  <c r="D79" i="5"/>
  <c r="D44" i="5"/>
  <c r="C8" i="5"/>
  <c r="D15" i="5" s="1"/>
  <c r="D72" i="5"/>
  <c r="D73" i="5"/>
  <c r="D71" i="5"/>
  <c r="D16" i="5"/>
  <c r="E7" i="10" l="1" a="1"/>
  <c r="E7" i="10" s="1"/>
  <c r="K2" i="10" a="1"/>
  <c r="K2" i="10" s="1"/>
  <c r="G7" i="10" a="1"/>
  <c r="G7" i="10" s="1"/>
  <c r="K39" i="10" a="1"/>
  <c r="K39" i="10" s="1"/>
  <c r="L39" i="10" s="1"/>
  <c r="M39" i="10" s="1"/>
  <c r="D14" i="10" a="1"/>
  <c r="D14" i="10" s="1"/>
  <c r="E14" i="10" a="1"/>
  <c r="E14" i="10" s="1"/>
  <c r="B5" i="10" a="1"/>
  <c r="B5" i="10" s="1"/>
  <c r="K14" i="10" a="1"/>
  <c r="K14" i="10" s="1"/>
  <c r="L14" i="10" s="1"/>
  <c r="M14" i="10" s="1"/>
  <c r="F13" i="10" a="1"/>
  <c r="F13" i="10" s="1"/>
  <c r="E12" i="10" a="1"/>
  <c r="E12" i="10" s="1"/>
  <c r="K16" i="10" a="1"/>
  <c r="K16" i="10" s="1"/>
  <c r="L16" i="10" s="1"/>
  <c r="K17" i="10" a="1"/>
  <c r="K17" i="10" s="1"/>
  <c r="L17" i="10" s="1"/>
  <c r="K18" i="10" a="1"/>
  <c r="K18" i="10" s="1"/>
  <c r="L18" i="10" s="1"/>
  <c r="K19" i="10" a="1"/>
  <c r="K19" i="10" s="1"/>
  <c r="L19" i="10" s="1"/>
  <c r="K20" i="10" a="1"/>
  <c r="K20" i="10" s="1"/>
  <c r="L20" i="10" s="1"/>
  <c r="K21" i="10" a="1"/>
  <c r="K21" i="10" s="1"/>
  <c r="L21" i="10" s="1"/>
  <c r="K22" i="10" a="1"/>
  <c r="K22" i="10" s="1"/>
  <c r="L22" i="10" s="1"/>
  <c r="K23" i="10" a="1"/>
  <c r="K23" i="10" s="1"/>
  <c r="L23" i="10" s="1"/>
  <c r="K24" i="10" a="1"/>
  <c r="K24" i="10" s="1"/>
  <c r="L24" i="10" s="1"/>
  <c r="K25" i="10" a="1"/>
  <c r="K25" i="10" s="1"/>
  <c r="L25" i="10" s="1"/>
  <c r="K26" i="10" a="1"/>
  <c r="K26" i="10" s="1"/>
  <c r="L26" i="10" s="1"/>
  <c r="K27" i="10" a="1"/>
  <c r="K27" i="10" s="1"/>
  <c r="L27" i="10" s="1"/>
  <c r="K28" i="10" a="1"/>
  <c r="K28" i="10" s="1"/>
  <c r="L28" i="10" s="1"/>
  <c r="K29" i="10" a="1"/>
  <c r="K29" i="10" s="1"/>
  <c r="L29" i="10" s="1"/>
  <c r="K30" i="10" a="1"/>
  <c r="K30" i="10" s="1"/>
  <c r="L30" i="10" s="1"/>
  <c r="K31" i="10" a="1"/>
  <c r="K31" i="10" s="1"/>
  <c r="L31" i="10" s="1"/>
  <c r="K32" i="10" a="1"/>
  <c r="K32" i="10" s="1"/>
  <c r="L32" i="10" s="1"/>
  <c r="K33" i="10" a="1"/>
  <c r="K33" i="10" s="1"/>
  <c r="L33" i="10" s="1"/>
  <c r="K34" i="10" a="1"/>
  <c r="K34" i="10" s="1"/>
  <c r="L34" i="10" s="1"/>
  <c r="K35" i="10" a="1"/>
  <c r="K35" i="10" s="1"/>
  <c r="L35" i="10" s="1"/>
  <c r="K36" i="10" a="1"/>
  <c r="K36" i="10" s="1"/>
  <c r="L36" i="10" s="1"/>
  <c r="K37" i="10" a="1"/>
  <c r="K37" i="10" s="1"/>
  <c r="L37" i="10" s="1"/>
  <c r="K38" i="10" a="1"/>
  <c r="K38" i="10" s="1"/>
  <c r="L38" i="10" s="1"/>
  <c r="M38" i="10" s="1"/>
  <c r="K15" i="10" a="1"/>
  <c r="K15" i="10" s="1"/>
  <c r="L15" i="10" s="1"/>
  <c r="D12" i="10" a="1"/>
  <c r="D12" i="10" s="1"/>
  <c r="E46" i="9"/>
  <c r="E45" i="9" s="1"/>
  <c r="C46" i="9"/>
  <c r="C45" i="9" s="1"/>
  <c r="C15" i="9" s="1"/>
  <c r="E17" i="9"/>
  <c r="J9" i="9" s="1"/>
  <c r="E72" i="9"/>
  <c r="H10" i="8"/>
  <c r="E16" i="8"/>
  <c r="E14" i="8"/>
  <c r="H3" i="8" s="1"/>
  <c r="C72" i="8"/>
  <c r="E48" i="8"/>
  <c r="E45" i="8" s="1"/>
  <c r="E74" i="8"/>
  <c r="E72" i="8"/>
  <c r="D14" i="5"/>
  <c r="E15" i="10" l="1" a="1"/>
  <c r="E15" i="10" s="1"/>
  <c r="E13" i="10" a="1"/>
  <c r="E13" i="10" s="1"/>
  <c r="E16" i="10" a="1"/>
  <c r="E16" i="10" s="1"/>
  <c r="E17" i="10" a="1"/>
  <c r="E17" i="10" s="1"/>
  <c r="E18" i="10" a="1"/>
  <c r="E18" i="10" s="1"/>
  <c r="E19" i="10" a="1"/>
  <c r="E19" i="10" s="1"/>
  <c r="E20" i="10" a="1"/>
  <c r="E20" i="10" s="1"/>
  <c r="E21" i="10" a="1"/>
  <c r="E21" i="10" s="1"/>
  <c r="E22" i="10" a="1"/>
  <c r="E22" i="10" s="1"/>
  <c r="E23" i="10" a="1"/>
  <c r="E23" i="10" s="1"/>
  <c r="E24" i="10" a="1"/>
  <c r="E24" i="10" s="1"/>
  <c r="E25" i="10" a="1"/>
  <c r="E25" i="10" s="1"/>
  <c r="E26" i="10" a="1"/>
  <c r="E26" i="10" s="1"/>
  <c r="E27" i="10" a="1"/>
  <c r="E27" i="10" s="1"/>
  <c r="E28" i="10" a="1"/>
  <c r="E28" i="10" s="1"/>
  <c r="D15" i="10" a="1"/>
  <c r="D15" i="10" s="1"/>
  <c r="D16" i="10" a="1"/>
  <c r="D16" i="10" s="1"/>
  <c r="D17" i="10" a="1"/>
  <c r="D17" i="10" s="1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13" i="10" a="1"/>
  <c r="D13" i="10" s="1"/>
  <c r="G4" i="10" a="1"/>
  <c r="G4" i="10" s="1"/>
  <c r="M15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E15" i="8"/>
  <c r="E16" i="9"/>
  <c r="E15" i="9" s="1"/>
  <c r="J11" i="9"/>
  <c r="O2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<sst xmlns="http://schemas.openxmlformats.org/spreadsheetml/2006/main" count="433" uniqueCount="220">
  <si>
    <t>Description</t>
  </si>
  <si>
    <t>Instrument Id</t>
  </si>
  <si>
    <t>Instrument Type</t>
  </si>
  <si>
    <t>Notional Quantity</t>
  </si>
  <si>
    <t>Native Average Cost</t>
  </si>
  <si>
    <t>Fair Value</t>
  </si>
  <si>
    <t>Native NMV</t>
  </si>
  <si>
    <t>$ NMV</t>
  </si>
  <si>
    <t>Dirty NMV</t>
  </si>
  <si>
    <t>$ Dirty NMV</t>
  </si>
  <si>
    <t>$ P&amp;L</t>
  </si>
  <si>
    <t>$ Total Unrealized</t>
  </si>
  <si>
    <t>$ Trading Unrealized</t>
  </si>
  <si>
    <t>$ FX Unrealized Contribution</t>
  </si>
  <si>
    <t>$ Accrued Interest</t>
  </si>
  <si>
    <t>$ Financing Accrued Interest</t>
  </si>
  <si>
    <t>$ Unrealized Fees and Commissions</t>
  </si>
  <si>
    <t>$ Accrued Dividends Fees</t>
  </si>
  <si>
    <t>$ Accrued Dividends Withholding Tax</t>
  </si>
  <si>
    <t>$ Accrued Dividends</t>
  </si>
  <si>
    <t>TRS FX Unrealized Adjustment</t>
  </si>
  <si>
    <t>$ Accrued Cost Of Carry</t>
  </si>
  <si>
    <t>$ Accrued Delayed Compensation</t>
  </si>
  <si>
    <t>$ Other Accrued Interest</t>
  </si>
  <si>
    <t>$ Other Accrued Dividends</t>
  </si>
  <si>
    <t>$ Other Accrued Dividends Withholding Tax</t>
  </si>
  <si>
    <t>$ Other Financing Accrued Interest</t>
  </si>
  <si>
    <t>$ Accrual Fees</t>
  </si>
  <si>
    <t>$ Transfer Trading Realized</t>
  </si>
  <si>
    <t>$ Transfer Fees and Commissions</t>
  </si>
  <si>
    <t>$ Transfer FX Realized</t>
  </si>
  <si>
    <t>$ Transfer Accrued Dividend</t>
  </si>
  <si>
    <t>$ Transfer Accrued Dividend Withholding Tax</t>
  </si>
  <si>
    <t>$ Transfer Paid Dividend</t>
  </si>
  <si>
    <t>$ Transfer Paid Dividend Withholding Tax</t>
  </si>
  <si>
    <t>$ Transfer Financing Accrued Interest</t>
  </si>
  <si>
    <t>$ Transfer Financing Interest</t>
  </si>
  <si>
    <t>$ Transfer Accrued Interest</t>
  </si>
  <si>
    <t>$ Transfer Interest</t>
  </si>
  <si>
    <t>$ P&amp;L Unrealized Adjustment</t>
  </si>
  <si>
    <t>$ Total Realized Reference Date</t>
  </si>
  <si>
    <t>$ Trading Realized</t>
  </si>
  <si>
    <t>$ FX Realized</t>
  </si>
  <si>
    <t>$ Realized Accrued Interest</t>
  </si>
  <si>
    <t>$ Interest</t>
  </si>
  <si>
    <t>$ Unsettled Financing Interest</t>
  </si>
  <si>
    <t>$ Financing Interest</t>
  </si>
  <si>
    <t>$ Realized Commissions</t>
  </si>
  <si>
    <t>$ Realized Fees</t>
  </si>
  <si>
    <t>$ Realized Taxes</t>
  </si>
  <si>
    <t>$ Paid Dividends Fees</t>
  </si>
  <si>
    <t>$ Paid Dividends Withholding Tax</t>
  </si>
  <si>
    <t>$ Paid Dividends</t>
  </si>
  <si>
    <t>$ Paid Cost Of Carry</t>
  </si>
  <si>
    <t>$ Paid Delayed Compensation</t>
  </si>
  <si>
    <t>$ Other Interest</t>
  </si>
  <si>
    <t>$ Other Paid Dividends Withholding Tax</t>
  </si>
  <si>
    <t>$ Other Paid Dividends</t>
  </si>
  <si>
    <t>$ Other Financing Interest</t>
  </si>
  <si>
    <t>$ Other Expenses</t>
  </si>
  <si>
    <t>$ Realized Accrual Fees</t>
  </si>
  <si>
    <t>$ P&amp;L Realized Adjustment</t>
  </si>
  <si>
    <t>$ Principal Payup</t>
  </si>
  <si>
    <t>Native Accrued Interest</t>
  </si>
  <si>
    <t>Native Net Interest</t>
  </si>
  <si>
    <t>Native Financing Accrued Interest</t>
  </si>
  <si>
    <t>Native Financing Interest</t>
  </si>
  <si>
    <t>Native P&amp;L</t>
  </si>
  <si>
    <t>Native Trading Realized</t>
  </si>
  <si>
    <t>Native Trading Unrealized</t>
  </si>
  <si>
    <t>Native Net Dividends</t>
  </si>
  <si>
    <t>Native Unrealized Fees and Commissions</t>
  </si>
  <si>
    <t>Native Realized Fees</t>
  </si>
  <si>
    <t>Native Realized Commissions</t>
  </si>
  <si>
    <t>Fincad Price</t>
  </si>
  <si>
    <t>Native DV01</t>
  </si>
  <si>
    <t>Book DV01</t>
  </si>
  <si>
    <t>$ Monetized Rho</t>
  </si>
  <si>
    <t>$ MonetizedDelta</t>
  </si>
  <si>
    <t>$ MonetizedGamma</t>
  </si>
  <si>
    <t>$ MonetizedTheta</t>
  </si>
  <si>
    <t>$ MonetizedVega</t>
  </si>
  <si>
    <t>$ Monetized Credit Spread 1%</t>
  </si>
  <si>
    <t>$ Daily P&amp;L</t>
  </si>
  <si>
    <t>$ MTD P&amp;L</t>
  </si>
  <si>
    <t>$ QTD P&amp;L</t>
  </si>
  <si>
    <t>$ YTD P&amp;L</t>
  </si>
  <si>
    <t>Yield To Average Life</t>
  </si>
  <si>
    <t>Yield To Best</t>
  </si>
  <si>
    <t>Yield To Call</t>
  </si>
  <si>
    <t>Yield To Maturity</t>
  </si>
  <si>
    <t>Yield To Put</t>
  </si>
  <si>
    <t>Yield To Worst</t>
  </si>
  <si>
    <t>Modified Duration</t>
  </si>
  <si>
    <t>Spread Duration</t>
  </si>
  <si>
    <t>Convexity</t>
  </si>
  <si>
    <t>Bond</t>
  </si>
  <si>
    <t>TradeID</t>
  </si>
  <si>
    <t>TradeDate</t>
  </si>
  <si>
    <t>Trade Date</t>
  </si>
  <si>
    <t>3-Mon SOFR JUN26</t>
  </si>
  <si>
    <t>Future</t>
  </si>
  <si>
    <t>Date</t>
  </si>
  <si>
    <t>Instrument Id (equivalent du BDRId)</t>
  </si>
  <si>
    <t>TradeID (equivalent du JMS)</t>
  </si>
  <si>
    <t>sell</t>
  </si>
  <si>
    <t>buy</t>
  </si>
  <si>
    <t>BookPNLReferenceDate</t>
  </si>
  <si>
    <t>BookTotalNPV_ReferenceDate</t>
  </si>
  <si>
    <t>BookUnrealizedFeesAndCommissions</t>
  </si>
  <si>
    <t>BookTransferPaidDividend</t>
  </si>
  <si>
    <t>BookTransferPaidDividendWithholdingTax</t>
  </si>
  <si>
    <t>BookFXUnrealized_ReferenceDate</t>
  </si>
  <si>
    <t>BookNPV_ReferenceDate</t>
  </si>
  <si>
    <t>BookAccruedInterest</t>
  </si>
  <si>
    <t>BookTRSAccruedInterest</t>
  </si>
  <si>
    <t>BookAccruedDividendFees</t>
  </si>
  <si>
    <t>BookAccruedDividendsWithholdingTax</t>
  </si>
  <si>
    <t>TRSFXAdjustment</t>
  </si>
  <si>
    <t>BookAccruedDividends</t>
  </si>
  <si>
    <t>BookNMV</t>
  </si>
  <si>
    <t>DirtyNMV</t>
  </si>
  <si>
    <t>BookDirtyNMV</t>
  </si>
  <si>
    <t>BookRealizedCommissions</t>
  </si>
  <si>
    <t>BookTRSEarnedInterest</t>
  </si>
  <si>
    <t>BookUnsettledTRSEarnedInterest</t>
  </si>
  <si>
    <t>BookInterest</t>
  </si>
  <si>
    <t>BookRealizedAccruedInterest</t>
  </si>
  <si>
    <t>BookFXRealized_ReferenceDate</t>
  </si>
  <si>
    <t>BookTradingRealized_ReferenceDate</t>
  </si>
  <si>
    <t>BookTotalRealized_ReferenceDate</t>
  </si>
  <si>
    <t>BookTransferInterest</t>
  </si>
  <si>
    <t>BookPNLUnrealizedAdjustment</t>
  </si>
  <si>
    <t>NativeAccruedInterest</t>
  </si>
  <si>
    <t>NativeEarnedInterest</t>
  </si>
  <si>
    <t>NativeTRSAccruedInterest</t>
  </si>
  <si>
    <t>NativePNLReferenceDate</t>
  </si>
  <si>
    <t>NativeTRSEarnedInterest</t>
  </si>
  <si>
    <t>NativeRealizedCommissions</t>
  </si>
  <si>
    <t>NativeRealizedFees</t>
  </si>
  <si>
    <t>NativeUnrealizedFeesAndCommissions</t>
  </si>
  <si>
    <t>NativeTradingRealized_ReferenceDate</t>
  </si>
  <si>
    <t>NetPresentValue</t>
  </si>
  <si>
    <t>NativeDividends</t>
  </si>
  <si>
    <t>BookAccruedCostOfCarry</t>
  </si>
  <si>
    <t>BookAccruedDelayedCompensation</t>
  </si>
  <si>
    <t>BookOtherAccruedInterest</t>
  </si>
  <si>
    <t>BookOtherAccruedDividends</t>
  </si>
  <si>
    <t>BookOtherAccruedDividendsWithholdingTax</t>
  </si>
  <si>
    <t>BookOtherFinancingAccruedInterest</t>
  </si>
  <si>
    <t>BookAccrualFees</t>
  </si>
  <si>
    <t>BookQTDPNL</t>
  </si>
  <si>
    <t>BookMTDPNL</t>
  </si>
  <si>
    <t>BookYTDPNL</t>
  </si>
  <si>
    <t>BookDailyPNL</t>
  </si>
  <si>
    <t>BookMonetizedCreditSpread1PercentSensitivity</t>
  </si>
  <si>
    <t>BookMonotizedVega</t>
  </si>
  <si>
    <t>BookMonotizedTheta</t>
  </si>
  <si>
    <t>BookMonotizedGamma</t>
  </si>
  <si>
    <t>BookMonotizedDelta</t>
  </si>
  <si>
    <t>BookMonotizedRho</t>
  </si>
  <si>
    <t>BookMonetizedRhoDV01</t>
  </si>
  <si>
    <t>NativeMonetizedRho1bp</t>
  </si>
  <si>
    <t>BookPaidDelayedCompensation</t>
  </si>
  <si>
    <t>BookOtherInterest</t>
  </si>
  <si>
    <t>BookOtherPaidDividendsWithholdingTax</t>
  </si>
  <si>
    <t>BookOtherPaidDividends</t>
  </si>
  <si>
    <t>BookOtherFinancingInterest</t>
  </si>
  <si>
    <t>BookOtherExpenses</t>
  </si>
  <si>
    <t>BookRealizedAccrualFees</t>
  </si>
  <si>
    <t>BookPrincipalPayup</t>
  </si>
  <si>
    <t>BookRealizedTaxes</t>
  </si>
  <si>
    <t>BookRealizedFees</t>
  </si>
  <si>
    <t>BookPaidDividendFees</t>
  </si>
  <si>
    <t>BookTransferTradingRealized</t>
  </si>
  <si>
    <t>BookTransferFeesAndCommissions</t>
  </si>
  <si>
    <t>BookTransferFXRealized</t>
  </si>
  <si>
    <t>BookTransferAccruedDividend</t>
  </si>
  <si>
    <t>BookTransferAccruedDividendWithholdingTax</t>
  </si>
  <si>
    <t>BookPNLRealizedAdjustment</t>
  </si>
  <si>
    <t>BookPaidDividends</t>
  </si>
  <si>
    <t>BookPaidCostOfCarry</t>
  </si>
  <si>
    <t>BookPaidDividendsWithholdingTax</t>
  </si>
  <si>
    <t>BookTransferAccruedInterest</t>
  </si>
  <si>
    <t>BookTransferFinancingInterest</t>
  </si>
  <si>
    <t>YieldToBest</t>
  </si>
  <si>
    <t>YieldToAverageLife</t>
  </si>
  <si>
    <t>YieldToMaturity</t>
  </si>
  <si>
    <t>ModifiedDuration</t>
  </si>
  <si>
    <t>SpreadDuration</t>
  </si>
  <si>
    <t>ValueDate</t>
  </si>
  <si>
    <t>GBGV   1.125 01/31/39</t>
  </si>
  <si>
    <t>SettleDate</t>
  </si>
  <si>
    <t>Trade Price</t>
  </si>
  <si>
    <t>Nominal</t>
  </si>
  <si>
    <t>GBPUSD au 21/04/2026</t>
  </si>
  <si>
    <t>Native Daily P&amp;L</t>
  </si>
  <si>
    <t>MIG P&amp;L Less Carry</t>
  </si>
  <si>
    <t>$ P&amp;L  FX</t>
  </si>
  <si>
    <t>$ P&amp;L SB</t>
  </si>
  <si>
    <t>Bond Carry</t>
  </si>
  <si>
    <t>Maturity Date</t>
  </si>
  <si>
    <t>LONG GILT JUN6</t>
  </si>
  <si>
    <t>SettletDate</t>
  </si>
  <si>
    <t>Qte</t>
  </si>
  <si>
    <t>GBP/USD au 2/25/2026</t>
  </si>
  <si>
    <t>GBP/USD au 4/22/2026</t>
  </si>
  <si>
    <t>Total Pnl in $</t>
  </si>
  <si>
    <t>GBP/USD at 25/11/2025</t>
  </si>
  <si>
    <t>GBP/USD at 26/11/2025</t>
  </si>
  <si>
    <t>GBP/USD at 27/11/2025</t>
  </si>
  <si>
    <t>GBP/USD at  02/2/2026</t>
  </si>
  <si>
    <t>GBP/USD at 18/02/2026</t>
  </si>
  <si>
    <t>GBP/USD at 19/02/2026</t>
  </si>
  <si>
    <t>GBP/USD at 20/02/2026</t>
  </si>
  <si>
    <t>GBPUSD at 21/04/2026</t>
  </si>
  <si>
    <t>GBP/USD at 22/04/2026</t>
  </si>
  <si>
    <t>DV01</t>
  </si>
  <si>
    <t>GB00BLPK7334</t>
  </si>
  <si>
    <t>SoniaSwap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</si>
</sst>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00000_);_(* \(#,##0.000000\);_(* &quot;-&quot;??_);_(@_)"/>
    <numFmt numFmtId="166" formatCode="0.000000%"/>
    <numFmt numFmtId="167" formatCode="0.0000%"/>
    <numFmt numFmtId="168" formatCode="_(* #,##0.0000_);_(* \(#,##0.0000\);_(* &quot;-&quot;??_);_(@_)"/>
    <numFmt numFmtId="169" formatCode="0.00000%"/>
    <numFmt numFmtId="170" formatCode="[$-409]d\-mmm\-yy;@"/>
    <numFmt numFmtId="171" formatCode="_(* #,##0.00000_);_(* \(#,##0.00000\);_(* &quot;-&quot;??_);_(@_)"/>
    <numFmt numFmtId="172" formatCode="0.000%"/>
    <numFmt numFmtId="173" formatCode="0.0000"/>
    <numFmt numFmtId="174" formatCode="_(* #,##0.0000000_);_(* \(#,##0.0000000\);_(* &quot;-&quot;??_);_(@_)"/>
    <numFmt numFmtId="175" formatCode="_(* #,##0_);_(* \(#,##0\);_(* &quot;-&quot;????_);_(@_)"/>
    <numFmt numFmtId="176" formatCode="_(* #,##0.000000000_);_(* \(#,##0.000000000\);_(* &quot;-&quot;??_);_(@_)"/>
    <numFmt numFmtId="177" formatCode="0.0000000000"/>
    <numFmt numFmtId="178" formatCode="_(* #,##0.00000_);_(* \(#,##0.00000\);_(* &quot;-&quot;????_);_(@_)"/>
    <numFmt numFmtId="179" formatCode="0.000"/>
    <numFmt numFmtId="180" formatCode="0.0000000000%"/>
    <numFmt numFmtId="181" formatCode="_(* #,##0.00000000_);_(* \(#,##0.0000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64" fontId="0" fillId="0" borderId="0" xfId="0" applyNumberFormat="1"/>
    <xf numFmtId="166" fontId="0" fillId="0" borderId="0" xfId="2" applyNumberFormat="1" applyFont="1"/>
    <xf numFmtId="43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4" fontId="0" fillId="3" borderId="0" xfId="1" applyNumberFormat="1" applyFont="1" applyFill="1"/>
    <xf numFmtId="0" fontId="0" fillId="4" borderId="0" xfId="0" applyFill="1"/>
    <xf numFmtId="164" fontId="0" fillId="4" borderId="0" xfId="1" applyNumberFormat="1" applyFont="1" applyFill="1"/>
    <xf numFmtId="0" fontId="0" fillId="5" borderId="0" xfId="0" applyFill="1"/>
    <xf numFmtId="164" fontId="0" fillId="5" borderId="0" xfId="1" applyNumberFormat="1" applyFont="1" applyFill="1"/>
    <xf numFmtId="168" fontId="0" fillId="0" borderId="0" xfId="1" applyNumberFormat="1" applyFont="1"/>
    <xf numFmtId="165" fontId="0" fillId="0" borderId="0" xfId="0" applyNumberFormat="1"/>
    <xf numFmtId="0" fontId="0" fillId="6" borderId="0" xfId="0" applyFill="1"/>
    <xf numFmtId="170" fontId="0" fillId="0" borderId="0" xfId="0" applyNumberFormat="1"/>
    <xf numFmtId="173" fontId="0" fillId="0" borderId="0" xfId="0" applyNumberFormat="1"/>
    <xf numFmtId="175" fontId="0" fillId="0" borderId="0" xfId="0" applyNumberFormat="1"/>
    <xf numFmtId="177" fontId="0" fillId="0" borderId="0" xfId="0" applyNumberFormat="1"/>
    <xf numFmtId="176" fontId="0" fillId="0" borderId="0" xfId="1" applyNumberFormat="1" applyFont="1"/>
    <xf numFmtId="0" fontId="0" fillId="0" borderId="3" xfId="0" applyBorder="1"/>
    <xf numFmtId="0" fontId="0" fillId="0" borderId="4" xfId="0" applyBorder="1"/>
    <xf numFmtId="14" fontId="0" fillId="0" borderId="3" xfId="0" applyNumberFormat="1" applyBorder="1"/>
    <xf numFmtId="164" fontId="0" fillId="0" borderId="4" xfId="1" applyNumberFormat="1" applyFont="1" applyBorder="1"/>
    <xf numFmtId="164" fontId="0" fillId="0" borderId="3" xfId="1" applyNumberFormat="1" applyFont="1" applyBorder="1"/>
    <xf numFmtId="169" fontId="0" fillId="0" borderId="3" xfId="2" applyNumberFormat="1" applyFont="1" applyBorder="1"/>
    <xf numFmtId="168" fontId="0" fillId="0" borderId="4" xfId="1" applyNumberFormat="1" applyFont="1" applyBorder="1"/>
    <xf numFmtId="175" fontId="0" fillId="0" borderId="3" xfId="0" applyNumberFormat="1" applyBorder="1"/>
    <xf numFmtId="172" fontId="0" fillId="0" borderId="3" xfId="2" applyNumberFormat="1" applyFont="1" applyBorder="1"/>
    <xf numFmtId="0" fontId="0" fillId="0" borderId="5" xfId="0" applyBorder="1"/>
    <xf numFmtId="164" fontId="0" fillId="0" borderId="6" xfId="1" applyNumberFormat="1" applyFont="1" applyBorder="1"/>
    <xf numFmtId="167" fontId="0" fillId="0" borderId="3" xfId="2" applyNumberFormat="1" applyFont="1" applyBorder="1"/>
    <xf numFmtId="175" fontId="0" fillId="0" borderId="4" xfId="0" applyNumberFormat="1" applyBorder="1"/>
    <xf numFmtId="164" fontId="0" fillId="0" borderId="4" xfId="0" applyNumberFormat="1" applyBorder="1"/>
    <xf numFmtId="43" fontId="0" fillId="0" borderId="4" xfId="0" applyNumberFormat="1" applyBorder="1"/>
    <xf numFmtId="174" fontId="0" fillId="0" borderId="3" xfId="1" applyNumberFormat="1" applyFont="1" applyBorder="1"/>
    <xf numFmtId="171" fontId="0" fillId="0" borderId="5" xfId="1" applyNumberFormat="1" applyFont="1" applyBorder="1"/>
    <xf numFmtId="0" fontId="0" fillId="0" borderId="6" xfId="0" applyBorder="1"/>
    <xf numFmtId="0" fontId="2" fillId="0" borderId="0" xfId="0" applyFont="1"/>
    <xf numFmtId="14" fontId="2" fillId="0" borderId="1" xfId="0" applyNumberFormat="1" applyFont="1" applyBorder="1"/>
    <xf numFmtId="164" fontId="2" fillId="0" borderId="2" xfId="1" applyNumberFormat="1" applyFont="1" applyBorder="1"/>
    <xf numFmtId="0" fontId="2" fillId="0" borderId="2" xfId="0" applyFont="1" applyBorder="1"/>
    <xf numFmtId="172" fontId="0" fillId="0" borderId="0" xfId="0" applyNumberFormat="1"/>
    <xf numFmtId="178" fontId="0" fillId="0" borderId="0" xfId="0" applyNumberFormat="1"/>
    <xf numFmtId="14" fontId="2" fillId="0" borderId="3" xfId="0" applyNumberFormat="1" applyFont="1" applyBorder="1"/>
    <xf numFmtId="164" fontId="2" fillId="0" borderId="4" xfId="1" applyNumberFormat="1" applyFont="1" applyBorder="1"/>
    <xf numFmtId="0" fontId="2" fillId="0" borderId="4" xfId="0" applyFont="1" applyBorder="1"/>
    <xf numFmtId="174" fontId="0" fillId="0" borderId="4" xfId="1" applyNumberFormat="1" applyFont="1" applyBorder="1"/>
    <xf numFmtId="164" fontId="0" fillId="7" borderId="0" xfId="0" applyNumberFormat="1" applyFill="1"/>
    <xf numFmtId="164" fontId="0" fillId="3" borderId="0" xfId="0" applyNumberFormat="1" applyFill="1"/>
    <xf numFmtId="175" fontId="0" fillId="6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" fontId="0" fillId="0" borderId="0" xfId="0" applyNumberFormat="1"/>
    <xf numFmtId="179" fontId="0" fillId="0" borderId="0" xfId="0" applyNumberFormat="1"/>
    <xf numFmtId="164" fontId="2" fillId="0" borderId="0" xfId="0" applyNumberFormat="1" applyFont="1"/>
    <xf numFmtId="43" fontId="2" fillId="0" borderId="0" xfId="0" applyNumberFormat="1" applyFont="1"/>
    <xf numFmtId="175" fontId="0" fillId="10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0" fontId="0" fillId="0" borderId="2" xfId="0" applyBorder="1"/>
    <xf numFmtId="43" fontId="0" fillId="0" borderId="3" xfId="1" applyFont="1" applyBorder="1"/>
    <xf numFmtId="168" fontId="0" fillId="0" borderId="3" xfId="1" applyNumberFormat="1" applyFont="1" applyBorder="1"/>
    <xf numFmtId="164" fontId="0" fillId="0" borderId="5" xfId="1" applyNumberFormat="1" applyFont="1" applyBorder="1"/>
    <xf numFmtId="165" fontId="0" fillId="0" borderId="3" xfId="1" applyNumberFormat="1" applyFont="1" applyBorder="1"/>
    <xf numFmtId="9" fontId="0" fillId="0" borderId="3" xfId="2" applyFont="1" applyBorder="1"/>
    <xf numFmtId="43" fontId="0" fillId="0" borderId="4" xfId="1" applyFont="1" applyBorder="1"/>
    <xf numFmtId="180" fontId="0" fillId="0" borderId="3" xfId="2" applyNumberFormat="1" applyFont="1" applyBorder="1"/>
    <xf numFmtId="167" fontId="0" fillId="0" borderId="0" xfId="2" applyNumberFormat="1" applyFont="1"/>
    <xf numFmtId="169" fontId="0" fillId="0" borderId="0" xfId="2" applyNumberFormat="1" applyFont="1"/>
    <xf numFmtId="180" fontId="0" fillId="0" borderId="4" xfId="0" applyNumberFormat="1" applyBorder="1"/>
    <xf numFmtId="181" fontId="0" fillId="0" borderId="0" xfId="0" applyNumberFormat="1"/>
    <xf numFmtId="14" fontId="0" fillId="0" borderId="0" xfId="0" applyNumberFormat="1" applyAlignment="1">
      <alignment horizontal="left" vertical="center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37</xdr:row>
      <xdr:rowOff>62120</xdr:rowOff>
    </xdr:from>
    <xdr:to>
      <xdr:col>28</xdr:col>
      <xdr:colOff>508160</xdr:colOff>
      <xdr:row>41</xdr:row>
      <xdr:rowOff>81279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65CFD4-009E-E330-7A0E-B7A9A4576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8857" y="6920120"/>
          <a:ext cx="23529945" cy="781159"/>
        </a:xfrm>
        <a:prstGeom prst="rect">
          <a:avLst/>
        </a:prstGeom>
      </xdr:spPr>
    </xdr:pic>
    <xdr:clientData/>
  </xdr:twoCellAnchor>
  <xdr:twoCellAnchor>
    <xdr:from>
      <xdr:col>10</xdr:col>
      <xdr:colOff>100852</xdr:colOff>
      <xdr:row>39</xdr:row>
      <xdr:rowOff>59871</xdr:rowOff>
    </xdr:from>
    <xdr:to>
      <xdr:col>10</xdr:col>
      <xdr:colOff>1257299</xdr:colOff>
      <xdr:row>40</xdr:row>
      <xdr:rowOff>92529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2EA79D-EAF9-8168-B235-BCB529C78694}"/>
            </a:ext>
          </a:extLst>
        </xdr:cNvPr>
        <xdr:cNvSpPr/>
      </xdr:nvSpPr>
      <xdr:spPr>
        <a:xfrm>
          <a:off x="15427938" y="7489371"/>
          <a:ext cx="1156447" cy="223158"/>
        </a:xfrm>
        <a:prstGeom prst="rect">
          <a:avLst/>
        </a:prstGeom>
        <a:noFill/>
        <a:ln w="571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1657350</xdr:colOff>
      <xdr:row>6</xdr:row>
      <xdr:rowOff>0</xdr:rowOff>
    </xdr:from>
    <xdr:to>
      <xdr:col>10</xdr:col>
      <xdr:colOff>675409</xdr:colOff>
      <xdr:row>39</xdr:row>
      <xdr:rowOff>17318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390B7EC-32C7-73BF-9C21-A6C822352F45}"/>
            </a:ext>
          </a:extLst>
        </xdr:cNvPr>
        <xdr:cNvCxnSpPr/>
      </xdr:nvCxnSpPr>
      <xdr:spPr>
        <a:xfrm>
          <a:off x="11325225" y="1143000"/>
          <a:ext cx="4675909" cy="63038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86591</xdr:colOff>
      <xdr:row>39</xdr:row>
      <xdr:rowOff>103909</xdr:rowOff>
    </xdr:from>
    <xdr:to>
      <xdr:col>29</xdr:col>
      <xdr:colOff>155863</xdr:colOff>
      <xdr:row>40</xdr:row>
      <xdr:rowOff>86591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A51746-07A9-3882-F6A5-97A000690D4D}"/>
            </a:ext>
          </a:extLst>
        </xdr:cNvPr>
        <xdr:cNvSpPr/>
      </xdr:nvSpPr>
      <xdr:spPr>
        <a:xfrm>
          <a:off x="30376091" y="7533409"/>
          <a:ext cx="1281545" cy="173182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1593273</xdr:colOff>
      <xdr:row>9</xdr:row>
      <xdr:rowOff>173182</xdr:rowOff>
    </xdr:from>
    <xdr:to>
      <xdr:col>27</xdr:col>
      <xdr:colOff>86591</xdr:colOff>
      <xdr:row>40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FBD7FD-8DDC-FE3F-49F8-98938A9CC025}"/>
            </a:ext>
          </a:extLst>
        </xdr:cNvPr>
        <xdr:cNvCxnSpPr>
          <a:endCxn id="2" idx="1"/>
        </xdr:cNvCxnSpPr>
      </xdr:nvCxnSpPr>
      <xdr:spPr>
        <a:xfrm>
          <a:off x="11412682" y="1887682"/>
          <a:ext cx="18963409" cy="5732318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2580409</xdr:colOff>
      <xdr:row>39</xdr:row>
      <xdr:rowOff>86591</xdr:rowOff>
    </xdr:from>
    <xdr:to>
      <xdr:col>12</xdr:col>
      <xdr:colOff>536864</xdr:colOff>
      <xdr:row>40</xdr:row>
      <xdr:rowOff>86591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12138BB-9BFA-FB6A-FCD7-8004916F0941}"/>
            </a:ext>
          </a:extLst>
        </xdr:cNvPr>
        <xdr:cNvSpPr/>
      </xdr:nvSpPr>
      <xdr:spPr>
        <a:xfrm>
          <a:off x="20556682" y="7516091"/>
          <a:ext cx="744682" cy="190500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0</xdr:colOff>
      <xdr:row>8</xdr:row>
      <xdr:rowOff>17318</xdr:rowOff>
    </xdr:from>
    <xdr:to>
      <xdr:col>11</xdr:col>
      <xdr:colOff>2615045</xdr:colOff>
      <xdr:row>39</xdr:row>
      <xdr:rowOff>69273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FEFB84F-D0A0-4583-CECE-9E3729634280}"/>
            </a:ext>
          </a:extLst>
        </xdr:cNvPr>
        <xdr:cNvCxnSpPr>
          <a:endCxn id="10" idx="1"/>
        </xdr:cNvCxnSpPr>
      </xdr:nvCxnSpPr>
      <xdr:spPr>
        <a:xfrm>
          <a:off x="11481955" y="1541318"/>
          <a:ext cx="9109363" cy="5957455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467591</xdr:colOff>
      <xdr:row>39</xdr:row>
      <xdr:rowOff>103909</xdr:rowOff>
    </xdr:from>
    <xdr:to>
      <xdr:col>19</xdr:col>
      <xdr:colOff>519545</xdr:colOff>
      <xdr:row>40</xdr:row>
      <xdr:rowOff>103909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04DCE47-DFE1-1E35-24CA-0976CD261F06}"/>
            </a:ext>
          </a:extLst>
        </xdr:cNvPr>
        <xdr:cNvSpPr/>
      </xdr:nvSpPr>
      <xdr:spPr>
        <a:xfrm>
          <a:off x="24868909" y="7533409"/>
          <a:ext cx="1264227" cy="1905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1610591</xdr:colOff>
      <xdr:row>9</xdr:row>
      <xdr:rowOff>17318</xdr:rowOff>
    </xdr:from>
    <xdr:to>
      <xdr:col>18</xdr:col>
      <xdr:colOff>493568</xdr:colOff>
      <xdr:row>39</xdr:row>
      <xdr:rowOff>103909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9E1FC33-C924-BE3C-1FEC-8FEBBB48E090}"/>
            </a:ext>
          </a:extLst>
        </xdr:cNvPr>
        <xdr:cNvCxnSpPr>
          <a:stCxn id="13" idx="0"/>
        </xdr:cNvCxnSpPr>
      </xdr:nvCxnSpPr>
      <xdr:spPr>
        <a:xfrm flipH="1" flipV="1">
          <a:off x="11430000" y="1731818"/>
          <a:ext cx="14071023" cy="5801591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640773</xdr:colOff>
      <xdr:row>39</xdr:row>
      <xdr:rowOff>121227</xdr:rowOff>
    </xdr:from>
    <xdr:to>
      <xdr:col>13</xdr:col>
      <xdr:colOff>796637</xdr:colOff>
      <xdr:row>40</xdr:row>
      <xdr:rowOff>103909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F066C38-F81A-AB10-FB8D-0FE15EAAAC25}"/>
            </a:ext>
          </a:extLst>
        </xdr:cNvPr>
        <xdr:cNvSpPr/>
      </xdr:nvSpPr>
      <xdr:spPr>
        <a:xfrm>
          <a:off x="21405273" y="7550727"/>
          <a:ext cx="935182" cy="1731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34636</xdr:colOff>
      <xdr:row>6</xdr:row>
      <xdr:rowOff>103909</xdr:rowOff>
    </xdr:from>
    <xdr:to>
      <xdr:col>13</xdr:col>
      <xdr:colOff>346364</xdr:colOff>
      <xdr:row>39</xdr:row>
      <xdr:rowOff>86591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225984C-BD82-60B4-2B74-ACAEBC544F72}"/>
            </a:ext>
          </a:extLst>
        </xdr:cNvPr>
        <xdr:cNvCxnSpPr/>
      </xdr:nvCxnSpPr>
      <xdr:spPr>
        <a:xfrm flipH="1" flipV="1">
          <a:off x="11516591" y="1246909"/>
          <a:ext cx="10373591" cy="626918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163286</xdr:colOff>
      <xdr:row>15</xdr:row>
      <xdr:rowOff>27214</xdr:rowOff>
    </xdr:from>
    <xdr:to>
      <xdr:col>7</xdr:col>
      <xdr:colOff>1455964</xdr:colOff>
      <xdr:row>16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28DFCC-BA8D-9506-378E-CD977BD37EEC}"/>
            </a:ext>
          </a:extLst>
        </xdr:cNvPr>
        <xdr:cNvSpPr/>
      </xdr:nvSpPr>
      <xdr:spPr>
        <a:xfrm>
          <a:off x="9987643" y="2884714"/>
          <a:ext cx="1292678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1305623</xdr:colOff>
      <xdr:row>39</xdr:row>
      <xdr:rowOff>55756</xdr:rowOff>
    </xdr:from>
    <xdr:to>
      <xdr:col>11</xdr:col>
      <xdr:colOff>60404</xdr:colOff>
      <xdr:row>40</xdr:row>
      <xdr:rowOff>97573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379DC8-5662-4D21-C7AE-A3D7D47BD693}"/>
            </a:ext>
          </a:extLst>
        </xdr:cNvPr>
        <xdr:cNvSpPr/>
      </xdr:nvSpPr>
      <xdr:spPr>
        <a:xfrm>
          <a:off x="16805818" y="7485256"/>
          <a:ext cx="1249866" cy="232317"/>
        </a:xfrm>
        <a:prstGeom prst="rect">
          <a:avLst/>
        </a:prstGeom>
        <a:noFill/>
        <a:ln w="38100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4</xdr:row>
      <xdr:rowOff>85725</xdr:rowOff>
    </xdr:from>
    <xdr:to>
      <xdr:col>10</xdr:col>
      <xdr:colOff>1943100</xdr:colOff>
      <xdr:row>39</xdr:row>
      <xdr:rowOff>85725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04B618A-64B2-97BD-007D-A62B773C5ECF}"/>
            </a:ext>
          </a:extLst>
        </xdr:cNvPr>
        <xdr:cNvCxnSpPr/>
      </xdr:nvCxnSpPr>
      <xdr:spPr>
        <a:xfrm>
          <a:off x="11506200" y="847725"/>
          <a:ext cx="5934075" cy="66675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39</xdr:row>
      <xdr:rowOff>114299</xdr:rowOff>
    </xdr:from>
    <xdr:to>
      <xdr:col>16</xdr:col>
      <xdr:colOff>323849</xdr:colOff>
      <xdr:row>40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D76E2D1-065C-A781-66B4-85C657BCD136}"/>
            </a:ext>
          </a:extLst>
        </xdr:cNvPr>
        <xdr:cNvSpPr/>
      </xdr:nvSpPr>
      <xdr:spPr>
        <a:xfrm>
          <a:off x="22993350" y="7543799"/>
          <a:ext cx="1123949" cy="190501"/>
        </a:xfrm>
        <a:prstGeom prst="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10</xdr:row>
      <xdr:rowOff>152400</xdr:rowOff>
    </xdr:from>
    <xdr:to>
      <xdr:col>15</xdr:col>
      <xdr:colOff>390525</xdr:colOff>
      <xdr:row>39</xdr:row>
      <xdr:rowOff>114299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6E5FF8F-8C7C-4742-8E3F-B67822D73A5F}"/>
            </a:ext>
          </a:extLst>
        </xdr:cNvPr>
        <xdr:cNvCxnSpPr>
          <a:endCxn id="14" idx="0"/>
        </xdr:cNvCxnSpPr>
      </xdr:nvCxnSpPr>
      <xdr:spPr>
        <a:xfrm>
          <a:off x="11506200" y="2057400"/>
          <a:ext cx="12049125" cy="5486399"/>
        </a:xfrm>
        <a:prstGeom prst="line">
          <a:avLst/>
        </a:prstGeom>
        <a:ln w="28575"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24</xdr:row>
      <xdr:rowOff>9525</xdr:rowOff>
    </xdr:from>
    <xdr:to>
      <xdr:col>42</xdr:col>
      <xdr:colOff>146201</xdr:colOff>
      <xdr:row>27</xdr:row>
      <xdr:rowOff>47710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2C5A1-0361-E865-9617-5306906B5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4010025"/>
          <a:ext cx="23834876" cy="60968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57150</xdr:rowOff>
    </xdr:from>
    <xdr:to>
      <xdr:col>16</xdr:col>
      <xdr:colOff>428625</xdr:colOff>
      <xdr:row>26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EF65A6-80CA-47B0-803D-22871A6E8F86}"/>
            </a:ext>
          </a:extLst>
        </xdr:cNvPr>
        <xdr:cNvCxnSpPr/>
      </xdr:nvCxnSpPr>
      <xdr:spPr>
        <a:xfrm>
          <a:off x="10925175" y="1390650"/>
          <a:ext cx="5905500" cy="360045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1162050</xdr:colOff>
      <xdr:row>8</xdr:row>
      <xdr:rowOff>114300</xdr:rowOff>
    </xdr:from>
    <xdr:to>
      <xdr:col>26</xdr:col>
      <xdr:colOff>56161</xdr:colOff>
      <xdr:row>26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0325A93-C279-45EC-941F-1C042DE8712A}"/>
            </a:ext>
          </a:extLst>
        </xdr:cNvPr>
        <xdr:cNvCxnSpPr>
          <a:stCxn id="13" idx="0"/>
        </xdr:cNvCxnSpPr>
      </xdr:nvCxnSpPr>
      <xdr:spPr>
        <a:xfrm flipH="1" flipV="1">
          <a:off x="10906125" y="1638300"/>
          <a:ext cx="11648086" cy="33623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10</xdr:row>
      <xdr:rowOff>85725</xdr:rowOff>
    </xdr:from>
    <xdr:to>
      <xdr:col>32</xdr:col>
      <xdr:colOff>57274</xdr:colOff>
      <xdr:row>26</xdr:row>
      <xdr:rowOff>38100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BC20909-FF0A-4860-949F-07CB8552AD8F}"/>
            </a:ext>
          </a:extLst>
        </xdr:cNvPr>
        <xdr:cNvCxnSpPr>
          <a:stCxn id="15" idx="0"/>
        </xdr:cNvCxnSpPr>
      </xdr:nvCxnSpPr>
      <xdr:spPr>
        <a:xfrm flipH="1" flipV="1">
          <a:off x="10944225" y="1990725"/>
          <a:ext cx="15268699" cy="300037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11</xdr:row>
      <xdr:rowOff>28575</xdr:rowOff>
    </xdr:from>
    <xdr:to>
      <xdr:col>41</xdr:col>
      <xdr:colOff>142132</xdr:colOff>
      <xdr:row>26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0C69E50-5AE1-4E6C-A0D6-9F2B39B33F28}"/>
            </a:ext>
          </a:extLst>
        </xdr:cNvPr>
        <xdr:cNvCxnSpPr>
          <a:endCxn id="17" idx="0"/>
        </xdr:cNvCxnSpPr>
      </xdr:nvCxnSpPr>
      <xdr:spPr>
        <a:xfrm>
          <a:off x="10972800" y="2124075"/>
          <a:ext cx="20811382" cy="287655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1238250</xdr:colOff>
      <xdr:row>26</xdr:row>
      <xdr:rowOff>9525</xdr:rowOff>
    </xdr:from>
    <xdr:to>
      <xdr:col>17</xdr:col>
      <xdr:colOff>403972</xdr:colOff>
      <xdr:row>27</xdr:row>
      <xdr:rowOff>42183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6EF6526-0B95-4C90-946A-E83CC917CE44}"/>
            </a:ext>
          </a:extLst>
        </xdr:cNvPr>
        <xdr:cNvSpPr/>
      </xdr:nvSpPr>
      <xdr:spPr>
        <a:xfrm>
          <a:off x="16259175" y="4962525"/>
          <a:ext cx="1156447" cy="223158"/>
        </a:xfrm>
        <a:prstGeom prst="rect">
          <a:avLst/>
        </a:prstGeom>
        <a:noFill/>
        <a:ln w="571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25</xdr:col>
      <xdr:colOff>200025</xdr:colOff>
      <xdr:row>26</xdr:row>
      <xdr:rowOff>47625</xdr:rowOff>
    </xdr:from>
    <xdr:to>
      <xdr:col>26</xdr:col>
      <xdr:colOff>521896</xdr:colOff>
      <xdr:row>27</xdr:row>
      <xdr:rowOff>30307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D82A91B-6FEF-41DE-9A4A-66F04946AE87}"/>
            </a:ext>
          </a:extLst>
        </xdr:cNvPr>
        <xdr:cNvSpPr/>
      </xdr:nvSpPr>
      <xdr:spPr>
        <a:xfrm>
          <a:off x="22088475" y="5000625"/>
          <a:ext cx="931471" cy="1731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31</xdr:col>
      <xdr:colOff>28575</xdr:colOff>
      <xdr:row>26</xdr:row>
      <xdr:rowOff>38100</xdr:rowOff>
    </xdr:from>
    <xdr:to>
      <xdr:col>33</xdr:col>
      <xdr:colOff>85972</xdr:colOff>
      <xdr:row>27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865B951-6098-4524-8A74-22715F95E347}"/>
            </a:ext>
          </a:extLst>
        </xdr:cNvPr>
        <xdr:cNvSpPr/>
      </xdr:nvSpPr>
      <xdr:spPr>
        <a:xfrm>
          <a:off x="25574625" y="4991100"/>
          <a:ext cx="1276597" cy="1905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40</xdr:col>
      <xdr:colOff>104775</xdr:colOff>
      <xdr:row>26</xdr:row>
      <xdr:rowOff>47625</xdr:rowOff>
    </xdr:from>
    <xdr:to>
      <xdr:col>42</xdr:col>
      <xdr:colOff>179489</xdr:colOff>
      <xdr:row>27</xdr:row>
      <xdr:rowOff>30307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9FD5D4D-C2D5-40D0-8F8C-FDC0FB1C3E7A}"/>
            </a:ext>
          </a:extLst>
        </xdr:cNvPr>
        <xdr:cNvSpPr/>
      </xdr:nvSpPr>
      <xdr:spPr>
        <a:xfrm>
          <a:off x="31137225" y="5000625"/>
          <a:ext cx="1293914" cy="173182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495300</xdr:colOff>
      <xdr:row>26</xdr:row>
      <xdr:rowOff>19050</xdr:rowOff>
    </xdr:from>
    <xdr:to>
      <xdr:col>19</xdr:col>
      <xdr:colOff>526431</xdr:colOff>
      <xdr:row>27</xdr:row>
      <xdr:rowOff>60867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1196E20-CB14-44D6-8B92-55F759CCD225}"/>
            </a:ext>
          </a:extLst>
        </xdr:cNvPr>
        <xdr:cNvSpPr/>
      </xdr:nvSpPr>
      <xdr:spPr>
        <a:xfrm>
          <a:off x="17506950" y="4972050"/>
          <a:ext cx="1250331" cy="232317"/>
        </a:xfrm>
        <a:prstGeom prst="rect">
          <a:avLst/>
        </a:prstGeom>
        <a:noFill/>
        <a:ln w="38100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6</xdr:row>
      <xdr:rowOff>66675</xdr:rowOff>
    </xdr:from>
    <xdr:to>
      <xdr:col>18</xdr:col>
      <xdr:colOff>510866</xdr:colOff>
      <xdr:row>26</xdr:row>
      <xdr:rowOff>19050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FD1C68D-A461-333F-775A-6042D6FCE9B3}"/>
            </a:ext>
          </a:extLst>
        </xdr:cNvPr>
        <xdr:cNvCxnSpPr>
          <a:endCxn id="19" idx="0"/>
        </xdr:cNvCxnSpPr>
      </xdr:nvCxnSpPr>
      <xdr:spPr>
        <a:xfrm>
          <a:off x="10944225" y="1209675"/>
          <a:ext cx="7187891" cy="37623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552450</xdr:colOff>
      <xdr:row>26</xdr:row>
      <xdr:rowOff>28575</xdr:rowOff>
    </xdr:from>
    <xdr:to>
      <xdr:col>29</xdr:col>
      <xdr:colOff>542925</xdr:colOff>
      <xdr:row>27</xdr:row>
      <xdr:rowOff>47625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DA1BCF1-E83F-7248-C84E-480436A722B7}"/>
            </a:ext>
          </a:extLst>
        </xdr:cNvPr>
        <xdr:cNvSpPr/>
      </xdr:nvSpPr>
      <xdr:spPr>
        <a:xfrm>
          <a:off x="23660100" y="4981575"/>
          <a:ext cx="1209675" cy="209550"/>
        </a:xfrm>
        <a:prstGeom prst="rect">
          <a:avLst/>
        </a:prstGeom>
        <a:noFill/>
        <a:ln w="381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1123950</xdr:colOff>
      <xdr:row>13</xdr:row>
      <xdr:rowOff>0</xdr:rowOff>
    </xdr:from>
    <xdr:to>
      <xdr:col>28</xdr:col>
      <xdr:colOff>547688</xdr:colOff>
      <xdr:row>26</xdr:row>
      <xdr:rowOff>28575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A6437D3-A277-C917-81C6-387C9B9CDA33}"/>
            </a:ext>
          </a:extLst>
        </xdr:cNvPr>
        <xdr:cNvCxnSpPr>
          <a:endCxn id="22" idx="0"/>
        </xdr:cNvCxnSpPr>
      </xdr:nvCxnSpPr>
      <xdr:spPr>
        <a:xfrm>
          <a:off x="10868025" y="2476500"/>
          <a:ext cx="13396913" cy="250507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0B1-4DA8-44DD-B553-0E2C330993CC}">
  <dimension ref="A1:I99"/>
  <sheetViews>
    <sheetView topLeftCell="A4" workbookViewId="0">
      <selection activeCell="D13" sqref="D13"/>
    </sheetView>
  </sheetViews>
  <sheetFormatPr defaultRowHeight="15" x14ac:dyDescent="0.25"/>
  <cols>
    <col min="1" max="1" width="35.28515625" bestFit="1" customWidth="1"/>
    <col min="2" max="2" width="41" bestFit="1" customWidth="1"/>
    <col min="3" max="3" width="17.7109375" bestFit="1" customWidth="1"/>
    <col min="4" max="4" width="14.42578125" bestFit="1" customWidth="1"/>
    <col min="6" max="6" width="10.42578125" bestFit="1" customWidth="1"/>
    <col min="81" max="81" width="19.28515625" bestFit="1" customWidth="1"/>
    <col min="84" max="84" width="18.7109375" bestFit="1" customWidth="1"/>
    <col min="85" max="85" width="32.42578125" bestFit="1" customWidth="1"/>
    <col min="86" max="86" width="12.42578125" bestFit="1" customWidth="1"/>
    <col min="88" max="88" width="12.28515625" bestFit="1" customWidth="1"/>
    <col min="89" max="89" width="12" bestFit="1" customWidth="1"/>
  </cols>
  <sheetData>
    <row r="1" spans="1:9" x14ac:dyDescent="0.25">
      <c r="B1" t="s">
        <v>104</v>
      </c>
      <c r="C1">
        <v>1085913817</v>
      </c>
    </row>
    <row r="2" spans="1:9" x14ac:dyDescent="0.25">
      <c r="B2" t="s">
        <v>98</v>
      </c>
      <c r="C2" s="2">
        <v>46064</v>
      </c>
    </row>
    <row r="3" spans="1:9" x14ac:dyDescent="0.25">
      <c r="B3" t="s">
        <v>102</v>
      </c>
      <c r="C3" s="2">
        <v>46134</v>
      </c>
    </row>
    <row r="4" spans="1:9" x14ac:dyDescent="0.25">
      <c r="B4" t="s">
        <v>0</v>
      </c>
      <c r="C4" t="s">
        <v>100</v>
      </c>
    </row>
    <row r="5" spans="1:9" x14ac:dyDescent="0.25">
      <c r="B5" t="s">
        <v>103</v>
      </c>
      <c r="C5">
        <v>96739479</v>
      </c>
    </row>
    <row r="6" spans="1:9" x14ac:dyDescent="0.25">
      <c r="B6" t="s">
        <v>2</v>
      </c>
      <c r="C6" t="s">
        <v>101</v>
      </c>
      <c r="F6" s="2">
        <v>45946</v>
      </c>
      <c r="G6" t="s">
        <v>105</v>
      </c>
      <c r="H6">
        <v>96.834999999999994</v>
      </c>
      <c r="I6">
        <v>-95</v>
      </c>
    </row>
    <row r="7" spans="1:9" x14ac:dyDescent="0.25">
      <c r="B7" t="s">
        <v>3</v>
      </c>
      <c r="C7">
        <v>-63</v>
      </c>
      <c r="F7" s="2">
        <v>46064</v>
      </c>
      <c r="G7" t="s">
        <v>106</v>
      </c>
      <c r="H7">
        <v>96.55</v>
      </c>
      <c r="I7">
        <v>32</v>
      </c>
    </row>
    <row r="8" spans="1:9" x14ac:dyDescent="0.25">
      <c r="B8" t="s">
        <v>4</v>
      </c>
      <c r="C8">
        <f>H6</f>
        <v>96.834999999999994</v>
      </c>
    </row>
    <row r="9" spans="1:9" x14ac:dyDescent="0.25">
      <c r="B9" t="s">
        <v>5</v>
      </c>
      <c r="C9">
        <v>96.332499999999996</v>
      </c>
    </row>
    <row r="10" spans="1:9" x14ac:dyDescent="0.25">
      <c r="B10" t="s">
        <v>6</v>
      </c>
      <c r="C10" s="1">
        <v>79143.749999998166</v>
      </c>
    </row>
    <row r="11" spans="1:9" x14ac:dyDescent="0.25">
      <c r="A11" t="s">
        <v>120</v>
      </c>
      <c r="B11" t="s">
        <v>7</v>
      </c>
      <c r="C11" s="1">
        <v>79143.749999998166</v>
      </c>
    </row>
    <row r="12" spans="1:9" x14ac:dyDescent="0.25">
      <c r="A12" t="s">
        <v>121</v>
      </c>
      <c r="B12" t="s">
        <v>8</v>
      </c>
      <c r="C12" s="1">
        <v>79143.749999998166</v>
      </c>
    </row>
    <row r="13" spans="1:9" x14ac:dyDescent="0.25">
      <c r="A13" t="s">
        <v>122</v>
      </c>
      <c r="B13" t="s">
        <v>9</v>
      </c>
      <c r="C13" s="1">
        <v>79143.749999998166</v>
      </c>
    </row>
    <row r="14" spans="1:9" x14ac:dyDescent="0.25">
      <c r="A14" t="s">
        <v>107</v>
      </c>
      <c r="B14" s="6" t="s">
        <v>10</v>
      </c>
      <c r="C14" s="7">
        <v>101943.74999999789</v>
      </c>
      <c r="D14" s="3">
        <f>D15+D44</f>
        <v>101943.74999999936</v>
      </c>
    </row>
    <row r="15" spans="1:9" x14ac:dyDescent="0.25">
      <c r="A15" t="s">
        <v>108</v>
      </c>
      <c r="B15" s="8" t="s">
        <v>11</v>
      </c>
      <c r="C15" s="9">
        <v>79143.749999998166</v>
      </c>
      <c r="D15" s="1">
        <f>2500*(C7)*(C9-C8)</f>
        <v>79143.749999999636</v>
      </c>
    </row>
    <row r="16" spans="1:9" x14ac:dyDescent="0.25">
      <c r="A16" t="s">
        <v>113</v>
      </c>
      <c r="B16" s="8" t="s">
        <v>12</v>
      </c>
      <c r="C16" s="9">
        <v>79143.749999998166</v>
      </c>
      <c r="D16" s="1">
        <f>2500*(C7)*(C9-C8)</f>
        <v>79143.749999999636</v>
      </c>
    </row>
    <row r="17" spans="1:3" x14ac:dyDescent="0.25">
      <c r="A17" t="s">
        <v>112</v>
      </c>
      <c r="B17" s="8" t="s">
        <v>13</v>
      </c>
      <c r="C17" s="9">
        <v>0</v>
      </c>
    </row>
    <row r="18" spans="1:3" x14ac:dyDescent="0.25">
      <c r="A18" t="s">
        <v>114</v>
      </c>
      <c r="B18" s="8" t="s">
        <v>14</v>
      </c>
      <c r="C18" s="9">
        <v>0</v>
      </c>
    </row>
    <row r="19" spans="1:3" x14ac:dyDescent="0.25">
      <c r="A19" t="s">
        <v>115</v>
      </c>
      <c r="B19" s="8" t="s">
        <v>15</v>
      </c>
      <c r="C19" s="9">
        <v>0</v>
      </c>
    </row>
    <row r="20" spans="1:3" x14ac:dyDescent="0.25">
      <c r="A20" t="s">
        <v>109</v>
      </c>
      <c r="B20" s="8" t="s">
        <v>16</v>
      </c>
      <c r="C20" s="9">
        <v>0</v>
      </c>
    </row>
    <row r="21" spans="1:3" x14ac:dyDescent="0.25">
      <c r="A21" t="s">
        <v>116</v>
      </c>
      <c r="B21" s="8" t="s">
        <v>17</v>
      </c>
      <c r="C21" s="9">
        <v>0</v>
      </c>
    </row>
    <row r="22" spans="1:3" x14ac:dyDescent="0.25">
      <c r="A22" t="s">
        <v>117</v>
      </c>
      <c r="B22" s="8" t="s">
        <v>18</v>
      </c>
      <c r="C22" s="9">
        <v>0</v>
      </c>
    </row>
    <row r="23" spans="1:3" x14ac:dyDescent="0.25">
      <c r="A23" t="s">
        <v>119</v>
      </c>
      <c r="B23" s="8" t="s">
        <v>19</v>
      </c>
      <c r="C23" s="9">
        <v>0</v>
      </c>
    </row>
    <row r="24" spans="1:3" x14ac:dyDescent="0.25">
      <c r="A24" t="s">
        <v>118</v>
      </c>
      <c r="B24" s="8" t="s">
        <v>20</v>
      </c>
      <c r="C24" s="9">
        <v>0</v>
      </c>
    </row>
    <row r="25" spans="1:3" x14ac:dyDescent="0.25">
      <c r="A25" t="s">
        <v>144</v>
      </c>
      <c r="B25" s="8" t="s">
        <v>21</v>
      </c>
      <c r="C25" s="9">
        <v>0</v>
      </c>
    </row>
    <row r="26" spans="1:3" x14ac:dyDescent="0.25">
      <c r="A26" t="s">
        <v>145</v>
      </c>
      <c r="B26" s="8" t="s">
        <v>22</v>
      </c>
      <c r="C26" s="9">
        <v>0</v>
      </c>
    </row>
    <row r="27" spans="1:3" x14ac:dyDescent="0.25">
      <c r="A27" t="s">
        <v>146</v>
      </c>
      <c r="B27" s="8" t="s">
        <v>23</v>
      </c>
      <c r="C27" s="9">
        <v>0</v>
      </c>
    </row>
    <row r="28" spans="1:3" x14ac:dyDescent="0.25">
      <c r="A28" t="s">
        <v>147</v>
      </c>
      <c r="B28" s="8" t="s">
        <v>24</v>
      </c>
      <c r="C28" s="9">
        <v>0</v>
      </c>
    </row>
    <row r="29" spans="1:3" x14ac:dyDescent="0.25">
      <c r="A29" t="s">
        <v>148</v>
      </c>
      <c r="B29" s="8" t="s">
        <v>25</v>
      </c>
      <c r="C29" s="9">
        <v>0</v>
      </c>
    </row>
    <row r="30" spans="1:3" x14ac:dyDescent="0.25">
      <c r="A30" t="s">
        <v>149</v>
      </c>
      <c r="B30" s="8" t="s">
        <v>26</v>
      </c>
      <c r="C30" s="9">
        <v>0</v>
      </c>
    </row>
    <row r="31" spans="1:3" x14ac:dyDescent="0.25">
      <c r="A31" t="s">
        <v>150</v>
      </c>
      <c r="B31" s="8" t="s">
        <v>27</v>
      </c>
      <c r="C31" s="9">
        <v>0</v>
      </c>
    </row>
    <row r="32" spans="1:3" x14ac:dyDescent="0.25">
      <c r="A32" t="s">
        <v>174</v>
      </c>
      <c r="B32" s="8" t="s">
        <v>28</v>
      </c>
      <c r="C32" s="9">
        <v>0</v>
      </c>
    </row>
    <row r="33" spans="1:4" x14ac:dyDescent="0.25">
      <c r="A33" t="s">
        <v>175</v>
      </c>
      <c r="B33" s="8" t="s">
        <v>29</v>
      </c>
      <c r="C33" s="9">
        <v>0</v>
      </c>
    </row>
    <row r="34" spans="1:4" x14ac:dyDescent="0.25">
      <c r="A34" t="s">
        <v>176</v>
      </c>
      <c r="B34" s="8" t="s">
        <v>30</v>
      </c>
      <c r="C34" s="9">
        <v>0</v>
      </c>
    </row>
    <row r="35" spans="1:4" x14ac:dyDescent="0.25">
      <c r="A35" t="s">
        <v>177</v>
      </c>
      <c r="B35" s="8" t="s">
        <v>31</v>
      </c>
      <c r="C35" s="9">
        <v>0</v>
      </c>
    </row>
    <row r="36" spans="1:4" x14ac:dyDescent="0.25">
      <c r="A36" t="s">
        <v>178</v>
      </c>
      <c r="B36" s="8" t="s">
        <v>32</v>
      </c>
      <c r="C36" s="9">
        <v>0</v>
      </c>
    </row>
    <row r="37" spans="1:4" x14ac:dyDescent="0.25">
      <c r="A37" t="s">
        <v>110</v>
      </c>
      <c r="B37" s="8" t="s">
        <v>33</v>
      </c>
      <c r="C37" s="9">
        <v>0</v>
      </c>
    </row>
    <row r="38" spans="1:4" x14ac:dyDescent="0.25">
      <c r="A38" t="s">
        <v>178</v>
      </c>
      <c r="B38" s="8" t="s">
        <v>34</v>
      </c>
      <c r="C38" s="9">
        <v>0</v>
      </c>
    </row>
    <row r="39" spans="1:4" x14ac:dyDescent="0.25">
      <c r="A39" t="s">
        <v>111</v>
      </c>
      <c r="B39" s="8" t="s">
        <v>35</v>
      </c>
      <c r="C39" s="9">
        <v>0</v>
      </c>
    </row>
    <row r="40" spans="1:4" x14ac:dyDescent="0.25">
      <c r="A40" t="s">
        <v>184</v>
      </c>
      <c r="B40" s="8" t="s">
        <v>36</v>
      </c>
      <c r="C40" s="9">
        <v>0</v>
      </c>
    </row>
    <row r="41" spans="1:4" x14ac:dyDescent="0.25">
      <c r="A41" t="s">
        <v>183</v>
      </c>
      <c r="B41" s="8" t="s">
        <v>37</v>
      </c>
      <c r="C41" s="9">
        <v>0</v>
      </c>
    </row>
    <row r="42" spans="1:4" x14ac:dyDescent="0.25">
      <c r="A42" t="s">
        <v>131</v>
      </c>
      <c r="B42" s="8" t="s">
        <v>38</v>
      </c>
      <c r="C42" s="9">
        <v>0</v>
      </c>
    </row>
    <row r="43" spans="1:4" x14ac:dyDescent="0.25">
      <c r="A43" t="s">
        <v>132</v>
      </c>
      <c r="B43" s="8" t="s">
        <v>39</v>
      </c>
      <c r="C43" s="8">
        <v>0</v>
      </c>
    </row>
    <row r="44" spans="1:4" x14ac:dyDescent="0.25">
      <c r="A44" t="s">
        <v>130</v>
      </c>
      <c r="B44" s="10" t="s">
        <v>40</v>
      </c>
      <c r="C44" s="11">
        <v>22799.999999999727</v>
      </c>
      <c r="D44" s="3">
        <f>SUM(D45:D66)</f>
        <v>22799.999999999727</v>
      </c>
    </row>
    <row r="45" spans="1:4" x14ac:dyDescent="0.25">
      <c r="A45" t="s">
        <v>129</v>
      </c>
      <c r="B45" s="12" t="s">
        <v>41</v>
      </c>
      <c r="C45" s="13">
        <v>22799.999999999727</v>
      </c>
      <c r="D45">
        <f>(H6-H7)*I7*2500</f>
        <v>22799.999999999727</v>
      </c>
    </row>
    <row r="46" spans="1:4" x14ac:dyDescent="0.25">
      <c r="A46" t="s">
        <v>128</v>
      </c>
      <c r="B46" s="12" t="s">
        <v>42</v>
      </c>
      <c r="C46" s="12">
        <v>0</v>
      </c>
    </row>
    <row r="47" spans="1:4" x14ac:dyDescent="0.25">
      <c r="A47" t="s">
        <v>127</v>
      </c>
      <c r="B47" s="12" t="s">
        <v>43</v>
      </c>
      <c r="C47" s="12">
        <v>0</v>
      </c>
    </row>
    <row r="48" spans="1:4" x14ac:dyDescent="0.25">
      <c r="A48" t="s">
        <v>126</v>
      </c>
      <c r="B48" s="12" t="s">
        <v>44</v>
      </c>
      <c r="C48" s="12">
        <v>0</v>
      </c>
    </row>
    <row r="49" spans="1:3" x14ac:dyDescent="0.25">
      <c r="A49" t="s">
        <v>125</v>
      </c>
      <c r="B49" s="12" t="s">
        <v>45</v>
      </c>
      <c r="C49" s="12">
        <v>0</v>
      </c>
    </row>
    <row r="50" spans="1:3" x14ac:dyDescent="0.25">
      <c r="A50" t="s">
        <v>124</v>
      </c>
      <c r="B50" s="12" t="s">
        <v>46</v>
      </c>
      <c r="C50" s="12">
        <v>0</v>
      </c>
    </row>
    <row r="51" spans="1:3" x14ac:dyDescent="0.25">
      <c r="A51" t="s">
        <v>123</v>
      </c>
      <c r="B51" s="12" t="s">
        <v>47</v>
      </c>
      <c r="C51" s="12">
        <v>0</v>
      </c>
    </row>
    <row r="52" spans="1:3" x14ac:dyDescent="0.25">
      <c r="A52" t="s">
        <v>172</v>
      </c>
      <c r="B52" s="12" t="s">
        <v>48</v>
      </c>
      <c r="C52" s="12">
        <v>0</v>
      </c>
    </row>
    <row r="53" spans="1:3" x14ac:dyDescent="0.25">
      <c r="A53" t="s">
        <v>171</v>
      </c>
      <c r="B53" s="12" t="s">
        <v>49</v>
      </c>
      <c r="C53" s="12">
        <v>0</v>
      </c>
    </row>
    <row r="54" spans="1:3" x14ac:dyDescent="0.25">
      <c r="A54" t="s">
        <v>173</v>
      </c>
      <c r="B54" s="12" t="s">
        <v>50</v>
      </c>
      <c r="C54" s="12">
        <v>0</v>
      </c>
    </row>
    <row r="55" spans="1:3" x14ac:dyDescent="0.25">
      <c r="A55" t="s">
        <v>182</v>
      </c>
      <c r="B55" s="12" t="s">
        <v>51</v>
      </c>
      <c r="C55" s="12">
        <v>0</v>
      </c>
    </row>
    <row r="56" spans="1:3" x14ac:dyDescent="0.25">
      <c r="A56" t="s">
        <v>180</v>
      </c>
      <c r="B56" s="12" t="s">
        <v>52</v>
      </c>
      <c r="C56" s="12">
        <v>0</v>
      </c>
    </row>
    <row r="57" spans="1:3" x14ac:dyDescent="0.25">
      <c r="A57" t="s">
        <v>181</v>
      </c>
      <c r="B57" s="12" t="s">
        <v>53</v>
      </c>
      <c r="C57" s="12">
        <v>0</v>
      </c>
    </row>
    <row r="58" spans="1:3" x14ac:dyDescent="0.25">
      <c r="A58" t="s">
        <v>163</v>
      </c>
      <c r="B58" s="12" t="s">
        <v>54</v>
      </c>
      <c r="C58" s="12">
        <v>0</v>
      </c>
    </row>
    <row r="59" spans="1:3" x14ac:dyDescent="0.25">
      <c r="A59" t="s">
        <v>164</v>
      </c>
      <c r="B59" s="12" t="s">
        <v>55</v>
      </c>
      <c r="C59" s="12">
        <v>0</v>
      </c>
    </row>
    <row r="60" spans="1:3" x14ac:dyDescent="0.25">
      <c r="A60" t="s">
        <v>165</v>
      </c>
      <c r="B60" s="12" t="s">
        <v>56</v>
      </c>
      <c r="C60" s="12">
        <v>0</v>
      </c>
    </row>
    <row r="61" spans="1:3" x14ac:dyDescent="0.25">
      <c r="A61" t="s">
        <v>166</v>
      </c>
      <c r="B61" s="12" t="s">
        <v>57</v>
      </c>
      <c r="C61" s="12">
        <v>0</v>
      </c>
    </row>
    <row r="62" spans="1:3" x14ac:dyDescent="0.25">
      <c r="A62" t="s">
        <v>167</v>
      </c>
      <c r="B62" s="12" t="s">
        <v>58</v>
      </c>
      <c r="C62" s="12">
        <v>0</v>
      </c>
    </row>
    <row r="63" spans="1:3" x14ac:dyDescent="0.25">
      <c r="A63" t="s">
        <v>168</v>
      </c>
      <c r="B63" s="12" t="s">
        <v>59</v>
      </c>
      <c r="C63" s="12">
        <v>0</v>
      </c>
    </row>
    <row r="64" spans="1:3" x14ac:dyDescent="0.25">
      <c r="A64" t="s">
        <v>169</v>
      </c>
      <c r="B64" s="12" t="s">
        <v>60</v>
      </c>
      <c r="C64" s="12">
        <v>0</v>
      </c>
    </row>
    <row r="65" spans="1:4" x14ac:dyDescent="0.25">
      <c r="A65" t="s">
        <v>179</v>
      </c>
      <c r="B65" s="12" t="s">
        <v>61</v>
      </c>
      <c r="C65" s="12">
        <v>0</v>
      </c>
    </row>
    <row r="66" spans="1:4" x14ac:dyDescent="0.25">
      <c r="A66" t="s">
        <v>170</v>
      </c>
      <c r="B66" s="12" t="s">
        <v>62</v>
      </c>
      <c r="C66" s="12">
        <v>0</v>
      </c>
    </row>
    <row r="67" spans="1:4" x14ac:dyDescent="0.25">
      <c r="A67" t="s">
        <v>133</v>
      </c>
      <c r="B67" t="s">
        <v>63</v>
      </c>
      <c r="C67">
        <v>0</v>
      </c>
    </row>
    <row r="68" spans="1:4" x14ac:dyDescent="0.25">
      <c r="A68" t="s">
        <v>134</v>
      </c>
      <c r="B68" t="s">
        <v>64</v>
      </c>
      <c r="C68">
        <v>0</v>
      </c>
    </row>
    <row r="69" spans="1:4" x14ac:dyDescent="0.25">
      <c r="A69" t="s">
        <v>135</v>
      </c>
      <c r="B69" t="s">
        <v>65</v>
      </c>
      <c r="C69">
        <v>0</v>
      </c>
    </row>
    <row r="70" spans="1:4" x14ac:dyDescent="0.25">
      <c r="A70" t="s">
        <v>137</v>
      </c>
      <c r="B70" t="s">
        <v>66</v>
      </c>
      <c r="C70">
        <v>0</v>
      </c>
    </row>
    <row r="71" spans="1:4" x14ac:dyDescent="0.25">
      <c r="A71" t="s">
        <v>136</v>
      </c>
      <c r="B71" t="s">
        <v>67</v>
      </c>
      <c r="C71" s="1">
        <v>101943.74999999789</v>
      </c>
      <c r="D71" s="1">
        <f>D72+D73</f>
        <v>101943.74999999936</v>
      </c>
    </row>
    <row r="72" spans="1:4" x14ac:dyDescent="0.25">
      <c r="A72" t="s">
        <v>141</v>
      </c>
      <c r="B72" t="s">
        <v>68</v>
      </c>
      <c r="C72" s="1">
        <v>22799.999999999727</v>
      </c>
      <c r="D72" s="1">
        <f>D44</f>
        <v>22799.999999999727</v>
      </c>
    </row>
    <row r="73" spans="1:4" x14ac:dyDescent="0.25">
      <c r="A73" t="s">
        <v>142</v>
      </c>
      <c r="B73" t="s">
        <v>69</v>
      </c>
      <c r="C73" s="1">
        <v>79143.749999998166</v>
      </c>
      <c r="D73" s="1">
        <f>D15</f>
        <v>79143.749999999636</v>
      </c>
    </row>
    <row r="74" spans="1:4" x14ac:dyDescent="0.25">
      <c r="A74" t="s">
        <v>143</v>
      </c>
      <c r="B74" t="s">
        <v>70</v>
      </c>
      <c r="C74">
        <v>0</v>
      </c>
    </row>
    <row r="75" spans="1:4" x14ac:dyDescent="0.25">
      <c r="A75" t="s">
        <v>140</v>
      </c>
      <c r="B75" t="s">
        <v>71</v>
      </c>
      <c r="C75">
        <v>0</v>
      </c>
    </row>
    <row r="76" spans="1:4" x14ac:dyDescent="0.25">
      <c r="A76" t="s">
        <v>139</v>
      </c>
      <c r="B76" t="s">
        <v>72</v>
      </c>
      <c r="C76">
        <v>0</v>
      </c>
    </row>
    <row r="77" spans="1:4" x14ac:dyDescent="0.25">
      <c r="A77" t="s">
        <v>138</v>
      </c>
      <c r="B77" t="s">
        <v>73</v>
      </c>
      <c r="C77">
        <v>0</v>
      </c>
    </row>
    <row r="78" spans="1:4" x14ac:dyDescent="0.25">
      <c r="A78" t="s">
        <v>74</v>
      </c>
      <c r="B78" t="s">
        <v>74</v>
      </c>
      <c r="C78" s="14">
        <v>96.352863368554324</v>
      </c>
    </row>
    <row r="79" spans="1:4" x14ac:dyDescent="0.25">
      <c r="A79" t="s">
        <v>162</v>
      </c>
      <c r="B79" t="s">
        <v>75</v>
      </c>
      <c r="C79" s="1">
        <v>1575</v>
      </c>
      <c r="D79" s="3">
        <f>D80</f>
        <v>1575</v>
      </c>
    </row>
    <row r="80" spans="1:4" x14ac:dyDescent="0.25">
      <c r="A80" t="s">
        <v>161</v>
      </c>
      <c r="B80" t="s">
        <v>76</v>
      </c>
      <c r="C80" s="1">
        <v>1575</v>
      </c>
      <c r="D80" s="3">
        <f>D81/100</f>
        <v>1575</v>
      </c>
    </row>
    <row r="81" spans="1:4" x14ac:dyDescent="0.25">
      <c r="A81" t="s">
        <v>160</v>
      </c>
      <c r="B81" t="s">
        <v>77</v>
      </c>
      <c r="C81" s="1">
        <v>157500</v>
      </c>
      <c r="D81" s="1">
        <f>-C7*2500</f>
        <v>157500</v>
      </c>
    </row>
    <row r="82" spans="1:4" x14ac:dyDescent="0.25">
      <c r="A82" t="s">
        <v>159</v>
      </c>
      <c r="B82" t="s">
        <v>78</v>
      </c>
      <c r="C82" s="1">
        <v>-15172368.75</v>
      </c>
    </row>
    <row r="83" spans="1:4" x14ac:dyDescent="0.25">
      <c r="A83" t="s">
        <v>158</v>
      </c>
      <c r="B83" t="s">
        <v>79</v>
      </c>
      <c r="C83">
        <v>0</v>
      </c>
      <c r="D83" s="15"/>
    </row>
    <row r="84" spans="1:4" x14ac:dyDescent="0.25">
      <c r="A84" t="s">
        <v>157</v>
      </c>
      <c r="B84" t="s">
        <v>80</v>
      </c>
      <c r="C84">
        <v>0</v>
      </c>
    </row>
    <row r="85" spans="1:4" x14ac:dyDescent="0.25">
      <c r="A85" t="s">
        <v>156</v>
      </c>
      <c r="B85" t="s">
        <v>81</v>
      </c>
      <c r="C85">
        <v>0</v>
      </c>
    </row>
    <row r="86" spans="1:4" x14ac:dyDescent="0.25">
      <c r="A86" t="s">
        <v>155</v>
      </c>
      <c r="B86" t="s">
        <v>82</v>
      </c>
      <c r="C86" s="1">
        <v>157500</v>
      </c>
    </row>
    <row r="87" spans="1:4" x14ac:dyDescent="0.25">
      <c r="A87" t="s">
        <v>154</v>
      </c>
      <c r="B87" t="s">
        <v>83</v>
      </c>
      <c r="C87" s="1">
        <v>-393.75</v>
      </c>
    </row>
    <row r="88" spans="1:4" x14ac:dyDescent="0.25">
      <c r="A88" t="s">
        <v>152</v>
      </c>
      <c r="B88" t="s">
        <v>84</v>
      </c>
      <c r="C88" s="1">
        <v>393.74999999816646</v>
      </c>
      <c r="D88" s="3"/>
    </row>
    <row r="89" spans="1:4" x14ac:dyDescent="0.25">
      <c r="A89" t="s">
        <v>151</v>
      </c>
      <c r="B89" t="s">
        <v>85</v>
      </c>
      <c r="C89" s="1">
        <v>393.74999999816646</v>
      </c>
    </row>
    <row r="90" spans="1:4" x14ac:dyDescent="0.25">
      <c r="A90" t="s">
        <v>153</v>
      </c>
      <c r="B90" t="s">
        <v>86</v>
      </c>
      <c r="C90" s="1">
        <v>67506.250000000655</v>
      </c>
    </row>
    <row r="91" spans="1:4" x14ac:dyDescent="0.25">
      <c r="A91" t="s">
        <v>186</v>
      </c>
      <c r="B91" t="s">
        <v>87</v>
      </c>
      <c r="C91">
        <v>0</v>
      </c>
    </row>
    <row r="92" spans="1:4" x14ac:dyDescent="0.25">
      <c r="A92" t="s">
        <v>185</v>
      </c>
      <c r="B92" t="s">
        <v>88</v>
      </c>
      <c r="C92">
        <v>0</v>
      </c>
    </row>
    <row r="93" spans="1:4" x14ac:dyDescent="0.25">
      <c r="B93" t="s">
        <v>89</v>
      </c>
      <c r="C93">
        <v>0</v>
      </c>
    </row>
    <row r="94" spans="1:4" x14ac:dyDescent="0.25">
      <c r="A94" t="s">
        <v>187</v>
      </c>
      <c r="B94" t="s">
        <v>90</v>
      </c>
      <c r="C94">
        <v>0</v>
      </c>
    </row>
    <row r="95" spans="1:4" x14ac:dyDescent="0.25">
      <c r="B95" t="s">
        <v>91</v>
      </c>
      <c r="C95">
        <v>0</v>
      </c>
    </row>
    <row r="96" spans="1:4" x14ac:dyDescent="0.25">
      <c r="B96" t="s">
        <v>92</v>
      </c>
      <c r="C96">
        <v>0</v>
      </c>
    </row>
    <row r="97" spans="1:3" x14ac:dyDescent="0.25">
      <c r="A97" t="s">
        <v>188</v>
      </c>
      <c r="B97" t="s">
        <v>93</v>
      </c>
      <c r="C97">
        <v>0</v>
      </c>
    </row>
    <row r="98" spans="1:3" x14ac:dyDescent="0.25">
      <c r="A98" t="s">
        <v>189</v>
      </c>
      <c r="B98" t="s">
        <v>94</v>
      </c>
      <c r="C98">
        <v>0</v>
      </c>
    </row>
    <row r="99" spans="1:3" x14ac:dyDescent="0.25">
      <c r="A99" t="s">
        <v>95</v>
      </c>
      <c r="B99" t="s">
        <v>95</v>
      </c>
      <c r="C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10FF-84E9-4F22-9626-F1F764E1609F}">
  <dimension ref="B1:AA114"/>
  <sheetViews>
    <sheetView workbookViewId="0">
      <selection activeCell="G7" sqref="G7"/>
    </sheetView>
  </sheetViews>
  <sheetFormatPr defaultRowHeight="15" x14ac:dyDescent="0.25"/>
  <cols>
    <col min="3" max="4" width="9.42578125" bestFit="1" customWidth="1"/>
    <col min="5" max="5" width="10.7109375" bestFit="1" customWidth="1"/>
    <col min="7" max="7" width="13.85546875" bestFit="1" customWidth="1"/>
    <col min="8" max="8" width="14.28515625" bestFit="1" customWidth="1"/>
    <col min="9" max="9" width="9.42578125" bestFit="1" customWidth="1"/>
    <col min="12" max="12" width="32.85546875" customWidth="1"/>
    <col min="13" max="13" width="12" bestFit="1" customWidth="1"/>
    <col min="16" max="16" width="15" bestFit="1" customWidth="1"/>
  </cols>
  <sheetData>
    <row r="1" spans="2:27" x14ac:dyDescent="0.25">
      <c r="L1">
        <v>1</v>
      </c>
    </row>
    <row r="2" spans="2:27" x14ac:dyDescent="0.25">
      <c r="G2" t="str">
        <f>'GILT Bond at 04-22'!D101</f>
        <v>ctx.46134.chjkh</v>
      </c>
      <c r="K2" cm="1">
        <f t="array" ref="K2">_xll.qwCurvePrice('GILT Bond at 04-22'!D101,E7,G3)</f>
        <v>74.225501173046254</v>
      </c>
      <c r="O2">
        <f>SUM(M:M)</f>
        <v>74.472619225218381</v>
      </c>
    </row>
    <row r="3" spans="2:27" x14ac:dyDescent="0.25">
      <c r="G3" t="str" cm="1">
        <f t="array" ref="G3">_xll.qwRelevantCurve('GILT Bond at 04-22'!D101,'GILT Bond at 04-22'!D5)</f>
        <v>GB00BLPK7334</v>
      </c>
    </row>
    <row r="4" spans="2:27" x14ac:dyDescent="0.25">
      <c r="G4" cm="1">
        <f t="array" ref="G4">_xll.qwCurveCouponYieldImpact('GILT Bond at 04-22'!D101,E7,G3)</f>
        <v>-1.7772183994239216E-4</v>
      </c>
    </row>
    <row r="5" spans="2:27" x14ac:dyDescent="0.25">
      <c r="B5" s="70" cm="1">
        <f t="array" ref="B5">_xll.qwCurveYield('GILT Bond at 04-22'!D101,E7,'GILT Bond at 04-22'!D5)</f>
        <v>3.6707024849902278E-2</v>
      </c>
      <c r="G5">
        <f>'GILT Bond at 04-22'!B8</f>
        <v>155300000</v>
      </c>
      <c r="O5" s="71"/>
      <c r="AA5" t="s">
        <v>219</v>
      </c>
    </row>
    <row r="6" spans="2:27" x14ac:dyDescent="0.25">
      <c r="G6" s="4" cm="1">
        <f t="array" ref="G6">_xll.qwBondDV01Calc(G3,'GILT Bond at 04-22'!D1,'GILT Bond at 04-22'!B92)</f>
        <v>7.1335563234242727E-2</v>
      </c>
      <c r="H6" s="1">
        <f>G6*G5</f>
        <v>11078412.970277896</v>
      </c>
      <c r="AA6" t="str" cm="1">
        <f t="array" ref="AA6:AA36">_xll.qwCurveBenchmarks('GILT Bond at 04-22'!D101,AA5)</f>
        <v>BPSWS1Z</v>
      </c>
    </row>
    <row r="7" spans="2:27" x14ac:dyDescent="0.25">
      <c r="E7" t="str" cm="1">
        <f t="array" ref="E7">_xll.qwCurveNew('GILT Bond at 04-22'!D101,"SoniaSwap",_xlfn.ANCHORARRAY(AA6))</f>
        <v>CRV.SONIASWAP</v>
      </c>
      <c r="G7" cm="1">
        <f t="array" ref="G7">_xll.qwCurveZSpread('GILT Bond at 04-22'!D101,E7,'GILT Bond at 04-22'!D5)*0</f>
        <v>0</v>
      </c>
      <c r="K7" cm="1">
        <f t="array" ref="K7">_xll.qwBondAccruedInterest(G2,'GILT Bond at 04-22'!D5)</f>
        <v>0.25483425414365968</v>
      </c>
      <c r="P7" s="70"/>
      <c r="AA7" t="str">
        <v>BPSWS2Z</v>
      </c>
    </row>
    <row r="8" spans="2:27" x14ac:dyDescent="0.25">
      <c r="P8" s="1"/>
      <c r="AA8" t="str">
        <v>BPSWSA</v>
      </c>
    </row>
    <row r="9" spans="2:27" x14ac:dyDescent="0.25">
      <c r="K9" cm="1">
        <f t="array" ref="K9">_xll.qwBondDirtyPrice(G2,'GILT Bond at 04-22'!D5)</f>
        <v>63.078834254149101</v>
      </c>
      <c r="AA9" t="str">
        <v>BPSWSB</v>
      </c>
    </row>
    <row r="10" spans="2:27" x14ac:dyDescent="0.25">
      <c r="AA10" t="str">
        <v>BPSWSC</v>
      </c>
    </row>
    <row r="11" spans="2:27" x14ac:dyDescent="0.25">
      <c r="AA11" t="str">
        <v>BPSWSD</v>
      </c>
    </row>
    <row r="12" spans="2:27" x14ac:dyDescent="0.25">
      <c r="C12" s="2">
        <f>'GILT Bond at 04-22'!D1</f>
        <v>46134</v>
      </c>
      <c r="D12" cm="1">
        <f t="array" ref="D12">_xll.qwCurveDF('GILT Bond at 04-22'!$D$101,$E$7,$C$12,C12)</f>
        <v>1</v>
      </c>
      <c r="E12" cm="1">
        <f t="array" ref="E12">_xll.qwCurveRateZero('GILT Bond at 04-22'!$D$101,$E$7,$C$14,C12)</f>
        <v>3.7812233423472064E-2</v>
      </c>
      <c r="AA12" t="str">
        <v>BPSWSE</v>
      </c>
    </row>
    <row r="13" spans="2:27" x14ac:dyDescent="0.25">
      <c r="C13" s="2">
        <f>C12+1</f>
        <v>46135</v>
      </c>
      <c r="D13" cm="1">
        <f t="array" ref="D13">_xll.qwCurveDF('GILT Bond at 04-22'!$D$101,$E$7,$C$12,C13)</f>
        <v>0.99989639947340103</v>
      </c>
      <c r="E13" cm="1">
        <f t="array" ref="E13">_xll.qwCurveRateZero('GILT Bond at 04-22'!$D$101,$E$7,$C$14,C13)</f>
        <v>3.7814192208542319E-2</v>
      </c>
      <c r="F13" cm="1">
        <f t="array" ref="F13">_xll.qwCurveSpreadSet('GILT Bond at 04-22'!D101,E7,C13,C21,G7)</f>
        <v>0</v>
      </c>
      <c r="I13" s="2" cm="1">
        <f t="array" ref="I13:J39">_xll.qwCashFlows('GILT Bond at 04-22'!D101,'GILT Bond at 04-22'!D5)</f>
        <v>46135</v>
      </c>
      <c r="J13">
        <v>-63.078834254149101</v>
      </c>
      <c r="AA13" t="str">
        <v>BPSWSF</v>
      </c>
    </row>
    <row r="14" spans="2:27" x14ac:dyDescent="0.25">
      <c r="C14" s="2">
        <f>C13+1</f>
        <v>46136</v>
      </c>
      <c r="D14" cm="1">
        <f t="array" ref="D14">_xll.qwCurveDF('GILT Bond at 04-22'!$D$101,$E$7,$C$12,C14)</f>
        <v>0.99979280967987127</v>
      </c>
      <c r="E14" t="e" cm="1">
        <f t="array" ref="E14">_xll.qwCurveRateZero('GILT Bond at 04-22'!$D$101,$E$7,$C$14,C14)</f>
        <v>#NUM!</v>
      </c>
      <c r="I14" s="2">
        <v>46234</v>
      </c>
      <c r="J14">
        <v>0.5625</v>
      </c>
      <c r="K14" cm="1">
        <f t="array" ref="K14">_xll.qwCurveRateZero('GILT Bond at 04-22'!$D$101,$E$7,$C$12,I14)</f>
        <v>3.8913359810042028E-2</v>
      </c>
      <c r="L14">
        <f>1/(1+(K14+$G$7/10000)*(I14-$C$12)/365)</f>
        <v>0.98945126761880742</v>
      </c>
      <c r="M14">
        <f>L14*J14</f>
        <v>0.5565663380355792</v>
      </c>
      <c r="AA14" t="str">
        <v>BPSWSG</v>
      </c>
    </row>
    <row r="15" spans="2:27" x14ac:dyDescent="0.25">
      <c r="C15" s="2">
        <f t="shared" ref="C15:C27" si="0">C14+1</f>
        <v>46137</v>
      </c>
      <c r="D15" cm="1">
        <f t="array" ref="D15">_xll.qwCurveDF('GILT Bond at 04-22'!$D$101,$E$7,$C$12,C15)</f>
        <v>0.99968923061829862</v>
      </c>
      <c r="E15" cm="1">
        <f t="array" ref="E15">_xll.qwCurveRateZero('GILT Bond at 04-22'!$D$101,$E$7,$C$14,C15)</f>
        <v>3.7818110184765219E-2</v>
      </c>
      <c r="I15" s="2">
        <v>46419</v>
      </c>
      <c r="J15">
        <v>0.5625</v>
      </c>
      <c r="K15" cm="1">
        <f t="array" ref="K15">_xll.qwCurveRateZero('GILT Bond at 04-22'!$D$101,$E$7,$C$12,I15)</f>
        <v>4.1431095906785675E-2</v>
      </c>
      <c r="L15">
        <f t="shared" ref="L15:L39" si="1">1/(1+(K15+$G$7/10000)*(I15-$C$12)/365)</f>
        <v>0.968663439610012</v>
      </c>
      <c r="M15">
        <f t="shared" ref="M15:M37" si="2">L15*J15</f>
        <v>0.54487318478063174</v>
      </c>
      <c r="AA15" t="str">
        <v>BPSWSH</v>
      </c>
    </row>
    <row r="16" spans="2:27" x14ac:dyDescent="0.25">
      <c r="C16" s="2">
        <f t="shared" si="0"/>
        <v>46138</v>
      </c>
      <c r="D16" cm="1">
        <f t="array" ref="D16">_xll.qwCurveDF('GILT Bond at 04-22'!$D$101,$E$7,$C$12,C16)</f>
        <v>0.99958566228757129</v>
      </c>
      <c r="E16" cm="1">
        <f t="array" ref="E16">_xll.qwCurveRateZero('GILT Bond at 04-22'!$D$101,$E$7,$C$14,C16)</f>
        <v>3.7820069375755772E-2</v>
      </c>
      <c r="I16" s="2">
        <v>46601</v>
      </c>
      <c r="J16">
        <v>0.5625</v>
      </c>
      <c r="K16" cm="1">
        <f t="array" ref="K16">_xll.qwCurveRateZero('GILT Bond at 04-22'!$D$101,$E$7,$C$12,I16)</f>
        <v>4.2130750415876737E-2</v>
      </c>
      <c r="L16">
        <f t="shared" si="1"/>
        <v>0.94885277870238294</v>
      </c>
      <c r="M16">
        <f t="shared" si="2"/>
        <v>0.53372968802009035</v>
      </c>
      <c r="AA16" t="str">
        <v>BPSWSI</v>
      </c>
    </row>
    <row r="17" spans="3:27" x14ac:dyDescent="0.25">
      <c r="C17" s="2">
        <f t="shared" si="0"/>
        <v>46139</v>
      </c>
      <c r="D17" cm="1">
        <f t="array" ref="D17">_xll.qwCurveDF('GILT Bond at 04-22'!$D$101,$E$7,$C$12,C17)</f>
        <v>0.99948210468657761</v>
      </c>
      <c r="E17" cm="1">
        <f t="array" ref="E17">_xll.qwCurveRateZero('GILT Bond at 04-22'!$D$101,$E$7,$C$14,C17)</f>
        <v>3.7822028702147646E-2</v>
      </c>
      <c r="I17" s="2">
        <v>46783</v>
      </c>
      <c r="J17">
        <v>0.5625</v>
      </c>
      <c r="K17" cm="1">
        <f t="array" ref="K17">_xll.qwCurveRateZero('GILT Bond at 04-22'!$D$101,$E$7,$C$12,I17)</f>
        <v>4.2225556790218936E-2</v>
      </c>
      <c r="L17">
        <f t="shared" si="1"/>
        <v>0.93016289493784976</v>
      </c>
      <c r="M17">
        <f t="shared" si="2"/>
        <v>0.52321662840254046</v>
      </c>
      <c r="AA17" t="str">
        <v>BPSWSJ</v>
      </c>
    </row>
    <row r="18" spans="3:27" x14ac:dyDescent="0.25">
      <c r="C18" s="2">
        <f t="shared" si="0"/>
        <v>46140</v>
      </c>
      <c r="D18" cm="1">
        <f t="array" ref="D18">_xll.qwCurveDF('GILT Bond at 04-22'!$D$101,$E$7,$C$12,C18)</f>
        <v>0.99937855781420593</v>
      </c>
      <c r="E18" cm="1">
        <f t="array" ref="E18">_xll.qwCurveRateZero('GILT Bond at 04-22'!$D$101,$E$7,$C$14,C18)</f>
        <v>3.7823988163839528E-2</v>
      </c>
      <c r="I18" s="2">
        <v>46965</v>
      </c>
      <c r="J18">
        <v>0.5625</v>
      </c>
      <c r="K18" cm="1">
        <f t="array" ref="K18">_xll.qwCurveRateZero('GILT Bond at 04-22'!$D$101,$E$7,$C$12,I18)</f>
        <v>4.2091067135462304E-2</v>
      </c>
      <c r="L18">
        <f t="shared" si="1"/>
        <v>0.91255092766596779</v>
      </c>
      <c r="M18">
        <f t="shared" si="2"/>
        <v>0.51330989681210692</v>
      </c>
      <c r="AA18" t="str">
        <v>BPSWSK</v>
      </c>
    </row>
    <row r="19" spans="3:27" x14ac:dyDescent="0.25">
      <c r="C19" s="2">
        <f t="shared" si="0"/>
        <v>46141</v>
      </c>
      <c r="D19" cm="1">
        <f t="array" ref="D19">_xll.qwCurveDF('GILT Bond at 04-22'!$D$101,$E$7,$C$12,C19)</f>
        <v>0.99927502166934468</v>
      </c>
      <c r="E19" cm="1">
        <f t="array" ref="E19">_xll.qwCurveRateZero('GILT Bond at 04-22'!$D$101,$E$7,$C$14,C19)</f>
        <v>3.7825947760908418E-2</v>
      </c>
      <c r="I19" s="2">
        <v>47149</v>
      </c>
      <c r="J19">
        <v>0.5625</v>
      </c>
      <c r="K19" cm="1">
        <f t="array" ref="K19">_xll.qwCurveRateZero('GILT Bond at 04-22'!$D$101,$E$7,$C$12,I19)</f>
        <v>4.1970377084365712E-2</v>
      </c>
      <c r="L19">
        <f t="shared" si="1"/>
        <v>0.89548591813007272</v>
      </c>
      <c r="M19">
        <f t="shared" si="2"/>
        <v>0.50371082894816588</v>
      </c>
      <c r="AA19" t="str">
        <v>BPSWS1</v>
      </c>
    </row>
    <row r="20" spans="3:27" x14ac:dyDescent="0.25">
      <c r="C20" s="2">
        <f t="shared" si="0"/>
        <v>46142</v>
      </c>
      <c r="D20" cm="1">
        <f t="array" ref="D20">_xll.qwCurveDF('GILT Bond at 04-22'!$D$101,$E$7,$C$12,C20)</f>
        <v>0.99917151769479318</v>
      </c>
      <c r="E20" cm="1">
        <f t="array" ref="E20">_xll.qwCurveRateZero('GILT Bond at 04-22'!$D$101,$E$7,$C$14,C20)</f>
        <v>3.7826601095263819E-2</v>
      </c>
      <c r="I20" s="2">
        <v>47330</v>
      </c>
      <c r="J20">
        <v>0.5625</v>
      </c>
      <c r="K20" cm="1">
        <f t="array" ref="K20">_xll.qwCurveRateZero('GILT Bond at 04-22'!$D$101,$E$7,$C$12,I20)</f>
        <v>4.1914627619780147E-2</v>
      </c>
      <c r="L20">
        <f t="shared" si="1"/>
        <v>0.8792428700478343</v>
      </c>
      <c r="M20">
        <f t="shared" si="2"/>
        <v>0.49457411440190679</v>
      </c>
      <c r="AA20" t="str">
        <v>BPSWS1F</v>
      </c>
    </row>
    <row r="21" spans="3:27" x14ac:dyDescent="0.25">
      <c r="C21" s="2">
        <f t="shared" si="0"/>
        <v>46143</v>
      </c>
      <c r="D21" cm="1">
        <f t="array" ref="D21">_xll.qwCurveDF('GILT Bond at 04-22'!$D$101,$E$7,$C$12,C21)</f>
        <v>0.99906802444108689</v>
      </c>
      <c r="E21" cm="1">
        <f t="array" ref="E21">_xll.qwCurveRateZero('GILT Bond at 04-22'!$D$101,$E$7,$C$14,C21)</f>
        <v>3.7827627589544104E-2</v>
      </c>
      <c r="I21" s="2">
        <v>47514</v>
      </c>
      <c r="J21">
        <v>0.5625</v>
      </c>
      <c r="K21" cm="1">
        <f t="array" ref="K21">_xll.qwCurveRateZero('GILT Bond at 04-22'!$D$101,$E$7,$C$12,I21)</f>
        <v>4.1909591856292581E-2</v>
      </c>
      <c r="L21">
        <f t="shared" si="1"/>
        <v>0.86322039476979406</v>
      </c>
      <c r="M21">
        <f t="shared" si="2"/>
        <v>0.48556147205800915</v>
      </c>
      <c r="AA21" t="str">
        <v>BPSWS2</v>
      </c>
    </row>
    <row r="22" spans="3:27" x14ac:dyDescent="0.25">
      <c r="C22" s="2">
        <f t="shared" si="0"/>
        <v>46144</v>
      </c>
      <c r="D22" cm="1">
        <f t="array" ref="D22">_xll.qwCurveDF('GILT Bond at 04-22'!$D$101,$E$7,$C$12,C22)</f>
        <v>0.99896372506834374</v>
      </c>
      <c r="E22" cm="1">
        <f t="array" ref="E22">_xll.qwCurveRateZero('GILT Bond at 04-22'!$D$101,$E$7,$C$14,C22)</f>
        <v>3.7866225220898053E-2</v>
      </c>
      <c r="I22" s="2">
        <v>47695</v>
      </c>
      <c r="J22">
        <v>0.5625</v>
      </c>
      <c r="K22" cm="1">
        <f t="array" ref="K22">_xll.qwCurveRateZero('GILT Bond at 04-22'!$D$101,$E$7,$C$12,I22)</f>
        <v>4.1969624977017131E-2</v>
      </c>
      <c r="L22">
        <f t="shared" si="1"/>
        <v>0.84782261290485705</v>
      </c>
      <c r="M22">
        <f t="shared" si="2"/>
        <v>0.47690021975898211</v>
      </c>
      <c r="AA22" t="str">
        <v>BPSWS3</v>
      </c>
    </row>
    <row r="23" spans="3:27" x14ac:dyDescent="0.25">
      <c r="C23" s="2">
        <f t="shared" si="0"/>
        <v>46145</v>
      </c>
      <c r="D23" cm="1">
        <f t="array" ref="D23">_xll.qwCurveDF('GILT Bond at 04-22'!$D$101,$E$7,$C$12,C23)</f>
        <v>0.99885943658410759</v>
      </c>
      <c r="E23" cm="1">
        <f t="array" ref="E23">_xll.qwCurveRateZero('GILT Bond at 04-22'!$D$101,$E$7,$C$14,C23)</f>
        <v>3.7896688015242042E-2</v>
      </c>
      <c r="I23" s="2">
        <v>47879</v>
      </c>
      <c r="J23">
        <v>0.5625</v>
      </c>
      <c r="K23" cm="1">
        <f t="array" ref="K23">_xll.qwCurveRateZero('GILT Bond at 04-22'!$D$101,$E$7,$C$12,I23)</f>
        <v>4.2080649000346443E-2</v>
      </c>
      <c r="L23">
        <f t="shared" si="1"/>
        <v>0.83251463216104304</v>
      </c>
      <c r="M23">
        <f t="shared" si="2"/>
        <v>0.46828948059058673</v>
      </c>
      <c r="AA23" t="str">
        <v>BPSWS4</v>
      </c>
    </row>
    <row r="24" spans="3:27" x14ac:dyDescent="0.25">
      <c r="C24" s="2">
        <f t="shared" si="0"/>
        <v>46146</v>
      </c>
      <c r="D24" cm="1">
        <f t="array" ref="D24">_xll.qwCurveDF('GILT Bond at 04-22'!$D$101,$E$7,$C$12,C24)</f>
        <v>0.99875515898724165</v>
      </c>
      <c r="E24" cm="1">
        <f t="array" ref="E24">_xll.qwCurveRateZero('GILT Bond at 04-22'!$D$101,$E$7,$C$14,C24)</f>
        <v>3.7921456465255798E-2</v>
      </c>
      <c r="I24" s="2">
        <v>48060</v>
      </c>
      <c r="J24">
        <v>0.5625</v>
      </c>
      <c r="K24" cm="1">
        <f t="array" ref="K24">_xll.qwCurveRateZero('GILT Bond at 04-22'!$D$101,$E$7,$C$12,I24)</f>
        <v>4.2234784786320319E-2</v>
      </c>
      <c r="L24">
        <f t="shared" si="1"/>
        <v>0.81775455731509583</v>
      </c>
      <c r="M24">
        <f t="shared" si="2"/>
        <v>0.45998693848974143</v>
      </c>
      <c r="AA24" t="str">
        <v>BPSWS5</v>
      </c>
    </row>
    <row r="25" spans="3:27" x14ac:dyDescent="0.25">
      <c r="C25" s="2">
        <f t="shared" si="0"/>
        <v>46147</v>
      </c>
      <c r="D25" cm="1">
        <f t="array" ref="D25">_xll.qwCurveDF('GILT Bond at 04-22'!$D$101,$E$7,$C$12,C25)</f>
        <v>0.99865089227660941</v>
      </c>
      <c r="E25" cm="1">
        <f t="array" ref="E25">_xll.qwCurveRateZero('GILT Bond at 04-22'!$D$101,$E$7,$C$14,C25)</f>
        <v>3.7942083611728149E-2</v>
      </c>
      <c r="I25" s="2">
        <v>48246</v>
      </c>
      <c r="J25">
        <v>0.5625</v>
      </c>
      <c r="K25" cm="1">
        <f t="array" ref="K25">_xll.qwCurveRateZero('GILT Bond at 04-22'!$D$101,$E$7,$C$12,I25)</f>
        <v>4.2429853292685102E-2</v>
      </c>
      <c r="L25">
        <f t="shared" si="1"/>
        <v>0.80288272264841942</v>
      </c>
      <c r="M25">
        <f t="shared" si="2"/>
        <v>0.45162153148973594</v>
      </c>
      <c r="AA25" t="str">
        <v>BPSWS6</v>
      </c>
    </row>
    <row r="26" spans="3:27" x14ac:dyDescent="0.25">
      <c r="C26" s="2">
        <f t="shared" si="0"/>
        <v>46148</v>
      </c>
      <c r="D26" cm="1">
        <f t="array" ref="D26">_xll.qwCurveDF('GILT Bond at 04-22'!$D$101,$E$7,$C$12,C26)</f>
        <v>0.99854663645107433</v>
      </c>
      <c r="E26" cm="1">
        <f t="array" ref="E26">_xll.qwCurveRateZero('GILT Bond at 04-22'!$D$101,$E$7,$C$14,C26)</f>
        <v>3.7959604815211996E-2</v>
      </c>
      <c r="I26" s="2">
        <v>48428</v>
      </c>
      <c r="J26">
        <v>0.5625</v>
      </c>
      <c r="K26" cm="1">
        <f t="array" ref="K26">_xll.qwCurveRateZero('GILT Bond at 04-22'!$D$101,$E$7,$C$12,I26)</f>
        <v>4.2650772737692168E-2</v>
      </c>
      <c r="L26">
        <f t="shared" si="1"/>
        <v>0.78860796779267395</v>
      </c>
      <c r="M26">
        <f t="shared" si="2"/>
        <v>0.44359198188337912</v>
      </c>
      <c r="AA26" t="str">
        <v>BPSWS7</v>
      </c>
    </row>
    <row r="27" spans="3:27" x14ac:dyDescent="0.25">
      <c r="C27" s="2">
        <f t="shared" si="0"/>
        <v>46149</v>
      </c>
      <c r="D27" cm="1">
        <f t="array" ref="D27">_xll.qwCurveDF('GILT Bond at 04-22'!$D$101,$E$7,$C$12,C27)</f>
        <v>0.99844254653412512</v>
      </c>
      <c r="E27" cm="1">
        <f t="array" ref="E27">_xll.qwCurveRateZero('GILT Bond at 04-22'!$D$101,$E$7,$C$14,C27)</f>
        <v>3.7970371563513371E-2</v>
      </c>
      <c r="I27" s="2">
        <v>48610</v>
      </c>
      <c r="J27">
        <v>0.5625</v>
      </c>
      <c r="K27" cm="1">
        <f t="array" ref="K27">_xll.qwCurveRateZero('GILT Bond at 04-22'!$D$101,$E$7,$C$12,I27)</f>
        <v>4.2896455238509185E-2</v>
      </c>
      <c r="L27">
        <f t="shared" si="1"/>
        <v>0.77459888944185307</v>
      </c>
      <c r="M27">
        <f t="shared" si="2"/>
        <v>0.43571187531104233</v>
      </c>
      <c r="AA27" t="str">
        <v>BPSWS8</v>
      </c>
    </row>
    <row r="28" spans="3:27" x14ac:dyDescent="0.25">
      <c r="C28" s="2">
        <f>I39</f>
        <v>50801</v>
      </c>
      <c r="D28" cm="1">
        <f t="array" ref="D28">_xll.qwCurveDF('GILT Bond at 04-22'!$D$101,$E$7,$C$12,C28)</f>
        <v>0.6290947300392663</v>
      </c>
      <c r="E28" cm="1">
        <f t="array" ref="E28">_xll.qwCurveRateZero('GILT Bond at 04-22'!$D$101,$E$7,$C$14,C28)</f>
        <v>4.610473238516926E-2</v>
      </c>
      <c r="I28" s="2">
        <v>48792</v>
      </c>
      <c r="J28">
        <v>0.5625</v>
      </c>
      <c r="K28" cm="1">
        <f t="array" ref="K28">_xll.qwCurveRateZero('GILT Bond at 04-22'!$D$101,$E$7,$C$12,I28)</f>
        <v>4.3160592713524931E-2</v>
      </c>
      <c r="L28">
        <f t="shared" si="1"/>
        <v>0.76085914520203823</v>
      </c>
      <c r="M28">
        <f t="shared" si="2"/>
        <v>0.42798326917614649</v>
      </c>
      <c r="AA28" t="str">
        <v>BPSWS9</v>
      </c>
    </row>
    <row r="29" spans="3:27" x14ac:dyDescent="0.25">
      <c r="C29" s="2"/>
      <c r="I29" s="2">
        <v>48975</v>
      </c>
      <c r="J29">
        <v>0.5625</v>
      </c>
      <c r="K29" cm="1">
        <f t="array" ref="K29">_xll.qwCurveRateZero('GILT Bond at 04-22'!$D$101,$E$7,$C$12,I29)</f>
        <v>4.344286490860412E-2</v>
      </c>
      <c r="L29">
        <f t="shared" si="1"/>
        <v>0.74730584081929219</v>
      </c>
      <c r="M29">
        <f t="shared" si="2"/>
        <v>0.42035953546085186</v>
      </c>
      <c r="AA29" t="str">
        <v>BPSWS10</v>
      </c>
    </row>
    <row r="30" spans="3:27" x14ac:dyDescent="0.25">
      <c r="C30" s="2"/>
      <c r="I30" s="2">
        <v>49156</v>
      </c>
      <c r="J30">
        <v>0.5625</v>
      </c>
      <c r="K30" cm="1">
        <f t="array" ref="K30">_xll.qwCurveRateZero('GILT Bond at 04-22'!$D$101,$E$7,$C$12,I30)</f>
        <v>4.3724775585202616E-2</v>
      </c>
      <c r="L30">
        <f t="shared" si="1"/>
        <v>0.73420512783116987</v>
      </c>
      <c r="M30">
        <f t="shared" si="2"/>
        <v>0.41299038440503305</v>
      </c>
      <c r="AA30" t="str">
        <v>BPSWS12</v>
      </c>
    </row>
    <row r="31" spans="3:27" x14ac:dyDescent="0.25">
      <c r="C31" s="2"/>
      <c r="I31" s="2">
        <v>49340</v>
      </c>
      <c r="J31">
        <v>0.5625</v>
      </c>
      <c r="K31" cm="1">
        <f t="array" ref="K31">_xll.qwCurveRateZero('GILT Bond at 04-22'!$D$101,$E$7,$C$12,I31)</f>
        <v>4.4016596262543069E-2</v>
      </c>
      <c r="L31">
        <f t="shared" si="1"/>
        <v>0.7211768232857565</v>
      </c>
      <c r="M31">
        <f t="shared" si="2"/>
        <v>0.40566196309823804</v>
      </c>
      <c r="AA31" t="str">
        <v>BPSWS15</v>
      </c>
    </row>
    <row r="32" spans="3:27" x14ac:dyDescent="0.25">
      <c r="C32" s="2"/>
      <c r="I32" s="2">
        <v>49521</v>
      </c>
      <c r="J32">
        <v>0.5625</v>
      </c>
      <c r="K32" cm="1">
        <f t="array" ref="K32">_xll.qwCurveRateZero('GILT Bond at 04-22'!$D$101,$E$7,$C$12,I32)</f>
        <v>4.4302212350799432E-2</v>
      </c>
      <c r="L32">
        <f t="shared" si="1"/>
        <v>0.70866686909844689</v>
      </c>
      <c r="M32">
        <f t="shared" si="2"/>
        <v>0.39862511386787636</v>
      </c>
      <c r="AA32" t="str">
        <v>BPSWS20</v>
      </c>
    </row>
    <row r="33" spans="3:27" x14ac:dyDescent="0.25">
      <c r="C33" s="2"/>
      <c r="I33" s="2">
        <v>49705</v>
      </c>
      <c r="J33">
        <v>0.5625</v>
      </c>
      <c r="K33" cm="1">
        <f t="array" ref="K33">_xll.qwCurveRateZero('GILT Bond at 04-22'!$D$101,$E$7,$C$12,I33)</f>
        <v>4.4594452203532711E-2</v>
      </c>
      <c r="L33">
        <f t="shared" si="1"/>
        <v>0.69623697805070861</v>
      </c>
      <c r="M33">
        <f t="shared" si="2"/>
        <v>0.3916333001535236</v>
      </c>
      <c r="AA33" t="str">
        <v>BPSWS25</v>
      </c>
    </row>
    <row r="34" spans="3:27" x14ac:dyDescent="0.25">
      <c r="C34" s="2"/>
      <c r="I34" s="2">
        <v>49887</v>
      </c>
      <c r="J34">
        <v>0.5625</v>
      </c>
      <c r="K34" cm="1">
        <f t="array" ref="K34">_xll.qwCurveRateZero('GILT Bond at 04-22'!$D$101,$E$7,$C$12,I34)</f>
        <v>4.4863839341744483E-2</v>
      </c>
      <c r="L34">
        <f t="shared" si="1"/>
        <v>0.68432283443443309</v>
      </c>
      <c r="M34">
        <f t="shared" si="2"/>
        <v>0.38493159436936863</v>
      </c>
      <c r="AA34" t="str">
        <v>BPSWS30</v>
      </c>
    </row>
    <row r="35" spans="3:27" x14ac:dyDescent="0.25">
      <c r="C35" s="2"/>
      <c r="I35" s="2">
        <v>50073</v>
      </c>
      <c r="J35">
        <v>0.5625</v>
      </c>
      <c r="K35" cm="1">
        <f t="array" ref="K35">_xll.qwCurveRateZero('GILT Bond at 04-22'!$D$101,$E$7,$C$12,I35)</f>
        <v>4.5127071087774785E-2</v>
      </c>
      <c r="L35">
        <f t="shared" si="1"/>
        <v>0.67249429586208231</v>
      </c>
      <c r="M35">
        <f t="shared" si="2"/>
        <v>0.37827804142242127</v>
      </c>
      <c r="AA35" t="str">
        <v>BPSWS40</v>
      </c>
    </row>
    <row r="36" spans="3:27" x14ac:dyDescent="0.25">
      <c r="C36" s="2"/>
      <c r="I36" s="2">
        <v>50252</v>
      </c>
      <c r="J36">
        <v>0.5625</v>
      </c>
      <c r="K36" cm="1">
        <f t="array" ref="K36">_xll.qwCurveRateZero('GILT Bond at 04-22'!$D$101,$E$7,$C$12,I36)</f>
        <v>4.5395771738108881E-2</v>
      </c>
      <c r="L36">
        <f t="shared" si="1"/>
        <v>0.66130401888766488</v>
      </c>
      <c r="M36">
        <f t="shared" si="2"/>
        <v>0.37198351062431151</v>
      </c>
      <c r="AA36" t="str">
        <v>BPSWS50</v>
      </c>
    </row>
    <row r="37" spans="3:27" x14ac:dyDescent="0.25">
      <c r="C37" s="2"/>
      <c r="I37" s="2">
        <v>50437</v>
      </c>
      <c r="J37">
        <v>0.5625</v>
      </c>
      <c r="K37" cm="1">
        <f t="array" ref="K37">_xll.qwCurveRateZero('GILT Bond at 04-22'!$D$101,$E$7,$C$12,I37)</f>
        <v>4.5687947678231366E-2</v>
      </c>
      <c r="L37">
        <f t="shared" si="1"/>
        <v>0.6499342849510189</v>
      </c>
      <c r="M37">
        <f t="shared" si="2"/>
        <v>0.36558803528494815</v>
      </c>
    </row>
    <row r="38" spans="3:27" x14ac:dyDescent="0.25">
      <c r="C38" s="2"/>
      <c r="I38" s="2">
        <v>50619</v>
      </c>
      <c r="J38">
        <v>0.5625</v>
      </c>
      <c r="K38" cm="1">
        <f t="array" ref="K38">_xll.qwCurveRateZero('GILT Bond at 04-22'!$D$101,$E$7,$C$12,I38)</f>
        <v>4.5918503874159133E-2</v>
      </c>
      <c r="L38">
        <f>1/(1+(K38+$G$7/10000)*(I38-$C$12)/365)</f>
        <v>0.63929157119902413</v>
      </c>
      <c r="M38">
        <f>L38*J38</f>
        <v>0.35960150879945108</v>
      </c>
    </row>
    <row r="39" spans="3:27" x14ac:dyDescent="0.25">
      <c r="C39" s="2"/>
      <c r="I39" s="2">
        <v>50801</v>
      </c>
      <c r="J39">
        <v>100.5625</v>
      </c>
      <c r="K39" cm="1">
        <f t="array" ref="K39">_xll.qwCurveRateZero('GILT Bond at 04-22'!$D$101,$E$7,$C$12,I39)</f>
        <v>4.6110732408285747E-2</v>
      </c>
      <c r="L39">
        <f t="shared" si="1"/>
        <v>0.6290947300392663</v>
      </c>
      <c r="M39">
        <f>L39*J39</f>
        <v>63.263338789573716</v>
      </c>
    </row>
    <row r="40" spans="3:27" x14ac:dyDescent="0.25">
      <c r="C40" s="2"/>
    </row>
    <row r="41" spans="3:27" x14ac:dyDescent="0.25">
      <c r="C41" s="2"/>
    </row>
    <row r="42" spans="3:27" x14ac:dyDescent="0.25">
      <c r="C42" s="2"/>
    </row>
    <row r="43" spans="3:27" x14ac:dyDescent="0.25">
      <c r="C43" s="2"/>
    </row>
    <row r="44" spans="3:27" x14ac:dyDescent="0.25">
      <c r="C44" s="2"/>
    </row>
    <row r="45" spans="3:27" x14ac:dyDescent="0.25">
      <c r="C45" s="2"/>
    </row>
    <row r="46" spans="3:27" x14ac:dyDescent="0.25">
      <c r="C46" s="2"/>
    </row>
    <row r="47" spans="3:27" x14ac:dyDescent="0.25">
      <c r="C47" s="2"/>
    </row>
    <row r="48" spans="3:27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3EFA-2122-4698-9638-EC67D8FA88D5}">
  <dimension ref="A1"/>
  <sheetViews>
    <sheetView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47AC-8BEF-4048-B714-B20F35FB11E6}">
  <dimension ref="A1:Q103"/>
  <sheetViews>
    <sheetView tabSelected="1" zoomScaleNormal="100" workbookViewId="0">
      <selection activeCell="D5" sqref="D5"/>
    </sheetView>
  </sheetViews>
  <sheetFormatPr defaultRowHeight="15" x14ac:dyDescent="0.25"/>
  <cols>
    <col min="1" max="1" width="41" bestFit="1" customWidth="1"/>
    <col min="2" max="2" width="19.85546875" bestFit="1" customWidth="1"/>
    <col min="3" max="3" width="21.85546875" bestFit="1" customWidth="1"/>
    <col min="4" max="4" width="19.85546875" bestFit="1" customWidth="1"/>
    <col min="5" max="5" width="16" bestFit="1" customWidth="1"/>
    <col min="6" max="6" width="12.7109375" bestFit="1" customWidth="1"/>
    <col min="7" max="7" width="17.7109375" bestFit="1" customWidth="1"/>
    <col min="8" max="8" width="25" bestFit="1" customWidth="1"/>
    <col min="9" max="9" width="26.42578125" bestFit="1" customWidth="1"/>
    <col min="10" max="10" width="33.42578125" bestFit="1" customWidth="1"/>
    <col min="11" max="11" width="37.42578125" bestFit="1" customWidth="1"/>
    <col min="12" max="12" width="41.85546875" bestFit="1" customWidth="1"/>
    <col min="13" max="13" width="11.5703125" bestFit="1" customWidth="1"/>
    <col min="14" max="14" width="14.7109375" bestFit="1" customWidth="1"/>
    <col min="15" max="17" width="9.42578125" bestFit="1" customWidth="1"/>
  </cols>
  <sheetData>
    <row r="1" spans="1:17" x14ac:dyDescent="0.25">
      <c r="A1" s="40" t="s">
        <v>190</v>
      </c>
      <c r="B1" s="41">
        <v>46133</v>
      </c>
      <c r="C1" s="42"/>
      <c r="D1" s="41">
        <v>46134</v>
      </c>
      <c r="E1" s="43"/>
      <c r="G1" s="2"/>
    </row>
    <row r="2" spans="1:17" x14ac:dyDescent="0.25">
      <c r="A2" s="40" t="s">
        <v>201</v>
      </c>
      <c r="B2" s="46">
        <v>50801</v>
      </c>
      <c r="C2" s="47"/>
      <c r="D2" s="46">
        <v>50801</v>
      </c>
      <c r="E2" s="48"/>
      <c r="G2" s="2"/>
    </row>
    <row r="3" spans="1:17" x14ac:dyDescent="0.25">
      <c r="A3" t="s">
        <v>97</v>
      </c>
      <c r="B3" s="22">
        <v>1096094587</v>
      </c>
      <c r="C3" s="23"/>
      <c r="D3" s="22">
        <v>1096094587</v>
      </c>
      <c r="E3" s="23"/>
      <c r="G3" s="40" t="s">
        <v>207</v>
      </c>
      <c r="H3" s="58">
        <f>E14-C14</f>
        <v>50614.884553581476</v>
      </c>
      <c r="J3" t="s">
        <v>208</v>
      </c>
      <c r="K3" s="20">
        <v>1.3211000000496398</v>
      </c>
    </row>
    <row r="4" spans="1:17" x14ac:dyDescent="0.25">
      <c r="A4" t="s">
        <v>98</v>
      </c>
      <c r="B4" s="24">
        <v>46072</v>
      </c>
      <c r="C4" s="23"/>
      <c r="D4" s="24">
        <v>46072</v>
      </c>
      <c r="E4" s="23"/>
      <c r="J4" t="s">
        <v>209</v>
      </c>
      <c r="K4" s="21">
        <v>1.3233499999912681</v>
      </c>
      <c r="N4" s="17">
        <v>45869</v>
      </c>
      <c r="O4" s="17">
        <v>46053</v>
      </c>
    </row>
    <row r="5" spans="1:17" x14ac:dyDescent="0.25">
      <c r="A5" t="s">
        <v>0</v>
      </c>
      <c r="B5" s="22" t="s">
        <v>191</v>
      </c>
      <c r="C5" s="25"/>
      <c r="D5" s="22" t="s">
        <v>218</v>
      </c>
      <c r="E5" s="23"/>
      <c r="G5" t="s">
        <v>196</v>
      </c>
      <c r="H5" s="59">
        <f>E13-C13</f>
        <v>-6044.6878453046083</v>
      </c>
      <c r="J5" t="s">
        <v>210</v>
      </c>
      <c r="K5">
        <v>1.32375</v>
      </c>
      <c r="N5" s="17">
        <f>O4</f>
        <v>46053</v>
      </c>
      <c r="O5" s="17">
        <v>46233</v>
      </c>
      <c r="P5" s="17">
        <v>46234</v>
      </c>
    </row>
    <row r="6" spans="1:17" x14ac:dyDescent="0.25">
      <c r="A6" t="s">
        <v>1</v>
      </c>
      <c r="B6" s="26">
        <v>130794850</v>
      </c>
      <c r="C6" s="25"/>
      <c r="D6" s="26">
        <v>130794850</v>
      </c>
      <c r="E6" s="23"/>
      <c r="G6" t="s">
        <v>199</v>
      </c>
      <c r="H6" s="50">
        <f>H5*K11</f>
        <v>-8163.9554038684046</v>
      </c>
      <c r="J6" t="s">
        <v>211</v>
      </c>
      <c r="K6">
        <v>1.3659999999945558</v>
      </c>
      <c r="O6" s="2"/>
      <c r="Q6" s="2"/>
    </row>
    <row r="7" spans="1:17" x14ac:dyDescent="0.25">
      <c r="A7" t="s">
        <v>2</v>
      </c>
      <c r="B7" s="22" t="s">
        <v>96</v>
      </c>
      <c r="C7" s="25"/>
      <c r="D7" s="22" t="s">
        <v>96</v>
      </c>
      <c r="E7" s="23"/>
      <c r="G7" t="s">
        <v>197</v>
      </c>
      <c r="H7" s="54">
        <f>E17-C17</f>
        <v>-16764.251640003175</v>
      </c>
      <c r="J7" t="s">
        <v>212</v>
      </c>
      <c r="K7">
        <v>1.3499000681862499</v>
      </c>
      <c r="P7" s="1"/>
      <c r="Q7" s="1"/>
    </row>
    <row r="8" spans="1:17" x14ac:dyDescent="0.25">
      <c r="A8" t="s">
        <v>3</v>
      </c>
      <c r="B8" s="26">
        <v>155300000</v>
      </c>
      <c r="C8" s="25"/>
      <c r="D8" s="26">
        <v>155300000</v>
      </c>
      <c r="E8" s="23"/>
      <c r="G8" t="s">
        <v>200</v>
      </c>
      <c r="H8" s="52">
        <f>E19-C19</f>
        <v>6720.0837016574224</v>
      </c>
      <c r="J8" t="s">
        <v>213</v>
      </c>
      <c r="K8">
        <v>1.3452000000353266</v>
      </c>
      <c r="Q8" s="3"/>
    </row>
    <row r="9" spans="1:17" x14ac:dyDescent="0.25">
      <c r="A9" t="s">
        <v>4</v>
      </c>
      <c r="B9" s="27">
        <v>0.65065255247907272</v>
      </c>
      <c r="C9" s="28"/>
      <c r="D9" s="33">
        <f>(M15*N15+M16*N16)/(N15+N16)/100</f>
        <v>0.65065255247907272</v>
      </c>
      <c r="E9" s="23"/>
      <c r="G9" t="s">
        <v>10</v>
      </c>
      <c r="H9" s="53">
        <f>H7+H8</f>
        <v>-10044.167938345752</v>
      </c>
      <c r="J9" t="s">
        <v>214</v>
      </c>
      <c r="K9">
        <v>1.3487500000244641</v>
      </c>
      <c r="O9" s="1"/>
      <c r="P9" s="1"/>
    </row>
    <row r="10" spans="1:17" x14ac:dyDescent="0.25">
      <c r="A10" t="s">
        <v>5</v>
      </c>
      <c r="B10" s="27">
        <v>0.62830999999999992</v>
      </c>
      <c r="C10" s="28"/>
      <c r="D10" s="33">
        <v>0.62823999999999991</v>
      </c>
      <c r="E10" s="23"/>
      <c r="G10" t="s">
        <v>198</v>
      </c>
      <c r="H10" s="51">
        <f>E18-C18</f>
        <v>60627.804839993129</v>
      </c>
      <c r="J10" t="s">
        <v>215</v>
      </c>
      <c r="K10">
        <v>1.35</v>
      </c>
    </row>
    <row r="11" spans="1:17" x14ac:dyDescent="0.25">
      <c r="A11" t="s">
        <v>6</v>
      </c>
      <c r="B11" s="29">
        <v>97576543</v>
      </c>
      <c r="C11" s="25">
        <f>C12/K10</f>
        <v>97576542.999999985</v>
      </c>
      <c r="D11" s="26">
        <v>97565672</v>
      </c>
      <c r="E11" s="34">
        <f>E12/K11</f>
        <v>97565671.999999985</v>
      </c>
      <c r="F11" s="19"/>
      <c r="G11" t="s">
        <v>217</v>
      </c>
      <c r="H11" s="61">
        <f>E81</f>
        <v>-149551.39245701901</v>
      </c>
      <c r="J11" t="s">
        <v>216</v>
      </c>
      <c r="K11" s="18">
        <v>1.3506</v>
      </c>
    </row>
    <row r="12" spans="1:17" x14ac:dyDescent="0.25">
      <c r="A12" t="s">
        <v>7</v>
      </c>
      <c r="B12" s="29">
        <v>131728333.05000001</v>
      </c>
      <c r="C12" s="25">
        <f>B8*B10*K10</f>
        <v>131728333.04999998</v>
      </c>
      <c r="D12" s="26">
        <v>131772196.6032</v>
      </c>
      <c r="E12" s="35">
        <f>D8*D10*K11</f>
        <v>131772196.60319999</v>
      </c>
      <c r="F12" s="19"/>
    </row>
    <row r="13" spans="1:17" x14ac:dyDescent="0.25">
      <c r="A13" t="s">
        <v>8</v>
      </c>
      <c r="B13" s="29">
        <v>97967474.284530386</v>
      </c>
      <c r="C13" s="25">
        <f>C11+(B1-O4+1)/(P5-O4)*(N15*0.01125/2)+(B1-O4)/(P5-O4)*((N16)*0.01125/2)</f>
        <v>97964733.262430921</v>
      </c>
      <c r="D13" s="26">
        <v>97961429.596685097</v>
      </c>
      <c r="E13" s="25">
        <f>E11+(D1-O4+1)/(P5-O4)*(N15*0.01125/2)+(D1-O4)/(P5-O4)*((N16)*0.01125/2)</f>
        <v>97958688.574585617</v>
      </c>
      <c r="F13" s="19"/>
    </row>
    <row r="14" spans="1:17" x14ac:dyDescent="0.25">
      <c r="A14" t="s">
        <v>9</v>
      </c>
      <c r="B14" s="29">
        <v>132256090.284116</v>
      </c>
      <c r="C14" s="25">
        <f>C13*K10</f>
        <v>132252389.90428175</v>
      </c>
      <c r="D14" s="26">
        <v>132306706.813283</v>
      </c>
      <c r="E14" s="35">
        <f>E13*K11</f>
        <v>132303004.78883533</v>
      </c>
      <c r="F14" s="19"/>
      <c r="J14" t="s">
        <v>99</v>
      </c>
      <c r="K14" t="s">
        <v>192</v>
      </c>
      <c r="M14" t="s">
        <v>193</v>
      </c>
      <c r="N14" t="s">
        <v>194</v>
      </c>
    </row>
    <row r="15" spans="1:17" x14ac:dyDescent="0.25">
      <c r="A15" s="6" t="s">
        <v>10</v>
      </c>
      <c r="B15" s="29">
        <v>-2505323.8728329702</v>
      </c>
      <c r="C15" s="25">
        <f>C16+C45</f>
        <v>-2505528.6852415516</v>
      </c>
      <c r="D15" s="26">
        <v>-2454707.3436661186</v>
      </c>
      <c r="E15" s="35">
        <f>E16+E45</f>
        <v>-2454945.0483399043</v>
      </c>
      <c r="F15" s="19"/>
      <c r="J15" s="2">
        <v>45986</v>
      </c>
      <c r="K15" s="2">
        <v>45987</v>
      </c>
      <c r="L15" s="2">
        <v>46054</v>
      </c>
      <c r="M15">
        <v>64.563599999999994</v>
      </c>
      <c r="N15" s="1">
        <v>67100000</v>
      </c>
      <c r="P15" s="3"/>
    </row>
    <row r="16" spans="1:17" x14ac:dyDescent="0.25">
      <c r="A16" s="16" t="s">
        <v>11</v>
      </c>
      <c r="B16" s="29">
        <v>-2701128.1910919724</v>
      </c>
      <c r="C16" s="25">
        <f>SUM(C17:C44)</f>
        <v>-2701391.3360787597</v>
      </c>
      <c r="D16" s="26">
        <v>-2650511.6619251184</v>
      </c>
      <c r="E16" s="35">
        <f>SUM(E17:E44)</f>
        <v>-2650807.6991771124</v>
      </c>
      <c r="F16" s="19"/>
      <c r="G16" s="3"/>
      <c r="J16" s="2">
        <v>46072</v>
      </c>
      <c r="K16" s="2">
        <v>46073</v>
      </c>
      <c r="L16" s="2"/>
      <c r="M16">
        <v>65.446899999999999</v>
      </c>
      <c r="N16" s="1">
        <v>88200000</v>
      </c>
      <c r="P16" s="5"/>
    </row>
    <row r="17" spans="1:13" x14ac:dyDescent="0.25">
      <c r="A17" s="8" t="s">
        <v>12</v>
      </c>
      <c r="B17" s="29">
        <v>-4684227.8399999989</v>
      </c>
      <c r="C17" s="25">
        <f>(B8)*(B10-B9)*K10</f>
        <v>-4684227.8400000073</v>
      </c>
      <c r="D17" s="26">
        <v>-4700992.0916400021</v>
      </c>
      <c r="E17" s="35">
        <f>(D8)*(D10-D9)*K11</f>
        <v>-4700992.0916400105</v>
      </c>
      <c r="F17" s="19"/>
    </row>
    <row r="18" spans="1:13" x14ac:dyDescent="0.25">
      <c r="A18" s="8" t="s">
        <v>13</v>
      </c>
      <c r="B18" s="29">
        <v>1529086.8706799999</v>
      </c>
      <c r="C18" s="25">
        <f>N15*(M15)*(K10-K3)/100+(N16)*(M16)*(K10-K8)/100</f>
        <v>1529086.866490308</v>
      </c>
      <c r="D18" s="26">
        <v>1589714.6755200108</v>
      </c>
      <c r="E18" s="35">
        <f>N15*(M15)*(K11-K3)/100+(N16)*(M16)*(K11-K8)/100</f>
        <v>1589714.6713303011</v>
      </c>
      <c r="F18" s="19"/>
    </row>
    <row r="19" spans="1:13" x14ac:dyDescent="0.25">
      <c r="A19" s="8" t="s">
        <v>14</v>
      </c>
      <c r="B19" s="29">
        <v>454012.7782280221</v>
      </c>
      <c r="C19" s="25">
        <f>C68*K10</f>
        <v>453749.6374309393</v>
      </c>
      <c r="D19" s="26">
        <v>460765.75419487292</v>
      </c>
      <c r="E19" s="36">
        <f>E68*K11</f>
        <v>460469.72113259672</v>
      </c>
      <c r="F19" s="19"/>
      <c r="H19" s="3"/>
    </row>
    <row r="20" spans="1:13" x14ac:dyDescent="0.25">
      <c r="A20" s="8" t="s">
        <v>15</v>
      </c>
      <c r="B20" s="22">
        <v>0</v>
      </c>
      <c r="C20" s="25"/>
      <c r="D20" s="22">
        <v>0</v>
      </c>
      <c r="E20" s="23"/>
      <c r="F20" s="19"/>
    </row>
    <row r="21" spans="1:13" x14ac:dyDescent="0.25">
      <c r="A21" s="8" t="s">
        <v>16</v>
      </c>
      <c r="B21" s="22">
        <v>0</v>
      </c>
      <c r="C21" s="25"/>
      <c r="D21" s="22">
        <v>0</v>
      </c>
      <c r="E21" s="23"/>
      <c r="F21" s="19"/>
      <c r="G21" s="5"/>
    </row>
    <row r="22" spans="1:13" x14ac:dyDescent="0.25">
      <c r="A22" s="8" t="s">
        <v>17</v>
      </c>
      <c r="B22" s="22">
        <v>0</v>
      </c>
      <c r="C22" s="25"/>
      <c r="D22" s="22">
        <v>0</v>
      </c>
      <c r="E22" s="23"/>
      <c r="F22" s="19"/>
      <c r="G22" s="44"/>
    </row>
    <row r="23" spans="1:13" x14ac:dyDescent="0.25">
      <c r="A23" s="8" t="s">
        <v>18</v>
      </c>
      <c r="B23" s="22">
        <v>0</v>
      </c>
      <c r="C23" s="25"/>
      <c r="D23" s="22">
        <v>0</v>
      </c>
      <c r="E23" s="23"/>
      <c r="F23" s="19"/>
      <c r="G23" s="1"/>
      <c r="I23" s="1"/>
    </row>
    <row r="24" spans="1:13" x14ac:dyDescent="0.25">
      <c r="A24" s="8" t="s">
        <v>19</v>
      </c>
      <c r="B24" s="22">
        <v>0</v>
      </c>
      <c r="C24" s="25"/>
      <c r="D24" s="22">
        <v>0</v>
      </c>
      <c r="E24" s="23"/>
      <c r="F24" s="19"/>
      <c r="I24" s="1"/>
    </row>
    <row r="25" spans="1:13" x14ac:dyDescent="0.25">
      <c r="A25" s="8" t="s">
        <v>20</v>
      </c>
      <c r="B25" s="22">
        <v>0</v>
      </c>
      <c r="C25" s="25"/>
      <c r="D25" s="22">
        <v>0</v>
      </c>
      <c r="E25" s="23"/>
      <c r="F25" s="19"/>
      <c r="I25" s="1"/>
    </row>
    <row r="26" spans="1:13" x14ac:dyDescent="0.25">
      <c r="A26" s="8" t="s">
        <v>21</v>
      </c>
      <c r="B26" s="22">
        <v>0</v>
      </c>
      <c r="C26" s="25"/>
      <c r="D26" s="22">
        <v>0</v>
      </c>
      <c r="E26" s="23"/>
      <c r="F26" s="19"/>
      <c r="I26" s="3"/>
      <c r="J26" s="5"/>
    </row>
    <row r="27" spans="1:13" x14ac:dyDescent="0.25">
      <c r="A27" s="8" t="s">
        <v>22</v>
      </c>
      <c r="B27" s="22">
        <v>0</v>
      </c>
      <c r="C27" s="25"/>
      <c r="D27" s="22">
        <v>0</v>
      </c>
      <c r="E27" s="23"/>
      <c r="F27" s="19"/>
    </row>
    <row r="28" spans="1:13" x14ac:dyDescent="0.25">
      <c r="A28" s="8" t="s">
        <v>23</v>
      </c>
      <c r="B28" s="22">
        <v>0</v>
      </c>
      <c r="C28" s="25"/>
      <c r="D28" s="22">
        <v>0</v>
      </c>
      <c r="E28" s="23"/>
      <c r="F28" s="19"/>
    </row>
    <row r="29" spans="1:13" x14ac:dyDescent="0.25">
      <c r="A29" s="8" t="s">
        <v>24</v>
      </c>
      <c r="B29" s="22">
        <v>0</v>
      </c>
      <c r="C29" s="25"/>
      <c r="D29" s="22">
        <v>0</v>
      </c>
      <c r="E29" s="23"/>
      <c r="F29" s="19"/>
    </row>
    <row r="30" spans="1:13" x14ac:dyDescent="0.25">
      <c r="A30" s="8" t="s">
        <v>25</v>
      </c>
      <c r="B30" s="22">
        <v>0</v>
      </c>
      <c r="C30" s="25"/>
      <c r="D30" s="22">
        <v>0</v>
      </c>
      <c r="E30" s="23"/>
      <c r="F30" s="19"/>
    </row>
    <row r="31" spans="1:13" x14ac:dyDescent="0.25">
      <c r="A31" s="8" t="s">
        <v>26</v>
      </c>
      <c r="B31" s="22">
        <v>0</v>
      </c>
      <c r="C31" s="25"/>
      <c r="D31" s="22">
        <v>0</v>
      </c>
      <c r="E31" s="23"/>
      <c r="F31" s="19"/>
    </row>
    <row r="32" spans="1:13" x14ac:dyDescent="0.25">
      <c r="A32" s="8" t="s">
        <v>27</v>
      </c>
      <c r="B32" s="22">
        <v>0</v>
      </c>
      <c r="C32" s="25"/>
      <c r="D32" s="22">
        <v>0</v>
      </c>
      <c r="E32" s="23"/>
      <c r="F32" s="19"/>
      <c r="G32" s="1"/>
      <c r="I32" s="1"/>
      <c r="J32" s="1"/>
      <c r="K32" s="1"/>
      <c r="L32" s="1"/>
      <c r="M32" s="1"/>
    </row>
    <row r="33" spans="1:13" x14ac:dyDescent="0.25">
      <c r="A33" s="8" t="s">
        <v>28</v>
      </c>
      <c r="B33" s="22">
        <v>0</v>
      </c>
      <c r="C33" s="25"/>
      <c r="D33" s="22">
        <v>0</v>
      </c>
      <c r="E33" s="23"/>
      <c r="F33" s="19"/>
      <c r="G33" s="1"/>
      <c r="H33" s="1"/>
      <c r="I33" s="1"/>
      <c r="J33" s="1"/>
      <c r="K33" s="1"/>
      <c r="L33" s="1"/>
    </row>
    <row r="34" spans="1:13" x14ac:dyDescent="0.25">
      <c r="A34" s="8" t="s">
        <v>29</v>
      </c>
      <c r="B34" s="22">
        <v>0</v>
      </c>
      <c r="C34" s="25"/>
      <c r="D34" s="22">
        <v>0</v>
      </c>
      <c r="E34" s="23"/>
      <c r="F34" s="19"/>
      <c r="G34" s="1"/>
      <c r="H34" s="1"/>
      <c r="I34" s="1"/>
      <c r="J34" s="1"/>
      <c r="K34" s="1"/>
      <c r="L34" s="1"/>
    </row>
    <row r="35" spans="1:13" x14ac:dyDescent="0.25">
      <c r="A35" s="8" t="s">
        <v>30</v>
      </c>
      <c r="B35" s="22">
        <v>0</v>
      </c>
      <c r="C35" s="25"/>
      <c r="D35" s="22">
        <v>0</v>
      </c>
      <c r="E35" s="23"/>
      <c r="F35" s="19"/>
      <c r="G35" s="1"/>
      <c r="H35" s="1"/>
      <c r="I35" s="1"/>
      <c r="J35" s="1"/>
      <c r="K35" s="1"/>
      <c r="L35" s="1"/>
      <c r="M35" s="1"/>
    </row>
    <row r="36" spans="1:13" x14ac:dyDescent="0.25">
      <c r="A36" s="8" t="s">
        <v>31</v>
      </c>
      <c r="B36" s="22">
        <v>0</v>
      </c>
      <c r="C36" s="25"/>
      <c r="D36" s="22">
        <v>0</v>
      </c>
      <c r="E36" s="23"/>
      <c r="F36" s="19"/>
      <c r="G36" s="1"/>
      <c r="H36" s="1"/>
      <c r="I36" s="1"/>
      <c r="J36" s="1"/>
      <c r="K36" s="1"/>
      <c r="L36" s="1"/>
      <c r="M36" s="1"/>
    </row>
    <row r="37" spans="1:13" x14ac:dyDescent="0.25">
      <c r="A37" s="8" t="s">
        <v>32</v>
      </c>
      <c r="B37" s="22">
        <v>0</v>
      </c>
      <c r="C37" s="25"/>
      <c r="D37" s="22">
        <v>0</v>
      </c>
      <c r="E37" s="23"/>
      <c r="F37" s="19"/>
      <c r="G37" s="1"/>
      <c r="H37" s="1"/>
      <c r="I37" s="1"/>
      <c r="J37" s="1"/>
      <c r="K37" s="1"/>
      <c r="L37" s="1"/>
    </row>
    <row r="38" spans="1:13" x14ac:dyDescent="0.25">
      <c r="A38" s="8" t="s">
        <v>33</v>
      </c>
      <c r="B38" s="22">
        <v>0</v>
      </c>
      <c r="C38" s="25"/>
      <c r="D38" s="22">
        <v>0</v>
      </c>
      <c r="E38" s="23"/>
      <c r="F38" s="19"/>
      <c r="G38" s="1"/>
      <c r="H38" s="1"/>
      <c r="I38" s="1"/>
      <c r="J38" s="1"/>
      <c r="K38" s="1"/>
      <c r="L38" s="1"/>
    </row>
    <row r="39" spans="1:13" x14ac:dyDescent="0.25">
      <c r="A39" s="8" t="s">
        <v>34</v>
      </c>
      <c r="B39" s="22">
        <v>0</v>
      </c>
      <c r="C39" s="25"/>
      <c r="D39" s="22">
        <v>0</v>
      </c>
      <c r="E39" s="23"/>
      <c r="F39" s="19"/>
      <c r="G39" s="1"/>
      <c r="H39" s="1"/>
      <c r="I39" s="1"/>
      <c r="J39" s="1"/>
      <c r="K39" s="1"/>
      <c r="L39" s="1"/>
    </row>
    <row r="40" spans="1:13" x14ac:dyDescent="0.25">
      <c r="A40" s="8" t="s">
        <v>35</v>
      </c>
      <c r="B40" s="22">
        <v>0</v>
      </c>
      <c r="C40" s="25"/>
      <c r="D40" s="22">
        <v>0</v>
      </c>
      <c r="E40" s="23"/>
      <c r="F40" s="19"/>
    </row>
    <row r="41" spans="1:13" x14ac:dyDescent="0.25">
      <c r="A41" s="8" t="s">
        <v>36</v>
      </c>
      <c r="B41" s="22">
        <v>0</v>
      </c>
      <c r="C41" s="25"/>
      <c r="D41" s="22">
        <v>0</v>
      </c>
      <c r="E41" s="23"/>
      <c r="F41" s="19"/>
    </row>
    <row r="42" spans="1:13" x14ac:dyDescent="0.25">
      <c r="A42" s="8" t="s">
        <v>37</v>
      </c>
      <c r="B42" s="22">
        <v>0</v>
      </c>
      <c r="C42" s="25"/>
      <c r="D42" s="22">
        <v>0</v>
      </c>
      <c r="E42" s="23"/>
      <c r="F42" s="19"/>
    </row>
    <row r="43" spans="1:13" x14ac:dyDescent="0.25">
      <c r="A43" s="8" t="s">
        <v>38</v>
      </c>
      <c r="B43" s="22">
        <v>0</v>
      </c>
      <c r="C43" s="25"/>
      <c r="D43" s="22">
        <v>0</v>
      </c>
      <c r="E43" s="23"/>
      <c r="F43" s="19"/>
    </row>
    <row r="44" spans="1:13" x14ac:dyDescent="0.25">
      <c r="A44" s="8" t="s">
        <v>39</v>
      </c>
      <c r="B44" s="22">
        <v>0</v>
      </c>
      <c r="C44" s="25"/>
      <c r="D44" s="22">
        <v>0</v>
      </c>
      <c r="E44" s="23"/>
      <c r="F44" s="19"/>
    </row>
    <row r="45" spans="1:13" x14ac:dyDescent="0.25">
      <c r="A45" s="10" t="s">
        <v>40</v>
      </c>
      <c r="B45" s="26">
        <v>195804.31825900008</v>
      </c>
      <c r="C45" s="25">
        <f>+C48+C49</f>
        <v>195862.65083720826</v>
      </c>
      <c r="D45" s="26">
        <v>195804.31825899999</v>
      </c>
      <c r="E45" s="35">
        <f>+E48+E49</f>
        <v>195862.65083720826</v>
      </c>
      <c r="F45" s="19"/>
    </row>
    <row r="46" spans="1:13" x14ac:dyDescent="0.25">
      <c r="A46" s="12" t="s">
        <v>41</v>
      </c>
      <c r="B46" s="22">
        <v>0</v>
      </c>
      <c r="C46" s="25"/>
      <c r="D46" s="26">
        <v>0</v>
      </c>
      <c r="E46" s="23"/>
      <c r="F46" s="19"/>
    </row>
    <row r="47" spans="1:13" x14ac:dyDescent="0.25">
      <c r="A47" s="12" t="s">
        <v>42</v>
      </c>
      <c r="B47" s="22">
        <v>0</v>
      </c>
      <c r="C47" s="25"/>
      <c r="D47" s="26">
        <v>0</v>
      </c>
      <c r="E47" s="23"/>
      <c r="F47" s="19"/>
      <c r="H47" s="5"/>
    </row>
    <row r="48" spans="1:13" x14ac:dyDescent="0.25">
      <c r="A48" s="12" t="s">
        <v>43</v>
      </c>
      <c r="B48" s="26">
        <v>-319775.30674099998</v>
      </c>
      <c r="C48" s="25">
        <f>C49*(-1+(L15-J15)/179)</f>
        <v>-319716.97416073689</v>
      </c>
      <c r="D48" s="26">
        <v>-319775.30674099998</v>
      </c>
      <c r="E48" s="35">
        <f>E49*(-1+(L15-J15)/179)</f>
        <v>-319716.97416073689</v>
      </c>
      <c r="F48" s="19"/>
      <c r="H48" s="3"/>
    </row>
    <row r="49" spans="1:8" x14ac:dyDescent="0.25">
      <c r="A49" s="12" t="s">
        <v>44</v>
      </c>
      <c r="B49" s="26">
        <v>515579.625</v>
      </c>
      <c r="C49" s="25">
        <f>N15*0.01125/2*K6</f>
        <v>515579.62499794515</v>
      </c>
      <c r="D49" s="26">
        <v>515579.625</v>
      </c>
      <c r="E49" s="25">
        <f>N15*0.01125/2*K6</f>
        <v>515579.62499794515</v>
      </c>
      <c r="F49" s="19"/>
      <c r="H49" s="3"/>
    </row>
    <row r="50" spans="1:8" x14ac:dyDescent="0.25">
      <c r="A50" s="12" t="s">
        <v>45</v>
      </c>
      <c r="B50" s="22">
        <v>0</v>
      </c>
      <c r="C50" s="25"/>
      <c r="D50" s="26">
        <v>0</v>
      </c>
      <c r="E50" s="23"/>
      <c r="F50" s="19"/>
    </row>
    <row r="51" spans="1:8" x14ac:dyDescent="0.25">
      <c r="A51" s="12" t="s">
        <v>46</v>
      </c>
      <c r="B51" s="22">
        <v>0</v>
      </c>
      <c r="C51" s="25"/>
      <c r="D51" s="26">
        <v>0</v>
      </c>
      <c r="E51" s="23"/>
      <c r="F51" s="19"/>
    </row>
    <row r="52" spans="1:8" x14ac:dyDescent="0.25">
      <c r="A52" s="12" t="s">
        <v>47</v>
      </c>
      <c r="B52" s="22">
        <v>0</v>
      </c>
      <c r="C52" s="25"/>
      <c r="D52" s="26">
        <v>0</v>
      </c>
      <c r="E52" s="23"/>
      <c r="F52" s="19"/>
    </row>
    <row r="53" spans="1:8" x14ac:dyDescent="0.25">
      <c r="A53" s="12" t="s">
        <v>48</v>
      </c>
      <c r="B53" s="22">
        <v>0</v>
      </c>
      <c r="C53" s="25"/>
      <c r="D53" s="26">
        <v>0</v>
      </c>
      <c r="E53" s="23"/>
      <c r="F53" s="19"/>
    </row>
    <row r="54" spans="1:8" x14ac:dyDescent="0.25">
      <c r="A54" s="12" t="s">
        <v>49</v>
      </c>
      <c r="B54" s="22">
        <v>0</v>
      </c>
      <c r="C54" s="25"/>
      <c r="D54" s="26">
        <v>0</v>
      </c>
      <c r="E54" s="23"/>
      <c r="F54" s="19"/>
    </row>
    <row r="55" spans="1:8" x14ac:dyDescent="0.25">
      <c r="A55" s="12" t="s">
        <v>50</v>
      </c>
      <c r="B55" s="22">
        <v>0</v>
      </c>
      <c r="C55" s="25"/>
      <c r="D55" s="26">
        <v>0</v>
      </c>
      <c r="E55" s="23"/>
      <c r="F55" s="19"/>
    </row>
    <row r="56" spans="1:8" x14ac:dyDescent="0.25">
      <c r="A56" s="12" t="s">
        <v>51</v>
      </c>
      <c r="B56" s="22">
        <v>0</v>
      </c>
      <c r="C56" s="25"/>
      <c r="D56" s="26">
        <v>0</v>
      </c>
      <c r="E56" s="23"/>
      <c r="F56" s="19"/>
    </row>
    <row r="57" spans="1:8" x14ac:dyDescent="0.25">
      <c r="A57" s="12" t="s">
        <v>52</v>
      </c>
      <c r="B57" s="22">
        <v>0</v>
      </c>
      <c r="C57" s="25"/>
      <c r="D57" s="26">
        <v>0</v>
      </c>
      <c r="E57" s="23"/>
      <c r="F57" s="19"/>
    </row>
    <row r="58" spans="1:8" x14ac:dyDescent="0.25">
      <c r="A58" s="12" t="s">
        <v>53</v>
      </c>
      <c r="B58" s="22">
        <v>0</v>
      </c>
      <c r="C58" s="25"/>
      <c r="D58" s="26">
        <v>0</v>
      </c>
      <c r="E58" s="23"/>
      <c r="F58" s="19"/>
    </row>
    <row r="59" spans="1:8" x14ac:dyDescent="0.25">
      <c r="A59" s="12" t="s">
        <v>54</v>
      </c>
      <c r="B59" s="22">
        <v>0</v>
      </c>
      <c r="C59" s="25"/>
      <c r="D59" s="26">
        <v>0</v>
      </c>
      <c r="E59" s="23"/>
      <c r="F59" s="19"/>
    </row>
    <row r="60" spans="1:8" x14ac:dyDescent="0.25">
      <c r="A60" s="12" t="s">
        <v>55</v>
      </c>
      <c r="B60" s="22">
        <v>0</v>
      </c>
      <c r="C60" s="25"/>
      <c r="D60" s="26">
        <v>0</v>
      </c>
      <c r="E60" s="23"/>
      <c r="F60" s="19"/>
    </row>
    <row r="61" spans="1:8" x14ac:dyDescent="0.25">
      <c r="A61" s="12" t="s">
        <v>56</v>
      </c>
      <c r="B61" s="22">
        <v>0</v>
      </c>
      <c r="C61" s="25"/>
      <c r="D61" s="26">
        <v>0</v>
      </c>
      <c r="E61" s="23"/>
      <c r="F61" s="19"/>
    </row>
    <row r="62" spans="1:8" x14ac:dyDescent="0.25">
      <c r="A62" s="12" t="s">
        <v>57</v>
      </c>
      <c r="B62" s="22">
        <v>0</v>
      </c>
      <c r="C62" s="25"/>
      <c r="D62" s="26">
        <v>0</v>
      </c>
      <c r="E62" s="23"/>
      <c r="F62" s="19"/>
    </row>
    <row r="63" spans="1:8" x14ac:dyDescent="0.25">
      <c r="A63" s="12" t="s">
        <v>58</v>
      </c>
      <c r="B63" s="22">
        <v>0</v>
      </c>
      <c r="C63" s="25"/>
      <c r="D63" s="26">
        <v>0</v>
      </c>
      <c r="E63" s="23"/>
      <c r="F63" s="19"/>
    </row>
    <row r="64" spans="1:8" x14ac:dyDescent="0.25">
      <c r="A64" s="12" t="s">
        <v>59</v>
      </c>
      <c r="B64" s="22">
        <v>0</v>
      </c>
      <c r="C64" s="25"/>
      <c r="D64" s="26">
        <v>0</v>
      </c>
      <c r="E64" s="23"/>
      <c r="F64" s="19"/>
    </row>
    <row r="65" spans="1:10" x14ac:dyDescent="0.25">
      <c r="A65" s="12" t="s">
        <v>60</v>
      </c>
      <c r="B65" s="22">
        <v>0</v>
      </c>
      <c r="C65" s="25"/>
      <c r="D65" s="26">
        <v>0</v>
      </c>
      <c r="E65" s="23"/>
      <c r="F65" s="19"/>
    </row>
    <row r="66" spans="1:10" x14ac:dyDescent="0.25">
      <c r="A66" s="12" t="s">
        <v>61</v>
      </c>
      <c r="B66" s="22">
        <v>0</v>
      </c>
      <c r="C66" s="25"/>
      <c r="D66" s="26">
        <v>0</v>
      </c>
      <c r="E66" s="23"/>
      <c r="F66" s="19"/>
      <c r="I66" s="2"/>
    </row>
    <row r="67" spans="1:10" x14ac:dyDescent="0.25">
      <c r="A67" s="12" t="s">
        <v>62</v>
      </c>
      <c r="B67" s="22">
        <v>0</v>
      </c>
      <c r="C67" s="25"/>
      <c r="D67" s="26">
        <v>0</v>
      </c>
      <c r="E67" s="23"/>
      <c r="F67" s="19"/>
    </row>
    <row r="68" spans="1:10" x14ac:dyDescent="0.25">
      <c r="A68" t="s">
        <v>63</v>
      </c>
      <c r="B68" s="26">
        <v>336110.84453038673</v>
      </c>
      <c r="C68" s="25">
        <f>(B1-O4+1)/(P5-O4)*(N15*0.01125/2)+(B1-J16)/(P5-O4)*((N16)*0.01125/2)</f>
        <v>336110.84254143649</v>
      </c>
      <c r="D68" s="26">
        <v>340937.15668508288</v>
      </c>
      <c r="E68" s="35">
        <f>(D1-O4+1)/(P5-O4)*(N15*0.01125/2)+(D1-J16)/(P5-O4)*((N16)*0.01125/2)</f>
        <v>340937.15469613264</v>
      </c>
      <c r="F68" s="19"/>
      <c r="G68" s="5"/>
      <c r="J68" s="5"/>
    </row>
    <row r="69" spans="1:10" x14ac:dyDescent="0.25">
      <c r="A69" t="s">
        <v>64</v>
      </c>
      <c r="B69" s="26">
        <v>135385.19</v>
      </c>
      <c r="C69" s="25">
        <f>(O4-K15)/(O4-N4)*(N15*0.01125/2)</f>
        <v>135385.1902173913</v>
      </c>
      <c r="D69" s="26">
        <v>135385.19</v>
      </c>
      <c r="E69" s="25">
        <f>(O4-K15)/(O4-N4)*(N15*0.01125/2)</f>
        <v>135385.1902173913</v>
      </c>
      <c r="F69" s="19"/>
      <c r="G69" s="5"/>
    </row>
    <row r="70" spans="1:10" x14ac:dyDescent="0.25">
      <c r="A70" t="s">
        <v>65</v>
      </c>
      <c r="B70" s="22">
        <v>0</v>
      </c>
      <c r="C70" s="25"/>
      <c r="D70" s="26">
        <v>0</v>
      </c>
      <c r="E70" s="23"/>
      <c r="F70" s="19"/>
      <c r="H70" s="25"/>
    </row>
    <row r="71" spans="1:10" x14ac:dyDescent="0.25">
      <c r="A71" t="s">
        <v>66</v>
      </c>
      <c r="B71" s="22">
        <v>0</v>
      </c>
      <c r="C71" s="25"/>
      <c r="D71" s="26">
        <v>0</v>
      </c>
      <c r="E71" s="23"/>
      <c r="F71" s="19"/>
    </row>
    <row r="72" spans="1:10" x14ac:dyDescent="0.25">
      <c r="A72" t="s">
        <v>67</v>
      </c>
      <c r="B72" s="26">
        <v>-2998302.3654696122</v>
      </c>
      <c r="C72" s="25">
        <f>C69+C68+C74</f>
        <v>-2998302.3672411772</v>
      </c>
      <c r="D72" s="26">
        <v>-3004347.05331492</v>
      </c>
      <c r="E72" s="35">
        <f>E69+E68+E74</f>
        <v>-3004347.0550864837</v>
      </c>
      <c r="F72" s="19"/>
    </row>
    <row r="73" spans="1:10" x14ac:dyDescent="0.25">
      <c r="A73" t="s">
        <v>68</v>
      </c>
      <c r="B73" s="26">
        <v>0</v>
      </c>
      <c r="C73" s="25"/>
      <c r="D73" s="26">
        <v>0</v>
      </c>
      <c r="E73" s="35"/>
      <c r="F73" s="19"/>
    </row>
    <row r="74" spans="1:10" x14ac:dyDescent="0.25">
      <c r="A74" t="s">
        <v>69</v>
      </c>
      <c r="B74" s="26">
        <v>-3469798.399999999</v>
      </c>
      <c r="C74" s="25">
        <f>C17/K10</f>
        <v>-3469798.400000005</v>
      </c>
      <c r="D74" s="26">
        <v>-3480669.4</v>
      </c>
      <c r="E74" s="35">
        <f>E17/K11</f>
        <v>-3480669.4000000078</v>
      </c>
      <c r="F74" s="19"/>
    </row>
    <row r="75" spans="1:10" x14ac:dyDescent="0.25">
      <c r="A75" t="s">
        <v>70</v>
      </c>
      <c r="B75" s="22">
        <v>0</v>
      </c>
      <c r="C75" s="25"/>
      <c r="D75" s="26">
        <v>0</v>
      </c>
      <c r="E75" s="23"/>
      <c r="F75" s="19"/>
    </row>
    <row r="76" spans="1:10" x14ac:dyDescent="0.25">
      <c r="A76" t="s">
        <v>71</v>
      </c>
      <c r="B76" s="22">
        <v>0</v>
      </c>
      <c r="C76" s="25"/>
      <c r="D76" s="26">
        <v>0</v>
      </c>
      <c r="E76" s="23"/>
      <c r="F76" s="19"/>
    </row>
    <row r="77" spans="1:10" x14ac:dyDescent="0.25">
      <c r="A77" t="s">
        <v>72</v>
      </c>
      <c r="B77" s="22">
        <v>0</v>
      </c>
      <c r="C77" s="25"/>
      <c r="D77" s="26">
        <v>0</v>
      </c>
      <c r="E77" s="23"/>
      <c r="F77" s="19"/>
    </row>
    <row r="78" spans="1:10" x14ac:dyDescent="0.25">
      <c r="A78" t="s">
        <v>73</v>
      </c>
      <c r="B78" s="22">
        <v>0</v>
      </c>
      <c r="C78" s="25"/>
      <c r="D78" s="26">
        <v>0</v>
      </c>
      <c r="E78" s="23"/>
      <c r="F78" s="19"/>
    </row>
    <row r="79" spans="1:10" x14ac:dyDescent="0.25">
      <c r="A79" t="s">
        <v>74</v>
      </c>
      <c r="B79" s="22">
        <v>0.6283477275096544</v>
      </c>
      <c r="C79" s="25"/>
      <c r="D79" s="37">
        <v>0.62827716201064132</v>
      </c>
      <c r="E79" s="23"/>
      <c r="F79" s="19"/>
    </row>
    <row r="80" spans="1:10" x14ac:dyDescent="0.25">
      <c r="A80" t="s">
        <v>75</v>
      </c>
      <c r="B80" s="26">
        <v>-110717.86547335006</v>
      </c>
      <c r="D80" s="26">
        <v>-110682.20182018301</v>
      </c>
      <c r="E80" s="68" cm="1">
        <f t="array" ref="E80">-D8/100*_xll.qwDV01(D101,D5)</f>
        <v>-110729.596073611</v>
      </c>
      <c r="F80" s="19"/>
    </row>
    <row r="81" spans="1:7" x14ac:dyDescent="0.25">
      <c r="A81" t="s">
        <v>76</v>
      </c>
      <c r="B81" s="26">
        <v>-149469.11838902259</v>
      </c>
      <c r="C81" s="25">
        <f>B80*K10</f>
        <v>-149469.11838902259</v>
      </c>
      <c r="D81" s="26">
        <v>-149487.38177834</v>
      </c>
      <c r="E81" s="35">
        <f>E80*K11</f>
        <v>-149551.39245701901</v>
      </c>
      <c r="F81" s="19"/>
      <c r="G81" s="5"/>
    </row>
    <row r="82" spans="1:7" x14ac:dyDescent="0.25">
      <c r="A82" t="s">
        <v>77</v>
      </c>
      <c r="B82" s="26">
        <v>-14946911.838902259</v>
      </c>
      <c r="C82" s="25"/>
      <c r="D82" s="26">
        <v>-14948738.177833982</v>
      </c>
      <c r="E82" s="23"/>
      <c r="F82" s="19"/>
      <c r="G82" s="3"/>
    </row>
    <row r="83" spans="1:7" x14ac:dyDescent="0.25">
      <c r="A83" t="s">
        <v>78</v>
      </c>
      <c r="B83" s="22">
        <v>0</v>
      </c>
      <c r="C83" s="25"/>
      <c r="D83" s="22">
        <v>0</v>
      </c>
      <c r="E83" s="35"/>
      <c r="F83" s="19"/>
    </row>
    <row r="84" spans="1:7" x14ac:dyDescent="0.25">
      <c r="A84" t="s">
        <v>79</v>
      </c>
      <c r="B84" s="22">
        <v>0</v>
      </c>
      <c r="C84" s="25"/>
      <c r="D84" s="26">
        <v>0</v>
      </c>
      <c r="E84" s="25"/>
      <c r="F84" s="19"/>
    </row>
    <row r="85" spans="1:7" x14ac:dyDescent="0.25">
      <c r="A85" t="s">
        <v>80</v>
      </c>
      <c r="B85" s="26">
        <v>15567.161785101296</v>
      </c>
      <c r="C85" s="25"/>
      <c r="D85" s="26">
        <v>15560.553034851926</v>
      </c>
      <c r="E85" s="25"/>
      <c r="F85" s="19"/>
    </row>
    <row r="86" spans="1:7" x14ac:dyDescent="0.25">
      <c r="A86" t="s">
        <v>81</v>
      </c>
      <c r="B86" s="26">
        <v>0</v>
      </c>
      <c r="C86" s="25"/>
      <c r="D86" s="26">
        <v>0</v>
      </c>
      <c r="E86" s="25"/>
      <c r="F86" s="19"/>
    </row>
    <row r="87" spans="1:7" x14ac:dyDescent="0.25">
      <c r="A87" t="s">
        <v>82</v>
      </c>
      <c r="B87" s="26">
        <v>-14947905.116846414</v>
      </c>
      <c r="C87" s="25"/>
      <c r="D87" s="26">
        <v>-14949716.795105232</v>
      </c>
      <c r="E87" s="25"/>
      <c r="F87" s="19"/>
    </row>
    <row r="88" spans="1:7" x14ac:dyDescent="0.25">
      <c r="A88" t="s">
        <v>83</v>
      </c>
      <c r="B88" s="26">
        <v>-867778.75819721352</v>
      </c>
      <c r="C88" s="25"/>
      <c r="D88" s="26">
        <v>50616.529166853987</v>
      </c>
      <c r="E88" s="25"/>
      <c r="F88" s="19"/>
    </row>
    <row r="89" spans="1:7" x14ac:dyDescent="0.25">
      <c r="A89" t="s">
        <v>84</v>
      </c>
      <c r="B89" s="26">
        <v>3090486.0147762345</v>
      </c>
      <c r="C89" s="25"/>
      <c r="D89" s="26">
        <v>3141102.5439430885</v>
      </c>
      <c r="E89" s="23"/>
      <c r="F89" s="19"/>
    </row>
    <row r="90" spans="1:7" x14ac:dyDescent="0.25">
      <c r="A90" t="s">
        <v>85</v>
      </c>
      <c r="B90" s="26">
        <v>3090486.0147762345</v>
      </c>
      <c r="C90" s="25"/>
      <c r="D90" s="26">
        <v>3141102.5439430885</v>
      </c>
      <c r="E90" s="23"/>
      <c r="F90" s="19"/>
    </row>
    <row r="91" spans="1:7" x14ac:dyDescent="0.25">
      <c r="A91" t="s">
        <v>86</v>
      </c>
      <c r="B91" s="26">
        <v>-3921510.0085610403</v>
      </c>
      <c r="C91" s="25"/>
      <c r="D91" s="26">
        <v>-3870893.4793941863</v>
      </c>
      <c r="E91" s="23"/>
      <c r="F91" s="19"/>
    </row>
    <row r="92" spans="1:7" x14ac:dyDescent="0.25">
      <c r="A92" t="s">
        <v>87</v>
      </c>
      <c r="B92" s="30">
        <v>5.1243605539038103E-2</v>
      </c>
      <c r="C92" s="25"/>
      <c r="D92" s="33">
        <v>5.1261424786583326E-2</v>
      </c>
      <c r="E92" s="23"/>
      <c r="F92" s="45"/>
    </row>
    <row r="93" spans="1:7" x14ac:dyDescent="0.25">
      <c r="A93" t="s">
        <v>88</v>
      </c>
      <c r="B93" s="30">
        <v>5.124897224105078E-2</v>
      </c>
      <c r="C93" s="25"/>
      <c r="D93" s="33">
        <v>5.1266793596598706E-2</v>
      </c>
      <c r="E93" s="23"/>
      <c r="F93" s="19"/>
    </row>
    <row r="94" spans="1:7" x14ac:dyDescent="0.25">
      <c r="A94" t="s">
        <v>89</v>
      </c>
      <c r="B94" s="67">
        <v>0</v>
      </c>
      <c r="C94" s="25"/>
      <c r="D94" s="67">
        <v>0</v>
      </c>
      <c r="E94" s="23"/>
      <c r="F94" s="19"/>
    </row>
    <row r="95" spans="1:7" x14ac:dyDescent="0.25">
      <c r="A95" t="s">
        <v>90</v>
      </c>
      <c r="B95" s="69">
        <v>5.1248972241050801E-2</v>
      </c>
      <c r="C95" s="4" cm="1">
        <f t="array" ref="C95">_xll.qwYield(D101,D5,2)</f>
        <v>6.4318806600687256E-2</v>
      </c>
      <c r="D95" s="69">
        <v>5.1266793596598706E-2</v>
      </c>
      <c r="E95" s="72">
        <f>D95-B95</f>
        <v>1.7821355547904816E-5</v>
      </c>
      <c r="F95" s="19">
        <f>E95*D8*100</f>
        <v>276765.65165896178</v>
      </c>
    </row>
    <row r="96" spans="1:7" x14ac:dyDescent="0.25">
      <c r="A96" t="s">
        <v>91</v>
      </c>
      <c r="B96" s="67">
        <v>0</v>
      </c>
      <c r="C96" s="25"/>
      <c r="D96" s="67">
        <v>0</v>
      </c>
      <c r="E96" s="23"/>
      <c r="F96" s="19"/>
    </row>
    <row r="97" spans="1:6" x14ac:dyDescent="0.25">
      <c r="A97" t="s">
        <v>92</v>
      </c>
      <c r="B97" s="30">
        <v>5.124897224105078E-2</v>
      </c>
      <c r="C97" s="25"/>
      <c r="D97" s="27">
        <v>5.1266793596598706E-2</v>
      </c>
      <c r="E97" s="23"/>
    </row>
    <row r="98" spans="1:6" x14ac:dyDescent="0.25">
      <c r="A98" t="s">
        <v>93</v>
      </c>
      <c r="B98" s="22">
        <v>11.309154570374121</v>
      </c>
      <c r="C98" s="49">
        <f>MDURATION(B1+1,B2,0.01125,B95,2)</f>
        <v>11.302540743645672</v>
      </c>
      <c r="D98" s="37">
        <v>11.306207878477981</v>
      </c>
      <c r="E98" s="23">
        <f>MDURATION(D1+1,D2,0.01125,D95,2)</f>
        <v>11.299579145931387</v>
      </c>
      <c r="F98" s="15"/>
    </row>
    <row r="99" spans="1:6" ht="13.5" customHeight="1" x14ac:dyDescent="0.25">
      <c r="A99" t="s">
        <v>94</v>
      </c>
      <c r="B99" s="22">
        <v>11.277479071631328</v>
      </c>
      <c r="C99" s="25"/>
      <c r="D99" s="26">
        <v>11.275722027869957</v>
      </c>
      <c r="E99" s="23"/>
      <c r="F99" s="73"/>
    </row>
    <row r="100" spans="1:6" x14ac:dyDescent="0.25">
      <c r="A100" t="s">
        <v>95</v>
      </c>
      <c r="B100" s="31">
        <v>142.10994162575099</v>
      </c>
      <c r="C100" s="32"/>
      <c r="D100" s="38">
        <v>142.042818827416</v>
      </c>
      <c r="E100" s="39"/>
    </row>
    <row r="101" spans="1:6" x14ac:dyDescent="0.25">
      <c r="D101" t="str" cm="1">
        <f t="array" ref="D101">_xll.qwCtxNew(D1,"chjkh")</f>
        <v>ctx.46134.chjkh</v>
      </c>
    </row>
    <row r="102" spans="1:6" x14ac:dyDescent="0.25">
      <c r="D102" s="74" cm="1">
        <f t="array" ref="D102">_xll.qwCtxDate(D101)</f>
        <v>46134</v>
      </c>
    </row>
    <row r="103" spans="1:6" x14ac:dyDescent="0.25">
      <c r="B103" s="3"/>
      <c r="D103" s="1"/>
      <c r="E103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FEE-B578-4E7A-B947-D961729F9FBA}">
  <dimension ref="A1:Q100"/>
  <sheetViews>
    <sheetView topLeftCell="A62" workbookViewId="0">
      <selection activeCell="B79" sqref="B79"/>
    </sheetView>
  </sheetViews>
  <sheetFormatPr defaultRowHeight="15" x14ac:dyDescent="0.25"/>
  <cols>
    <col min="1" max="1" width="41" bestFit="1" customWidth="1"/>
    <col min="2" max="2" width="15.140625" bestFit="1" customWidth="1"/>
    <col min="3" max="3" width="15.28515625" bestFit="1" customWidth="1"/>
    <col min="4" max="4" width="16.28515625" bestFit="1" customWidth="1"/>
    <col min="5" max="5" width="13.28515625" bestFit="1" customWidth="1"/>
    <col min="9" max="10" width="17.7109375" bestFit="1" customWidth="1"/>
    <col min="11" max="11" width="10.28515625" bestFit="1" customWidth="1"/>
    <col min="12" max="12" width="21.85546875" bestFit="1" customWidth="1"/>
    <col min="13" max="13" width="9.5703125" bestFit="1" customWidth="1"/>
    <col min="14" max="14" width="10.5703125" bestFit="1" customWidth="1"/>
    <col min="16" max="16" width="20.7109375" bestFit="1" customWidth="1"/>
  </cols>
  <sheetData>
    <row r="1" spans="1:17" x14ac:dyDescent="0.25">
      <c r="A1" s="40" t="s">
        <v>190</v>
      </c>
      <c r="B1" s="41">
        <v>46133</v>
      </c>
      <c r="C1" s="43"/>
      <c r="D1" s="41">
        <v>46134</v>
      </c>
      <c r="E1" s="62"/>
    </row>
    <row r="2" spans="1:17" x14ac:dyDescent="0.25">
      <c r="A2" s="40" t="s">
        <v>201</v>
      </c>
      <c r="B2" s="46">
        <v>46199</v>
      </c>
      <c r="C2" s="48"/>
      <c r="D2" s="46">
        <v>46199</v>
      </c>
      <c r="E2" s="23"/>
    </row>
    <row r="3" spans="1:17" x14ac:dyDescent="0.25">
      <c r="A3" t="s">
        <v>97</v>
      </c>
      <c r="B3" s="22">
        <v>1103462747</v>
      </c>
      <c r="C3" s="23"/>
      <c r="D3" s="22">
        <v>1103462747</v>
      </c>
      <c r="E3" s="23"/>
    </row>
    <row r="4" spans="1:17" x14ac:dyDescent="0.25">
      <c r="A4" t="s">
        <v>98</v>
      </c>
      <c r="B4" s="24">
        <v>46133</v>
      </c>
      <c r="C4" s="23"/>
      <c r="D4" s="24">
        <v>46133</v>
      </c>
      <c r="E4" s="23"/>
    </row>
    <row r="5" spans="1:17" x14ac:dyDescent="0.25">
      <c r="A5" t="s">
        <v>0</v>
      </c>
      <c r="B5" s="22" t="s">
        <v>202</v>
      </c>
      <c r="C5" s="23"/>
      <c r="D5" s="22" t="s">
        <v>202</v>
      </c>
      <c r="E5" s="23"/>
      <c r="I5" s="40" t="s">
        <v>207</v>
      </c>
      <c r="J5" s="57">
        <f>E14-C14</f>
        <v>19180.103999997023</v>
      </c>
    </row>
    <row r="6" spans="1:17" x14ac:dyDescent="0.25">
      <c r="A6" t="s">
        <v>1</v>
      </c>
      <c r="B6" s="22">
        <v>228548439</v>
      </c>
      <c r="C6" s="23"/>
      <c r="D6" s="22">
        <v>228548439</v>
      </c>
      <c r="E6" s="23"/>
    </row>
    <row r="7" spans="1:17" x14ac:dyDescent="0.25">
      <c r="A7" t="s">
        <v>2</v>
      </c>
      <c r="B7" s="22" t="s">
        <v>101</v>
      </c>
      <c r="C7" s="23"/>
      <c r="D7" s="22" t="s">
        <v>101</v>
      </c>
      <c r="E7" s="23"/>
      <c r="I7" t="s">
        <v>196</v>
      </c>
      <c r="J7" s="60">
        <f>E11-C11</f>
        <v>12919.999999997672</v>
      </c>
    </row>
    <row r="8" spans="1:17" x14ac:dyDescent="0.25">
      <c r="A8" t="s">
        <v>3</v>
      </c>
      <c r="B8" s="63">
        <v>-646</v>
      </c>
      <c r="C8" s="23"/>
      <c r="D8" s="63">
        <v>-646</v>
      </c>
      <c r="E8" s="23"/>
      <c r="I8" t="s">
        <v>199</v>
      </c>
      <c r="J8" s="50">
        <f>J7*Q10</f>
        <v>17449.751999996857</v>
      </c>
      <c r="P8" t="s">
        <v>205</v>
      </c>
      <c r="Q8" s="18">
        <v>1.3550999918490443</v>
      </c>
    </row>
    <row r="9" spans="1:17" x14ac:dyDescent="0.25">
      <c r="A9" t="s">
        <v>4</v>
      </c>
      <c r="B9" s="64">
        <v>92.344272445820437</v>
      </c>
      <c r="C9" s="23"/>
      <c r="D9" s="64">
        <v>92.344272445820437</v>
      </c>
      <c r="E9" s="23"/>
      <c r="I9" t="s">
        <v>197</v>
      </c>
      <c r="J9" s="54">
        <f>E17-C17</f>
        <v>19180.103999997023</v>
      </c>
      <c r="P9" t="s">
        <v>195</v>
      </c>
      <c r="Q9">
        <v>1.35</v>
      </c>
    </row>
    <row r="10" spans="1:17" x14ac:dyDescent="0.25">
      <c r="A10" t="s">
        <v>5</v>
      </c>
      <c r="B10" s="64">
        <v>87.88</v>
      </c>
      <c r="C10" s="23"/>
      <c r="D10" s="64">
        <v>87.86</v>
      </c>
      <c r="E10" s="23"/>
      <c r="I10" t="s">
        <v>200</v>
      </c>
      <c r="J10" s="52">
        <v>0</v>
      </c>
      <c r="P10" t="s">
        <v>206</v>
      </c>
      <c r="Q10" s="18">
        <v>1.3506</v>
      </c>
    </row>
    <row r="11" spans="1:17" x14ac:dyDescent="0.25">
      <c r="A11" t="s">
        <v>6</v>
      </c>
      <c r="B11" s="26">
        <v>2883919.9999999991</v>
      </c>
      <c r="C11" s="25">
        <f>(B10-B9)*1000*B8</f>
        <v>2883920.0000000051</v>
      </c>
      <c r="D11" s="26">
        <v>2896839.9999999991</v>
      </c>
      <c r="E11" s="25">
        <f>(D10-D9)*1000*D8</f>
        <v>2896840.0000000028</v>
      </c>
      <c r="I11" t="s">
        <v>10</v>
      </c>
      <c r="J11" s="53">
        <f>J9+J10</f>
        <v>19180.103999997023</v>
      </c>
    </row>
    <row r="12" spans="1:17" x14ac:dyDescent="0.25">
      <c r="A12" t="s">
        <v>7</v>
      </c>
      <c r="B12" s="26">
        <v>3893291.9999999991</v>
      </c>
      <c r="C12" s="25">
        <f>C11*Q9</f>
        <v>3893292.000000007</v>
      </c>
      <c r="D12" s="26">
        <v>3912472.1039999989</v>
      </c>
      <c r="E12" s="35">
        <f>E11*Q10</f>
        <v>3912472.104000004</v>
      </c>
      <c r="I12" t="s">
        <v>198</v>
      </c>
      <c r="J12" s="51">
        <v>0</v>
      </c>
    </row>
    <row r="13" spans="1:17" x14ac:dyDescent="0.25">
      <c r="A13" t="s">
        <v>8</v>
      </c>
      <c r="B13" s="26">
        <v>2883919.9999999991</v>
      </c>
      <c r="C13" s="25">
        <f>(B10-B9)*1000*B8</f>
        <v>2883920.0000000051</v>
      </c>
      <c r="D13" s="26">
        <v>2896839.9999999991</v>
      </c>
      <c r="E13" s="25">
        <f>(D10-D9)*1000*D8</f>
        <v>2896840.0000000028</v>
      </c>
      <c r="I13" t="s">
        <v>217</v>
      </c>
      <c r="J13" s="61">
        <f>-D81</f>
        <v>-86379.905203713235</v>
      </c>
      <c r="N13" t="s">
        <v>99</v>
      </c>
      <c r="O13" t="s">
        <v>203</v>
      </c>
      <c r="P13" t="s">
        <v>204</v>
      </c>
    </row>
    <row r="14" spans="1:17" x14ac:dyDescent="0.25">
      <c r="A14" t="s">
        <v>9</v>
      </c>
      <c r="B14" s="26">
        <v>3893291.9999999991</v>
      </c>
      <c r="C14" s="35">
        <f>C13*Q9</f>
        <v>3893292.000000007</v>
      </c>
      <c r="D14" s="26">
        <v>3912472.1039999989</v>
      </c>
      <c r="E14" s="35">
        <f>E13*Q10</f>
        <v>3912472.104000004</v>
      </c>
      <c r="N14" s="2">
        <v>46076</v>
      </c>
      <c r="O14" s="2">
        <v>46076</v>
      </c>
      <c r="P14">
        <v>-370</v>
      </c>
      <c r="Q14">
        <v>92.35</v>
      </c>
    </row>
    <row r="15" spans="1:17" x14ac:dyDescent="0.25">
      <c r="A15" s="6" t="s">
        <v>10</v>
      </c>
      <c r="B15" s="26">
        <v>3856362.0497105364</v>
      </c>
      <c r="C15" s="35">
        <f>C16+C45</f>
        <v>3856362.0499326796</v>
      </c>
      <c r="D15" s="26">
        <v>3875542.1537105362</v>
      </c>
      <c r="E15" s="35">
        <f>E16+E45</f>
        <v>3875542.1539326767</v>
      </c>
      <c r="N15" s="2">
        <v>46076</v>
      </c>
      <c r="O15" s="2">
        <v>46076</v>
      </c>
      <c r="P15">
        <v>-370</v>
      </c>
      <c r="Q15">
        <v>92.34</v>
      </c>
    </row>
    <row r="16" spans="1:17" x14ac:dyDescent="0.25">
      <c r="A16" s="16" t="s">
        <v>11</v>
      </c>
      <c r="B16" s="26">
        <v>3893291.9999999991</v>
      </c>
      <c r="C16" s="35">
        <f>SUM(C17:C44)</f>
        <v>3893292.000000007</v>
      </c>
      <c r="D16" s="26">
        <v>3912472.1039999989</v>
      </c>
      <c r="E16" s="35">
        <f>SUM(E17:E44)</f>
        <v>3912472.104000004</v>
      </c>
      <c r="N16" s="2">
        <v>46078</v>
      </c>
      <c r="O16" s="2">
        <v>46078</v>
      </c>
      <c r="P16">
        <v>94</v>
      </c>
      <c r="Q16">
        <v>92.639920900000007</v>
      </c>
    </row>
    <row r="17" spans="1:8" x14ac:dyDescent="0.25">
      <c r="A17" s="8" t="s">
        <v>12</v>
      </c>
      <c r="B17" s="26">
        <v>3893291.9999999991</v>
      </c>
      <c r="C17" s="35">
        <f>C74*Q9</f>
        <v>3893292.000000007</v>
      </c>
      <c r="D17" s="26">
        <v>3912472.1039999989</v>
      </c>
      <c r="E17" s="25">
        <f>E74*Q10</f>
        <v>3912472.104000004</v>
      </c>
    </row>
    <row r="18" spans="1:8" x14ac:dyDescent="0.25">
      <c r="A18" s="8" t="s">
        <v>13</v>
      </c>
      <c r="B18" s="22">
        <v>0</v>
      </c>
      <c r="C18" s="23"/>
      <c r="D18" s="22">
        <v>0</v>
      </c>
      <c r="E18" s="23"/>
    </row>
    <row r="19" spans="1:8" x14ac:dyDescent="0.25">
      <c r="A19" s="8" t="s">
        <v>14</v>
      </c>
      <c r="B19" s="22">
        <v>0</v>
      </c>
      <c r="C19" s="23"/>
      <c r="D19" s="22">
        <v>0</v>
      </c>
      <c r="E19" s="23"/>
    </row>
    <row r="20" spans="1:8" x14ac:dyDescent="0.25">
      <c r="A20" s="8" t="s">
        <v>15</v>
      </c>
      <c r="B20" s="22">
        <v>0</v>
      </c>
      <c r="C20" s="23"/>
      <c r="D20" s="22">
        <v>0</v>
      </c>
      <c r="E20" s="23"/>
    </row>
    <row r="21" spans="1:8" x14ac:dyDescent="0.25">
      <c r="A21" s="8" t="s">
        <v>16</v>
      </c>
      <c r="B21" s="22">
        <v>0</v>
      </c>
      <c r="C21" s="23"/>
      <c r="D21" s="22">
        <v>0</v>
      </c>
      <c r="E21" s="23"/>
    </row>
    <row r="22" spans="1:8" x14ac:dyDescent="0.25">
      <c r="A22" s="8" t="s">
        <v>17</v>
      </c>
      <c r="B22" s="22">
        <v>0</v>
      </c>
      <c r="C22" s="23"/>
      <c r="D22" s="22">
        <v>0</v>
      </c>
      <c r="E22" s="23"/>
    </row>
    <row r="23" spans="1:8" x14ac:dyDescent="0.25">
      <c r="A23" s="8" t="s">
        <v>18</v>
      </c>
      <c r="B23" s="22">
        <v>0</v>
      </c>
      <c r="C23" s="23"/>
      <c r="D23" s="22">
        <v>0</v>
      </c>
      <c r="E23" s="23"/>
    </row>
    <row r="24" spans="1:8" x14ac:dyDescent="0.25">
      <c r="A24" s="8" t="s">
        <v>19</v>
      </c>
      <c r="B24" s="22">
        <v>0</v>
      </c>
      <c r="C24" s="23"/>
      <c r="D24" s="22">
        <v>0</v>
      </c>
      <c r="E24" s="23"/>
    </row>
    <row r="25" spans="1:8" x14ac:dyDescent="0.25">
      <c r="A25" s="8" t="s">
        <v>20</v>
      </c>
      <c r="B25" s="22">
        <v>0</v>
      </c>
      <c r="C25" s="23"/>
      <c r="D25" s="22">
        <v>0</v>
      </c>
      <c r="E25" s="23"/>
    </row>
    <row r="26" spans="1:8" x14ac:dyDescent="0.25">
      <c r="A26" s="8" t="s">
        <v>21</v>
      </c>
      <c r="B26" s="22">
        <v>0</v>
      </c>
      <c r="C26" s="23"/>
      <c r="D26" s="22">
        <v>0</v>
      </c>
      <c r="E26" s="23"/>
    </row>
    <row r="27" spans="1:8" x14ac:dyDescent="0.25">
      <c r="A27" s="8" t="s">
        <v>22</v>
      </c>
      <c r="B27" s="22">
        <v>0</v>
      </c>
      <c r="C27" s="23"/>
      <c r="D27" s="22">
        <v>0</v>
      </c>
      <c r="E27" s="23"/>
    </row>
    <row r="28" spans="1:8" x14ac:dyDescent="0.25">
      <c r="A28" s="8" t="s">
        <v>23</v>
      </c>
      <c r="B28" s="22">
        <v>0</v>
      </c>
      <c r="C28" s="23"/>
      <c r="D28" s="22">
        <v>0</v>
      </c>
      <c r="E28" s="23"/>
    </row>
    <row r="29" spans="1:8" x14ac:dyDescent="0.25">
      <c r="A29" s="8" t="s">
        <v>24</v>
      </c>
      <c r="B29" s="22">
        <v>0</v>
      </c>
      <c r="C29" s="23"/>
      <c r="D29" s="22">
        <v>0</v>
      </c>
      <c r="E29" s="23"/>
    </row>
    <row r="30" spans="1:8" x14ac:dyDescent="0.25">
      <c r="A30" s="8" t="s">
        <v>25</v>
      </c>
      <c r="B30" s="22">
        <v>0</v>
      </c>
      <c r="C30" s="23"/>
      <c r="D30" s="22">
        <v>0</v>
      </c>
      <c r="E30" s="23"/>
    </row>
    <row r="31" spans="1:8" x14ac:dyDescent="0.25">
      <c r="A31" s="8" t="s">
        <v>26</v>
      </c>
      <c r="B31" s="22">
        <v>0</v>
      </c>
      <c r="C31" s="23"/>
      <c r="D31" s="22">
        <v>0</v>
      </c>
      <c r="E31" s="23"/>
    </row>
    <row r="32" spans="1:8" x14ac:dyDescent="0.25">
      <c r="A32" s="8" t="s">
        <v>27</v>
      </c>
      <c r="B32" s="22">
        <v>0</v>
      </c>
      <c r="C32" s="23"/>
      <c r="D32" s="22">
        <v>0</v>
      </c>
      <c r="E32" s="23"/>
      <c r="H32" s="2"/>
    </row>
    <row r="33" spans="1:16" x14ac:dyDescent="0.25">
      <c r="A33" s="8" t="s">
        <v>28</v>
      </c>
      <c r="B33" s="22">
        <v>0</v>
      </c>
      <c r="C33" s="23"/>
      <c r="D33" s="22">
        <v>0</v>
      </c>
      <c r="E33" s="23"/>
      <c r="H33" s="2"/>
      <c r="J33" s="1"/>
    </row>
    <row r="34" spans="1:16" x14ac:dyDescent="0.25">
      <c r="A34" s="8" t="s">
        <v>29</v>
      </c>
      <c r="B34" s="22">
        <v>0</v>
      </c>
      <c r="C34" s="23"/>
      <c r="D34" s="22">
        <v>0</v>
      </c>
      <c r="E34" s="23"/>
    </row>
    <row r="35" spans="1:16" x14ac:dyDescent="0.25">
      <c r="A35" s="8" t="s">
        <v>30</v>
      </c>
      <c r="B35" s="22">
        <v>0</v>
      </c>
      <c r="C35" s="23"/>
      <c r="D35" s="22">
        <v>0</v>
      </c>
      <c r="E35" s="23"/>
      <c r="J35" s="55"/>
    </row>
    <row r="36" spans="1:16" x14ac:dyDescent="0.25">
      <c r="A36" s="8" t="s">
        <v>31</v>
      </c>
      <c r="B36" s="22">
        <v>0</v>
      </c>
      <c r="C36" s="23"/>
      <c r="D36" s="22">
        <v>0</v>
      </c>
      <c r="E36" s="23"/>
      <c r="H36" s="3"/>
    </row>
    <row r="37" spans="1:16" x14ac:dyDescent="0.25">
      <c r="A37" s="8" t="s">
        <v>32</v>
      </c>
      <c r="B37" s="22">
        <v>0</v>
      </c>
      <c r="C37" s="23"/>
      <c r="D37" s="22">
        <v>0</v>
      </c>
      <c r="E37" s="23"/>
    </row>
    <row r="38" spans="1:16" x14ac:dyDescent="0.25">
      <c r="A38" s="8" t="s">
        <v>33</v>
      </c>
      <c r="B38" s="22">
        <v>0</v>
      </c>
      <c r="C38" s="23"/>
      <c r="D38" s="22">
        <v>0</v>
      </c>
      <c r="E38" s="23"/>
    </row>
    <row r="39" spans="1:16" x14ac:dyDescent="0.25">
      <c r="A39" s="8" t="s">
        <v>34</v>
      </c>
      <c r="B39" s="22">
        <v>0</v>
      </c>
      <c r="C39" s="23"/>
      <c r="D39" s="22">
        <v>0</v>
      </c>
      <c r="E39" s="23"/>
    </row>
    <row r="40" spans="1:16" x14ac:dyDescent="0.25">
      <c r="A40" s="8" t="s">
        <v>35</v>
      </c>
      <c r="B40" s="22">
        <v>0</v>
      </c>
      <c r="C40" s="23"/>
      <c r="D40" s="22">
        <v>0</v>
      </c>
      <c r="E40" s="23"/>
      <c r="P40" s="56"/>
    </row>
    <row r="41" spans="1:16" x14ac:dyDescent="0.25">
      <c r="A41" s="8" t="s">
        <v>36</v>
      </c>
      <c r="B41" s="22">
        <v>0</v>
      </c>
      <c r="C41" s="23"/>
      <c r="D41" s="22">
        <v>0</v>
      </c>
      <c r="E41" s="23"/>
      <c r="P41" s="56"/>
    </row>
    <row r="42" spans="1:16" x14ac:dyDescent="0.25">
      <c r="A42" s="8" t="s">
        <v>37</v>
      </c>
      <c r="B42" s="22">
        <v>0</v>
      </c>
      <c r="C42" s="23"/>
      <c r="D42" s="22">
        <v>0</v>
      </c>
      <c r="E42" s="23"/>
    </row>
    <row r="43" spans="1:16" x14ac:dyDescent="0.25">
      <c r="A43" s="8" t="s">
        <v>38</v>
      </c>
      <c r="B43" s="22">
        <v>0</v>
      </c>
      <c r="C43" s="23"/>
      <c r="D43" s="22">
        <v>0</v>
      </c>
      <c r="E43" s="23"/>
    </row>
    <row r="44" spans="1:16" x14ac:dyDescent="0.25">
      <c r="A44" s="8" t="s">
        <v>39</v>
      </c>
      <c r="B44" s="22">
        <v>0</v>
      </c>
      <c r="C44" s="23"/>
      <c r="D44" s="22">
        <v>0</v>
      </c>
      <c r="E44" s="23"/>
    </row>
    <row r="45" spans="1:16" x14ac:dyDescent="0.25">
      <c r="A45" s="10" t="s">
        <v>40</v>
      </c>
      <c r="B45" s="26">
        <v>-36929.950289462511</v>
      </c>
      <c r="C45" s="25">
        <f>SUM(C46:C67)</f>
        <v>-36929.950067327169</v>
      </c>
      <c r="D45" s="26">
        <v>-36929.950289462511</v>
      </c>
      <c r="E45" s="25">
        <f>SUM(E46:E67)</f>
        <v>-36929.950067327169</v>
      </c>
    </row>
    <row r="46" spans="1:16" x14ac:dyDescent="0.25">
      <c r="A46" s="12" t="s">
        <v>41</v>
      </c>
      <c r="B46" s="26">
        <v>-36929.950289462511</v>
      </c>
      <c r="C46" s="25">
        <f>E73*Q8</f>
        <v>-36929.950067327169</v>
      </c>
      <c r="D46" s="26">
        <v>-36929.950289462511</v>
      </c>
      <c r="E46" s="35">
        <f>E73*Q8</f>
        <v>-36929.950067327169</v>
      </c>
    </row>
    <row r="47" spans="1:16" x14ac:dyDescent="0.25">
      <c r="A47" s="12" t="s">
        <v>42</v>
      </c>
      <c r="B47" s="22">
        <v>0</v>
      </c>
      <c r="C47" s="23"/>
      <c r="D47" s="22">
        <v>0</v>
      </c>
      <c r="E47" s="23"/>
    </row>
    <row r="48" spans="1:16" x14ac:dyDescent="0.25">
      <c r="A48" s="12" t="s">
        <v>43</v>
      </c>
      <c r="B48" s="22">
        <v>0</v>
      </c>
      <c r="C48" s="23"/>
      <c r="D48" s="22">
        <v>0</v>
      </c>
      <c r="E48" s="23"/>
    </row>
    <row r="49" spans="1:5" x14ac:dyDescent="0.25">
      <c r="A49" s="12" t="s">
        <v>44</v>
      </c>
      <c r="B49" s="22">
        <v>0</v>
      </c>
      <c r="C49" s="23"/>
      <c r="D49" s="22">
        <v>0</v>
      </c>
      <c r="E49" s="23"/>
    </row>
    <row r="50" spans="1:5" x14ac:dyDescent="0.25">
      <c r="A50" s="12" t="s">
        <v>45</v>
      </c>
      <c r="B50" s="22">
        <v>0</v>
      </c>
      <c r="C50" s="23"/>
      <c r="D50" s="22">
        <v>0</v>
      </c>
      <c r="E50" s="23"/>
    </row>
    <row r="51" spans="1:5" x14ac:dyDescent="0.25">
      <c r="A51" s="12" t="s">
        <v>46</v>
      </c>
      <c r="B51" s="22">
        <v>0</v>
      </c>
      <c r="C51" s="23"/>
      <c r="D51" s="22">
        <v>0</v>
      </c>
      <c r="E51" s="23"/>
    </row>
    <row r="52" spans="1:5" x14ac:dyDescent="0.25">
      <c r="A52" s="12" t="s">
        <v>47</v>
      </c>
      <c r="B52" s="22">
        <v>0</v>
      </c>
      <c r="C52" s="23"/>
      <c r="D52" s="22">
        <v>0</v>
      </c>
      <c r="E52" s="23"/>
    </row>
    <row r="53" spans="1:5" x14ac:dyDescent="0.25">
      <c r="A53" s="12" t="s">
        <v>48</v>
      </c>
      <c r="B53" s="22">
        <v>0</v>
      </c>
      <c r="C53" s="23"/>
      <c r="D53" s="22">
        <v>0</v>
      </c>
      <c r="E53" s="23"/>
    </row>
    <row r="54" spans="1:5" x14ac:dyDescent="0.25">
      <c r="A54" s="12" t="s">
        <v>49</v>
      </c>
      <c r="B54" s="22">
        <v>0</v>
      </c>
      <c r="C54" s="23"/>
      <c r="D54" s="22">
        <v>0</v>
      </c>
      <c r="E54" s="23"/>
    </row>
    <row r="55" spans="1:5" x14ac:dyDescent="0.25">
      <c r="A55" s="12" t="s">
        <v>50</v>
      </c>
      <c r="B55" s="22">
        <v>0</v>
      </c>
      <c r="C55" s="23"/>
      <c r="D55" s="22">
        <v>0</v>
      </c>
      <c r="E55" s="23"/>
    </row>
    <row r="56" spans="1:5" x14ac:dyDescent="0.25">
      <c r="A56" s="12" t="s">
        <v>51</v>
      </c>
      <c r="B56" s="22">
        <v>0</v>
      </c>
      <c r="C56" s="23"/>
      <c r="D56" s="22">
        <v>0</v>
      </c>
      <c r="E56" s="23"/>
    </row>
    <row r="57" spans="1:5" x14ac:dyDescent="0.25">
      <c r="A57" s="12" t="s">
        <v>52</v>
      </c>
      <c r="B57" s="22">
        <v>0</v>
      </c>
      <c r="C57" s="23"/>
      <c r="D57" s="22">
        <v>0</v>
      </c>
      <c r="E57" s="23"/>
    </row>
    <row r="58" spans="1:5" x14ac:dyDescent="0.25">
      <c r="A58" s="12" t="s">
        <v>53</v>
      </c>
      <c r="B58" s="22">
        <v>0</v>
      </c>
      <c r="C58" s="23"/>
      <c r="D58" s="22">
        <v>0</v>
      </c>
      <c r="E58" s="23"/>
    </row>
    <row r="59" spans="1:5" x14ac:dyDescent="0.25">
      <c r="A59" s="12" t="s">
        <v>54</v>
      </c>
      <c r="B59" s="22">
        <v>0</v>
      </c>
      <c r="C59" s="23"/>
      <c r="D59" s="22">
        <v>0</v>
      </c>
      <c r="E59" s="23"/>
    </row>
    <row r="60" spans="1:5" x14ac:dyDescent="0.25">
      <c r="A60" s="12" t="s">
        <v>55</v>
      </c>
      <c r="B60" s="22">
        <v>0</v>
      </c>
      <c r="C60" s="23"/>
      <c r="D60" s="22">
        <v>0</v>
      </c>
      <c r="E60" s="23"/>
    </row>
    <row r="61" spans="1:5" x14ac:dyDescent="0.25">
      <c r="A61" s="12" t="s">
        <v>56</v>
      </c>
      <c r="B61" s="22">
        <v>0</v>
      </c>
      <c r="C61" s="23"/>
      <c r="D61" s="22">
        <v>0</v>
      </c>
      <c r="E61" s="23"/>
    </row>
    <row r="62" spans="1:5" x14ac:dyDescent="0.25">
      <c r="A62" s="12" t="s">
        <v>57</v>
      </c>
      <c r="B62" s="22">
        <v>0</v>
      </c>
      <c r="C62" s="23"/>
      <c r="D62" s="22">
        <v>0</v>
      </c>
      <c r="E62" s="23"/>
    </row>
    <row r="63" spans="1:5" x14ac:dyDescent="0.25">
      <c r="A63" s="12" t="s">
        <v>58</v>
      </c>
      <c r="B63" s="22">
        <v>0</v>
      </c>
      <c r="C63" s="23"/>
      <c r="D63" s="22">
        <v>0</v>
      </c>
      <c r="E63" s="23"/>
    </row>
    <row r="64" spans="1:5" x14ac:dyDescent="0.25">
      <c r="A64" s="12" t="s">
        <v>59</v>
      </c>
      <c r="B64" s="22">
        <v>0</v>
      </c>
      <c r="C64" s="23"/>
      <c r="D64" s="22">
        <v>0</v>
      </c>
      <c r="E64" s="23"/>
    </row>
    <row r="65" spans="1:5" x14ac:dyDescent="0.25">
      <c r="A65" s="12" t="s">
        <v>60</v>
      </c>
      <c r="B65" s="22">
        <v>0</v>
      </c>
      <c r="C65" s="23"/>
      <c r="D65" s="22">
        <v>0</v>
      </c>
      <c r="E65" s="23"/>
    </row>
    <row r="66" spans="1:5" x14ac:dyDescent="0.25">
      <c r="A66" s="12" t="s">
        <v>61</v>
      </c>
      <c r="B66" s="22">
        <v>0</v>
      </c>
      <c r="C66" s="23"/>
      <c r="D66" s="22">
        <v>0</v>
      </c>
      <c r="E66" s="23"/>
    </row>
    <row r="67" spans="1:5" x14ac:dyDescent="0.25">
      <c r="A67" s="12" t="s">
        <v>62</v>
      </c>
      <c r="B67" s="22">
        <v>0</v>
      </c>
      <c r="C67" s="23"/>
      <c r="D67" s="22">
        <v>0</v>
      </c>
      <c r="E67" s="23"/>
    </row>
    <row r="68" spans="1:5" x14ac:dyDescent="0.25">
      <c r="A68" t="s">
        <v>63</v>
      </c>
      <c r="B68" s="22">
        <v>0</v>
      </c>
      <c r="C68" s="23"/>
      <c r="D68" s="22">
        <v>0</v>
      </c>
      <c r="E68" s="23"/>
    </row>
    <row r="69" spans="1:5" x14ac:dyDescent="0.25">
      <c r="A69" t="s">
        <v>64</v>
      </c>
      <c r="B69" s="22">
        <v>0</v>
      </c>
      <c r="C69" s="23"/>
      <c r="D69" s="22">
        <v>0</v>
      </c>
      <c r="E69" s="23"/>
    </row>
    <row r="70" spans="1:5" x14ac:dyDescent="0.25">
      <c r="A70" t="s">
        <v>65</v>
      </c>
      <c r="B70" s="22">
        <v>0</v>
      </c>
      <c r="C70" s="23"/>
      <c r="D70" s="22">
        <v>0</v>
      </c>
      <c r="E70" s="23"/>
    </row>
    <row r="71" spans="1:5" x14ac:dyDescent="0.25">
      <c r="A71" t="s">
        <v>66</v>
      </c>
      <c r="B71" s="22">
        <v>0</v>
      </c>
      <c r="C71" s="23"/>
      <c r="D71" s="22">
        <v>0</v>
      </c>
      <c r="E71" s="23"/>
    </row>
    <row r="72" spans="1:5" x14ac:dyDescent="0.25">
      <c r="A72" t="s">
        <v>67</v>
      </c>
      <c r="B72" s="26">
        <v>2856667.435399998</v>
      </c>
      <c r="C72" s="25">
        <f>SUM(C73:C78)</f>
        <v>2856667.435400004</v>
      </c>
      <c r="D72" s="26">
        <v>2869587.435399998</v>
      </c>
      <c r="E72" s="25">
        <f>SUM(E73:E78)</f>
        <v>2869587.4354000017</v>
      </c>
    </row>
    <row r="73" spans="1:5" x14ac:dyDescent="0.25">
      <c r="A73" t="s">
        <v>68</v>
      </c>
      <c r="B73" s="26">
        <v>-27252.564600001195</v>
      </c>
      <c r="C73" s="25">
        <f>(P16)*(Q14-Q16)*1000</f>
        <v>-27252.564600001195</v>
      </c>
      <c r="D73" s="26">
        <v>-27252.564600001195</v>
      </c>
      <c r="E73" s="25">
        <f>(P16)*(Q14-Q16)*1000</f>
        <v>-27252.564600001195</v>
      </c>
    </row>
    <row r="74" spans="1:5" x14ac:dyDescent="0.25">
      <c r="A74" t="s">
        <v>69</v>
      </c>
      <c r="B74" s="26">
        <v>2883919.9999999991</v>
      </c>
      <c r="C74" s="25">
        <f>(B10-B9)*1000*B8</f>
        <v>2883920.0000000051</v>
      </c>
      <c r="D74" s="26">
        <v>2896839.9999999991</v>
      </c>
      <c r="E74" s="25">
        <f>(D10-D9)*1000*D8</f>
        <v>2896840.0000000028</v>
      </c>
    </row>
    <row r="75" spans="1:5" x14ac:dyDescent="0.25">
      <c r="A75" t="s">
        <v>70</v>
      </c>
      <c r="B75" s="22">
        <v>0</v>
      </c>
      <c r="C75" s="23"/>
      <c r="D75" s="22">
        <v>0</v>
      </c>
      <c r="E75" s="25"/>
    </row>
    <row r="76" spans="1:5" x14ac:dyDescent="0.25">
      <c r="A76" t="s">
        <v>71</v>
      </c>
      <c r="B76" s="22">
        <v>0</v>
      </c>
      <c r="C76" s="23"/>
      <c r="D76" s="22">
        <v>0</v>
      </c>
      <c r="E76" s="23"/>
    </row>
    <row r="77" spans="1:5" x14ac:dyDescent="0.25">
      <c r="A77" t="s">
        <v>72</v>
      </c>
      <c r="B77" s="22">
        <v>0</v>
      </c>
      <c r="C77" s="23"/>
      <c r="D77" s="22">
        <v>0</v>
      </c>
      <c r="E77" s="23"/>
    </row>
    <row r="78" spans="1:5" x14ac:dyDescent="0.25">
      <c r="A78" t="s">
        <v>73</v>
      </c>
      <c r="B78" s="22">
        <v>0</v>
      </c>
      <c r="C78" s="23"/>
      <c r="D78" s="22">
        <v>0</v>
      </c>
      <c r="E78" s="23"/>
    </row>
    <row r="79" spans="1:5" x14ac:dyDescent="0.25">
      <c r="A79" t="s">
        <v>74</v>
      </c>
      <c r="B79" s="64">
        <v>88.44204461375756</v>
      </c>
      <c r="C79" s="23"/>
      <c r="D79" s="64">
        <v>88.414210773562246</v>
      </c>
      <c r="E79" s="23"/>
    </row>
    <row r="80" spans="1:5" x14ac:dyDescent="0.25">
      <c r="A80" t="s">
        <v>75</v>
      </c>
      <c r="B80" s="26">
        <v>63978.956599561461</v>
      </c>
      <c r="C80" s="23"/>
      <c r="D80" s="26">
        <v>63956.689770260062</v>
      </c>
      <c r="E80" s="23"/>
    </row>
    <row r="81" spans="1:5" x14ac:dyDescent="0.25">
      <c r="A81" t="s">
        <v>76</v>
      </c>
      <c r="B81" s="26">
        <v>86371.591409407978</v>
      </c>
      <c r="C81" s="23"/>
      <c r="D81" s="26">
        <v>86379.905203713235</v>
      </c>
      <c r="E81" s="23"/>
    </row>
    <row r="82" spans="1:5" x14ac:dyDescent="0.25">
      <c r="A82" t="s">
        <v>77</v>
      </c>
      <c r="B82" s="26">
        <v>8637159.1409408003</v>
      </c>
      <c r="C82" s="23"/>
      <c r="D82" s="26">
        <v>8637990.5203713235</v>
      </c>
      <c r="E82" s="23"/>
    </row>
    <row r="83" spans="1:5" x14ac:dyDescent="0.25">
      <c r="A83" t="s">
        <v>78</v>
      </c>
      <c r="B83" s="26">
        <v>-76640148</v>
      </c>
      <c r="C83" s="23"/>
      <c r="D83" s="26">
        <v>-76656760.535999998</v>
      </c>
      <c r="E83" s="23"/>
    </row>
    <row r="84" spans="1:5" x14ac:dyDescent="0.25">
      <c r="A84" t="s">
        <v>79</v>
      </c>
      <c r="B84" s="26">
        <v>0</v>
      </c>
      <c r="C84" s="23"/>
      <c r="D84" s="26">
        <v>0</v>
      </c>
      <c r="E84" s="23"/>
    </row>
    <row r="85" spans="1:5" x14ac:dyDescent="0.25">
      <c r="A85" t="s">
        <v>80</v>
      </c>
      <c r="B85" s="26">
        <v>0</v>
      </c>
      <c r="C85" s="23"/>
      <c r="D85" s="26">
        <v>0</v>
      </c>
      <c r="E85" s="23"/>
    </row>
    <row r="86" spans="1:5" x14ac:dyDescent="0.25">
      <c r="A86" t="s">
        <v>81</v>
      </c>
      <c r="B86" s="26">
        <v>0</v>
      </c>
      <c r="C86" s="23"/>
      <c r="D86" s="26">
        <v>0</v>
      </c>
      <c r="E86" s="23"/>
    </row>
    <row r="87" spans="1:5" x14ac:dyDescent="0.25">
      <c r="A87" t="s">
        <v>82</v>
      </c>
      <c r="B87" s="26">
        <v>8637159.1409407984</v>
      </c>
      <c r="C87" s="23"/>
      <c r="D87" s="26">
        <v>8637990.5203713235</v>
      </c>
      <c r="E87" s="23"/>
    </row>
    <row r="88" spans="1:5" x14ac:dyDescent="0.25">
      <c r="A88" t="s">
        <v>83</v>
      </c>
      <c r="B88" s="26">
        <v>331170.26800000062</v>
      </c>
      <c r="C88" s="23"/>
      <c r="D88" s="26">
        <v>19180.103999999817</v>
      </c>
      <c r="E88" s="23"/>
    </row>
    <row r="89" spans="1:5" x14ac:dyDescent="0.25">
      <c r="A89" t="s">
        <v>84</v>
      </c>
      <c r="B89" s="26">
        <v>946.62000000057742</v>
      </c>
      <c r="C89" s="23"/>
      <c r="D89" s="26">
        <v>20126.724000000395</v>
      </c>
      <c r="E89" s="23"/>
    </row>
    <row r="90" spans="1:5" x14ac:dyDescent="0.25">
      <c r="A90" t="s">
        <v>85</v>
      </c>
      <c r="B90" s="26">
        <v>946.62000000057742</v>
      </c>
      <c r="C90" s="23"/>
      <c r="D90" s="26">
        <v>20126.724000000395</v>
      </c>
      <c r="E90" s="23"/>
    </row>
    <row r="91" spans="1:5" x14ac:dyDescent="0.25">
      <c r="A91" t="s">
        <v>86</v>
      </c>
      <c r="B91" s="26">
        <v>3856362.0497105364</v>
      </c>
      <c r="C91" s="23"/>
      <c r="D91" s="26">
        <v>3875542.1537105362</v>
      </c>
      <c r="E91" s="23"/>
    </row>
    <row r="92" spans="1:5" x14ac:dyDescent="0.25">
      <c r="A92" t="s">
        <v>87</v>
      </c>
      <c r="B92" s="22">
        <v>0</v>
      </c>
      <c r="C92" s="23"/>
      <c r="D92" s="22">
        <v>0</v>
      </c>
      <c r="E92" s="23"/>
    </row>
    <row r="93" spans="1:5" x14ac:dyDescent="0.25">
      <c r="A93" t="s">
        <v>88</v>
      </c>
      <c r="B93" s="22">
        <v>0</v>
      </c>
      <c r="C93" s="23"/>
      <c r="D93" s="22">
        <v>0</v>
      </c>
      <c r="E93" s="23"/>
    </row>
    <row r="94" spans="1:5" x14ac:dyDescent="0.25">
      <c r="A94" t="s">
        <v>89</v>
      </c>
      <c r="B94" s="22">
        <v>0</v>
      </c>
      <c r="C94" s="23"/>
      <c r="D94" s="22">
        <v>0</v>
      </c>
      <c r="E94" s="23"/>
    </row>
    <row r="95" spans="1:5" x14ac:dyDescent="0.25">
      <c r="A95" t="s">
        <v>90</v>
      </c>
      <c r="B95" s="22">
        <v>0</v>
      </c>
      <c r="C95" s="23"/>
      <c r="D95" s="22">
        <v>0</v>
      </c>
      <c r="E95" s="23"/>
    </row>
    <row r="96" spans="1:5" x14ac:dyDescent="0.25">
      <c r="A96" t="s">
        <v>91</v>
      </c>
      <c r="B96" s="22">
        <v>0</v>
      </c>
      <c r="C96" s="23"/>
      <c r="D96" s="22">
        <v>0</v>
      </c>
      <c r="E96" s="23"/>
    </row>
    <row r="97" spans="1:5" x14ac:dyDescent="0.25">
      <c r="A97" t="s">
        <v>92</v>
      </c>
      <c r="B97" s="22">
        <v>0</v>
      </c>
      <c r="C97" s="23"/>
      <c r="D97" s="22">
        <v>0</v>
      </c>
      <c r="E97" s="23"/>
    </row>
    <row r="98" spans="1:5" x14ac:dyDescent="0.25">
      <c r="A98" t="s">
        <v>93</v>
      </c>
      <c r="B98" s="66">
        <v>11.123252447044381</v>
      </c>
      <c r="C98" s="23"/>
      <c r="D98" s="26">
        <v>11.122855992113031</v>
      </c>
      <c r="E98" s="23"/>
    </row>
    <row r="99" spans="1:5" x14ac:dyDescent="0.25">
      <c r="A99" t="s">
        <v>94</v>
      </c>
      <c r="B99" s="26">
        <v>0</v>
      </c>
      <c r="C99" s="23"/>
      <c r="D99" s="26">
        <v>0</v>
      </c>
      <c r="E99" s="23"/>
    </row>
    <row r="100" spans="1:5" x14ac:dyDescent="0.25">
      <c r="A100" t="s">
        <v>95</v>
      </c>
      <c r="B100" s="65">
        <v>137.83907566335694</v>
      </c>
      <c r="C100" s="39"/>
      <c r="D100" s="65">
        <v>137.8315669577421</v>
      </c>
      <c r="E100" s="3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1085913817 MMFuture</vt:lpstr>
      <vt:lpstr>GBP Curve</vt:lpstr>
      <vt:lpstr>Sheet1</vt:lpstr>
      <vt:lpstr>GILT Bond at 04-22</vt:lpstr>
      <vt:lpstr>LONG GILT JUN6  at 04-22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2026-04-22T13:52:02Z</dcterms:created>
  <dcterms:modified xsi:type="dcterms:W3CDTF">2026-05-04T19:07:42Z</dcterms:modified>
</cp:coreProperties>
</file>
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1669" documentId="11_F25DC773A252ABDACC1048C9319F6FBA5BDE58EC" xr6:coauthVersionLast="47" xr6:coauthVersionMax="47" xr10:uidLastSave="{AA9305BD-1FA0-4167-A358-708631A5E367}"/>
  <bookViews>
    <workbookView xWindow="-110" yWindow="-110" windowWidth="19420" windowHeight="12220" xr2:uid="{00000000-000D-0000-FFFF-FFFF00000000}"/>
  </bookViews>
  <sheets>
    <sheet name="Sheet1" sheetId="1" r:id="rId1"/>
    <sheet name="Sheet2" sheetId="2" r:id="rId2"/>
    <sheet name="qwpos" sheetId="3" r:id="rId3"/>
  </sheets>
  <definedNames>
    <definedName name="_xlnm._FilterDatabase" localSheetId="0" hidden="1">Sheet1!$B$1:$AB$395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8" i="2"/>
  <c r="A9" i="2"/>
  <c r="A16" i="2"/>
  <c r="A17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101" i="2"/>
  <c r="A102" i="2"/>
  <c r="A103" i="2"/>
  <c r="A104" i="2"/>
  <c r="A105" i="2"/>
  <c r="A10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8" i="2"/>
  <c r="A189" i="2"/>
  <c r="M3" i="2"/>
  <c r="A3" i="2" s="1"/>
  <c r="M6" i="2"/>
  <c r="A6" i="2" s="1"/>
  <c r="M7" i="2"/>
  <c r="A7" i="2" s="1"/>
  <c r="M10" i="2"/>
  <c r="A10" i="2" s="1"/>
  <c r="M11" i="2"/>
  <c r="A11" i="2" s="1"/>
  <c r="M12" i="2"/>
  <c r="A12" i="2" s="1"/>
  <c r="M13" i="2"/>
  <c r="A13" i="2" s="1"/>
  <c r="M14" i="2"/>
  <c r="A14" i="2" s="1"/>
  <c r="M15" i="2"/>
  <c r="A15" i="2" s="1"/>
  <c r="M18" i="2"/>
  <c r="A18" i="2" s="1"/>
  <c r="M19" i="2"/>
  <c r="A19" i="2" s="1"/>
  <c r="M20" i="2"/>
  <c r="A20" i="2" s="1"/>
  <c r="M21" i="2"/>
  <c r="A21" i="2" s="1"/>
  <c r="M22" i="2"/>
  <c r="A22" i="2" s="1"/>
  <c r="M23" i="2"/>
  <c r="A23" i="2" s="1"/>
  <c r="M24" i="2"/>
  <c r="A24" i="2" s="1"/>
  <c r="M25" i="2"/>
  <c r="A25" i="2" s="1"/>
  <c r="M26" i="2"/>
  <c r="A26" i="2" s="1"/>
  <c r="M27" i="2"/>
  <c r="A27" i="2" s="1"/>
  <c r="M28" i="2"/>
  <c r="A28" i="2" s="1"/>
  <c r="M29" i="2"/>
  <c r="A29" i="2" s="1"/>
  <c r="M30" i="2"/>
  <c r="A30" i="2" s="1"/>
  <c r="M31" i="2"/>
  <c r="A31" i="2" s="1"/>
  <c r="M32" i="2"/>
  <c r="A32" i="2" s="1"/>
  <c r="M33" i="2"/>
  <c r="A33" i="2" s="1"/>
  <c r="M34" i="2"/>
  <c r="A34" i="2" s="1"/>
  <c r="M35" i="2"/>
  <c r="A35" i="2" s="1"/>
  <c r="M36" i="2"/>
  <c r="A36" i="2" s="1"/>
  <c r="M37" i="2"/>
  <c r="A37" i="2" s="1"/>
  <c r="M38" i="2"/>
  <c r="A38" i="2" s="1"/>
  <c r="M39" i="2"/>
  <c r="A39" i="2" s="1"/>
  <c r="M40" i="2"/>
  <c r="A40" i="2" s="1"/>
  <c r="M41" i="2"/>
  <c r="A41" i="2" s="1"/>
  <c r="M42" i="2"/>
  <c r="A42" i="2" s="1"/>
  <c r="M43" i="2"/>
  <c r="A43" i="2" s="1"/>
  <c r="M44" i="2"/>
  <c r="A44" i="2" s="1"/>
  <c r="M45" i="2"/>
  <c r="A45" i="2" s="1"/>
  <c r="M46" i="2"/>
  <c r="A46" i="2" s="1"/>
  <c r="M47" i="2"/>
  <c r="A47" i="2" s="1"/>
  <c r="M48" i="2"/>
  <c r="A48" i="2" s="1"/>
  <c r="M49" i="2"/>
  <c r="A49" i="2" s="1"/>
  <c r="M50" i="2"/>
  <c r="A50" i="2" s="1"/>
  <c r="M51" i="2"/>
  <c r="A51" i="2" s="1"/>
  <c r="M52" i="2"/>
  <c r="A52" i="2" s="1"/>
  <c r="M53" i="2"/>
  <c r="A53" i="2" s="1"/>
  <c r="M54" i="2"/>
  <c r="A54" i="2" s="1"/>
  <c r="M55" i="2"/>
  <c r="A55" i="2" s="1"/>
  <c r="M56" i="2"/>
  <c r="A56" i="2" s="1"/>
  <c r="M57" i="2"/>
  <c r="A57" i="2" s="1"/>
  <c r="M58" i="2"/>
  <c r="A58" i="2" s="1"/>
  <c r="M59" i="2"/>
  <c r="A59" i="2" s="1"/>
  <c r="M60" i="2"/>
  <c r="A60" i="2" s="1"/>
  <c r="M61" i="2"/>
  <c r="A61" i="2" s="1"/>
  <c r="M62" i="2"/>
  <c r="A62" i="2" s="1"/>
  <c r="M63" i="2"/>
  <c r="A63" i="2" s="1"/>
  <c r="M64" i="2"/>
  <c r="A64" i="2" s="1"/>
  <c r="M65" i="2"/>
  <c r="A65" i="2" s="1"/>
  <c r="M66" i="2"/>
  <c r="A66" i="2" s="1"/>
  <c r="M67" i="2"/>
  <c r="A67" i="2" s="1"/>
  <c r="M68" i="2"/>
  <c r="A68" i="2" s="1"/>
  <c r="M69" i="2"/>
  <c r="A69" i="2" s="1"/>
  <c r="M70" i="2"/>
  <c r="A70" i="2" s="1"/>
  <c r="M71" i="2"/>
  <c r="A71" i="2" s="1"/>
  <c r="M72" i="2"/>
  <c r="A72" i="2" s="1"/>
  <c r="M73" i="2"/>
  <c r="A73" i="2" s="1"/>
  <c r="M91" i="2"/>
  <c r="A91" i="2" s="1"/>
  <c r="M92" i="2"/>
  <c r="A92" i="2" s="1"/>
  <c r="M93" i="2"/>
  <c r="A93" i="2" s="1"/>
  <c r="M94" i="2"/>
  <c r="A94" i="2" s="1"/>
  <c r="M95" i="2"/>
  <c r="A95" i="2" s="1"/>
  <c r="M96" i="2"/>
  <c r="A96" i="2" s="1"/>
  <c r="M97" i="2"/>
  <c r="A97" i="2" s="1"/>
  <c r="M98" i="2"/>
  <c r="A98" i="2" s="1"/>
  <c r="M99" i="2"/>
  <c r="A99" i="2" s="1"/>
  <c r="M100" i="2"/>
  <c r="A100" i="2" s="1"/>
  <c r="M107" i="2"/>
  <c r="A107" i="2" s="1"/>
  <c r="M108" i="2"/>
  <c r="A108" i="2" s="1"/>
  <c r="M109" i="2"/>
  <c r="A109" i="2" s="1"/>
  <c r="M110" i="2"/>
  <c r="A110" i="2" s="1"/>
  <c r="M111" i="2"/>
  <c r="A111" i="2" s="1"/>
  <c r="M112" i="2"/>
  <c r="A112" i="2" s="1"/>
  <c r="M113" i="2"/>
  <c r="A113" i="2" s="1"/>
  <c r="M114" i="2"/>
  <c r="A114" i="2" s="1"/>
  <c r="M115" i="2"/>
  <c r="A115" i="2" s="1"/>
  <c r="M116" i="2"/>
  <c r="A116" i="2" s="1"/>
  <c r="M130" i="2"/>
  <c r="A130" i="2" s="1"/>
  <c r="M131" i="2"/>
  <c r="A131" i="2" s="1"/>
  <c r="M132" i="2"/>
  <c r="A132" i="2" s="1"/>
  <c r="M133" i="2"/>
  <c r="A133" i="2" s="1"/>
  <c r="M134" i="2"/>
  <c r="A134" i="2" s="1"/>
  <c r="M135" i="2"/>
  <c r="A135" i="2" s="1"/>
  <c r="M136" i="2"/>
  <c r="A136" i="2" s="1"/>
  <c r="M137" i="2"/>
  <c r="A137" i="2" s="1"/>
  <c r="M138" i="2"/>
  <c r="A138" i="2" s="1"/>
  <c r="M139" i="2"/>
  <c r="A139" i="2" s="1"/>
  <c r="M140" i="2"/>
  <c r="A140" i="2" s="1"/>
  <c r="M141" i="2"/>
  <c r="A141" i="2" s="1"/>
  <c r="M142" i="2"/>
  <c r="A142" i="2" s="1"/>
  <c r="M143" i="2"/>
  <c r="A143" i="2" s="1"/>
  <c r="M144" i="2"/>
  <c r="A144" i="2" s="1"/>
  <c r="M145" i="2"/>
  <c r="A145" i="2" s="1"/>
  <c r="M146" i="2"/>
  <c r="A146" i="2" s="1"/>
  <c r="M147" i="2"/>
  <c r="A147" i="2" s="1"/>
  <c r="M148" i="2"/>
  <c r="A148" i="2" s="1"/>
  <c r="M149" i="2"/>
  <c r="A149" i="2" s="1"/>
  <c r="M150" i="2"/>
  <c r="A150" i="2" s="1"/>
  <c r="M151" i="2"/>
  <c r="A151" i="2" s="1"/>
  <c r="M152" i="2"/>
  <c r="A152" i="2" s="1"/>
  <c r="M153" i="2"/>
  <c r="A153" i="2" s="1"/>
  <c r="M154" i="2"/>
  <c r="A154" i="2" s="1"/>
  <c r="M155" i="2"/>
  <c r="A155" i="2" s="1"/>
  <c r="M156" i="2"/>
  <c r="A156" i="2" s="1"/>
  <c r="M157" i="2"/>
  <c r="A157" i="2" s="1"/>
  <c r="M158" i="2"/>
  <c r="A158" i="2" s="1"/>
  <c r="M159" i="2"/>
  <c r="A159" i="2" s="1"/>
  <c r="M160" i="2"/>
  <c r="A160" i="2" s="1"/>
  <c r="M161" i="2"/>
  <c r="A161" i="2" s="1"/>
  <c r="M162" i="2"/>
  <c r="A162" i="2" s="1"/>
  <c r="M163" i="2"/>
  <c r="A163" i="2" s="1"/>
  <c r="M164" i="2"/>
  <c r="A164" i="2" s="1"/>
  <c r="M165" i="2"/>
  <c r="A165" i="2" s="1"/>
  <c r="M166" i="2"/>
  <c r="A166" i="2" s="1"/>
  <c r="M167" i="2"/>
  <c r="A167" i="2" s="1"/>
  <c r="M168" i="2"/>
  <c r="A168" i="2" s="1"/>
  <c r="M169" i="2"/>
  <c r="A169" i="2" s="1"/>
  <c r="M186" i="2"/>
  <c r="A186" i="2" s="1"/>
  <c r="M187" i="2"/>
  <c r="A187" i="2" s="1"/>
  <c r="M2" i="2"/>
  <c r="A2" i="2" s="1"/>
  <c r="AB85" i="1" a="1"/>
  <c r="AB48" i="1" a="1"/>
  <c r="AB5" i="1" a="1"/>
  <c r="AB83" i="1" a="1"/>
  <c r="AB40" i="1" a="1"/>
  <c r="AB49" i="1" a="1"/>
  <c r="AB41" i="1" a="1"/>
  <c r="AB84" i="1" a="1"/>
  <c r="AB39" i="1" a="1"/>
  <c r="A1" i="1" a="1"/>
  <c r="A4" i="1" a="1"/>
  <c r="AB39" i="1" l="1"/>
  <c r="AB84" i="1"/>
  <c r="AB41" i="1"/>
  <c r="AB49" i="1"/>
  <c r="AB40" i="1"/>
  <c r="AB83" i="1"/>
  <c r="AB5" i="1"/>
  <c r="AB48" i="1"/>
  <c r="AB85" i="1"/>
  <c r="E2" i="3"/>
  <c r="F2" i="3" s="1"/>
  <c r="E6" i="3"/>
  <c r="F6" i="3" s="1"/>
  <c r="E10" i="3"/>
  <c r="F10" i="3" s="1"/>
  <c r="E14" i="3"/>
  <c r="F14" i="3" s="1"/>
  <c r="E18" i="3"/>
  <c r="F18" i="3" s="1"/>
  <c r="E22" i="3"/>
  <c r="F22" i="3" s="1"/>
  <c r="E26" i="3"/>
  <c r="F26" i="3" s="1"/>
  <c r="E30" i="3"/>
  <c r="F30" i="3" s="1"/>
  <c r="E34" i="3"/>
  <c r="F34" i="3" s="1"/>
  <c r="E38" i="3"/>
  <c r="F38" i="3" s="1"/>
  <c r="E42" i="3"/>
  <c r="F42" i="3" s="1"/>
  <c r="E46" i="3"/>
  <c r="F46" i="3" s="1"/>
  <c r="E50" i="3"/>
  <c r="F50" i="3" s="1"/>
  <c r="E54" i="3"/>
  <c r="F54" i="3" s="1"/>
  <c r="E58" i="3"/>
  <c r="F58" i="3" s="1"/>
  <c r="E62" i="3"/>
  <c r="F62" i="3" s="1"/>
  <c r="E66" i="3"/>
  <c r="F66" i="3" s="1"/>
  <c r="E70" i="3"/>
  <c r="F70" i="3" s="1"/>
  <c r="E74" i="3"/>
  <c r="F74" i="3" s="1"/>
  <c r="E78" i="3"/>
  <c r="F78" i="3" s="1"/>
  <c r="E82" i="3"/>
  <c r="F82" i="3" s="1"/>
  <c r="E86" i="3"/>
  <c r="F86" i="3" s="1"/>
  <c r="E90" i="3"/>
  <c r="F90" i="3" s="1"/>
  <c r="E94" i="3"/>
  <c r="F94" i="3" s="1"/>
  <c r="E98" i="3"/>
  <c r="F98" i="3" s="1"/>
  <c r="E102" i="3"/>
  <c r="F102" i="3" s="1"/>
  <c r="E106" i="3"/>
  <c r="F106" i="3" s="1"/>
  <c r="E110" i="3"/>
  <c r="F110" i="3" s="1"/>
  <c r="E114" i="3"/>
  <c r="F114" i="3" s="1"/>
  <c r="E118" i="3"/>
  <c r="F118" i="3" s="1"/>
  <c r="E122" i="3"/>
  <c r="F122" i="3" s="1"/>
  <c r="E126" i="3"/>
  <c r="F126" i="3" s="1"/>
  <c r="E130" i="3"/>
  <c r="F130" i="3" s="1"/>
  <c r="E134" i="3"/>
  <c r="F134" i="3" s="1"/>
  <c r="E138" i="3"/>
  <c r="F138" i="3" s="1"/>
  <c r="E142" i="3"/>
  <c r="F142" i="3" s="1"/>
  <c r="E146" i="3"/>
  <c r="F146" i="3" s="1"/>
  <c r="E150" i="3"/>
  <c r="F150" i="3" s="1"/>
  <c r="E154" i="3"/>
  <c r="F154" i="3" s="1"/>
  <c r="E158" i="3"/>
  <c r="F158" i="3" s="1"/>
  <c r="E162" i="3"/>
  <c r="F162" i="3" s="1"/>
  <c r="E7" i="3"/>
  <c r="F7" i="3" s="1"/>
  <c r="E12" i="3"/>
  <c r="F12" i="3" s="1"/>
  <c r="E17" i="3"/>
  <c r="F17" i="3" s="1"/>
  <c r="E23" i="3"/>
  <c r="F23" i="3" s="1"/>
  <c r="E28" i="3"/>
  <c r="F28" i="3" s="1"/>
  <c r="E33" i="3"/>
  <c r="F33" i="3" s="1"/>
  <c r="E39" i="3"/>
  <c r="F39" i="3" s="1"/>
  <c r="E44" i="3"/>
  <c r="F44" i="3" s="1"/>
  <c r="E49" i="3"/>
  <c r="F49" i="3" s="1"/>
  <c r="E55" i="3"/>
  <c r="F55" i="3" s="1"/>
  <c r="E60" i="3"/>
  <c r="F60" i="3" s="1"/>
  <c r="E65" i="3"/>
  <c r="F65" i="3" s="1"/>
  <c r="E71" i="3"/>
  <c r="F71" i="3" s="1"/>
  <c r="E76" i="3"/>
  <c r="F76" i="3" s="1"/>
  <c r="E81" i="3"/>
  <c r="F81" i="3" s="1"/>
  <c r="E87" i="3"/>
  <c r="F87" i="3" s="1"/>
  <c r="E92" i="3"/>
  <c r="F92" i="3" s="1"/>
  <c r="E97" i="3"/>
  <c r="F97" i="3" s="1"/>
  <c r="E103" i="3"/>
  <c r="F103" i="3" s="1"/>
  <c r="E108" i="3"/>
  <c r="F108" i="3" s="1"/>
  <c r="E113" i="3"/>
  <c r="F113" i="3" s="1"/>
  <c r="E119" i="3"/>
  <c r="F119" i="3" s="1"/>
  <c r="E124" i="3"/>
  <c r="F124" i="3" s="1"/>
  <c r="E129" i="3"/>
  <c r="F129" i="3" s="1"/>
  <c r="E135" i="3"/>
  <c r="F135" i="3" s="1"/>
  <c r="E140" i="3"/>
  <c r="F140" i="3" s="1"/>
  <c r="E145" i="3"/>
  <c r="F145" i="3" s="1"/>
  <c r="E151" i="3"/>
  <c r="F151" i="3" s="1"/>
  <c r="E156" i="3"/>
  <c r="F156" i="3" s="1"/>
  <c r="E161" i="3"/>
  <c r="F161" i="3" s="1"/>
  <c r="E3" i="3"/>
  <c r="F3" i="3" s="1"/>
  <c r="E8" i="3"/>
  <c r="F8" i="3" s="1"/>
  <c r="E13" i="3"/>
  <c r="F13" i="3" s="1"/>
  <c r="E19" i="3"/>
  <c r="F19" i="3" s="1"/>
  <c r="E24" i="3"/>
  <c r="F24" i="3" s="1"/>
  <c r="E29" i="3"/>
  <c r="F29" i="3" s="1"/>
  <c r="E35" i="3"/>
  <c r="F35" i="3" s="1"/>
  <c r="E40" i="3"/>
  <c r="F40" i="3" s="1"/>
  <c r="E45" i="3"/>
  <c r="F45" i="3" s="1"/>
  <c r="E51" i="3"/>
  <c r="F51" i="3" s="1"/>
  <c r="E56" i="3"/>
  <c r="F56" i="3" s="1"/>
  <c r="E61" i="3"/>
  <c r="F61" i="3" s="1"/>
  <c r="E67" i="3"/>
  <c r="F67" i="3" s="1"/>
  <c r="E72" i="3"/>
  <c r="F72" i="3" s="1"/>
  <c r="E77" i="3"/>
  <c r="F77" i="3" s="1"/>
  <c r="E83" i="3"/>
  <c r="F83" i="3" s="1"/>
  <c r="E88" i="3"/>
  <c r="F88" i="3" s="1"/>
  <c r="E93" i="3"/>
  <c r="F93" i="3" s="1"/>
  <c r="E99" i="3"/>
  <c r="F99" i="3" s="1"/>
  <c r="E104" i="3"/>
  <c r="F104" i="3" s="1"/>
  <c r="E109" i="3"/>
  <c r="F109" i="3" s="1"/>
  <c r="E115" i="3"/>
  <c r="F115" i="3" s="1"/>
  <c r="E120" i="3"/>
  <c r="F120" i="3" s="1"/>
  <c r="E125" i="3"/>
  <c r="F125" i="3" s="1"/>
  <c r="E131" i="3"/>
  <c r="F131" i="3" s="1"/>
  <c r="E136" i="3"/>
  <c r="F136" i="3" s="1"/>
  <c r="E141" i="3"/>
  <c r="F141" i="3" s="1"/>
  <c r="E147" i="3"/>
  <c r="F147" i="3" s="1"/>
  <c r="E152" i="3"/>
  <c r="F152" i="3" s="1"/>
  <c r="E157" i="3"/>
  <c r="F157" i="3" s="1"/>
  <c r="E163" i="3"/>
  <c r="F163" i="3" s="1"/>
  <c r="E4" i="3"/>
  <c r="F4" i="3" s="1"/>
  <c r="E9" i="3"/>
  <c r="F9" i="3" s="1"/>
  <c r="E15" i="3"/>
  <c r="F15" i="3" s="1"/>
  <c r="E20" i="3"/>
  <c r="F20" i="3" s="1"/>
  <c r="E25" i="3"/>
  <c r="F25" i="3" s="1"/>
  <c r="E31" i="3"/>
  <c r="F31" i="3" s="1"/>
  <c r="E36" i="3"/>
  <c r="F36" i="3" s="1"/>
  <c r="E41" i="3"/>
  <c r="F41" i="3" s="1"/>
  <c r="E47" i="3"/>
  <c r="F47" i="3" s="1"/>
  <c r="E52" i="3"/>
  <c r="F52" i="3" s="1"/>
  <c r="E57" i="3"/>
  <c r="F57" i="3" s="1"/>
  <c r="E63" i="3"/>
  <c r="F63" i="3" s="1"/>
  <c r="E68" i="3"/>
  <c r="F68" i="3" s="1"/>
  <c r="E73" i="3"/>
  <c r="F73" i="3" s="1"/>
  <c r="E79" i="3"/>
  <c r="F79" i="3" s="1"/>
  <c r="E84" i="3"/>
  <c r="F84" i="3" s="1"/>
  <c r="E89" i="3"/>
  <c r="F89" i="3" s="1"/>
  <c r="E95" i="3"/>
  <c r="F95" i="3" s="1"/>
  <c r="E100" i="3"/>
  <c r="F100" i="3" s="1"/>
  <c r="E105" i="3"/>
  <c r="F105" i="3" s="1"/>
  <c r="E111" i="3"/>
  <c r="F111" i="3" s="1"/>
  <c r="E116" i="3"/>
  <c r="F116" i="3" s="1"/>
  <c r="E121" i="3"/>
  <c r="F121" i="3" s="1"/>
  <c r="E127" i="3"/>
  <c r="F127" i="3" s="1"/>
  <c r="E132" i="3"/>
  <c r="F132" i="3" s="1"/>
  <c r="E137" i="3"/>
  <c r="F137" i="3" s="1"/>
  <c r="E143" i="3"/>
  <c r="F143" i="3" s="1"/>
  <c r="E148" i="3"/>
  <c r="F148" i="3" s="1"/>
  <c r="E153" i="3"/>
  <c r="F153" i="3" s="1"/>
  <c r="E159" i="3"/>
  <c r="F159" i="3" s="1"/>
  <c r="E164" i="3"/>
  <c r="F164" i="3" s="1"/>
  <c r="E5" i="3"/>
  <c r="F5" i="3" s="1"/>
  <c r="E27" i="3"/>
  <c r="F27" i="3" s="1"/>
  <c r="E48" i="3"/>
  <c r="F48" i="3" s="1"/>
  <c r="E69" i="3"/>
  <c r="F69" i="3" s="1"/>
  <c r="E91" i="3"/>
  <c r="F91" i="3" s="1"/>
  <c r="E112" i="3"/>
  <c r="F112" i="3" s="1"/>
  <c r="E133" i="3"/>
  <c r="F133" i="3" s="1"/>
  <c r="E155" i="3"/>
  <c r="F155" i="3" s="1"/>
  <c r="E64" i="3"/>
  <c r="F64" i="3" s="1"/>
  <c r="E128" i="3"/>
  <c r="F128" i="3" s="1"/>
  <c r="E149" i="3"/>
  <c r="F149" i="3" s="1"/>
  <c r="E11" i="3"/>
  <c r="F11" i="3" s="1"/>
  <c r="E32" i="3"/>
  <c r="F32" i="3" s="1"/>
  <c r="E53" i="3"/>
  <c r="F53" i="3" s="1"/>
  <c r="E75" i="3"/>
  <c r="F75" i="3" s="1"/>
  <c r="E96" i="3"/>
  <c r="F96" i="3" s="1"/>
  <c r="E117" i="3"/>
  <c r="F117" i="3" s="1"/>
  <c r="E139" i="3"/>
  <c r="F139" i="3" s="1"/>
  <c r="E160" i="3"/>
  <c r="F160" i="3" s="1"/>
  <c r="E21" i="3"/>
  <c r="F21" i="3" s="1"/>
  <c r="E85" i="3"/>
  <c r="F85" i="3" s="1"/>
  <c r="E16" i="3"/>
  <c r="F16" i="3" s="1"/>
  <c r="E37" i="3"/>
  <c r="F37" i="3" s="1"/>
  <c r="E59" i="3"/>
  <c r="F59" i="3" s="1"/>
  <c r="E80" i="3"/>
  <c r="F80" i="3" s="1"/>
  <c r="E101" i="3"/>
  <c r="F101" i="3" s="1"/>
  <c r="E123" i="3"/>
  <c r="F123" i="3" s="1"/>
  <c r="E144" i="3"/>
  <c r="F144" i="3" s="1"/>
  <c r="E1" i="3"/>
  <c r="F1" i="3" s="1"/>
  <c r="E43" i="3"/>
  <c r="F43" i="3" s="1"/>
  <c r="E107" i="3"/>
  <c r="F107" i="3" s="1"/>
  <c r="A1" i="1"/>
  <c r="A4" i="1"/>
  <c r="A2" i="1" a="1"/>
  <c r="P395" i="1" a="1"/>
  <c r="P394" i="1" a="1"/>
  <c r="P394" i="1" l="1"/>
  <c r="P395" i="1"/>
  <c r="A2" i="1"/>
  <c r="B1" i="1" a="1"/>
  <c r="R22" i="1" a="1"/>
  <c r="Q12" i="1" a="1"/>
  <c r="S9" i="1" a="1"/>
  <c r="R6" i="1" a="1"/>
  <c r="O10" i="1" a="1"/>
  <c r="R66" i="1" a="1"/>
  <c r="R45" i="1" a="1"/>
  <c r="O65" i="1" a="1"/>
  <c r="S70" i="1" a="1"/>
  <c r="O68" i="1" a="1"/>
  <c r="Q5" i="1" a="1"/>
  <c r="Q47" i="1" a="1"/>
  <c r="Q81" i="1" a="1"/>
  <c r="R80" i="1" a="1"/>
  <c r="Q25" i="1" a="1"/>
  <c r="R85" i="1" a="1"/>
  <c r="R64" i="1" a="1"/>
  <c r="O5" i="1" a="1"/>
  <c r="Q79" i="1" a="1"/>
  <c r="O52" i="1" a="1"/>
  <c r="R26" i="1" a="1"/>
  <c r="R62" i="1" a="1"/>
  <c r="R15" i="1" a="1"/>
  <c r="R41" i="1" a="1"/>
  <c r="O48" i="1" a="1"/>
  <c r="S57" i="1" a="1"/>
  <c r="U24" i="1" a="1"/>
  <c r="U29" i="1" a="1"/>
  <c r="U46" i="1" a="1"/>
  <c r="U77" i="1" a="1"/>
  <c r="U60" i="1" a="1"/>
  <c r="O13" i="1" a="1"/>
  <c r="O47" i="1" a="1"/>
  <c r="O85" i="1" a="1"/>
  <c r="Q29" i="1" a="1"/>
  <c r="S2" i="1" a="1"/>
  <c r="S42" i="1" a="1"/>
  <c r="O66" i="1" a="1"/>
  <c r="S60" i="1" a="1"/>
  <c r="Q75" i="1" a="1"/>
  <c r="S41" i="1" a="1"/>
  <c r="T50" i="1" a="1"/>
  <c r="Q3" i="1" a="1"/>
  <c r="T53" i="1" a="1"/>
  <c r="R72" i="1" a="1"/>
  <c r="Q74" i="1" a="1"/>
  <c r="R30" i="1" a="1"/>
  <c r="O27" i="1" a="1"/>
  <c r="S88" i="1" a="1"/>
  <c r="T36" i="1" a="1"/>
  <c r="O71" i="1" a="1"/>
  <c r="S74" i="1" a="1"/>
  <c r="Q2" i="1" a="1"/>
  <c r="S6" i="1" a="1"/>
  <c r="S69" i="1" a="1"/>
  <c r="Q67" i="1" a="1"/>
  <c r="T78" i="1" a="1"/>
  <c r="U23" i="1" a="1"/>
  <c r="U3" i="1" a="1"/>
  <c r="U70" i="1" a="1"/>
  <c r="O41" i="1" a="1"/>
  <c r="U21" i="1" a="1"/>
  <c r="U9" i="1" a="1"/>
  <c r="U31" i="1" a="1"/>
  <c r="AA60" i="1" a="1"/>
  <c r="AA32" i="1" a="1"/>
  <c r="AA34" i="1" a="1"/>
  <c r="AA44" i="1" a="1"/>
  <c r="AA30" i="1" a="1"/>
  <c r="U64" i="1" a="1"/>
  <c r="AA40" i="1" a="1"/>
  <c r="AA88" i="1" a="1"/>
  <c r="AA19" i="1" a="1"/>
  <c r="AA29" i="1" a="1"/>
  <c r="AA31" i="1" a="1"/>
  <c r="AA50" i="1" a="1"/>
  <c r="Q59" i="1" a="1"/>
  <c r="Q86" i="1" a="1"/>
  <c r="Q10" i="1" a="1"/>
  <c r="Q52" i="1" a="1"/>
  <c r="S43" i="1" a="1"/>
  <c r="R52" i="1" a="1"/>
  <c r="S89" i="1" a="1"/>
  <c r="S11" i="1" a="1"/>
  <c r="Q46" i="1" a="1"/>
  <c r="S4" i="1" a="1"/>
  <c r="O44" i="1" a="1"/>
  <c r="Q22" i="1" a="1"/>
  <c r="S84" i="1" a="1"/>
  <c r="R7" i="1" a="1"/>
  <c r="O34" i="1" a="1"/>
  <c r="T39" i="1" a="1"/>
  <c r="O72" i="1" a="1"/>
  <c r="S68" i="1" a="1"/>
  <c r="O69" i="1" a="1"/>
  <c r="S54" i="1" a="1"/>
  <c r="T89" i="1" a="1"/>
  <c r="Q19" i="1" a="1"/>
  <c r="T3" i="1" a="1"/>
  <c r="R16" i="1" a="1"/>
  <c r="O86" i="1" a="1"/>
  <c r="S10" i="1" a="1"/>
  <c r="S8" i="1" a="1"/>
  <c r="U86" i="1" a="1"/>
  <c r="U88" i="1" a="1"/>
  <c r="U2" i="1" a="1"/>
  <c r="U53" i="1" a="1"/>
  <c r="U82" i="1" a="1"/>
  <c r="S18" i="1" a="1"/>
  <c r="O78" i="1" a="1"/>
  <c r="T18" i="1" a="1"/>
  <c r="T60" i="1" a="1"/>
  <c r="O74" i="1" a="1"/>
  <c r="T65" i="1" a="1"/>
  <c r="O50" i="1" a="1"/>
  <c r="T56" i="1" a="1"/>
  <c r="Q88" i="1" a="1"/>
  <c r="O20" i="1" a="1"/>
  <c r="S15" i="1" a="1"/>
  <c r="Q21" i="1" a="1"/>
  <c r="S22" i="1" a="1"/>
  <c r="S53" i="1" a="1"/>
  <c r="Q11" i="1" a="1"/>
  <c r="R18" i="1" a="1"/>
  <c r="O19" i="1" a="1"/>
  <c r="T72" i="1" a="1"/>
  <c r="T46" i="1" a="1"/>
  <c r="O30" i="1" a="1"/>
  <c r="T75" i="1" a="1"/>
  <c r="S29" i="1" a="1"/>
  <c r="O4" i="1" a="1"/>
  <c r="S79" i="1" a="1"/>
  <c r="Q16" i="1" a="1"/>
  <c r="Q80" i="1" a="1"/>
  <c r="U33" i="1" a="1"/>
  <c r="U80" i="1" a="1"/>
  <c r="S80" i="1" a="1"/>
  <c r="U54" i="1" a="1"/>
  <c r="U51" i="1" a="1"/>
  <c r="S24" i="1" a="1"/>
  <c r="U73" i="1" a="1"/>
  <c r="AA28" i="1" a="1"/>
  <c r="AA3" i="1" a="1"/>
  <c r="AA5" i="1" a="1"/>
  <c r="AA17" i="1" a="1"/>
  <c r="AA2" i="1" a="1"/>
  <c r="AA59" i="1" a="1"/>
  <c r="AA86" i="1" a="1"/>
  <c r="AA78" i="1" a="1"/>
  <c r="U63" i="1" a="1"/>
  <c r="U10" i="1" a="1"/>
  <c r="AA65" i="1" a="1"/>
  <c r="AA14" i="1" a="1"/>
  <c r="AA24" i="1" a="1"/>
  <c r="AA26" i="1" a="1"/>
  <c r="AA36" i="1" a="1"/>
  <c r="U59" i="1" a="1"/>
  <c r="AA77" i="1" a="1"/>
  <c r="AA10" i="1" a="1"/>
  <c r="AA20" i="1" a="1"/>
  <c r="AA38" i="1" a="1"/>
  <c r="AA16" i="1" a="1"/>
  <c r="AA87" i="1" a="1"/>
  <c r="U12" i="1" a="1"/>
  <c r="AA47" i="1" a="1"/>
  <c r="AA75" i="1" a="1"/>
  <c r="AA23" i="1" a="1"/>
  <c r="T82" i="1" a="1"/>
  <c r="AA8" i="1" a="1"/>
  <c r="AA42" i="1" a="1"/>
  <c r="AA52" i="1" a="1"/>
  <c r="AA80" i="1" a="1"/>
  <c r="AA48" i="1" a="1"/>
  <c r="AA18" i="1" a="1"/>
  <c r="U4" i="1" a="1"/>
  <c r="AA22" i="1" a="1"/>
  <c r="AA68" i="1" a="1"/>
  <c r="AA72" i="1" a="1"/>
  <c r="AA11" i="1" a="1"/>
  <c r="AA64" i="1" a="1"/>
  <c r="S27" i="1" a="1"/>
  <c r="AA82" i="1" a="1"/>
  <c r="AA12" i="1" a="1"/>
  <c r="U17" i="1" a="1"/>
  <c r="AA54" i="1" a="1"/>
  <c r="AA15" i="1" a="1"/>
  <c r="AA25" i="1" a="1"/>
  <c r="AA43" i="1" a="1"/>
  <c r="AA21" i="1" a="1"/>
  <c r="U65" i="1" a="1"/>
  <c r="AA62" i="1" a="1"/>
  <c r="AA37" i="1" a="1"/>
  <c r="AA39" i="1" a="1"/>
  <c r="AA49" i="1" a="1"/>
  <c r="AA35" i="1" a="1"/>
  <c r="AA13" i="1" a="1"/>
  <c r="AA57" i="1" a="1"/>
  <c r="AA53" i="1" a="1"/>
  <c r="U67" i="1" a="1"/>
  <c r="AA27" i="1" a="1"/>
  <c r="AA69" i="1" a="1"/>
  <c r="AA71" i="1" a="1"/>
  <c r="AA81" i="1" a="1"/>
  <c r="AA67" i="1" a="1"/>
  <c r="U27" i="1" a="1"/>
  <c r="U47" i="1" a="1"/>
  <c r="AA33" i="1" a="1"/>
  <c r="AA83" i="1" a="1"/>
  <c r="AA66" i="1" a="1"/>
  <c r="AA70" i="1" a="1"/>
  <c r="AA73" i="1" a="1"/>
  <c r="P58" i="1" a="1"/>
  <c r="P66" i="1" a="1"/>
  <c r="P22" i="1" a="1"/>
  <c r="P34" i="1" a="1"/>
  <c r="P89" i="1" a="1"/>
  <c r="AA9" i="1" a="1"/>
  <c r="P69" i="1" a="1"/>
  <c r="P73" i="1" a="1"/>
  <c r="P67" i="1" a="1"/>
  <c r="P4" i="1" a="1"/>
  <c r="P19" i="1" a="1"/>
  <c r="P77" i="1" a="1"/>
  <c r="AB2" i="1" a="1"/>
  <c r="P26" i="1" a="1"/>
  <c r="P84" i="1" a="1"/>
  <c r="P78" i="1" a="1"/>
  <c r="P16" i="1" a="1"/>
  <c r="P25" i="1" a="1"/>
  <c r="P18" i="1" a="1"/>
  <c r="P85" i="1" a="1"/>
  <c r="P81" i="1" a="1"/>
  <c r="P75" i="1" a="1"/>
  <c r="P12" i="1" a="1"/>
  <c r="P23" i="1" a="1"/>
  <c r="P71" i="1" a="1"/>
  <c r="P30" i="1" a="1"/>
  <c r="P40" i="1" a="1"/>
  <c r="P37" i="1" a="1"/>
  <c r="P5" i="1" a="1"/>
  <c r="AB74" i="1" a="1"/>
  <c r="AB76" i="1" a="1"/>
  <c r="AB24" i="1" a="1"/>
  <c r="AB25" i="1" a="1"/>
  <c r="AB54" i="1" a="1"/>
  <c r="AB73" i="1" a="1"/>
  <c r="AB20" i="1" a="1"/>
  <c r="AB31" i="1" a="1"/>
  <c r="AB77" i="1" a="1"/>
  <c r="AB18" i="1" a="1"/>
  <c r="AB32" i="1" a="1"/>
  <c r="AB45" i="1" a="1"/>
  <c r="AB13" i="1" a="1"/>
  <c r="AB46" i="1" a="1"/>
  <c r="AB75" i="1" a="1"/>
  <c r="AB12" i="1" a="1"/>
  <c r="AB19" i="1" a="1"/>
  <c r="T37" i="1" a="1"/>
  <c r="U56" i="1" a="1"/>
  <c r="U72" i="1" a="1"/>
  <c r="U66" i="1" a="1"/>
  <c r="U87" i="1" a="1"/>
  <c r="U26" i="1" a="1"/>
  <c r="Q26" i="1" a="1"/>
  <c r="Q72" i="1" a="1"/>
  <c r="R88" i="1" a="1"/>
  <c r="O25" i="1" a="1"/>
  <c r="R53" i="1" a="1"/>
  <c r="S3" i="1" a="1"/>
  <c r="Q6" i="1" a="1"/>
  <c r="R78" i="1" a="1"/>
  <c r="R9" i="1" a="1"/>
  <c r="R63" i="1" a="1"/>
  <c r="S7" i="1" a="1"/>
  <c r="Q50" i="1" a="1"/>
  <c r="R75" i="1" a="1"/>
  <c r="T35" i="1" a="1"/>
  <c r="R3" i="1" a="1"/>
  <c r="R38" i="1" a="1"/>
  <c r="R50" i="1" a="1"/>
  <c r="R28" i="1" a="1"/>
  <c r="Q70" i="1" a="1"/>
  <c r="R55" i="1" a="1"/>
  <c r="Q56" i="1" a="1"/>
  <c r="Q65" i="1" a="1"/>
  <c r="R32" i="1" a="1"/>
  <c r="T30" i="1" a="1"/>
  <c r="O22" i="1" a="1"/>
  <c r="T31" i="1" a="1"/>
  <c r="U69" i="1" a="1"/>
  <c r="U41" i="1" a="1"/>
  <c r="U43" i="1" a="1"/>
  <c r="S75" i="1" a="1"/>
  <c r="U85" i="1" a="1"/>
  <c r="U22" i="1" a="1"/>
  <c r="O75" i="1" a="1"/>
  <c r="Q9" i="1" a="1"/>
  <c r="Q57" i="1" a="1"/>
  <c r="Q89" i="1" a="1"/>
  <c r="R59" i="1" a="1"/>
  <c r="O87" i="1" a="1"/>
  <c r="O36" i="1" a="1"/>
  <c r="Q66" i="1" a="1"/>
  <c r="R70" i="1" a="1"/>
  <c r="O35" i="1" a="1"/>
  <c r="S26" i="1" a="1"/>
  <c r="T43" i="1" a="1"/>
  <c r="Q37" i="1" a="1"/>
  <c r="R76" i="1" a="1"/>
  <c r="O32" i="1" a="1"/>
  <c r="T47" i="1" a="1"/>
  <c r="S19" i="1" a="1"/>
  <c r="R27" i="1" a="1"/>
  <c r="R54" i="1" a="1"/>
  <c r="O84" i="1" a="1"/>
  <c r="R37" i="1" a="1"/>
  <c r="R73" i="1" a="1"/>
  <c r="R31" i="1" a="1"/>
  <c r="T20" i="1" a="1"/>
  <c r="R81" i="1" a="1"/>
  <c r="Q41" i="1" a="1"/>
  <c r="P57" i="1" a="1"/>
  <c r="P51" i="1" a="1"/>
  <c r="P43" i="1" a="1"/>
  <c r="P11" i="1" a="1"/>
  <c r="Q8" i="1" a="1"/>
  <c r="P64" i="1" a="1"/>
  <c r="P79" i="1" a="1"/>
  <c r="P68" i="1" a="1"/>
  <c r="P62" i="1" a="1"/>
  <c r="P49" i="1" a="1"/>
  <c r="P17" i="1" a="1"/>
  <c r="P56" i="1" a="1"/>
  <c r="P53" i="1" a="1"/>
  <c r="P74" i="1" a="1"/>
  <c r="P65" i="1" a="1"/>
  <c r="P59" i="1" a="1"/>
  <c r="P47" i="1" a="1"/>
  <c r="P15" i="1" a="1"/>
  <c r="P42" i="1" a="1"/>
  <c r="P86" i="1" a="1"/>
  <c r="P24" i="1" a="1"/>
  <c r="P29" i="1" a="1"/>
  <c r="AB58" i="1" a="1"/>
  <c r="AB86" i="1" a="1"/>
  <c r="AB65" i="1" a="1"/>
  <c r="AB17" i="1" a="1"/>
  <c r="AB38" i="1" a="1"/>
  <c r="AB67" i="1" a="1"/>
  <c r="AB63" i="1" a="1"/>
  <c r="AB23" i="1" a="1"/>
  <c r="AB82" i="1" a="1"/>
  <c r="AB68" i="1" a="1"/>
  <c r="AB16" i="1" a="1"/>
  <c r="AB37" i="1" a="1"/>
  <c r="AB72" i="1" a="1"/>
  <c r="AB30" i="1" a="1"/>
  <c r="AB60" i="1" a="1"/>
  <c r="AB59" i="1" a="1"/>
  <c r="AB11" i="1" a="1"/>
  <c r="U45" i="1" a="1"/>
  <c r="T69" i="1" a="1"/>
  <c r="U42" i="1" a="1"/>
  <c r="U61" i="1" a="1"/>
  <c r="U89" i="1" a="1"/>
  <c r="U20" i="1" a="1"/>
  <c r="R14" i="1" a="1"/>
  <c r="Q55" i="1" a="1"/>
  <c r="R83" i="1" a="1"/>
  <c r="T19" i="1" a="1"/>
  <c r="O55" i="1" a="1"/>
  <c r="T5" i="1" a="1"/>
  <c r="Q54" i="1" a="1"/>
  <c r="R20" i="1" a="1"/>
  <c r="T4" i="1" a="1"/>
  <c r="Q71" i="1" a="1"/>
  <c r="T26" i="1" a="1"/>
  <c r="T88" i="1" a="1"/>
  <c r="Q64" i="1" a="1"/>
  <c r="T14" i="1" a="1"/>
  <c r="O3" i="1" a="1"/>
  <c r="S5" i="1" a="1"/>
  <c r="R65" i="1" a="1"/>
  <c r="O9" i="1" a="1"/>
  <c r="T73" i="1" a="1"/>
  <c r="Q43" i="1" a="1"/>
  <c r="T55" i="1" a="1"/>
  <c r="T8" i="1" a="1"/>
  <c r="Q53" i="1" a="1"/>
  <c r="S61" i="1" a="1"/>
  <c r="T24" i="1" a="1"/>
  <c r="Q24" i="1" a="1"/>
  <c r="U7" i="1" a="1"/>
  <c r="U18" i="1" a="1"/>
  <c r="U36" i="1" a="1"/>
  <c r="U44" i="1" a="1"/>
  <c r="U48" i="1" a="1"/>
  <c r="R86" i="1" a="1"/>
  <c r="T23" i="1" a="1"/>
  <c r="S17" i="1" a="1"/>
  <c r="O64" i="1" a="1"/>
  <c r="S39" i="1" a="1"/>
  <c r="O31" i="1" a="1"/>
  <c r="T44" i="1" a="1"/>
  <c r="T67" i="1" a="1"/>
  <c r="O70" i="1" a="1"/>
  <c r="T79" i="1" a="1"/>
  <c r="S73" i="1" a="1"/>
  <c r="Q62" i="1" a="1"/>
  <c r="S63" i="1" a="1"/>
  <c r="Q36" i="1" a="1"/>
  <c r="T87" i="1" a="1"/>
  <c r="T40" i="1" a="1"/>
  <c r="Q13" i="1" a="1"/>
  <c r="T17" i="1" a="1"/>
  <c r="O17" i="1" a="1"/>
  <c r="S21" i="1" a="1"/>
  <c r="T6" i="1" a="1"/>
  <c r="Q17" i="1" a="1"/>
  <c r="T70" i="1" a="1"/>
  <c r="Q69" i="1" a="1"/>
  <c r="R12" i="1" a="1"/>
  <c r="T86" i="1" a="1"/>
  <c r="Q73" i="1" a="1"/>
  <c r="P36" i="1" a="1"/>
  <c r="P35" i="1" a="1"/>
  <c r="P3" i="1" a="1"/>
  <c r="P61" i="1" a="1"/>
  <c r="P87" i="1" a="1"/>
  <c r="P46" i="1" a="1"/>
  <c r="P52" i="1" a="1"/>
  <c r="P48" i="1" a="1"/>
  <c r="P41" i="1" a="1"/>
  <c r="P9" i="1" a="1"/>
  <c r="P82" i="1" a="1"/>
  <c r="P38" i="1" a="1"/>
  <c r="P44" i="1" a="1"/>
  <c r="P39" i="1" a="1"/>
  <c r="P7" i="1" a="1"/>
  <c r="P10" i="1" a="1"/>
  <c r="P80" i="1" a="1"/>
  <c r="P76" i="1" a="1"/>
  <c r="P70" i="1" a="1"/>
  <c r="P8" i="1" a="1"/>
  <c r="P21" i="1" a="1"/>
  <c r="AA4" i="1" a="1"/>
  <c r="AB26" i="1" a="1"/>
  <c r="AB70" i="1" a="1"/>
  <c r="AB57" i="1" a="1"/>
  <c r="AB80" i="1" a="1"/>
  <c r="AB22" i="1" a="1"/>
  <c r="AB52" i="1" a="1"/>
  <c r="AB55" i="1" a="1"/>
  <c r="AB15" i="1" a="1"/>
  <c r="AB66" i="1" a="1"/>
  <c r="AB78" i="1" a="1"/>
  <c r="AB61" i="1" a="1"/>
  <c r="AB29" i="1" a="1"/>
  <c r="AB79" i="1" a="1"/>
  <c r="AB14" i="1" a="1"/>
  <c r="AB44" i="1" a="1"/>
  <c r="AB35" i="1" a="1"/>
  <c r="AB9" i="1" a="1"/>
  <c r="U30" i="1" a="1"/>
  <c r="U8" i="1" a="1"/>
  <c r="S56" i="1" a="1"/>
  <c r="U79" i="1" a="1"/>
  <c r="U78" i="1" a="1"/>
  <c r="T13" i="1" a="1"/>
  <c r="T68" i="1" a="1"/>
  <c r="S46" i="1" a="1"/>
  <c r="Q76" i="1" a="1"/>
  <c r="S72" i="1" a="1"/>
  <c r="O63" i="1" a="1"/>
  <c r="S85" i="1" a="1"/>
  <c r="S25" i="1" a="1"/>
  <c r="R19" i="1" a="1"/>
  <c r="S37" i="1" a="1"/>
  <c r="O45" i="1" a="1"/>
  <c r="R21" i="1" a="1"/>
  <c r="T77" i="1" a="1"/>
  <c r="Q61" i="1" a="1"/>
  <c r="S45" i="1" a="1"/>
  <c r="S81" i="1" a="1"/>
  <c r="R48" i="1" a="1"/>
  <c r="T62" i="1" a="1"/>
  <c r="O29" i="1" a="1"/>
  <c r="S50" i="1" a="1"/>
  <c r="T48" i="1" a="1"/>
  <c r="Q44" i="1" a="1"/>
  <c r="S12" i="1" a="1"/>
  <c r="O26" i="1" a="1"/>
  <c r="O59" i="1" a="1"/>
  <c r="S28" i="1" a="1"/>
  <c r="Q63" i="1" a="1"/>
  <c r="T10" i="1" a="1"/>
  <c r="U5" i="1" a="1"/>
  <c r="U75" i="1" a="1"/>
  <c r="U13" i="1" a="1"/>
  <c r="U19" i="1" a="1"/>
  <c r="R77" i="1" a="1"/>
  <c r="Q60" i="1" a="1"/>
  <c r="T42" i="1" a="1"/>
  <c r="O18" i="1" a="1"/>
  <c r="S58" i="1" a="1"/>
  <c r="S33" i="1" a="1"/>
  <c r="O54" i="1" a="1"/>
  <c r="S87" i="1" a="1"/>
  <c r="S14" i="1" a="1"/>
  <c r="Q33" i="1" a="1"/>
  <c r="O80" i="1" a="1"/>
  <c r="R43" i="1" a="1"/>
  <c r="R10" i="1" a="1"/>
  <c r="O62" i="1" a="1"/>
  <c r="R4" i="1" a="1"/>
  <c r="S44" i="1" a="1"/>
  <c r="O76" i="1" a="1"/>
  <c r="T2" i="1" a="1"/>
  <c r="S78" i="1" a="1"/>
  <c r="R56" i="1" a="1"/>
  <c r="S23" i="1" a="1"/>
  <c r="O16" i="1" a="1"/>
  <c r="S86" i="1" a="1"/>
  <c r="R33" i="1" a="1"/>
  <c r="R11" i="1" a="1"/>
  <c r="T85" i="1" a="1"/>
  <c r="P83" i="1" a="1"/>
  <c r="P20" i="1" a="1"/>
  <c r="P27" i="1" a="1"/>
  <c r="P55" i="1" a="1"/>
  <c r="P14" i="1" a="1"/>
  <c r="P32" i="1" a="1"/>
  <c r="P33" i="1" a="1"/>
  <c r="P2" i="1" a="1"/>
  <c r="P88" i="1" a="1"/>
  <c r="P50" i="1" a="1"/>
  <c r="P6" i="1" a="1"/>
  <c r="P28" i="1" a="1"/>
  <c r="P31" i="1" a="1"/>
  <c r="P72" i="1" a="1"/>
  <c r="P63" i="1" a="1"/>
  <c r="P60" i="1" a="1"/>
  <c r="P54" i="1" a="1"/>
  <c r="P45" i="1" a="1"/>
  <c r="P13" i="1" a="1"/>
  <c r="AB69" i="1" a="1"/>
  <c r="AB10" i="1" a="1"/>
  <c r="AB56" i="1" a="1"/>
  <c r="AB33" i="1" a="1"/>
  <c r="AB71" i="1" a="1"/>
  <c r="AB6" i="1" a="1"/>
  <c r="AB36" i="1" a="1"/>
  <c r="AB47" i="1" a="1"/>
  <c r="AB3" i="1" a="1"/>
  <c r="AB34" i="1" a="1"/>
  <c r="AB64" i="1" a="1"/>
  <c r="AB53" i="1" a="1"/>
  <c r="AB21" i="1" a="1"/>
  <c r="AB62" i="1" a="1"/>
  <c r="AB81" i="1" a="1"/>
  <c r="AB28" i="1" a="1"/>
  <c r="AB27" i="1" a="1"/>
  <c r="AB8" i="1" a="1"/>
  <c r="S48" i="1" a="1"/>
  <c r="U39" i="1" a="1"/>
  <c r="U68" i="1" a="1"/>
  <c r="T34" i="1" a="1"/>
  <c r="U84" i="1" a="1"/>
  <c r="T16" i="1" a="1"/>
  <c r="R36" i="1" a="1"/>
  <c r="Q7" i="1" a="1"/>
  <c r="Q27" i="1" a="1"/>
  <c r="S35" i="1" a="1"/>
  <c r="S62" i="1" a="1"/>
  <c r="R24" i="1" a="1"/>
  <c r="T66" i="1" a="1"/>
  <c r="O79" i="1" a="1"/>
  <c r="O89" i="1" a="1"/>
  <c r="Q82" i="1" a="1"/>
  <c r="Q31" i="1" a="1"/>
  <c r="O24" i="1" a="1"/>
  <c r="O61" i="1" a="1"/>
  <c r="R68" i="1" a="1"/>
  <c r="R42" i="1" a="1"/>
  <c r="R47" i="1" a="1"/>
  <c r="T52" i="1" a="1"/>
  <c r="Q23" i="1" a="1"/>
  <c r="Q49" i="1" a="1"/>
  <c r="S52" i="1" a="1"/>
  <c r="R51" i="1" a="1"/>
  <c r="T45" i="1" a="1"/>
  <c r="T51" i="1" a="1"/>
  <c r="O2" i="1" a="1"/>
  <c r="Q42" i="1" a="1"/>
  <c r="U34" i="1" a="1"/>
  <c r="U37" i="1" a="1"/>
  <c r="S51" i="1" a="1"/>
  <c r="U32" i="1" a="1"/>
  <c r="U25" i="1" a="1"/>
  <c r="T58" i="1" a="1"/>
  <c r="S20" i="1" a="1"/>
  <c r="R35" i="1" a="1"/>
  <c r="R58" i="1" a="1"/>
  <c r="Q78" i="1" a="1"/>
  <c r="R60" i="1" a="1"/>
  <c r="Q45" i="1" a="1"/>
  <c r="Q40" i="1" a="1"/>
  <c r="S77" i="1" a="1"/>
  <c r="T29" i="1" a="1"/>
  <c r="Q87" i="1" a="1"/>
  <c r="T49" i="1" a="1"/>
  <c r="Q35" i="1" a="1"/>
  <c r="Q18" i="1" a="1"/>
  <c r="R17" i="1" a="1"/>
  <c r="Q32" i="1" a="1"/>
  <c r="Q68" i="1" a="1"/>
  <c r="S76" i="1" a="1"/>
  <c r="Q83" i="1" a="1"/>
  <c r="R82" i="1" a="1"/>
  <c r="Q85" i="1" a="1"/>
  <c r="T74" i="1" a="1"/>
  <c r="R74" i="1" a="1"/>
  <c r="Q39" i="1" a="1"/>
  <c r="R84" i="1" a="1"/>
  <c r="O57" i="1" a="1"/>
  <c r="R13" i="1" a="1"/>
  <c r="AB7" i="1" a="1"/>
  <c r="AA76" i="1" a="1"/>
  <c r="AA58" i="1" a="1"/>
  <c r="AA56" i="1" a="1"/>
  <c r="AA46" i="1" a="1"/>
  <c r="AA74" i="1" a="1"/>
  <c r="U81" i="1" a="1"/>
  <c r="U28" i="1" a="1"/>
  <c r="AA55" i="1" a="1"/>
  <c r="AA85" i="1" a="1"/>
  <c r="AA6" i="1" a="1"/>
  <c r="AA89" i="1" a="1"/>
  <c r="AA79" i="1" a="1"/>
  <c r="AA45" i="1" a="1"/>
  <c r="U38" i="1" a="1"/>
  <c r="S64" i="1" a="1"/>
  <c r="U76" i="1" a="1"/>
  <c r="U35" i="1" a="1"/>
  <c r="U52" i="1" a="1"/>
  <c r="U58" i="1" a="1"/>
  <c r="U57" i="1" a="1"/>
  <c r="T61" i="1" a="1"/>
  <c r="O39" i="1" a="1"/>
  <c r="O33" i="1" a="1"/>
  <c r="O38" i="1" a="1"/>
  <c r="O88" i="1" a="1"/>
  <c r="O81" i="1" a="1"/>
  <c r="R2" i="1" a="1"/>
  <c r="O8" i="1" a="1"/>
  <c r="S59" i="1" a="1"/>
  <c r="O73" i="1" a="1"/>
  <c r="T84" i="1" a="1"/>
  <c r="R25" i="1" a="1"/>
  <c r="R71" i="1" a="1"/>
  <c r="S83" i="1" a="1"/>
  <c r="O12" i="1" a="1"/>
  <c r="R29" i="1" a="1"/>
  <c r="Q15" i="1" a="1"/>
  <c r="Q84" i="1" a="1"/>
  <c r="Q48" i="1" a="1"/>
  <c r="O43" i="1" a="1"/>
  <c r="O11" i="1" a="1"/>
  <c r="Q58" i="1" a="1"/>
  <c r="Q38" i="1" a="1"/>
  <c r="R79" i="1" a="1"/>
  <c r="S66" i="1" a="1"/>
  <c r="R39" i="1" a="1"/>
  <c r="U16" i="1" a="1"/>
  <c r="U50" i="1" a="1"/>
  <c r="U71" i="1" a="1"/>
  <c r="U83" i="1" a="1"/>
  <c r="U6" i="1" a="1"/>
  <c r="S67" i="1" a="1"/>
  <c r="Q14" i="1" a="1"/>
  <c r="T38" i="1" a="1"/>
  <c r="O37" i="1" a="1"/>
  <c r="T71" i="1" a="1"/>
  <c r="R57" i="1" a="1"/>
  <c r="R23" i="1" a="1"/>
  <c r="T7" i="1" a="1"/>
  <c r="T27" i="1" a="1"/>
  <c r="O23" i="1" a="1"/>
  <c r="S36" i="1" a="1"/>
  <c r="O82" i="1" a="1"/>
  <c r="T12" i="1" a="1"/>
  <c r="T80" i="1" a="1"/>
  <c r="R67" i="1" a="1"/>
  <c r="T57" i="1" a="1"/>
  <c r="O67" i="1" a="1"/>
  <c r="O15" i="1" a="1"/>
  <c r="T9" i="1" a="1"/>
  <c r="O58" i="1" a="1"/>
  <c r="R46" i="1" a="1"/>
  <c r="O28" i="1" a="1"/>
  <c r="T15" i="1" a="1"/>
  <c r="S71" i="1" a="1"/>
  <c r="O56" i="1" a="1"/>
  <c r="T76" i="1" a="1"/>
  <c r="AA41" i="1" a="1"/>
  <c r="AA63" i="1" a="1"/>
  <c r="AA61" i="1" a="1"/>
  <c r="AA51" i="1" a="1"/>
  <c r="AA7" i="1" a="1"/>
  <c r="AA84" i="1" a="1"/>
  <c r="U74" i="1" a="1"/>
  <c r="U15" i="1" a="1"/>
  <c r="S40" i="1" a="1"/>
  <c r="U55" i="1" a="1"/>
  <c r="U11" i="1" a="1"/>
  <c r="S82" i="1" a="1"/>
  <c r="O83" i="1" a="1"/>
  <c r="R5" i="1" a="1"/>
  <c r="T59" i="1" a="1"/>
  <c r="O40" i="1" a="1"/>
  <c r="T81" i="1" a="1"/>
  <c r="O14" i="1" a="1"/>
  <c r="T11" i="1" a="1"/>
  <c r="R49" i="1" a="1"/>
  <c r="O46" i="1" a="1"/>
  <c r="R61" i="1" a="1"/>
  <c r="T32" i="1" a="1"/>
  <c r="R44" i="1" a="1"/>
  <c r="T22" i="1" a="1"/>
  <c r="Q28" i="1" a="1"/>
  <c r="R69" i="1" a="1"/>
  <c r="R89" i="1" a="1"/>
  <c r="O60" i="1" a="1"/>
  <c r="T21" i="1" a="1"/>
  <c r="Q4" i="1" a="1"/>
  <c r="T63" i="1" a="1"/>
  <c r="O42" i="1" a="1"/>
  <c r="O6" i="1" a="1"/>
  <c r="T25" i="1" a="1"/>
  <c r="S38" i="1" a="1"/>
  <c r="Q34" i="1" a="1"/>
  <c r="T41" i="1" a="1"/>
  <c r="U14" i="1" a="1"/>
  <c r="S16" i="1" a="1"/>
  <c r="U40" i="1" a="1"/>
  <c r="U62" i="1" a="1"/>
  <c r="S32" i="1" a="1"/>
  <c r="U49" i="1" a="1"/>
  <c r="T33" i="1" a="1"/>
  <c r="Q77" i="1" a="1"/>
  <c r="T28" i="1" a="1"/>
  <c r="T64" i="1" a="1"/>
  <c r="O51" i="1" a="1"/>
  <c r="T54" i="1" a="1"/>
  <c r="O49" i="1" a="1"/>
  <c r="R87" i="1" a="1"/>
  <c r="S47" i="1" a="1"/>
  <c r="Q51" i="1" a="1"/>
  <c r="Q20" i="1" a="1"/>
  <c r="S30" i="1" a="1"/>
  <c r="R8" i="1" a="1"/>
  <c r="S55" i="1" a="1"/>
  <c r="Q30" i="1" a="1"/>
  <c r="S34" i="1" a="1"/>
  <c r="T83" i="1" a="1"/>
  <c r="O53" i="1" a="1"/>
  <c r="S31" i="1" a="1"/>
  <c r="O77" i="1" a="1"/>
  <c r="S13" i="1" a="1"/>
  <c r="S49" i="1" a="1"/>
  <c r="O21" i="1" a="1"/>
  <c r="R34" i="1" a="1"/>
  <c r="S65" i="1" a="1"/>
  <c r="R40" i="1" a="1"/>
  <c r="O7" i="1" a="1"/>
  <c r="O7" i="1" l="1"/>
  <c r="Q73" i="1"/>
  <c r="Q41" i="1"/>
  <c r="R13" i="1"/>
  <c r="T85" i="1"/>
  <c r="T86" i="1"/>
  <c r="R81" i="1"/>
  <c r="O57" i="1"/>
  <c r="Y57" i="1" s="1" a="1"/>
  <c r="Y57" i="1" s="1"/>
  <c r="R11" i="1"/>
  <c r="R12" i="1"/>
  <c r="T20" i="1"/>
  <c r="R84" i="1"/>
  <c r="R33" i="1"/>
  <c r="Q69" i="1"/>
  <c r="R31" i="1"/>
  <c r="Q39" i="1"/>
  <c r="S86" i="1"/>
  <c r="T70" i="1"/>
  <c r="R73" i="1"/>
  <c r="R74" i="1"/>
  <c r="O16" i="1"/>
  <c r="Q17" i="1"/>
  <c r="R37" i="1"/>
  <c r="T74" i="1"/>
  <c r="S23" i="1"/>
  <c r="T6" i="1"/>
  <c r="O84" i="1"/>
  <c r="Q85" i="1"/>
  <c r="R56" i="1"/>
  <c r="S21" i="1"/>
  <c r="R54" i="1"/>
  <c r="R82" i="1"/>
  <c r="S78" i="1"/>
  <c r="O17" i="1"/>
  <c r="R27" i="1"/>
  <c r="Q83" i="1"/>
  <c r="T2" i="1"/>
  <c r="T17" i="1"/>
  <c r="S19" i="1"/>
  <c r="S76" i="1"/>
  <c r="O76" i="1"/>
  <c r="Q13" i="1"/>
  <c r="T47" i="1"/>
  <c r="Q68" i="1"/>
  <c r="S44" i="1"/>
  <c r="T40" i="1"/>
  <c r="O32" i="1"/>
  <c r="Y32" i="1" s="1" a="1"/>
  <c r="Y32" i="1" s="1"/>
  <c r="Q32" i="1"/>
  <c r="R4" i="1"/>
  <c r="T87" i="1"/>
  <c r="R76" i="1"/>
  <c r="R17" i="1"/>
  <c r="O62" i="1"/>
  <c r="Y62" i="1" s="1" a="1"/>
  <c r="Y62" i="1" s="1"/>
  <c r="Q36" i="1"/>
  <c r="Q37" i="1"/>
  <c r="Q18" i="1"/>
  <c r="R10" i="1"/>
  <c r="S63" i="1"/>
  <c r="T43" i="1"/>
  <c r="Q35" i="1"/>
  <c r="R43" i="1"/>
  <c r="Q62" i="1"/>
  <c r="S26" i="1"/>
  <c r="T49" i="1"/>
  <c r="O80" i="1"/>
  <c r="S73" i="1"/>
  <c r="O35" i="1"/>
  <c r="Y35" i="1" s="1" a="1"/>
  <c r="Y35" i="1" s="1"/>
  <c r="Q87" i="1"/>
  <c r="Q33" i="1"/>
  <c r="T79" i="1"/>
  <c r="R70" i="1"/>
  <c r="T29" i="1"/>
  <c r="S14" i="1"/>
  <c r="O70" i="1"/>
  <c r="Y70" i="1" s="1" a="1"/>
  <c r="Y70" i="1" s="1"/>
  <c r="Q66" i="1"/>
  <c r="S77" i="1"/>
  <c r="S87" i="1"/>
  <c r="T67" i="1"/>
  <c r="O36" i="1"/>
  <c r="Y36" i="1" s="1" a="1"/>
  <c r="Y36" i="1" s="1"/>
  <c r="Q40" i="1"/>
  <c r="O54" i="1"/>
  <c r="Y54" i="1" s="1" a="1"/>
  <c r="Y54" i="1" s="1"/>
  <c r="T44" i="1"/>
  <c r="O87" i="1"/>
  <c r="Q45" i="1"/>
  <c r="S33" i="1"/>
  <c r="O31" i="1"/>
  <c r="Y31" i="1" s="1" a="1"/>
  <c r="Y31" i="1" s="1"/>
  <c r="R59" i="1"/>
  <c r="R60" i="1"/>
  <c r="S58" i="1"/>
  <c r="S39" i="1"/>
  <c r="Q89" i="1"/>
  <c r="Q78" i="1"/>
  <c r="O18" i="1"/>
  <c r="Y18" i="1" s="1" a="1"/>
  <c r="Y18" i="1" s="1"/>
  <c r="O64" i="1"/>
  <c r="Y64" i="1" s="1" a="1"/>
  <c r="Y64" i="1" s="1"/>
  <c r="Q57" i="1"/>
  <c r="R58" i="1"/>
  <c r="T42" i="1"/>
  <c r="S17" i="1"/>
  <c r="Q9" i="1"/>
  <c r="R35" i="1"/>
  <c r="Q60" i="1"/>
  <c r="T23" i="1"/>
  <c r="O75" i="1"/>
  <c r="S20" i="1"/>
  <c r="R77" i="1"/>
  <c r="R86" i="1"/>
  <c r="U22" i="1"/>
  <c r="T58" i="1"/>
  <c r="U19" i="1"/>
  <c r="U48" i="1"/>
  <c r="U85" i="1"/>
  <c r="U25" i="1"/>
  <c r="U13" i="1"/>
  <c r="U44" i="1"/>
  <c r="S75" i="1"/>
  <c r="U32" i="1"/>
  <c r="U75" i="1"/>
  <c r="U36" i="1"/>
  <c r="U43" i="1"/>
  <c r="S51" i="1"/>
  <c r="U5" i="1"/>
  <c r="U18" i="1"/>
  <c r="U41" i="1"/>
  <c r="U37" i="1"/>
  <c r="T10" i="1"/>
  <c r="U7" i="1"/>
  <c r="U69" i="1"/>
  <c r="U34" i="1"/>
  <c r="Q63" i="1"/>
  <c r="Q24" i="1"/>
  <c r="T31" i="1"/>
  <c r="Q42" i="1"/>
  <c r="S28" i="1"/>
  <c r="T24" i="1"/>
  <c r="O22" i="1"/>
  <c r="Y22" i="1" s="1" a="1"/>
  <c r="Y22" i="1" s="1"/>
  <c r="O2" i="1"/>
  <c r="O59" i="1"/>
  <c r="Y59" i="1" s="1" a="1"/>
  <c r="Y59" i="1" s="1"/>
  <c r="S61" i="1"/>
  <c r="T30" i="1"/>
  <c r="T51" i="1"/>
  <c r="O26" i="1"/>
  <c r="Y26" i="1" s="1" a="1"/>
  <c r="Y26" i="1" s="1"/>
  <c r="Q53" i="1"/>
  <c r="R32" i="1"/>
  <c r="T45" i="1"/>
  <c r="S12" i="1"/>
  <c r="T8" i="1"/>
  <c r="Q65" i="1"/>
  <c r="R51" i="1"/>
  <c r="Q44" i="1"/>
  <c r="T55" i="1"/>
  <c r="Q56" i="1"/>
  <c r="S52" i="1"/>
  <c r="T48" i="1"/>
  <c r="Q43" i="1"/>
  <c r="R55" i="1"/>
  <c r="Q49" i="1"/>
  <c r="S50" i="1"/>
  <c r="T73" i="1"/>
  <c r="Q70" i="1"/>
  <c r="Q23" i="1"/>
  <c r="O29" i="1"/>
  <c r="Y29" i="1" s="1" a="1"/>
  <c r="Y29" i="1" s="1"/>
  <c r="O9" i="1"/>
  <c r="R28" i="1"/>
  <c r="T52" i="1"/>
  <c r="T62" i="1"/>
  <c r="R65" i="1"/>
  <c r="R50" i="1"/>
  <c r="R47" i="1"/>
  <c r="R48" i="1"/>
  <c r="S5" i="1"/>
  <c r="R38" i="1"/>
  <c r="R42" i="1"/>
  <c r="S81" i="1"/>
  <c r="O3" i="1"/>
  <c r="R3" i="1"/>
  <c r="R68" i="1"/>
  <c r="S45" i="1"/>
  <c r="T14" i="1"/>
  <c r="T35" i="1"/>
  <c r="O61" i="1"/>
  <c r="Y61" i="1" s="1" a="1"/>
  <c r="Y61" i="1" s="1"/>
  <c r="Q61" i="1"/>
  <c r="Q64" i="1"/>
  <c r="R75" i="1"/>
  <c r="O24" i="1"/>
  <c r="Y24" i="1" s="1" a="1"/>
  <c r="Y24" i="1" s="1"/>
  <c r="T77" i="1"/>
  <c r="T88" i="1"/>
  <c r="Q50" i="1"/>
  <c r="Q31" i="1"/>
  <c r="R21" i="1"/>
  <c r="T26" i="1"/>
  <c r="S7" i="1"/>
  <c r="Q82" i="1"/>
  <c r="O45" i="1"/>
  <c r="Q71" i="1"/>
  <c r="R63" i="1"/>
  <c r="O89" i="1"/>
  <c r="S37" i="1"/>
  <c r="T4" i="1"/>
  <c r="R9" i="1"/>
  <c r="O79" i="1"/>
  <c r="Y79" i="1" s="1" a="1"/>
  <c r="Y79" i="1" s="1"/>
  <c r="R19" i="1"/>
  <c r="R20" i="1"/>
  <c r="R78" i="1"/>
  <c r="T66" i="1"/>
  <c r="S25" i="1"/>
  <c r="Q54" i="1"/>
  <c r="Q6" i="1"/>
  <c r="R24" i="1"/>
  <c r="S85" i="1"/>
  <c r="T5" i="1"/>
  <c r="S3" i="1"/>
  <c r="S62" i="1"/>
  <c r="O63" i="1"/>
  <c r="Y63" i="1" s="1" a="1"/>
  <c r="Y63" i="1" s="1"/>
  <c r="O55" i="1"/>
  <c r="Y55" i="1" s="1" a="1"/>
  <c r="Y55" i="1" s="1"/>
  <c r="R53" i="1"/>
  <c r="S35" i="1"/>
  <c r="S72" i="1"/>
  <c r="T19" i="1"/>
  <c r="O25" i="1"/>
  <c r="Y25" i="1" s="1" a="1"/>
  <c r="Y25" i="1" s="1"/>
  <c r="Q27" i="1"/>
  <c r="Q76" i="1"/>
  <c r="R83" i="1"/>
  <c r="R88" i="1"/>
  <c r="Q7" i="1"/>
  <c r="S46" i="1"/>
  <c r="Q55" i="1"/>
  <c r="Q72" i="1"/>
  <c r="R36" i="1"/>
  <c r="T68" i="1"/>
  <c r="R14" i="1"/>
  <c r="Q26" i="1"/>
  <c r="T16" i="1"/>
  <c r="T13" i="1"/>
  <c r="U20" i="1"/>
  <c r="U26" i="1"/>
  <c r="U84" i="1"/>
  <c r="U78" i="1"/>
  <c r="U89" i="1"/>
  <c r="U87" i="1"/>
  <c r="T34" i="1"/>
  <c r="U79" i="1"/>
  <c r="U61" i="1"/>
  <c r="U66" i="1"/>
  <c r="U68" i="1"/>
  <c r="S56" i="1"/>
  <c r="U42" i="1"/>
  <c r="U72" i="1"/>
  <c r="U39" i="1"/>
  <c r="U8" i="1"/>
  <c r="T69" i="1"/>
  <c r="U56" i="1"/>
  <c r="S48" i="1"/>
  <c r="U30" i="1"/>
  <c r="U45" i="1"/>
  <c r="T37" i="1"/>
  <c r="AB8" i="1"/>
  <c r="AB9" i="1"/>
  <c r="AB11" i="1"/>
  <c r="AB19" i="1"/>
  <c r="AB27" i="1"/>
  <c r="AB35" i="1"/>
  <c r="AB59" i="1"/>
  <c r="AB12" i="1"/>
  <c r="AB28" i="1"/>
  <c r="AB44" i="1"/>
  <c r="AB60" i="1"/>
  <c r="AB75" i="1"/>
  <c r="AB81" i="1"/>
  <c r="AB14" i="1"/>
  <c r="AB30" i="1"/>
  <c r="AB46" i="1"/>
  <c r="AB62" i="1"/>
  <c r="AB79" i="1"/>
  <c r="AB72" i="1"/>
  <c r="AB13" i="1"/>
  <c r="AB21" i="1"/>
  <c r="AB29" i="1"/>
  <c r="AB37" i="1"/>
  <c r="AB45" i="1"/>
  <c r="AB53" i="1"/>
  <c r="AB61" i="1"/>
  <c r="AB16" i="1"/>
  <c r="AB32" i="1"/>
  <c r="AB64" i="1"/>
  <c r="AB78" i="1"/>
  <c r="AB68" i="1"/>
  <c r="AB18" i="1"/>
  <c r="AB34" i="1"/>
  <c r="AB66" i="1"/>
  <c r="AB82" i="1"/>
  <c r="AB77" i="1"/>
  <c r="AB3" i="1"/>
  <c r="AB15" i="1"/>
  <c r="AB23" i="1"/>
  <c r="AB31" i="1"/>
  <c r="AB47" i="1"/>
  <c r="AB55" i="1"/>
  <c r="AB63" i="1"/>
  <c r="AB20" i="1"/>
  <c r="AB36" i="1"/>
  <c r="AB52" i="1"/>
  <c r="AB67" i="1"/>
  <c r="AB73" i="1"/>
  <c r="AB6" i="1"/>
  <c r="AB22" i="1"/>
  <c r="AB38" i="1"/>
  <c r="AB54" i="1"/>
  <c r="AB71" i="1"/>
  <c r="AB80" i="1"/>
  <c r="AB7" i="1"/>
  <c r="AB17" i="1"/>
  <c r="AB25" i="1"/>
  <c r="AB33" i="1"/>
  <c r="AB57" i="1"/>
  <c r="AB65" i="1"/>
  <c r="AB24" i="1"/>
  <c r="AB56" i="1"/>
  <c r="AB70" i="1"/>
  <c r="AB86" i="1"/>
  <c r="AB76" i="1"/>
  <c r="AB10" i="1"/>
  <c r="AB26" i="1"/>
  <c r="AB58" i="1"/>
  <c r="AB74" i="1"/>
  <c r="AB69" i="1"/>
  <c r="AA4" i="1"/>
  <c r="P5" i="1"/>
  <c r="P13" i="1"/>
  <c r="P21" i="1"/>
  <c r="P29" i="1"/>
  <c r="P37" i="1"/>
  <c r="P45" i="1"/>
  <c r="P8" i="1"/>
  <c r="P24" i="1"/>
  <c r="P40" i="1"/>
  <c r="P54" i="1"/>
  <c r="P70" i="1"/>
  <c r="P86" i="1"/>
  <c r="P60" i="1"/>
  <c r="P76" i="1"/>
  <c r="P30" i="1"/>
  <c r="P63" i="1"/>
  <c r="P80" i="1"/>
  <c r="P10" i="1"/>
  <c r="P42" i="1"/>
  <c r="P71" i="1"/>
  <c r="P72" i="1"/>
  <c r="P7" i="1"/>
  <c r="P15" i="1"/>
  <c r="P23" i="1"/>
  <c r="P31" i="1"/>
  <c r="P39" i="1"/>
  <c r="P47" i="1"/>
  <c r="P12" i="1"/>
  <c r="P28" i="1"/>
  <c r="P44" i="1"/>
  <c r="P59" i="1"/>
  <c r="P75" i="1"/>
  <c r="P65" i="1"/>
  <c r="P81" i="1"/>
  <c r="P6" i="1"/>
  <c r="P38" i="1"/>
  <c r="P74" i="1"/>
  <c r="P53" i="1"/>
  <c r="P85" i="1"/>
  <c r="P18" i="1"/>
  <c r="P50" i="1"/>
  <c r="P82" i="1"/>
  <c r="P88" i="1"/>
  <c r="P56" i="1"/>
  <c r="P2" i="1"/>
  <c r="P9" i="1"/>
  <c r="P17" i="1"/>
  <c r="P25" i="1"/>
  <c r="P33" i="1"/>
  <c r="P41" i="1"/>
  <c r="P49" i="1"/>
  <c r="P16" i="1"/>
  <c r="P32" i="1"/>
  <c r="P48" i="1"/>
  <c r="P62" i="1"/>
  <c r="P78" i="1"/>
  <c r="P52" i="1"/>
  <c r="P68" i="1"/>
  <c r="P84" i="1"/>
  <c r="P14" i="1"/>
  <c r="P46" i="1"/>
  <c r="P79" i="1"/>
  <c r="P64" i="1"/>
  <c r="P26" i="1"/>
  <c r="P55" i="1"/>
  <c r="P87" i="1"/>
  <c r="P61" i="1"/>
  <c r="Q8" i="1"/>
  <c r="AB2" i="1"/>
  <c r="P77" i="1"/>
  <c r="P3" i="1"/>
  <c r="P11" i="1"/>
  <c r="P19" i="1"/>
  <c r="P27" i="1"/>
  <c r="P35" i="1"/>
  <c r="P43" i="1"/>
  <c r="P4" i="1"/>
  <c r="P20" i="1"/>
  <c r="P36" i="1"/>
  <c r="P51" i="1"/>
  <c r="P67" i="1"/>
  <c r="P83" i="1"/>
  <c r="P57" i="1"/>
  <c r="P73" i="1"/>
  <c r="P89" i="1"/>
  <c r="P22" i="1"/>
  <c r="P58" i="1"/>
  <c r="P69" i="1"/>
  <c r="P34" i="1"/>
  <c r="P66" i="1"/>
  <c r="AA9" i="1"/>
  <c r="AA87" i="1"/>
  <c r="AA73" i="1"/>
  <c r="AA35" i="1"/>
  <c r="AA64" i="1"/>
  <c r="AA16" i="1"/>
  <c r="AA70" i="1"/>
  <c r="AA49" i="1"/>
  <c r="AA11" i="1"/>
  <c r="AA38" i="1"/>
  <c r="AA66" i="1"/>
  <c r="AA39" i="1"/>
  <c r="AA72" i="1"/>
  <c r="AA20" i="1"/>
  <c r="AA83" i="1"/>
  <c r="AA37" i="1"/>
  <c r="AA68" i="1"/>
  <c r="AA10" i="1"/>
  <c r="AA33" i="1"/>
  <c r="AA62" i="1"/>
  <c r="AA22" i="1"/>
  <c r="AA77" i="1"/>
  <c r="U47" i="1"/>
  <c r="U65" i="1"/>
  <c r="U4" i="1"/>
  <c r="U59" i="1"/>
  <c r="U27" i="1"/>
  <c r="AA18" i="1"/>
  <c r="AA36" i="1"/>
  <c r="AA67" i="1"/>
  <c r="AA21" i="1"/>
  <c r="AA48" i="1"/>
  <c r="AA26" i="1"/>
  <c r="AA81" i="1"/>
  <c r="AA43" i="1"/>
  <c r="AA80" i="1"/>
  <c r="AA24" i="1"/>
  <c r="AA71" i="1"/>
  <c r="AA25" i="1"/>
  <c r="AA52" i="1"/>
  <c r="AA14" i="1"/>
  <c r="AA69" i="1"/>
  <c r="AA15" i="1"/>
  <c r="AA42" i="1"/>
  <c r="AA65" i="1"/>
  <c r="AA27" i="1"/>
  <c r="AA54" i="1"/>
  <c r="AA8" i="1"/>
  <c r="U10" i="1"/>
  <c r="U67" i="1"/>
  <c r="U17" i="1"/>
  <c r="T82" i="1"/>
  <c r="U63" i="1"/>
  <c r="AA23" i="1"/>
  <c r="AA50" i="1"/>
  <c r="AA76" i="1"/>
  <c r="AA78" i="1"/>
  <c r="AA53" i="1"/>
  <c r="AA31" i="1"/>
  <c r="AA58" i="1"/>
  <c r="AA12" i="1"/>
  <c r="AA75" i="1"/>
  <c r="AA29" i="1"/>
  <c r="AA56" i="1"/>
  <c r="AA86" i="1"/>
  <c r="AA57" i="1"/>
  <c r="AA19" i="1"/>
  <c r="AA46" i="1"/>
  <c r="AA82" i="1"/>
  <c r="AA47" i="1"/>
  <c r="AA88" i="1"/>
  <c r="AA74" i="1"/>
  <c r="AA59" i="1"/>
  <c r="AA13" i="1"/>
  <c r="AA40" i="1"/>
  <c r="U81" i="1"/>
  <c r="S27" i="1"/>
  <c r="U12" i="1"/>
  <c r="U64" i="1"/>
  <c r="U28" i="1"/>
  <c r="AA55" i="1"/>
  <c r="AA41" i="1"/>
  <c r="AA2" i="1"/>
  <c r="AA30" i="1"/>
  <c r="AA85" i="1"/>
  <c r="AA63" i="1"/>
  <c r="AA17" i="1"/>
  <c r="AA44" i="1"/>
  <c r="AA6" i="1"/>
  <c r="AA61" i="1"/>
  <c r="AA5" i="1"/>
  <c r="AA34" i="1"/>
  <c r="AA89" i="1"/>
  <c r="AA51" i="1"/>
  <c r="AA3" i="1"/>
  <c r="AA32" i="1"/>
  <c r="AA79" i="1"/>
  <c r="AA7" i="1"/>
  <c r="AA28" i="1"/>
  <c r="AA60" i="1"/>
  <c r="AA45" i="1"/>
  <c r="AA84" i="1"/>
  <c r="U73" i="1"/>
  <c r="U31" i="1"/>
  <c r="U38" i="1"/>
  <c r="U74" i="1"/>
  <c r="S24" i="1"/>
  <c r="U9" i="1"/>
  <c r="S64" i="1"/>
  <c r="U15" i="1"/>
  <c r="U51" i="1"/>
  <c r="U21" i="1"/>
  <c r="U76" i="1"/>
  <c r="S40" i="1"/>
  <c r="U54" i="1"/>
  <c r="O41" i="1"/>
  <c r="U35" i="1"/>
  <c r="U55" i="1"/>
  <c r="S80" i="1"/>
  <c r="U70" i="1"/>
  <c r="U52" i="1"/>
  <c r="U11" i="1"/>
  <c r="U80" i="1"/>
  <c r="U3" i="1"/>
  <c r="U58" i="1"/>
  <c r="S82" i="1"/>
  <c r="U33" i="1"/>
  <c r="U23" i="1"/>
  <c r="U57" i="1"/>
  <c r="O83" i="1"/>
  <c r="Q80" i="1"/>
  <c r="T78" i="1"/>
  <c r="T61" i="1"/>
  <c r="R5" i="1"/>
  <c r="Q16" i="1"/>
  <c r="Q67" i="1"/>
  <c r="O39" i="1"/>
  <c r="T59" i="1"/>
  <c r="S79" i="1"/>
  <c r="S69" i="1"/>
  <c r="O33" i="1"/>
  <c r="Y33" i="1" s="1" a="1"/>
  <c r="Y33" i="1" s="1"/>
  <c r="O40" i="1"/>
  <c r="O4" i="1"/>
  <c r="S6" i="1"/>
  <c r="O38" i="1"/>
  <c r="Y38" i="1" s="1" a="1"/>
  <c r="Y38" i="1" s="1"/>
  <c r="T81" i="1"/>
  <c r="S29" i="1"/>
  <c r="Q2" i="1"/>
  <c r="O88" i="1"/>
  <c r="O14" i="1"/>
  <c r="Y14" i="1" s="1" a="1"/>
  <c r="Y14" i="1" s="1"/>
  <c r="T75" i="1"/>
  <c r="S74" i="1"/>
  <c r="O81" i="1"/>
  <c r="Y81" i="1" s="1" a="1"/>
  <c r="Y81" i="1" s="1"/>
  <c r="T11" i="1"/>
  <c r="O30" i="1"/>
  <c r="Y30" i="1" s="1" a="1"/>
  <c r="Y30" i="1" s="1"/>
  <c r="O71" i="1"/>
  <c r="Y71" i="1" s="1" a="1"/>
  <c r="Y71" i="1" s="1"/>
  <c r="R2" i="1"/>
  <c r="R49" i="1"/>
  <c r="T46" i="1"/>
  <c r="T36" i="1"/>
  <c r="O8" i="1"/>
  <c r="Y8" i="1" s="1" a="1"/>
  <c r="Y8" i="1" s="1"/>
  <c r="O46" i="1"/>
  <c r="T72" i="1"/>
  <c r="S88" i="1"/>
  <c r="S59" i="1"/>
  <c r="R61" i="1"/>
  <c r="O19" i="1"/>
  <c r="Y19" i="1" s="1" a="1"/>
  <c r="Y19" i="1" s="1"/>
  <c r="O27" i="1"/>
  <c r="Y27" i="1" s="1" a="1"/>
  <c r="Y27" i="1" s="1"/>
  <c r="O73" i="1"/>
  <c r="Y73" i="1" s="1" a="1"/>
  <c r="Y73" i="1" s="1"/>
  <c r="T32" i="1"/>
  <c r="R18" i="1"/>
  <c r="R30" i="1"/>
  <c r="T84" i="1"/>
  <c r="R44" i="1"/>
  <c r="Q11" i="1"/>
  <c r="Q74" i="1"/>
  <c r="R25" i="1"/>
  <c r="T22" i="1"/>
  <c r="S53" i="1"/>
  <c r="R72" i="1"/>
  <c r="R71" i="1"/>
  <c r="Q28" i="1"/>
  <c r="S22" i="1"/>
  <c r="T53" i="1"/>
  <c r="S83" i="1"/>
  <c r="R69" i="1"/>
  <c r="Q21" i="1"/>
  <c r="Q3" i="1"/>
  <c r="O12" i="1"/>
  <c r="Y12" i="1" s="1" a="1"/>
  <c r="Y12" i="1" s="1"/>
  <c r="R89" i="1"/>
  <c r="S15" i="1"/>
  <c r="T50" i="1"/>
  <c r="R29" i="1"/>
  <c r="O60" i="1"/>
  <c r="Y60" i="1" s="1" a="1"/>
  <c r="Y60" i="1" s="1"/>
  <c r="O20" i="1"/>
  <c r="Y20" i="1" s="1" a="1"/>
  <c r="Y20" i="1" s="1"/>
  <c r="S41" i="1"/>
  <c r="Q15" i="1"/>
  <c r="T21" i="1"/>
  <c r="Q88" i="1"/>
  <c r="Q75" i="1"/>
  <c r="Q84" i="1"/>
  <c r="Q4" i="1"/>
  <c r="T56" i="1"/>
  <c r="S60" i="1"/>
  <c r="Q48" i="1"/>
  <c r="T63" i="1"/>
  <c r="O50" i="1"/>
  <c r="O66" i="1"/>
  <c r="Y66" i="1" s="1" a="1"/>
  <c r="Y66" i="1" s="1"/>
  <c r="O43" i="1"/>
  <c r="O42" i="1"/>
  <c r="T65" i="1"/>
  <c r="S42" i="1"/>
  <c r="O11" i="1"/>
  <c r="Y11" i="1" s="1" a="1"/>
  <c r="Y11" i="1" s="1"/>
  <c r="O6" i="1"/>
  <c r="O74" i="1"/>
  <c r="S2" i="1"/>
  <c r="Q58" i="1"/>
  <c r="T25" i="1"/>
  <c r="T60" i="1"/>
  <c r="Q29" i="1"/>
  <c r="Q38" i="1"/>
  <c r="S38" i="1"/>
  <c r="T18" i="1"/>
  <c r="O85" i="1"/>
  <c r="R79" i="1"/>
  <c r="Q34" i="1"/>
  <c r="O78" i="1"/>
  <c r="O47" i="1"/>
  <c r="S66" i="1"/>
  <c r="T41" i="1"/>
  <c r="S18" i="1"/>
  <c r="O13" i="1"/>
  <c r="Y13" i="1" s="1" a="1"/>
  <c r="Y13" i="1" s="1"/>
  <c r="R39" i="1"/>
  <c r="Y7" i="1" a="1"/>
  <c r="Y7" i="1" s="1"/>
  <c r="U14" i="1"/>
  <c r="U82" i="1"/>
  <c r="U60" i="1"/>
  <c r="U16" i="1"/>
  <c r="S16" i="1"/>
  <c r="U53" i="1"/>
  <c r="U77" i="1"/>
  <c r="U50" i="1"/>
  <c r="U40" i="1"/>
  <c r="U2" i="1"/>
  <c r="U46" i="1"/>
  <c r="U71" i="1"/>
  <c r="U62" i="1"/>
  <c r="U88" i="1"/>
  <c r="U29" i="1"/>
  <c r="U83" i="1"/>
  <c r="S32" i="1"/>
  <c r="U86" i="1"/>
  <c r="U24" i="1"/>
  <c r="U6" i="1"/>
  <c r="U49" i="1"/>
  <c r="S8" i="1"/>
  <c r="S57" i="1"/>
  <c r="S67" i="1"/>
  <c r="T33" i="1"/>
  <c r="S10" i="1"/>
  <c r="O48" i="1"/>
  <c r="Q14" i="1"/>
  <c r="Q77" i="1"/>
  <c r="O86" i="1"/>
  <c r="R41" i="1"/>
  <c r="T38" i="1"/>
  <c r="T28" i="1"/>
  <c r="R16" i="1"/>
  <c r="R15" i="1"/>
  <c r="O37" i="1"/>
  <c r="Y37" i="1" s="1" a="1"/>
  <c r="Y37" i="1" s="1"/>
  <c r="T64" i="1"/>
  <c r="T3" i="1"/>
  <c r="R62" i="1"/>
  <c r="T71" i="1"/>
  <c r="O51" i="1"/>
  <c r="Q19" i="1"/>
  <c r="R26" i="1"/>
  <c r="R57" i="1"/>
  <c r="T54" i="1"/>
  <c r="T89" i="1"/>
  <c r="O52" i="1"/>
  <c r="R23" i="1"/>
  <c r="O49" i="1"/>
  <c r="S54" i="1"/>
  <c r="Q79" i="1"/>
  <c r="T7" i="1"/>
  <c r="R87" i="1"/>
  <c r="O69" i="1"/>
  <c r="Y69" i="1" s="1" a="1"/>
  <c r="Y69" i="1" s="1"/>
  <c r="O5" i="1"/>
  <c r="T27" i="1"/>
  <c r="S47" i="1"/>
  <c r="S68" i="1"/>
  <c r="R64" i="1"/>
  <c r="O23" i="1"/>
  <c r="Y23" i="1" s="1" a="1"/>
  <c r="Y23" i="1" s="1"/>
  <c r="Q51" i="1"/>
  <c r="O72" i="1"/>
  <c r="Y72" i="1" s="1" a="1"/>
  <c r="Y72" i="1" s="1"/>
  <c r="R85" i="1"/>
  <c r="S36" i="1"/>
  <c r="Q20" i="1"/>
  <c r="T39" i="1"/>
  <c r="Q25" i="1"/>
  <c r="O82" i="1"/>
  <c r="S30" i="1"/>
  <c r="O34" i="1"/>
  <c r="Y34" i="1" s="1" a="1"/>
  <c r="Y34" i="1" s="1"/>
  <c r="R80" i="1"/>
  <c r="T12" i="1"/>
  <c r="R8" i="1"/>
  <c r="R7" i="1"/>
  <c r="Q81" i="1"/>
  <c r="T80" i="1"/>
  <c r="S55" i="1"/>
  <c r="S84" i="1"/>
  <c r="Q47" i="1"/>
  <c r="R67" i="1"/>
  <c r="Q30" i="1"/>
  <c r="Q22" i="1"/>
  <c r="Q5" i="1"/>
  <c r="T57" i="1"/>
  <c r="S34" i="1"/>
  <c r="O44" i="1"/>
  <c r="O68" i="1"/>
  <c r="Y68" i="1" s="1" a="1"/>
  <c r="Y68" i="1" s="1"/>
  <c r="O67" i="1"/>
  <c r="Y67" i="1" s="1" a="1"/>
  <c r="Y67" i="1" s="1"/>
  <c r="T83" i="1"/>
  <c r="S4" i="1"/>
  <c r="S70" i="1"/>
  <c r="O15" i="1"/>
  <c r="Y15" i="1" s="1" a="1"/>
  <c r="Y15" i="1" s="1"/>
  <c r="O53" i="1"/>
  <c r="Y53" i="1" s="1" a="1"/>
  <c r="Y53" i="1" s="1"/>
  <c r="Q46" i="1"/>
  <c r="O65" i="1"/>
  <c r="Y65" i="1" s="1" a="1"/>
  <c r="Y65" i="1" s="1"/>
  <c r="T9" i="1"/>
  <c r="S31" i="1"/>
  <c r="S11" i="1"/>
  <c r="R45" i="1"/>
  <c r="O58" i="1"/>
  <c r="Y58" i="1" s="1" a="1"/>
  <c r="Y58" i="1" s="1"/>
  <c r="O77" i="1"/>
  <c r="S89" i="1"/>
  <c r="R66" i="1"/>
  <c r="R46" i="1"/>
  <c r="S13" i="1"/>
  <c r="R52" i="1"/>
  <c r="O10" i="1"/>
  <c r="Y10" i="1" s="1" a="1"/>
  <c r="Y10" i="1" s="1"/>
  <c r="O28" i="1"/>
  <c r="Y28" i="1" s="1" a="1"/>
  <c r="Y28" i="1" s="1"/>
  <c r="S49" i="1"/>
  <c r="S43" i="1"/>
  <c r="R6" i="1"/>
  <c r="T15" i="1"/>
  <c r="O21" i="1"/>
  <c r="Y21" i="1" s="1" a="1"/>
  <c r="Y21" i="1" s="1"/>
  <c r="Q52" i="1"/>
  <c r="S9" i="1"/>
  <c r="S71" i="1"/>
  <c r="R34" i="1"/>
  <c r="Q10" i="1"/>
  <c r="Q12" i="1"/>
  <c r="O56" i="1"/>
  <c r="Y56" i="1" s="1" a="1"/>
  <c r="Y56" i="1" s="1"/>
  <c r="S65" i="1"/>
  <c r="Q86" i="1"/>
  <c r="R22" i="1"/>
  <c r="T76" i="1"/>
  <c r="R40" i="1"/>
  <c r="Q59" i="1"/>
  <c r="Z18" i="1" a="1"/>
  <c r="Z18" i="1" s="1"/>
  <c r="Z34" i="1" a="1"/>
  <c r="Z34" i="1" s="1"/>
  <c r="Z66" i="1" a="1"/>
  <c r="Z66" i="1" s="1"/>
  <c r="Z28" i="1" a="1"/>
  <c r="Z28" i="1" s="1"/>
  <c r="Z60" i="1" a="1"/>
  <c r="Z60" i="1" s="1"/>
  <c r="Z35" i="1" a="1"/>
  <c r="Z35" i="1" s="1"/>
  <c r="Z71" i="1" a="1"/>
  <c r="Z71" i="1" s="1"/>
  <c r="Z21" i="1" a="1"/>
  <c r="Z21" i="1" s="1"/>
  <c r="Z37" i="1" a="1"/>
  <c r="Z37" i="1" s="1"/>
  <c r="Z53" i="1" a="1"/>
  <c r="Z53" i="1" s="1"/>
  <c r="Z69" i="1" a="1"/>
  <c r="Z69" i="1" s="1"/>
  <c r="Z11" i="1" a="1"/>
  <c r="Z11" i="1" s="1"/>
  <c r="Z14" i="1" a="1"/>
  <c r="Z14" i="1" s="1"/>
  <c r="Z31" i="1" a="1"/>
  <c r="Z31" i="1" s="1"/>
  <c r="Z63" i="1" a="1"/>
  <c r="Z63" i="1" s="1"/>
  <c r="Z7" i="1" a="1"/>
  <c r="Z7" i="1" s="1"/>
  <c r="Z64" i="1" a="1"/>
  <c r="Z64" i="1" s="1"/>
  <c r="Z65" i="1" a="1"/>
  <c r="Z65" i="1" s="1"/>
  <c r="Z55" i="1" a="1"/>
  <c r="Z55" i="1" s="1"/>
  <c r="Z30" i="1" a="1"/>
  <c r="Z30" i="1" s="1"/>
  <c r="Z20" i="1" a="1"/>
  <c r="Z20" i="1" s="1"/>
  <c r="Z10" i="1" a="1"/>
  <c r="Z10" i="1" s="1"/>
  <c r="Z24" i="1" a="1"/>
  <c r="Z24" i="1" s="1"/>
  <c r="Z56" i="1" a="1"/>
  <c r="Z56" i="1" s="1"/>
  <c r="Z72" i="1" a="1"/>
  <c r="Z72" i="1" s="1"/>
  <c r="Z19" i="1" a="1"/>
  <c r="Z19" i="1" s="1"/>
  <c r="Z22" i="1" a="1"/>
  <c r="Z22" i="1" s="1"/>
  <c r="Z38" i="1" a="1"/>
  <c r="Z38" i="1" s="1"/>
  <c r="Z54" i="1" a="1"/>
  <c r="Z54" i="1" s="1"/>
  <c r="Z70" i="1" a="1"/>
  <c r="Z70" i="1" s="1"/>
  <c r="Z23" i="1" a="1"/>
  <c r="Z23" i="1" s="1"/>
  <c r="Z61" i="1" a="1"/>
  <c r="Z61" i="1" s="1"/>
  <c r="Z12" i="1" a="1"/>
  <c r="Z12" i="1" s="1"/>
  <c r="Z62" i="1" a="1"/>
  <c r="Z62" i="1" s="1"/>
  <c r="Z13" i="1" a="1"/>
  <c r="Z13" i="1" s="1"/>
  <c r="Z27" i="1" a="1"/>
  <c r="Z27" i="1" s="1"/>
  <c r="Z59" i="1" a="1"/>
  <c r="Z59" i="1" s="1"/>
  <c r="Z26" i="1" a="1"/>
  <c r="Z26" i="1" s="1"/>
  <c r="Z25" i="1" a="1"/>
  <c r="Z25" i="1" s="1"/>
  <c r="Z57" i="1" a="1"/>
  <c r="Z57" i="1" s="1"/>
  <c r="Z73" i="1" a="1"/>
  <c r="Z73" i="1" s="1"/>
  <c r="Z29" i="1" a="1"/>
  <c r="Z29" i="1" s="1"/>
  <c r="Z33" i="1" a="1"/>
  <c r="Z33" i="1" s="1"/>
  <c r="Z67" i="1" a="1"/>
  <c r="Z67" i="1" s="1"/>
  <c r="Z15" i="1" a="1"/>
  <c r="Z15" i="1" s="1"/>
  <c r="Z32" i="1" a="1"/>
  <c r="Z32" i="1" s="1"/>
  <c r="Z36" i="1" a="1"/>
  <c r="Z36" i="1" s="1"/>
  <c r="Z68" i="1" a="1"/>
  <c r="Z68" i="1" s="1"/>
  <c r="Z58" i="1" a="1"/>
  <c r="Z58" i="1" s="1"/>
  <c r="Z81" i="1" a="1"/>
  <c r="Z81" i="1" s="1"/>
  <c r="Z16" i="1" a="1"/>
  <c r="Z16" i="1" s="1"/>
  <c r="Y9" i="1" a="1"/>
  <c r="Y9" i="1" s="1"/>
  <c r="Y80" i="1" a="1"/>
  <c r="Y80" i="1" s="1"/>
  <c r="Z82" i="1" a="1"/>
  <c r="Z82" i="1" s="1"/>
  <c r="Z78" i="1" a="1"/>
  <c r="Z78" i="1" s="1"/>
  <c r="Z79" i="1" a="1"/>
  <c r="Z79" i="1" s="1"/>
  <c r="Z77" i="1" a="1"/>
  <c r="Z77" i="1" s="1"/>
  <c r="Z76" i="1" a="1"/>
  <c r="Z76" i="1" s="1"/>
  <c r="Z80" i="1" a="1"/>
  <c r="Z80" i="1" s="1"/>
  <c r="Y17" i="1" a="1"/>
  <c r="Y17" i="1" s="1"/>
  <c r="Z75" i="1" a="1"/>
  <c r="Z75" i="1" s="1"/>
  <c r="Z74" i="1" a="1"/>
  <c r="Z74" i="1" s="1"/>
  <c r="Z9" i="1" a="1"/>
  <c r="Z9" i="1" s="1"/>
  <c r="Z8" i="1" a="1"/>
  <c r="Z8" i="1" s="1"/>
  <c r="Y76" i="1" a="1"/>
  <c r="Y76" i="1" s="1"/>
  <c r="Y75" i="1" a="1"/>
  <c r="Y75" i="1" s="1"/>
  <c r="Y74" i="1" a="1"/>
  <c r="Y74" i="1" s="1"/>
  <c r="Y16" i="1" a="1"/>
  <c r="Y16" i="1" s="1"/>
  <c r="B1" i="1"/>
  <c r="Z17" i="1" a="1"/>
  <c r="Z17" i="1" s="1"/>
  <c r="Y77" i="1" a="1"/>
  <c r="Y77" i="1" s="1"/>
  <c r="Y82" i="1" a="1"/>
  <c r="Y82" i="1" s="1"/>
  <c r="Y78" i="1" a="1"/>
  <c r="Y78" i="1" s="1"/>
  <c r="Y83" i="1" a="1"/>
  <c r="Z39" i="1" a="1"/>
  <c r="Z86" i="1" a="1"/>
  <c r="Y84" i="1" a="1"/>
  <c r="Y86" i="1" a="1"/>
  <c r="Z83" i="1" a="1"/>
  <c r="Z84" i="1" a="1"/>
  <c r="Z40" i="1" a="1"/>
  <c r="Z85" i="1" a="1"/>
  <c r="Y85" i="1" a="1"/>
  <c r="Z83" i="1" l="1"/>
  <c r="Z86" i="1"/>
  <c r="Z85" i="1"/>
  <c r="Y85" i="1"/>
  <c r="Y86" i="1"/>
  <c r="Z39" i="1"/>
  <c r="Z40" i="1"/>
  <c r="Z84" i="1"/>
  <c r="Y84" i="1"/>
  <c r="Y83" i="1"/>
  <c r="Y40" i="1" a="1"/>
  <c r="Y39" i="1" a="1"/>
  <c r="X13" i="1" a="1"/>
  <c r="V44" i="1" a="1"/>
  <c r="X24" i="1" a="1"/>
  <c r="X64" i="1" a="1"/>
  <c r="V20" i="1" a="1"/>
  <c r="V45" i="1" a="1"/>
  <c r="V12" i="1" a="1"/>
  <c r="V74" i="1" a="1"/>
  <c r="Y46" i="1" a="1"/>
  <c r="Y6" i="1" a="1"/>
  <c r="V71" i="1" a="1"/>
  <c r="Z51" i="1" a="1"/>
  <c r="W5" i="1"/>
  <c r="W50" i="1"/>
  <c r="W51" i="1"/>
  <c r="W66" i="1"/>
  <c r="W15" i="1"/>
  <c r="X66" i="1" a="1"/>
  <c r="V22" i="1" a="1"/>
  <c r="V69" i="1" a="1"/>
  <c r="X50" i="1" a="1"/>
  <c r="V26" i="1" a="1"/>
  <c r="V56" i="1" a="1"/>
  <c r="V51" i="1" a="1"/>
  <c r="X80" i="1" a="1"/>
  <c r="X88" i="1" a="1"/>
  <c r="V62" i="1" a="1"/>
  <c r="Y49" i="1" a="1"/>
  <c r="Z49" i="1" a="1"/>
  <c r="Z52" i="1" a="1"/>
  <c r="W11" i="1"/>
  <c r="W73" i="1"/>
  <c r="W61" i="1"/>
  <c r="W30" i="1"/>
  <c r="W31" i="1"/>
  <c r="W56" i="1"/>
  <c r="X39" i="1" a="1"/>
  <c r="X32" i="1" a="1"/>
  <c r="X40" i="1" a="1"/>
  <c r="V32" i="1" a="1"/>
  <c r="Y2" i="1" a="1"/>
  <c r="X82" i="1" a="1"/>
  <c r="V84" i="1" a="1"/>
  <c r="V28" i="1" a="1"/>
  <c r="V9" i="1" a="1"/>
  <c r="V3" i="1" a="1"/>
  <c r="X74" i="1" a="1"/>
  <c r="Y47" i="1" a="1"/>
  <c r="V88" i="1" a="1"/>
  <c r="Y44" i="1" a="1"/>
  <c r="X86" i="1" a="1"/>
  <c r="Z6" i="1" a="1"/>
  <c r="Z43" i="1" a="1"/>
  <c r="W32" i="1"/>
  <c r="W40" i="1"/>
  <c r="W23" i="1"/>
  <c r="W63" i="1"/>
  <c r="W44" i="1"/>
  <c r="Y88" i="1" a="1"/>
  <c r="V19" i="1" a="1"/>
  <c r="X63" i="1" a="1"/>
  <c r="X76" i="1" a="1"/>
  <c r="V30" i="1" a="1"/>
  <c r="AB87" i="1" a="1"/>
  <c r="X73" i="1" a="1"/>
  <c r="X36" i="1" a="1"/>
  <c r="V36" i="1" a="1"/>
  <c r="X53" i="1" a="1"/>
  <c r="X71" i="1" a="1"/>
  <c r="V89" i="1" a="1"/>
  <c r="V67" i="1" a="1"/>
  <c r="V15" i="1" a="1"/>
  <c r="X28" i="1" a="1"/>
  <c r="X34" i="1" a="1"/>
  <c r="V83" i="1" a="1"/>
  <c r="W7" i="1"/>
  <c r="W21" i="1"/>
  <c r="W36" i="1"/>
  <c r="W87" i="1"/>
  <c r="W75" i="1"/>
  <c r="X89" i="1" a="1"/>
  <c r="V85" i="1" a="1"/>
  <c r="X65" i="1" a="1"/>
  <c r="X6" i="1" a="1"/>
  <c r="V87" i="1" a="1"/>
  <c r="X8" i="1" a="1"/>
  <c r="V65" i="1" a="1"/>
  <c r="V54" i="1" a="1"/>
  <c r="X16" i="1" a="1"/>
  <c r="AB50" i="1" a="1"/>
  <c r="V49" i="1" a="1"/>
  <c r="X51" i="1" a="1"/>
  <c r="Z42" i="1" a="1"/>
  <c r="Y5" i="1" a="1"/>
  <c r="W57" i="1"/>
  <c r="W6" i="1"/>
  <c r="W74" i="1"/>
  <c r="W27" i="1"/>
  <c r="W81" i="1"/>
  <c r="W9" i="1"/>
  <c r="X85" i="1" a="1"/>
  <c r="X18" i="1" a="1"/>
  <c r="X45" i="1" a="1"/>
  <c r="V37" i="1" a="1"/>
  <c r="X49" i="1" a="1"/>
  <c r="AB89" i="1" a="1"/>
  <c r="V68" i="1" a="1"/>
  <c r="V21" i="1" a="1"/>
  <c r="V23" i="1" a="1"/>
  <c r="X3" i="1" a="1"/>
  <c r="V82" i="1" a="1"/>
  <c r="V86" i="1" a="1"/>
  <c r="X46" i="1" a="1"/>
  <c r="X59" i="1" a="1"/>
  <c r="Z88" i="1" a="1"/>
  <c r="W53" i="1"/>
  <c r="W4" i="1"/>
  <c r="W45" i="1"/>
  <c r="W55" i="1"/>
  <c r="W64" i="1"/>
  <c r="W67" i="1"/>
  <c r="W58" i="1"/>
  <c r="V13" i="1" a="1"/>
  <c r="X44" i="1" a="1"/>
  <c r="V78" i="1" a="1"/>
  <c r="AB4" i="1" a="1"/>
  <c r="V59" i="1" a="1"/>
  <c r="V10" i="1" a="1"/>
  <c r="X69" i="1" a="1"/>
  <c r="X62" i="1" a="1"/>
  <c r="V18" i="1" a="1"/>
  <c r="X43" i="1" a="1"/>
  <c r="X54" i="1" a="1"/>
  <c r="V61" i="1" a="1"/>
  <c r="V47" i="1" a="1"/>
  <c r="V55" i="1" a="1"/>
  <c r="X4" i="1" a="1"/>
  <c r="V16" i="1" a="1"/>
  <c r="V6" i="1" a="1"/>
  <c r="Z44" i="1" a="1"/>
  <c r="Z41" i="1" a="1"/>
  <c r="W82" i="1"/>
  <c r="W71" i="1"/>
  <c r="Z87" i="1" a="1"/>
  <c r="W18" i="1"/>
  <c r="X41" i="1" a="1"/>
  <c r="X57" i="1" a="1"/>
  <c r="V43" i="1" a="1"/>
  <c r="X56" i="1" a="1"/>
  <c r="X72" i="1" a="1"/>
  <c r="V66" i="1" a="1"/>
  <c r="V17" i="1" a="1"/>
  <c r="V80" i="1" a="1"/>
  <c r="X11" i="1" a="1"/>
  <c r="V14" i="1" a="1"/>
  <c r="X77" i="1" a="1"/>
  <c r="X20" i="1" a="1"/>
  <c r="Z45" i="1" a="1"/>
  <c r="Z3" i="1" a="1"/>
  <c r="W24" i="1"/>
  <c r="W78" i="1"/>
  <c r="W48" i="1"/>
  <c r="W85" i="1"/>
  <c r="W52" i="1"/>
  <c r="W17" i="1"/>
  <c r="W68" i="1"/>
  <c r="X83" i="1" a="1"/>
  <c r="X35" i="1" a="1"/>
  <c r="X78" i="1" a="1"/>
  <c r="V34" i="1" a="1"/>
  <c r="X23" i="1" a="1"/>
  <c r="X27" i="1" a="1"/>
  <c r="V39" i="1" a="1"/>
  <c r="V4" i="1" a="1"/>
  <c r="X67" i="1" a="1"/>
  <c r="X75" i="1" a="1"/>
  <c r="V53" i="1" a="1"/>
  <c r="X19" i="1" a="1"/>
  <c r="X52" i="1" a="1"/>
  <c r="Z89" i="1" a="1"/>
  <c r="W47" i="1"/>
  <c r="W22" i="1"/>
  <c r="W84" i="1"/>
  <c r="W41" i="1"/>
  <c r="W28" i="1"/>
  <c r="W72" i="1"/>
  <c r="X33" i="1" a="1"/>
  <c r="V75" i="1" a="1"/>
  <c r="X61" i="1" a="1"/>
  <c r="V79" i="1" a="1"/>
  <c r="V63" i="1" a="1"/>
  <c r="X17" i="1" a="1"/>
  <c r="V48" i="1" a="1"/>
  <c r="V7" i="1" a="1"/>
  <c r="Y3" i="1" a="1"/>
  <c r="X55" i="1" a="1"/>
  <c r="V42" i="1" a="1"/>
  <c r="V27" i="1" a="1"/>
  <c r="V11" i="1" a="1"/>
  <c r="AB42" i="1" a="1"/>
  <c r="V50" i="1" a="1"/>
  <c r="X14" i="1" a="1"/>
  <c r="Z2" i="1" a="1"/>
  <c r="W49" i="1"/>
  <c r="W88" i="1"/>
  <c r="W89" i="1"/>
  <c r="W39" i="1"/>
  <c r="W76" i="1"/>
  <c r="X37" i="1" a="1"/>
  <c r="X9" i="1" a="1"/>
  <c r="V41" i="1" a="1"/>
  <c r="X70" i="1" a="1"/>
  <c r="X26" i="1" a="1"/>
  <c r="V72" i="1" a="1"/>
  <c r="V64" i="1" a="1"/>
  <c r="V73" i="1" a="1"/>
  <c r="V33" i="1" a="1"/>
  <c r="X21" i="1" a="1"/>
  <c r="V40" i="1" a="1"/>
  <c r="AB51" i="1" a="1"/>
  <c r="X30" i="1" a="1"/>
  <c r="Z46" i="1" a="1"/>
  <c r="W20" i="1"/>
  <c r="W10" i="1"/>
  <c r="W19" i="1"/>
  <c r="W79" i="1"/>
  <c r="Y4" i="1" a="1"/>
  <c r="W12" i="1"/>
  <c r="W83" i="1"/>
  <c r="X68" i="1" a="1"/>
  <c r="X87" i="1" a="1"/>
  <c r="V25" i="1" a="1"/>
  <c r="X42" i="1" a="1"/>
  <c r="X31" i="1" a="1"/>
  <c r="X7" i="1" a="1"/>
  <c r="V81" i="1" a="1"/>
  <c r="V31" i="1" a="1"/>
  <c r="V70" i="1" a="1"/>
  <c r="X2" i="1" a="1"/>
  <c r="X29" i="1" a="1"/>
  <c r="V2" i="1" a="1"/>
  <c r="X22" i="1" a="1"/>
  <c r="X10" i="1" a="1"/>
  <c r="Z50" i="1" a="1"/>
  <c r="Z47" i="1" a="1"/>
  <c r="W77" i="1"/>
  <c r="Z5" i="1" a="1"/>
  <c r="W16" i="1"/>
  <c r="W54" i="1"/>
  <c r="W46" i="1"/>
  <c r="W59" i="1"/>
  <c r="X60" i="1" a="1"/>
  <c r="V5" i="1" a="1"/>
  <c r="Y45" i="1" a="1"/>
  <c r="V8" i="1" a="1"/>
  <c r="V35" i="1" a="1"/>
  <c r="AB88" i="1" a="1"/>
  <c r="AB43" i="1" a="1"/>
  <c r="V77" i="1" a="1"/>
  <c r="Y48" i="1" a="1"/>
  <c r="X81" i="1" a="1"/>
  <c r="W86" i="1"/>
  <c r="W14" i="1"/>
  <c r="W43" i="1"/>
  <c r="W3" i="1"/>
  <c r="Y87" i="1" a="1"/>
  <c r="W80" i="1"/>
  <c r="Z48" i="1" a="1"/>
  <c r="W60" i="1"/>
  <c r="W29" i="1"/>
  <c r="W34" i="1"/>
  <c r="W2" i="1"/>
  <c r="V52" i="1" a="1"/>
  <c r="X15" i="1" a="1"/>
  <c r="X58" i="1" a="1"/>
  <c r="V46" i="1" a="1"/>
  <c r="Y52" i="1" a="1"/>
  <c r="X47" i="1" a="1"/>
  <c r="W33" i="1"/>
  <c r="W13" i="1"/>
  <c r="W35" i="1"/>
  <c r="W8" i="1"/>
  <c r="W62" i="1"/>
  <c r="W37" i="1"/>
  <c r="W69" i="1"/>
  <c r="W65" i="1"/>
  <c r="W26" i="1"/>
  <c r="V38" i="1" a="1"/>
  <c r="V58" i="1" a="1"/>
  <c r="X84" i="1" a="1"/>
  <c r="X38" i="1" a="1"/>
  <c r="V29" i="1" a="1"/>
  <c r="X79" i="1" a="1"/>
  <c r="X5" i="1" a="1"/>
  <c r="W25" i="1"/>
  <c r="W42" i="1"/>
  <c r="Z4" i="1" a="1"/>
  <c r="V76" i="1" a="1"/>
  <c r="V57" i="1" a="1"/>
  <c r="X48" i="1" a="1"/>
  <c r="V60" i="1" a="1"/>
  <c r="V24" i="1" a="1"/>
  <c r="X25" i="1" a="1"/>
  <c r="X12" i="1" a="1"/>
  <c r="W70" i="1"/>
  <c r="W38" i="1"/>
  <c r="Y51" i="1" a="1"/>
  <c r="Y42" i="1" a="1"/>
  <c r="Y43" i="1" a="1"/>
  <c r="Y41" i="1" a="1"/>
  <c r="Y50" i="1" a="1"/>
  <c r="Y89" i="1" a="1"/>
  <c r="X12" i="1" l="1"/>
  <c r="X25" i="1"/>
  <c r="V24" i="1"/>
  <c r="V60" i="1"/>
  <c r="X48" i="1"/>
  <c r="V57" i="1"/>
  <c r="V76" i="1"/>
  <c r="Z4" i="1"/>
  <c r="X5" i="1"/>
  <c r="X79" i="1"/>
  <c r="V29" i="1"/>
  <c r="X38" i="1"/>
  <c r="X84" i="1"/>
  <c r="V58" i="1"/>
  <c r="V38" i="1"/>
  <c r="X47" i="1"/>
  <c r="Y52" i="1"/>
  <c r="V46" i="1"/>
  <c r="X58" i="1"/>
  <c r="X15" i="1"/>
  <c r="V52" i="1"/>
  <c r="Z48" i="1"/>
  <c r="Y87" i="1"/>
  <c r="X81" i="1"/>
  <c r="Y48" i="1"/>
  <c r="V77" i="1"/>
  <c r="AB43" i="1"/>
  <c r="AB88" i="1"/>
  <c r="V35" i="1"/>
  <c r="V8" i="1"/>
  <c r="Y45" i="1"/>
  <c r="V5" i="1"/>
  <c r="X60" i="1"/>
  <c r="Z5" i="1"/>
  <c r="Z47" i="1"/>
  <c r="Z50" i="1"/>
  <c r="X10" i="1"/>
  <c r="X22" i="1"/>
  <c r="V2" i="1"/>
  <c r="X29" i="1"/>
  <c r="X2" i="1"/>
  <c r="V70" i="1"/>
  <c r="V31" i="1"/>
  <c r="V81" i="1"/>
  <c r="X7" i="1"/>
  <c r="X31" i="1"/>
  <c r="X42" i="1"/>
  <c r="V25" i="1"/>
  <c r="X87" i="1"/>
  <c r="X68" i="1"/>
  <c r="Y4" i="1"/>
  <c r="Z46" i="1"/>
  <c r="X30" i="1"/>
  <c r="AB51" i="1"/>
  <c r="V40" i="1"/>
  <c r="X21" i="1"/>
  <c r="V33" i="1"/>
  <c r="V73" i="1"/>
  <c r="V64" i="1"/>
  <c r="V72" i="1"/>
  <c r="X26" i="1"/>
  <c r="X70" i="1"/>
  <c r="V41" i="1"/>
  <c r="X9" i="1"/>
  <c r="X37" i="1"/>
  <c r="Z2" i="1"/>
  <c r="X14" i="1"/>
  <c r="V50" i="1"/>
  <c r="AB42" i="1"/>
  <c r="V11" i="1"/>
  <c r="V27" i="1"/>
  <c r="V42" i="1"/>
  <c r="X55" i="1"/>
  <c r="Y3" i="1"/>
  <c r="V7" i="1"/>
  <c r="V48" i="1"/>
  <c r="X17" i="1"/>
  <c r="V63" i="1"/>
  <c r="V79" i="1"/>
  <c r="X61" i="1"/>
  <c r="V75" i="1"/>
  <c r="X33" i="1"/>
  <c r="Z89" i="1"/>
  <c r="X52" i="1"/>
  <c r="X19" i="1"/>
  <c r="V53" i="1"/>
  <c r="X75" i="1"/>
  <c r="X67" i="1"/>
  <c r="V4" i="1"/>
  <c r="V39" i="1"/>
  <c r="X27" i="1"/>
  <c r="X23" i="1"/>
  <c r="V34" i="1"/>
  <c r="X78" i="1"/>
  <c r="X35" i="1"/>
  <c r="X83" i="1"/>
  <c r="Z3" i="1"/>
  <c r="Z45" i="1"/>
  <c r="X20" i="1"/>
  <c r="X77" i="1"/>
  <c r="V14" i="1"/>
  <c r="X11" i="1"/>
  <c r="V80" i="1"/>
  <c r="V17" i="1"/>
  <c r="V66" i="1"/>
  <c r="X72" i="1"/>
  <c r="X56" i="1"/>
  <c r="V43" i="1"/>
  <c r="X57" i="1"/>
  <c r="X41" i="1"/>
  <c r="Z87" i="1"/>
  <c r="Z41" i="1"/>
  <c r="Z44" i="1"/>
  <c r="V6" i="1"/>
  <c r="V16" i="1"/>
  <c r="X4" i="1"/>
  <c r="V55" i="1"/>
  <c r="V47" i="1"/>
  <c r="V61" i="1"/>
  <c r="X54" i="1"/>
  <c r="X43" i="1"/>
  <c r="V18" i="1"/>
  <c r="X62" i="1"/>
  <c r="X69" i="1"/>
  <c r="V10" i="1"/>
  <c r="V59" i="1"/>
  <c r="AB4" i="1"/>
  <c r="V78" i="1"/>
  <c r="X44" i="1"/>
  <c r="V13" i="1"/>
  <c r="Z88" i="1"/>
  <c r="X59" i="1"/>
  <c r="X46" i="1"/>
  <c r="V86" i="1"/>
  <c r="V82" i="1"/>
  <c r="X3" i="1"/>
  <c r="V23" i="1"/>
  <c r="V21" i="1"/>
  <c r="V68" i="1"/>
  <c r="AB89" i="1"/>
  <c r="X49" i="1"/>
  <c r="V37" i="1"/>
  <c r="X45" i="1"/>
  <c r="X18" i="1"/>
  <c r="X85" i="1"/>
  <c r="Y5" i="1"/>
  <c r="Z42" i="1"/>
  <c r="X51" i="1"/>
  <c r="V49" i="1"/>
  <c r="AB50" i="1"/>
  <c r="X16" i="1"/>
  <c r="V54" i="1"/>
  <c r="V65" i="1"/>
  <c r="X8" i="1"/>
  <c r="V87" i="1"/>
  <c r="X6" i="1"/>
  <c r="X65" i="1"/>
  <c r="V85" i="1"/>
  <c r="X89" i="1"/>
  <c r="V83" i="1"/>
  <c r="X34" i="1"/>
  <c r="X28" i="1"/>
  <c r="V15" i="1"/>
  <c r="V67" i="1"/>
  <c r="V89" i="1"/>
  <c r="X71" i="1"/>
  <c r="X53" i="1"/>
  <c r="V36" i="1"/>
  <c r="X36" i="1"/>
  <c r="X73" i="1"/>
  <c r="AB87" i="1"/>
  <c r="V30" i="1"/>
  <c r="X76" i="1"/>
  <c r="X63" i="1"/>
  <c r="V19" i="1"/>
  <c r="Y88" i="1"/>
  <c r="Z43" i="1"/>
  <c r="Z6" i="1"/>
  <c r="X86" i="1"/>
  <c r="Y44" i="1"/>
  <c r="V88" i="1"/>
  <c r="Y47" i="1"/>
  <c r="X74" i="1"/>
  <c r="V3" i="1"/>
  <c r="V9" i="1"/>
  <c r="V28" i="1"/>
  <c r="V84" i="1"/>
  <c r="X82" i="1"/>
  <c r="Y2" i="1"/>
  <c r="V32" i="1"/>
  <c r="X40" i="1"/>
  <c r="X32" i="1"/>
  <c r="X39" i="1"/>
  <c r="Z52" i="1"/>
  <c r="Z49" i="1"/>
  <c r="Y49" i="1"/>
  <c r="V62" i="1"/>
  <c r="X88" i="1"/>
  <c r="X80" i="1"/>
  <c r="V51" i="1"/>
  <c r="V56" i="1"/>
  <c r="V26" i="1"/>
  <c r="X50" i="1"/>
  <c r="V69" i="1"/>
  <c r="V22" i="1"/>
  <c r="X66" i="1"/>
  <c r="Z51" i="1"/>
  <c r="V71" i="1"/>
  <c r="Y6" i="1"/>
  <c r="Y46" i="1"/>
  <c r="V74" i="1"/>
  <c r="V12" i="1"/>
  <c r="V45" i="1"/>
  <c r="V20" i="1"/>
  <c r="X64" i="1"/>
  <c r="X24" i="1"/>
  <c r="V44" i="1"/>
  <c r="X13" i="1"/>
  <c r="Y40" i="1"/>
  <c r="Y39" i="1"/>
  <c r="Y42" i="1"/>
  <c r="Y41" i="1"/>
  <c r="Y50" i="1"/>
  <c r="Y43" i="1"/>
  <c r="Y51" i="1"/>
  <c r="Y8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<sst xmlns="http://schemas.openxmlformats.org/spreadsheetml/2006/main" count="498" uniqueCount="201">
  <si>
    <t>PV01</t>
  </si>
  <si>
    <t>Trd PV01</t>
  </si>
  <si>
    <t>Yield</t>
  </si>
  <si>
    <t>Chg Yld</t>
  </si>
  <si>
    <t>|10Y|</t>
  </si>
  <si>
    <t>Crv210</t>
  </si>
  <si>
    <t>Crv PnL</t>
  </si>
  <si>
    <t>RCPNL</t>
  </si>
  <si>
    <t>Core Trd PV01</t>
  </si>
  <si>
    <t>Open PnL</t>
  </si>
  <si>
    <t>BasisPnL</t>
  </si>
  <si>
    <t>Trade PnL</t>
  </si>
  <si>
    <t>RXZ6</t>
  </si>
  <si>
    <t>UBZ6</t>
  </si>
  <si>
    <t>DUZ6</t>
  </si>
  <si>
    <t>OEZ6</t>
  </si>
  <si>
    <t>TUZ6</t>
  </si>
  <si>
    <t>91282CRL7</t>
  </si>
  <si>
    <t>91282CMA6</t>
  </si>
  <si>
    <t>91282CGQ8</t>
  </si>
  <si>
    <t>91282CMZ1</t>
  </si>
  <si>
    <t>91282CNG2</t>
  </si>
  <si>
    <t>91282CNN7</t>
  </si>
  <si>
    <t>91282CNX5</t>
  </si>
  <si>
    <t>91282CPD7</t>
  </si>
  <si>
    <t>FVZ6</t>
  </si>
  <si>
    <t>91282CQU8</t>
  </si>
  <si>
    <t>91282CQX2</t>
  </si>
  <si>
    <t>91282CRA1</t>
  </si>
  <si>
    <t>91282CRK9</t>
  </si>
  <si>
    <t>91282CRN3</t>
  </si>
  <si>
    <t>91282CFF3</t>
  </si>
  <si>
    <t>91282CNW7</t>
  </si>
  <si>
    <t>91282CNZ0</t>
  </si>
  <si>
    <t>91282CPM7</t>
  </si>
  <si>
    <t>91282CPY1</t>
  </si>
  <si>
    <t>91282CRC7</t>
  </si>
  <si>
    <t>91282CRJ2</t>
  </si>
  <si>
    <t>TYZ6</t>
  </si>
  <si>
    <t>91282CRM5</t>
  </si>
  <si>
    <t>91282CJZ5</t>
  </si>
  <si>
    <t>91282CKQ3</t>
  </si>
  <si>
    <t>91282CLF6</t>
  </si>
  <si>
    <t>UXYZ6</t>
  </si>
  <si>
    <t>91282CRF0</t>
  </si>
  <si>
    <t>912810UX4</t>
  </si>
  <si>
    <t>WNZ6</t>
  </si>
  <si>
    <t>912810UW6</t>
  </si>
  <si>
    <t>SecID</t>
  </si>
  <si>
    <t>Quantity</t>
  </si>
  <si>
    <t>QuantityTAS</t>
  </si>
  <si>
    <t>OpenQuantity</t>
  </si>
  <si>
    <t>ChgQuantity</t>
  </si>
  <si>
    <t>Price</t>
  </si>
  <si>
    <t>Realized</t>
  </si>
  <si>
    <t>MV</t>
  </si>
  <si>
    <t>SecType</t>
  </si>
  <si>
    <t>246887501</t>
  </si>
  <si>
    <t>SwapTrade</t>
  </si>
  <si>
    <t>246889747</t>
  </si>
  <si>
    <t>BondFuture</t>
  </si>
  <si>
    <t>253424701</t>
  </si>
  <si>
    <t>253424706</t>
  </si>
  <si>
    <t>251537861</t>
  </si>
  <si>
    <t>251537871</t>
  </si>
  <si>
    <t>252972750</t>
  </si>
  <si>
    <t>252973724</t>
  </si>
  <si>
    <t>253291819</t>
  </si>
  <si>
    <t>253291823</t>
  </si>
  <si>
    <t>Bond</t>
  </si>
  <si>
    <t>221085184</t>
  </si>
  <si>
    <t>221085185</t>
  </si>
  <si>
    <t>221085189</t>
  </si>
  <si>
    <t>221085235</t>
  </si>
  <si>
    <t>221085245</t>
  </si>
  <si>
    <t>221085256</t>
  </si>
  <si>
    <t>221085372</t>
  </si>
  <si>
    <t>221085384</t>
  </si>
  <si>
    <t>221085417</t>
  </si>
  <si>
    <t>221136203</t>
  </si>
  <si>
    <t>221136205</t>
  </si>
  <si>
    <t>221136211</t>
  </si>
  <si>
    <t>221136212</t>
  </si>
  <si>
    <t>221582879</t>
  </si>
  <si>
    <t>227254591</t>
  </si>
  <si>
    <t>231403590</t>
  </si>
  <si>
    <t>232322772</t>
  </si>
  <si>
    <t>232348967</t>
  </si>
  <si>
    <t>232743570</t>
  </si>
  <si>
    <t>233111088</t>
  </si>
  <si>
    <t>235872386</t>
  </si>
  <si>
    <t>236998516</t>
  </si>
  <si>
    <t>237785640</t>
  </si>
  <si>
    <t>238081732</t>
  </si>
  <si>
    <t>238082826</t>
  </si>
  <si>
    <t>238083003</t>
  </si>
  <si>
    <t>238084531</t>
  </si>
  <si>
    <t>238286688</t>
  </si>
  <si>
    <t>238396159</t>
  </si>
  <si>
    <t>238569178</t>
  </si>
  <si>
    <t>239429835</t>
  </si>
  <si>
    <t>240582392</t>
  </si>
  <si>
    <t>241758424</t>
  </si>
  <si>
    <t>242795017</t>
  </si>
  <si>
    <t>244044869</t>
  </si>
  <si>
    <t>244604439</t>
  </si>
  <si>
    <t>244608633</t>
  </si>
  <si>
    <t>244855170</t>
  </si>
  <si>
    <t>244974233</t>
  </si>
  <si>
    <t>244975732</t>
  </si>
  <si>
    <t>249795190</t>
  </si>
  <si>
    <t>249800651</t>
  </si>
  <si>
    <t>249800652</t>
  </si>
  <si>
    <t>249801055</t>
  </si>
  <si>
    <t>250656579</t>
  </si>
  <si>
    <t>250657548</t>
  </si>
  <si>
    <t>251360193</t>
  </si>
  <si>
    <t>251365860</t>
  </si>
  <si>
    <t>251443899</t>
  </si>
  <si>
    <t>252372485</t>
  </si>
  <si>
    <t>252372486</t>
  </si>
  <si>
    <t>252981101</t>
  </si>
  <si>
    <t>252981116</t>
  </si>
  <si>
    <t>253071448</t>
  </si>
  <si>
    <t>253368726</t>
  </si>
  <si>
    <t>253368727</t>
  </si>
  <si>
    <t>SERU6</t>
  </si>
  <si>
    <t>RateFuture</t>
  </si>
  <si>
    <t>SERV6</t>
  </si>
  <si>
    <t>SERX6</t>
  </si>
  <si>
    <t>253519763</t>
  </si>
  <si>
    <t>253519994</t>
  </si>
  <si>
    <t>253527994</t>
  </si>
  <si>
    <t>253527996</t>
  </si>
  <si>
    <t>253713092</t>
  </si>
  <si>
    <t>253713101</t>
  </si>
  <si>
    <t>253920187</t>
  </si>
  <si>
    <t>253921346</t>
  </si>
  <si>
    <t>254294126</t>
  </si>
  <si>
    <t>254294134</t>
  </si>
  <si>
    <t>SERF7</t>
  </si>
  <si>
    <t>SERZ6</t>
  </si>
  <si>
    <t>247850509</t>
  </si>
  <si>
    <t>247850548</t>
  </si>
  <si>
    <t>250041827</t>
  </si>
  <si>
    <t>250313700</t>
  </si>
  <si>
    <t>251007587</t>
  </si>
  <si>
    <t>252245067</t>
  </si>
  <si>
    <t>252970450</t>
  </si>
  <si>
    <t>253062033</t>
  </si>
  <si>
    <t>253606809</t>
  </si>
  <si>
    <t>254398883</t>
  </si>
  <si>
    <t>FFU6</t>
  </si>
  <si>
    <t>FFV6</t>
  </si>
  <si>
    <t>FFX6</t>
  </si>
  <si>
    <t>FFZ6</t>
  </si>
  <si>
    <t>230171747</t>
  </si>
  <si>
    <t>231030784</t>
  </si>
  <si>
    <t>231211801</t>
  </si>
  <si>
    <t>231211845</t>
  </si>
  <si>
    <t>232257832</t>
  </si>
  <si>
    <t>232999148</t>
  </si>
  <si>
    <t>234766536</t>
  </si>
  <si>
    <t>238464171</t>
  </si>
  <si>
    <t>238464172</t>
  </si>
  <si>
    <t>238464716</t>
  </si>
  <si>
    <t>238464848</t>
  </si>
  <si>
    <t>238675137</t>
  </si>
  <si>
    <t>239173834</t>
  </si>
  <si>
    <t>239798372</t>
  </si>
  <si>
    <t>239798376</t>
  </si>
  <si>
    <t>239799484</t>
  </si>
  <si>
    <t>240101479</t>
  </si>
  <si>
    <t>240189575</t>
  </si>
  <si>
    <t>242040051</t>
  </si>
  <si>
    <t>243759093</t>
  </si>
  <si>
    <t>244130620</t>
  </si>
  <si>
    <t>244135123</t>
  </si>
  <si>
    <t>244608809</t>
  </si>
  <si>
    <t>244608812</t>
  </si>
  <si>
    <t>244847475</t>
  </si>
  <si>
    <t>244847476</t>
  </si>
  <si>
    <t>244847477</t>
  </si>
  <si>
    <t>245404667</t>
  </si>
  <si>
    <t>245404668</t>
  </si>
  <si>
    <t>245570646</t>
  </si>
  <si>
    <t>245570681</t>
  </si>
  <si>
    <t>245652779</t>
  </si>
  <si>
    <t>245819675</t>
  </si>
  <si>
    <t>245887458</t>
  </si>
  <si>
    <t>248308134</t>
  </si>
  <si>
    <t>249069902</t>
  </si>
  <si>
    <t>251001574</t>
  </si>
  <si>
    <t>251001581</t>
  </si>
  <si>
    <t>251394776</t>
  </si>
  <si>
    <t>251394867</t>
  </si>
  <si>
    <t>252970386</t>
  </si>
  <si>
    <t>252970434</t>
  </si>
  <si>
    <t>Open PV01</t>
  </si>
  <si>
    <t>PNL</t>
  </si>
  <si>
    <t>CDT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</si>
</sst>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3" formatCode="_(* #,##0.00_);_(* \(#,##0.00\);_(* &quot;-&quot;??_);_(@_)"/>
    <numFmt numFmtId="164" formatCode="_(* #,##0_);_(* \(#,##0\);_(* &quot;-&quot;??_);_(@_)"/>
    <numFmt numFmtId="165" formatCode="0.000%"/>
    <numFmt numFmtId="166" formatCode="0.00000000000000"/>
    <numFmt numFmtId="167" formatCode="0.00000000"/>
    <numFmt numFmtId="168" formatCode="0.000000000"/>
    <numFmt numFmtId="169" formatCode="0.00000000%"/>
    <numFmt numFmtId="170" formatCode="_(* #,##0.0000000_);_(* \(#,##0.00000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0" fontId="3" fillId="0" borderId="0" xfId="0" applyFont="1"/>
    <xf numFmtId="164" fontId="0" fillId="0" borderId="0" xfId="0" applyNumberFormat="1"/>
    <xf numFmtId="6" fontId="0" fillId="0" borderId="0" xfId="0" applyNumberFormat="1"/>
    <xf numFmtId="169" fontId="0" fillId="0" borderId="0" xfId="2" applyNumberFormat="1" applyFont="1"/>
    <xf numFmtId="43" fontId="0" fillId="0" borderId="0" xfId="1" applyFont="1"/>
    <xf numFmtId="164" fontId="0" fillId="2" borderId="0" xfId="1" applyNumberFormat="1" applyFont="1" applyFill="1"/>
    <xf numFmtId="0" fontId="0" fillId="2" borderId="0" xfId="0" applyFill="1"/>
    <xf numFmtId="165" fontId="0" fillId="2" borderId="0" xfId="2" applyNumberFormat="1" applyFont="1" applyFill="1"/>
    <xf numFmtId="43" fontId="0" fillId="2" borderId="0" xfId="0" applyNumberFormat="1" applyFill="1"/>
    <xf numFmtId="166" fontId="0" fillId="2" borderId="0" xfId="0" applyNumberFormat="1" applyFill="1"/>
    <xf numFmtId="0" fontId="3" fillId="2" borderId="0" xfId="0" applyFont="1" applyFill="1"/>
    <xf numFmtId="168" fontId="3" fillId="2" borderId="0" xfId="0" applyNumberFormat="1" applyFont="1" applyFill="1"/>
    <xf numFmtId="168" fontId="0" fillId="2" borderId="0" xfId="0" applyNumberFormat="1" applyFill="1"/>
    <xf numFmtId="167" fontId="0" fillId="2" borderId="0" xfId="0" applyNumberFormat="1" applyFill="1"/>
    <xf numFmtId="43" fontId="0" fillId="2" borderId="0" xfId="1" applyFont="1" applyFill="1"/>
    <xf numFmtId="164" fontId="0" fillId="2" borderId="0" xfId="0" applyNumberFormat="1" applyFill="1"/>
    <xf numFmtId="0" fontId="2" fillId="2" borderId="0" xfId="0" applyFont="1" applyFill="1"/>
    <xf numFmtId="6" fontId="0" fillId="2" borderId="0" xfId="0" applyNumberFormat="1" applyFill="1"/>
    <xf numFmtId="0" fontId="4" fillId="2" borderId="0" xfId="0" applyFont="1" applyFill="1"/>
    <xf numFmtId="0" fontId="0" fillId="3" borderId="0" xfId="0" applyFill="1"/>
    <xf numFmtId="164" fontId="0" fillId="3" borderId="0" xfId="1" applyNumberFormat="1" applyFont="1" applyFill="1"/>
    <xf numFmtId="165" fontId="0" fillId="3" borderId="0" xfId="2" applyNumberFormat="1" applyFont="1" applyFill="1"/>
    <xf numFmtId="43" fontId="0" fillId="3" borderId="0" xfId="0" applyNumberFormat="1" applyFill="1"/>
    <xf numFmtId="170" fontId="0" fillId="0" borderId="0" xfId="1" applyNumberFormat="1" applyFont="1"/>
    <xf numFmtId="43" fontId="0" fillId="0" borderId="0" xfId="0" applyNumberFormat="1"/>
    <xf numFmtId="17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395"/>
  <sheetViews>
    <sheetView tabSelected="1" topLeftCell="P5" zoomScale="70" zoomScaleNormal="70" workbookViewId="0">
      <selection activeCell="AB5" sqref="AB1:AB1048576"/>
    </sheetView>
  </sheetViews>
  <sheetFormatPr defaultRowHeight="14.5" x14ac:dyDescent="0.35"/>
  <cols>
    <col min="1" max="1" width="18.7265625" customWidth="1"/>
    <col min="4" max="4" width="67.453125" customWidth="1"/>
    <col min="5" max="5" width="28.7265625" bestFit="1" customWidth="1"/>
    <col min="6" max="6" width="14.54296875" bestFit="1" customWidth="1"/>
    <col min="8" max="8" width="12" bestFit="1" customWidth="1"/>
    <col min="9" max="9" width="13.7265625" bestFit="1" customWidth="1"/>
    <col min="10" max="10" width="12" bestFit="1" customWidth="1"/>
    <col min="11" max="11" width="12" customWidth="1"/>
    <col min="14" max="14" width="11.90625" customWidth="1"/>
    <col min="15" max="15" width="17.81640625" style="1" bestFit="1" customWidth="1"/>
    <col min="16" max="16" width="18.7265625" style="1" bestFit="1" customWidth="1"/>
    <col min="17" max="17" width="10.81640625" style="1" bestFit="1" customWidth="1"/>
    <col min="18" max="18" width="9.453125" style="1" bestFit="1" customWidth="1"/>
    <col min="19" max="19" width="13.90625" style="1" bestFit="1" customWidth="1"/>
    <col min="20" max="20" width="10.26953125" style="1" bestFit="1" customWidth="1"/>
    <col min="21" max="21" width="8.26953125" bestFit="1" customWidth="1"/>
    <col min="22" max="22" width="8.7265625" bestFit="1" customWidth="1"/>
    <col min="23" max="23" width="10.81640625" style="1" bestFit="1" customWidth="1"/>
    <col min="24" max="24" width="11.453125" style="1" customWidth="1"/>
    <col min="25" max="25" width="16.26953125" style="1" bestFit="1" customWidth="1"/>
    <col min="26" max="26" width="18.54296875" style="1" bestFit="1" customWidth="1"/>
    <col min="27" max="27" width="18.54296875" customWidth="1"/>
    <col min="28" max="28" width="11.1796875" style="1" bestFit="1" customWidth="1"/>
    <col min="29" max="29" width="10.6328125" bestFit="1" customWidth="1"/>
    <col min="30" max="30" width="20.1796875" bestFit="1" customWidth="1"/>
    <col min="31" max="31" width="10.26953125" bestFit="1" customWidth="1"/>
    <col min="32" max="32" width="15.54296875" bestFit="1" customWidth="1"/>
    <col min="33" max="33" width="15.7265625" bestFit="1" customWidth="1"/>
    <col min="34" max="34" width="16.453125" bestFit="1" customWidth="1"/>
    <col min="35" max="35" width="21.453125" bestFit="1" customWidth="1"/>
    <col min="36" max="36" width="18.453125" bestFit="1" customWidth="1"/>
    <col min="38" max="38" width="10.453125" bestFit="1" customWidth="1"/>
  </cols>
  <sheetData>
    <row r="1" spans="1:38" ht="16" x14ac:dyDescent="0.4">
      <c r="A1" t="str" cm="1">
        <f t="array" ref="A1">_xll.qwCtxTrade()</f>
        <v>ctx.46297.Close</v>
      </c>
      <c r="B1" t="str" cm="1">
        <f t="array" ref="B1:N89">_xll.qwTblData(A2)</f>
        <v>Fund</v>
      </c>
      <c r="C1" t="str">
        <v>MIGFund</v>
      </c>
      <c r="D1" t="str">
        <v>PositionID</v>
      </c>
      <c r="E1" t="str">
        <v>Strategy</v>
      </c>
      <c r="F1" t="str">
        <v>SecID</v>
      </c>
      <c r="G1" t="str">
        <v>Quantity</v>
      </c>
      <c r="H1" t="str">
        <v>QuantityTAS</v>
      </c>
      <c r="I1" t="str">
        <v>OpenQuantity</v>
      </c>
      <c r="J1" t="str">
        <v>ChgQuantity</v>
      </c>
      <c r="K1" t="str">
        <v>Price</v>
      </c>
      <c r="L1" t="str">
        <v>Realized</v>
      </c>
      <c r="M1" t="str">
        <v>MV</v>
      </c>
      <c r="N1" t="str">
        <v>SecType</v>
      </c>
      <c r="O1" s="1" t="s">
        <v>9</v>
      </c>
      <c r="P1" s="1" t="s">
        <v>198</v>
      </c>
      <c r="Q1" s="1" t="s">
        <v>0</v>
      </c>
      <c r="R1" s="1" t="s">
        <v>1</v>
      </c>
      <c r="S1" s="1" t="s">
        <v>8</v>
      </c>
      <c r="T1" s="1" t="s">
        <v>11</v>
      </c>
      <c r="U1" t="s">
        <v>2</v>
      </c>
      <c r="V1" t="s">
        <v>3</v>
      </c>
      <c r="W1" s="1" t="s">
        <v>5</v>
      </c>
      <c r="X1" s="1" t="s">
        <v>4</v>
      </c>
      <c r="Y1" s="1" t="s">
        <v>6</v>
      </c>
      <c r="Z1" s="1" t="s">
        <v>7</v>
      </c>
      <c r="AA1" s="1" t="s">
        <v>200</v>
      </c>
      <c r="AB1" s="1" t="s">
        <v>10</v>
      </c>
      <c r="AC1" s="1" t="s">
        <v>199</v>
      </c>
      <c r="AD1" s="1"/>
      <c r="AE1" s="5"/>
      <c r="AF1" s="5"/>
      <c r="AG1" s="1"/>
      <c r="AH1" s="6"/>
      <c r="AI1" s="2"/>
      <c r="AJ1" s="2"/>
      <c r="AK1" s="2"/>
      <c r="AL1" s="2"/>
    </row>
    <row r="2" spans="1:38" s="8" customFormat="1" ht="16" hidden="1" x14ac:dyDescent="0.4">
      <c r="A2" s="8" t="str" cm="1">
        <f t="array" ref="A2">_xll.qwPositionTable(A1)</f>
        <v>tbl.PositionTable.1950545419|599546807623</v>
      </c>
      <c r="B2" s="8" t="str">
        <v>pzhao</v>
      </c>
      <c r="C2" s="8" t="str">
        <v>MAMS</v>
      </c>
      <c r="D2" s="8" t="str">
        <v>pzhao|MAMS|RV_RATES_CAD_GOC-CTB|912810UU0</v>
      </c>
      <c r="E2" s="8" t="str">
        <v>RV_RATES_CAD_GOC-CTB</v>
      </c>
      <c r="F2" s="8" t="str">
        <v>912810UU0</v>
      </c>
      <c r="G2" s="8">
        <v>-6.4</v>
      </c>
      <c r="H2" s="8">
        <v>0</v>
      </c>
      <c r="I2" s="8">
        <v>-6.4</v>
      </c>
      <c r="J2" s="8">
        <v>0</v>
      </c>
      <c r="K2" s="8">
        <v>0</v>
      </c>
      <c r="L2" s="8">
        <v>0</v>
      </c>
      <c r="M2" s="8">
        <v>0</v>
      </c>
      <c r="N2" s="8" t="str">
        <v>Bond</v>
      </c>
      <c r="O2" s="7" cm="1">
        <f t="array" ref="O2">(_xll.qwPrice($A$1,F2)-_xll.qwPrice($A$4,F2))*_xll.qwMVFactor($A$1,F2)*I2*_xll.qwFXRate($A$1,F2)</f>
        <v>21999.999999994543</v>
      </c>
      <c r="P2" s="7" cm="1">
        <f t="array" ref="P2">IF(ISNUMBER(_xll.qwDV01($A$1,F2)*I2*_xll.qwMVFactor($A$1,F2)*_xll.qwFXRate($A$1,F2)),_xll.qwDV01($A$1,F2)*I2*_xll.qwMVFactor($A$1,F2)*_xll.qwFXRate($A$1,F2),0)</f>
        <v>-8543.7350207939744</v>
      </c>
      <c r="Q2" s="7" cm="1">
        <f t="array" ref="Q2">IF(ISNUMBER(_xll.qwDV01($A$1,F2)*G2*_xll.qwMVFactor($A$1,F2)*_xll.qwFXRate($A$1,F2)),_xll.qwDV01($A$1,F2)*G2*_xll.qwMVFactor($A$1,F2)*_xll.qwFXRate($A$1,F2),0)</f>
        <v>-8543.7350207939744</v>
      </c>
      <c r="R2" s="7" cm="1">
        <f t="array" ref="R2">IF(ISNUMBER(_xll.qwDV01($A$1,F2)*J2*_xll.qwMVFactor($A$1,F2)*_xll.qwFXRate($A$1,F2)),_xll.qwDV01($A$1,F2)*J2*_xll.qwMVFactor($A$1,F2)*_xll.qwFXRate($A$1,F2),0)</f>
        <v>0</v>
      </c>
      <c r="S2" s="7" cm="1">
        <f t="array" ref="S2">IF(ISNUMBER(_xll.qwDV01($A$1,F2)*J2*_xll.qwMVFactor($A$1,F2)*_xll.qwFXRate($A$1,F2)),_xll.qwDV01($A$1,F2)*J2*_xll.qwMVFactor($A$1,F2)*_xll.qwFXRate($A$1,F2),0)</f>
        <v>0</v>
      </c>
      <c r="T2" s="7" cm="1">
        <f t="array" ref="T2">_xll.qwFXRate($A$1,F2)*J2*(_xll.qwPrice($A$1,F2)-M2)*_xll.qwMVFactor($A$1,F2)</f>
        <v>0</v>
      </c>
      <c r="U2" s="9" cm="1">
        <f t="array" ref="U2">_xll.qwYield($A$1,F2)</f>
        <v>5.6303575763793627E-2</v>
      </c>
      <c r="V2" s="9" cm="1">
        <f t="array" ref="V2">100*(_xll.qwYield($A$4,F2)-U2)</f>
        <v>-2.5769900252562566E-2</v>
      </c>
      <c r="W2" s="7">
        <f>IF(ISNA(G2*INDEX(_xll.qwTblData(_xll.qwCurveScenariosPerSecurity($A$1,F2,"Crv210")),2,2)),0,(G2*INDEX(_xll.qwTblData(_xll.qwCurveScenariosPerSecurity($A$1,F2,"Crv210")),2,2)))</f>
        <v>25876.112936919526</v>
      </c>
      <c r="X2" s="7" cm="1">
        <f t="array" ref="X2">ABS(Q2/_xll.qwMV01($A$1,"CT10"))</f>
        <v>11.571122191864346</v>
      </c>
      <c r="Y2" s="7" cm="1">
        <f t="array" ref="Y2">IF(N2="BondFuture",-(_xll.qwCurveYield($A$1,_xll.qwSecVal($A$1,AA2,"CreditCurveName()"),AA2)-_xll.qwCurveYield($A$4,_xll.qwSecVal($A$4,AA2,"CreditCurveName()"),AA2))*P2*10000,IF(N2="Bond",-(_xll.qwCurveYield($A$1,_xll.qwSecVal($A$1,F2,"CreditCurveName()"),F2)-_xll.qwCurveYield($A$4,_xll.qwSecVal($A$4,F2,"CreditCurveName()"),F2))*P2*10000,O2))</f>
        <v>22240.986129756981</v>
      </c>
      <c r="Z2" s="7" cm="1">
        <f t="array" ref="Z2">IF(OR(N2="BondFuture",N2="Bond"),P2*(_xll.qwCurveZSpread($A$4,_xll.qwSecVal($A$1,AA2,"CreditCurveName()"),AA2)-_xll.qwCurveZSpread($A$1,_xll.qwSecVal($A$1,AA2,"CreditCurveName()"),AA2)),0)</f>
        <v>-223.86620273835189</v>
      </c>
      <c r="AA2" s="10" t="str" cm="1">
        <f t="array" ref="AA2">IF(_xll.qwSecType(F2)="Bond",F2,IF(_xll.qwSecType(F2)="BondFuture",_xll.qwFutCTD($A$1,F2),0))</f>
        <v>912810UU0</v>
      </c>
      <c r="AB2" s="7" cm="1">
        <f t="array" ref="AB2">IF(_xll.qwSecType(F2)="BondFuture",(I2*_xll.qwDelta($A$4,F2)*_xll.qwMVFactor($A$1,F2)/_xll.qwMVFactor($A$1,_xll.qwFutCTD($A$1,F2)))*(_xll.qwFXRate($A$1,F2)*_xll.qwMVFactor($A$1,_xll.qwFutCTD($A$1,F2))*(_xll.qwIncome($A$4,_xll.qwFutCTD($A$4,F2),_xll.qwBondSettle($A$4,_xll.qwFutCTD($A$4,F2)),_xll.qwBondSettle($A$1,_xll.qwFutCTD($A$1,F2)))+(_xll.qwBondDirtyPrice($A$1,_xll.qwFutCTD($A$1,F2))-_xll.qwBondDirtyPrice($A$4,_xll.qwFutCTD($A$4,F2)))-_xll.qwBondRepoFromTo($A$1,_xll.qwFutCTD($A$1,F2),_xll.qwBondSettle($A$4,_xll.qwFutCTD($A$4,F2)),_xll.qwBondSettle($A$1,_xll.qwFutCTD($A$1,F2)))))-O2,0)</f>
        <v>0</v>
      </c>
      <c r="AD2" s="11"/>
      <c r="AE2" s="12"/>
      <c r="AF2" s="12"/>
      <c r="AG2" s="13"/>
    </row>
    <row r="3" spans="1:38" s="8" customFormat="1" hidden="1" x14ac:dyDescent="0.35">
      <c r="B3" s="8" t="str">
        <v>pzhao</v>
      </c>
      <c r="C3" s="8" t="str">
        <v>MAMS</v>
      </c>
      <c r="D3" s="8" t="str">
        <v>pzhao|MAMS|RV_RATES_CAD_GOC-CTB|CA135087U691</v>
      </c>
      <c r="E3" s="8" t="str">
        <v>RV_RATES_CAD_GOC-CTB</v>
      </c>
      <c r="F3" s="8" t="str">
        <v>CA135087U691</v>
      </c>
      <c r="G3" s="8">
        <v>-32</v>
      </c>
      <c r="H3" s="8">
        <v>0</v>
      </c>
      <c r="I3" s="8">
        <v>-32</v>
      </c>
      <c r="J3" s="8">
        <v>0</v>
      </c>
      <c r="K3" s="8">
        <v>0</v>
      </c>
      <c r="L3" s="8">
        <v>0</v>
      </c>
      <c r="M3" s="8">
        <v>0</v>
      </c>
      <c r="N3" s="8" t="str">
        <v>Bond</v>
      </c>
      <c r="O3" s="7" cm="1">
        <f t="array" ref="O3">(_xll.qwPrice($A$1,F3)-_xll.qwPrice($A$4,F3))*_xll.qwMVFactor($A$1,F3)*I3*_xll.qwFXRate($A$1,F3)</f>
        <v>-14563.476319915471</v>
      </c>
      <c r="P3" s="7" cm="1">
        <f t="array" ref="P3">IF(ISNUMBER(_xll.qwDV01($A$1,F3)*I3*_xll.qwMVFactor($A$1,F3)*_xll.qwFXRate($A$1,F3)),_xll.qwDV01($A$1,F3)*I3*_xll.qwMVFactor($A$1,F3)*_xll.qwFXRate($A$1,F3),0)</f>
        <v>-9854.5480750544812</v>
      </c>
      <c r="Q3" s="7" cm="1">
        <f t="array" ref="Q3">IF(ISNUMBER(_xll.qwDV01($A$1,F3)*G3*_xll.qwMVFactor($A$1,F3)*_xll.qwFXRate($A$1,F3)),_xll.qwDV01($A$1,F3)*G3*_xll.qwMVFactor($A$1,F3)*_xll.qwFXRate($A$1,F3),0)</f>
        <v>-9854.5480750544812</v>
      </c>
      <c r="R3" s="7" cm="1">
        <f t="array" ref="R3">IF(ISNUMBER(_xll.qwDV01($A$1,F3)*J3*_xll.qwMVFactor($A$1,F3)*_xll.qwFXRate($A$1,F3)),_xll.qwDV01($A$1,F3)*J3*_xll.qwMVFactor($A$1,F3)*_xll.qwFXRate($A$1,F3),0)</f>
        <v>0</v>
      </c>
      <c r="S3" s="7" cm="1">
        <f t="array" ref="S3">IF(ISNUMBER(_xll.qwDV01($A$1,F3)*J3*_xll.qwMVFactor($A$1,F3)*_xll.qwFXRate($A$1,F3)),_xll.qwDV01($A$1,F3)*J3*_xll.qwMVFactor($A$1,F3)*_xll.qwFXRate($A$1,F3),0)</f>
        <v>0</v>
      </c>
      <c r="T3" s="7" cm="1">
        <f t="array" ref="T3">_xll.qwFXRate($A$1,F3)*J3*(_xll.qwPrice($A$1,F3)-M3)*_xll.qwMVFactor($A$1,F3)</f>
        <v>0</v>
      </c>
      <c r="U3" s="9" cm="1">
        <f t="array" ref="U3">_xll.qwYield($A$1,F3)</f>
        <v>3.6032787785623493E-2</v>
      </c>
      <c r="V3" s="9" cm="1">
        <f t="array" ref="V3">100*(_xll.qwYield($A$4,F3)-U3)</f>
        <v>1.3847755424180319E-2</v>
      </c>
      <c r="W3" s="7">
        <f>IF(ISNA(G3*INDEX(_xll.qwTblData(_xll.qwCurveScenariosPerSecurity($A$1,F3,"Crv210")),2,2)),0,(G3*INDEX(_xll.qwTblData(_xll.qwCurveScenariosPerSecurity($A$1,F3,"Crv210")),2,2)))</f>
        <v>-1313.4887369392682</v>
      </c>
      <c r="X3" s="7" cm="1">
        <f t="array" ref="X3">ABS(Q3/_xll.qwMV01($A$1,"CT10"))</f>
        <v>13.346408759697264</v>
      </c>
      <c r="Y3" s="7" cm="1">
        <f t="array" ref="Y3">IF(N3="BondFuture",-(_xll.qwCurveYield($A$1,_xll.qwSecVal($A$1,AA3,"CreditCurveName()"),AA3)-_xll.qwCurveYield($A$4,_xll.qwSecVal($A$4,AA3,"CreditCurveName()"),AA3))*P3*10000,IF(N3="Bond",-(_xll.qwCurveYield($A$1,_xll.qwSecVal($A$1,F3,"CreditCurveName()"),F3)-_xll.qwCurveYield($A$4,_xll.qwSecVal($A$4,F3,"CreditCurveName()"),F3))*P3*10000,O3))</f>
        <v>-13367.842312918965</v>
      </c>
      <c r="Z3" s="7" cm="1">
        <f t="array" ref="Z3">IF(OR(N3="BondFuture",N3="Bond"),P3*(_xll.qwCurveZSpread($A$4,_xll.qwSecVal($A$1,AA3,"CreditCurveName()"),AA3)-_xll.qwCurveZSpread($A$1,_xll.qwSecVal($A$1,AA3,"CreditCurveName()"),AA3)),0)</f>
        <v>-278.49484299917623</v>
      </c>
      <c r="AA3" s="10" t="str" cm="1">
        <f t="array" ref="AA3">IF(_xll.qwSecType(F3)="Bond",F3,IF(_xll.qwSecType(F3)="BondFuture",_xll.qwFutCTD($A$1,F3),0))</f>
        <v>CA135087U691</v>
      </c>
      <c r="AB3" s="7" cm="1">
        <f t="array" ref="AB3">IF(_xll.qwSecType(F3)="BondFuture",(I3*_xll.qwDelta($A$4,F3)*_xll.qwMVFactor($A$1,F3)/_xll.qwMVFactor($A$1,_xll.qwFutCTD($A$1,F3)))*(_xll.qwFXRate($A$1,F3)*_xll.qwMVFactor($A$1,_xll.qwFutCTD($A$1,F3))*(_xll.qwIncome($A$4,_xll.qwFutCTD($A$4,F3),_xll.qwBondSettle($A$4,_xll.qwFutCTD($A$4,F3)),_xll.qwBondSettle($A$1,_xll.qwFutCTD($A$1,F3)))+(_xll.qwBondDirtyPrice($A$1,_xll.qwFutCTD($A$1,F3))-_xll.qwBondDirtyPrice($A$4,_xll.qwFutCTD($A$4,F3)))-_xll.qwBondRepoFromTo($A$1,_xll.qwFutCTD($A$1,F3),_xll.qwBondSettle($A$4,_xll.qwFutCTD($A$4,F3)),_xll.qwBondSettle($A$1,_xll.qwFutCTD($A$1,F3)))))-O3,0)</f>
        <v>0</v>
      </c>
    </row>
    <row r="4" spans="1:38" s="8" customFormat="1" x14ac:dyDescent="0.35">
      <c r="A4" s="8" t="str" cm="1">
        <f t="array" ref="A4">_xll.qwCtxPrev()</f>
        <v>ctx.46296.Close</v>
      </c>
      <c r="B4" s="8" t="str">
        <v>pzhao</v>
      </c>
      <c r="C4" s="8" t="str">
        <v>MAMS</v>
      </c>
      <c r="D4" s="8" t="str">
        <v>pzhao|MAMS|RV_RATES_CAD_GOC-CTB|FVZ6</v>
      </c>
      <c r="E4" s="8" t="str">
        <v>RV_RATES_CAD_GOC-CTB</v>
      </c>
      <c r="F4" s="8" t="str">
        <v>FVZ6</v>
      </c>
      <c r="G4" s="8">
        <v>-320</v>
      </c>
      <c r="H4" s="8">
        <v>0</v>
      </c>
      <c r="I4" s="8">
        <v>-320</v>
      </c>
      <c r="J4" s="8">
        <v>0</v>
      </c>
      <c r="K4" s="8">
        <v>0</v>
      </c>
      <c r="L4" s="8">
        <v>0</v>
      </c>
      <c r="M4" s="8">
        <v>0</v>
      </c>
      <c r="N4" s="8" t="str">
        <v>BondFuture</v>
      </c>
      <c r="O4" s="7" cm="1">
        <f t="array" ref="O4">(_xll.qwPrice($A$1,F4)-_xll.qwPrice($A$4,F4))*_xll.qwMVFactor($A$1,F4)*I4*_xll.qwFXRate($A$1,F4)</f>
        <v>70000</v>
      </c>
      <c r="P4" s="7" cm="1">
        <f t="array" ref="P4">IF(ISNUMBER(_xll.qwDV01($A$1,F4)*I4*_xll.qwMVFactor($A$1,F4)*_xll.qwFXRate($A$1,F4)),_xll.qwDV01($A$1,F4)*I4*_xll.qwMVFactor($A$1,F4)*_xll.qwFXRate($A$1,F4),0)</f>
        <v>-13550.005455774994</v>
      </c>
      <c r="Q4" s="7" cm="1">
        <f t="array" ref="Q4">IF(ISNUMBER(_xll.qwDV01($A$1,F4)*G4*_xll.qwMVFactor($A$1,F4)*_xll.qwFXRate($A$1,F4)),_xll.qwDV01($A$1,F4)*G4*_xll.qwMVFactor($A$1,F4)*_xll.qwFXRate($A$1,F4),0)</f>
        <v>-13550.005455774994</v>
      </c>
      <c r="R4" s="7" cm="1">
        <f t="array" ref="R4">IF(ISNUMBER(_xll.qwDV01($A$1,F4)*J4*_xll.qwMVFactor($A$1,F4)*_xll.qwFXRate($A$1,F4)),_xll.qwDV01($A$1,F4)*J4*_xll.qwMVFactor($A$1,F4)*_xll.qwFXRate($A$1,F4),0)</f>
        <v>0</v>
      </c>
      <c r="S4" s="7" cm="1">
        <f t="array" ref="S4">IF(ISNUMBER(_xll.qwDV01($A$1,F4)*J4*_xll.qwMVFactor($A$1,F4)*_xll.qwFXRate($A$1,F4)),_xll.qwDV01($A$1,F4)*J4*_xll.qwMVFactor($A$1,F4)*_xll.qwFXRate($A$1,F4),0)</f>
        <v>0</v>
      </c>
      <c r="T4" s="7" cm="1">
        <f t="array" ref="T4">_xll.qwFXRate($A$1,F4)*J4*(_xll.qwPrice($A$1,F4)-M4)*_xll.qwMVFactor($A$1,F4)</f>
        <v>0</v>
      </c>
      <c r="U4" s="9" cm="1">
        <f t="array" ref="U4">_xll.qwYield($A$1,F4)</f>
        <v>5.0650517090344176E-2</v>
      </c>
      <c r="V4" s="9" cm="1">
        <f t="array" ref="V4">100*(_xll.qwYield($A$4,F4)-U4)</f>
        <v>-5.3312940172272477E-2</v>
      </c>
      <c r="W4" s="7">
        <f>IF(ISNA(G4*INDEX(_xll.qwTblData(_xll.qwCurveScenariosPerSecurity($A$1,F4,"Crv210")),2,2)),0,(G4*INDEX(_xll.qwTblData(_xll.qwCurveScenariosPerSecurity($A$1,F4,"Crv210")),2,2)))</f>
        <v>-2492.3980469156959</v>
      </c>
      <c r="X4" s="7" cm="1">
        <f t="array" ref="X4">ABS(Q4/_xll.qwMV01($A$1,"CT10"))</f>
        <v>18.351314553600297</v>
      </c>
      <c r="Y4" s="7" cm="1">
        <f t="array" ref="Y4">IF(N4="BondFuture",-(_xll.qwCurveYield($A$1,_xll.qwSecVal($A$1,AA4,"CreditCurveName()"),AA4)-_xll.qwCurveYield($A$4,_xll.qwSecVal($A$4,AA4,"CreditCurveName()"),AA4))*P4*10000,IF(N4="Bond",-(_xll.qwCurveYield($A$1,_xll.qwSecVal($A$1,F4,"CreditCurveName()"),F4)-_xll.qwCurveYield($A$4,_xll.qwSecVal($A$4,F4,"CreditCurveName()"),F4))*P4*10000,O4))</f>
        <v>71677.607293391615</v>
      </c>
      <c r="Z4" s="7" cm="1">
        <f t="array" ref="Z4">IF(OR(N4="BondFuture",N4="Bond"),P4*(_xll.qwCurveZSpread($A$4,_xll.qwSecVal($A$1,AA4,"CreditCurveName()"),AA4)-_xll.qwCurveZSpread($A$1,_xll.qwSecVal($A$1,AA4,"CreditCurveName()"),AA4)),0)</f>
        <v>1962.6608880587312</v>
      </c>
      <c r="AA4" s="10" t="str" cm="1">
        <f t="array" ref="AA4">IF(_xll.qwSecType(F4)="Bond",F4,IF(_xll.qwSecType(F4)="BondFuture",_xll.qwFutCTD($A$1,F4),0))</f>
        <v>91282CQG9</v>
      </c>
      <c r="AB4" s="7" cm="1">
        <f t="array" ref="AB4">IF(_xll.qwSecType(F4)="BondFuture",-(I4*_xll.qwDelta($A$4,F4)*_xll.qwMVFactor($A$1,F4)/_xll.qwMVFactor($A$1,_xll.qwFutCTD($A$1,F4)))*(_xll.qwFXRate($A$1,F4)*_xll.qwMVFactor($A$1,_xll.qwFutCTD($A$1,F4))*(_xll.qwIncome($A$4,_xll.qwFutCTD($A$4,F4),_xll.qwBondSettle($A$4,_xll.qwFutCTD($A$4,F4)),_xll.qwBondSettle($A$1,_xll.qwFutCTD($A$1,F4)))+(_xll.qwSecVal($A$1,AA4,"Price")-_xll.qwSecVal($A$4,AA4,"Price"))-_xll.qwBondRepoFromTo($A$1,AA4,_xll.qwBondSettle($A$4,AA4),_xll.qwBondSettle($A$1,AA4))*_xll.qwSecVal($A$1,AA4,"Price")*(_xll.qwBondSettle($A$1,AA4)-_xll.qwBondSettle($A$4,AA4))/360))+O4,0)</f>
        <v>-1000.2180235202832</v>
      </c>
      <c r="AG4" s="14"/>
      <c r="AI4" s="15"/>
      <c r="AJ4" s="14"/>
    </row>
    <row r="5" spans="1:38" s="8" customFormat="1" x14ac:dyDescent="0.35">
      <c r="B5" s="8" t="str">
        <v>pzhao</v>
      </c>
      <c r="C5" s="8" t="str">
        <v>MAMS</v>
      </c>
      <c r="D5" s="8" t="str">
        <v>pzhao|MAMS|RV_RATES_CAD_GOC-CTB|G Z6</v>
      </c>
      <c r="E5" s="8" t="str">
        <v>RV_RATES_CAD_GOC-CTB</v>
      </c>
      <c r="F5" s="8" t="str">
        <v>G Z6</v>
      </c>
      <c r="G5" s="8">
        <v>32</v>
      </c>
      <c r="H5" s="8">
        <v>0</v>
      </c>
      <c r="I5" s="8">
        <v>32</v>
      </c>
      <c r="J5" s="8">
        <v>0</v>
      </c>
      <c r="K5" s="8">
        <v>0</v>
      </c>
      <c r="L5" s="8">
        <v>0</v>
      </c>
      <c r="M5" s="8">
        <v>0</v>
      </c>
      <c r="N5" s="8" t="str">
        <v>BondFuture</v>
      </c>
      <c r="O5" s="7" cm="1">
        <f t="array" ref="O5">(_xll.qwPrice($A$1,F5)-_xll.qwPrice($A$4,F5))*_xll.qwMVFactor($A$1,F5)*I5*_xll.qwFXRate($A$1,F5)</f>
        <v>29645.280000000115</v>
      </c>
      <c r="P5" s="7" cm="1">
        <f t="array" ref="P5">IF(ISNUMBER(_xll.qwDV01($A$1,F5)*I5*_xll.qwMVFactor($A$1,F5)*_xll.qwFXRate($A$1,F5)),_xll.qwDV01($A$1,F5)*I5*_xll.qwMVFactor($A$1,F5)*_xll.qwFXRate($A$1,F5),0)</f>
        <v>3939.7835218080254</v>
      </c>
      <c r="Q5" s="7" cm="1">
        <f t="array" ref="Q5">IF(ISNUMBER(_xll.qwDV01($A$1,F5)*G5*_xll.qwMVFactor($A$1,F5)*_xll.qwFXRate($A$1,F5)),_xll.qwDV01($A$1,F5)*G5*_xll.qwMVFactor($A$1,F5)*_xll.qwFXRate($A$1,F5),0)</f>
        <v>3939.7835218080254</v>
      </c>
      <c r="R5" s="7" cm="1">
        <f t="array" ref="R5">IF(ISNUMBER(_xll.qwDV01($A$1,F5)*J5*_xll.qwMVFactor($A$1,F5)*_xll.qwFXRate($A$1,F5)),_xll.qwDV01($A$1,F5)*J5*_xll.qwMVFactor($A$1,F5)*_xll.qwFXRate($A$1,F5),0)</f>
        <v>0</v>
      </c>
      <c r="S5" s="7" cm="1">
        <f t="array" ref="S5">IF(ISNUMBER(_xll.qwDV01($A$1,F5)*J5*_xll.qwMVFactor($A$1,F5)*_xll.qwFXRate($A$1,F5)),_xll.qwDV01($A$1,F5)*J5*_xll.qwMVFactor($A$1,F5)*_xll.qwFXRate($A$1,F5),0)</f>
        <v>0</v>
      </c>
      <c r="T5" s="7" cm="1">
        <f t="array" ref="T5">_xll.qwFXRate($A$1,F5)*J5*(_xll.qwPrice($A$1,F5)-M5)*_xll.qwMVFactor($A$1,F5)</f>
        <v>0</v>
      </c>
      <c r="U5" s="9" cm="1">
        <f t="array" ref="U5">_xll.qwYield($A$1,F5)</f>
        <v>5.5394444696192244E-2</v>
      </c>
      <c r="V5" s="9" cm="1">
        <f t="array" ref="V5">100*(_xll.qwYield($A$4,F5)-U5)</f>
        <v>7.4453306262749902E-2</v>
      </c>
      <c r="W5" s="7">
        <f>IF(ISNA(G5*INDEX(_xll.qwTblData(_xll.qwCurveScenariosPerSecurity($A$1,F5,"Crv210")),2,2)),0,(G5*INDEX(_xll.qwTblData(_xll.qwCurveScenariosPerSecurity($A$1,F5,"Crv210")),2,2)))</f>
        <v>-3759.9352384029316</v>
      </c>
      <c r="X5" s="7" cm="1">
        <f t="array" ref="X5">ABS(Q5/_xll.qwMV01($A$1,"CT10"))</f>
        <v>5.3358064627919388</v>
      </c>
      <c r="Y5" s="7" cm="1">
        <f t="array" ref="Y5">IF(N5="BondFuture",-(_xll.qwCurveYield($A$1,_xll.qwSecVal($A$1,AA5,"CreditCurveName()"),AA5)-_xll.qwCurveYield($A$4,_xll.qwSecVal($A$4,AA5,"CreditCurveName()"),AA5))*P5*10000,IF(N5="Bond",-(_xll.qwCurveYield($A$1,_xll.qwSecVal($A$1,F5,"CreditCurveName()"),F5)-_xll.qwCurveYield($A$4,_xll.qwSecVal($A$4,F5,"CreditCurveName()"),F5))*P5*10000,O5))</f>
        <v>28544.374415435304</v>
      </c>
      <c r="Z5" s="7" cm="1">
        <f t="array" ref="Z5">IF(OR(N5="BondFuture",N5="Bond"),P5*(_xll.qwCurveZSpread($A$4,_xll.qwSecVal($A$1,AA5,"CreditCurveName()"),AA5)-_xll.qwCurveZSpread($A$1,_xll.qwSecVal($A$1,AA5,"CreditCurveName()"),AA5)),0)</f>
        <v>-885.10574668052959</v>
      </c>
      <c r="AA5" s="10" t="str" cm="1">
        <f t="array" ref="AA5">IF(_xll.qwSecType(F5)="Bond",F5,IF(_xll.qwSecType(F5)="BondFuture",_xll.qwFutCTD($A$1,F5),0))</f>
        <v>GB00BLPK7334</v>
      </c>
      <c r="AB5" s="7" cm="1">
        <f t="array" ref="AB5">IF(_xll.qwSecType(F5)="BondFuture",-(I5*_xll.qwDelta($A$4,F5)*_xll.qwMVFactor($A$1,F5)/_xll.qwMVFactor($A$1,_xll.qwFutCTD($A$1,F5)))*(_xll.qwFXRate($A$1,F5)*_xll.qwMVFactor($A$1,_xll.qwFutCTD($A$1,F5))*(_xll.qwIncome($A$4,_xll.qwFutCTD($A$4,F5),_xll.qwBondSettle($A$4,_xll.qwFutCTD($A$4,F5)),_xll.qwBondSettle($A$1,_xll.qwFutCTD($A$1,F5)))+(_xll.qwSecVal($A$1,AA5,"Price")-_xll.qwSecVal($A$4,AA5,"Price"))-_xll.qwBondRepoFromTo($A$1,AA5,_xll.qwBondSettle($A$4,AA5),_xll.qwBondSettle($A$1,AA5))*_xll.qwSecVal($A$1,AA5,"Price")*(_xll.qwBondSettle($A$1,AA5)-_xll.qwBondSettle($A$4,AA5))/360))+O5,0)</f>
        <v>1611.4560141279326</v>
      </c>
      <c r="AD5" s="11"/>
      <c r="AI5" s="15"/>
    </row>
    <row r="6" spans="1:38" s="8" customFormat="1" hidden="1" x14ac:dyDescent="0.35">
      <c r="B6" s="8" t="str">
        <v>pzhao</v>
      </c>
      <c r="C6" s="8" t="str">
        <v>MAMS</v>
      </c>
      <c r="D6" s="8" t="str">
        <v>pzhao|MAMS|RV_RATES_CAD_GOC-CTB|GB00BPSNBB36</v>
      </c>
      <c r="E6" s="8" t="str">
        <v>RV_RATES_CAD_GOC-CTB</v>
      </c>
      <c r="F6" s="8" t="str">
        <v>GB00BPSNBB36</v>
      </c>
      <c r="G6" s="8">
        <v>6.4</v>
      </c>
      <c r="H6" s="8">
        <v>0</v>
      </c>
      <c r="I6" s="8">
        <v>6.4</v>
      </c>
      <c r="J6" s="8">
        <v>0</v>
      </c>
      <c r="K6" s="8">
        <v>0</v>
      </c>
      <c r="L6" s="8">
        <v>0</v>
      </c>
      <c r="M6" s="8">
        <v>0</v>
      </c>
      <c r="N6" s="8" t="str">
        <v>Bond</v>
      </c>
      <c r="O6" s="7" cm="1">
        <f t="array" ref="O6">(_xll.qwPrice($A$1,F6)-_xll.qwPrice($A$4,F6))*_xll.qwMVFactor($A$1,F6)*I6*_xll.qwFXRate($A$1,F6)</f>
        <v>82833.782616001379</v>
      </c>
      <c r="P6" s="7" cm="1">
        <f t="array" ref="P6">IF(ISNUMBER(_xll.qwDV01($A$1,F6)*I6*_xll.qwMVFactor($A$1,F6)*_xll.qwFXRate($A$1,F6)),_xll.qwDV01($A$1,F6)*I6*_xll.qwMVFactor($A$1,F6)*_xll.qwFXRate($A$1,F6),0)</f>
        <v>9692.7068710556323</v>
      </c>
      <c r="Q6" s="7" cm="1">
        <f t="array" ref="Q6">IF(ISNUMBER(_xll.qwDV01($A$1,F6)*G6*_xll.qwMVFactor($A$1,F6)*_xll.qwFXRate($A$1,F6)),_xll.qwDV01($A$1,F6)*G6*_xll.qwMVFactor($A$1,F6)*_xll.qwFXRate($A$1,F6),0)</f>
        <v>9692.7068710556323</v>
      </c>
      <c r="R6" s="7" cm="1">
        <f t="array" ref="R6">IF(ISNUMBER(_xll.qwDV01($A$1,F6)*J6*_xll.qwMVFactor($A$1,F6)*_xll.qwFXRate($A$1,F6)),_xll.qwDV01($A$1,F6)*J6*_xll.qwMVFactor($A$1,F6)*_xll.qwFXRate($A$1,F6),0)</f>
        <v>0</v>
      </c>
      <c r="S6" s="7" cm="1">
        <f t="array" ref="S6">IF(ISNUMBER(_xll.qwDV01($A$1,F6)*J6*_xll.qwMVFactor($A$1,F6)*_xll.qwFXRate($A$1,F6)),_xll.qwDV01($A$1,F6)*J6*_xll.qwMVFactor($A$1,F6)*_xll.qwFXRate($A$1,F6),0)</f>
        <v>0</v>
      </c>
      <c r="T6" s="7" cm="1">
        <f t="array" ref="T6">_xll.qwFXRate($A$1,F6)*J6*(_xll.qwPrice($A$1,F6)-M6)*_xll.qwMVFactor($A$1,F6)</f>
        <v>0</v>
      </c>
      <c r="U6" s="9" cm="1">
        <f t="array" ref="U6">_xll.qwYield($A$1,F6)</f>
        <v>5.9075500329370881E-2</v>
      </c>
      <c r="V6" s="9" cm="1">
        <f t="array" ref="V6">100*(_xll.qwYield($A$4,F6)-U6)</f>
        <v>8.6039229695211716E-2</v>
      </c>
      <c r="W6" s="7">
        <f>IF(ISNA(G6*INDEX(_xll.qwTblData(_xll.qwCurveScenariosPerSecurity($A$1,F6,"Crv210")),2,2)),0,(G6*INDEX(_xll.qwTblData(_xll.qwCurveScenariosPerSecurity($A$1,F6,"Crv210")),2,2)))</f>
        <v>-28183.586833490601</v>
      </c>
      <c r="X6" s="7" cm="1">
        <f t="array" ref="X6">ABS(Q6/_xll.qwMV01($A$1,"CT10"))</f>
        <v>13.12722074150717</v>
      </c>
      <c r="Y6" s="7" cm="1">
        <f t="array" ref="Y6">IF(N6="BondFuture",-(_xll.qwCurveYield($A$1,_xll.qwSecVal($A$1,AA6,"CreditCurveName()"),AA6)-_xll.qwCurveYield($A$4,_xll.qwSecVal($A$4,AA6,"CreditCurveName()"),AA6))*P6*10000,IF(N6="Bond",-(_xll.qwCurveYield($A$1,_xll.qwSecVal($A$1,F6,"CreditCurveName()"),F6)-_xll.qwCurveYield($A$4,_xll.qwSecVal($A$4,F6,"CreditCurveName()"),F6))*P6*10000,O6))</f>
        <v>82399.09109845401</v>
      </c>
      <c r="Z6" s="7" cm="1">
        <f t="array" ref="Z6">IF(OR(N6="BondFuture",N6="Bond"),P6*(_xll.qwCurveZSpread($A$4,_xll.qwSecVal($A$1,AA6,"CreditCurveName()"),AA6)-_xll.qwCurveZSpread($A$1,_xll.qwSecVal($A$1,AA6,"CreditCurveName()"),AA6)),0)</f>
        <v>996.21218625722338</v>
      </c>
      <c r="AA6" s="10" t="str" cm="1">
        <f t="array" ref="AA6">IF(_xll.qwSecType(F6)="Bond",F6,IF(_xll.qwSecType(F6)="BondFuture",_xll.qwFutCTD($A$1,F6),0))</f>
        <v>GB00BPSNBB36</v>
      </c>
      <c r="AB6" s="7" cm="1">
        <f t="array" ref="AB6">IF(_xll.qwSecType(F6)="BondFuture",(I6*_xll.qwDelta($A$4,F6)*_xll.qwMVFactor($A$1,F6)/_xll.qwMVFactor($A$1,_xll.qwFutCTD($A$1,F6)))*(_xll.qwFXRate($A$1,F6)*_xll.qwMVFactor($A$1,_xll.qwFutCTD($A$1,F6))*(_xll.qwIncome($A$4,_xll.qwFutCTD($A$4,F6),_xll.qwBondSettle($A$4,_xll.qwFutCTD($A$4,F6)),_xll.qwBondSettle($A$1,_xll.qwFutCTD($A$1,F6)))+(_xll.qwBondDirtyPrice($A$1,_xll.qwFutCTD($A$1,F6))-_xll.qwBondDirtyPrice($A$4,_xll.qwFutCTD($A$4,F6)))-_xll.qwBondRepoFromTo($A$1,_xll.qwFutCTD($A$1,F6),_xll.qwBondSettle($A$4,_xll.qwFutCTD($A$4,F6)),_xll.qwBondSettle($A$1,_xll.qwFutCTD($A$1,F6)))))-O6,0)</f>
        <v>0</v>
      </c>
      <c r="AD6" s="11"/>
    </row>
    <row r="7" spans="1:38" s="8" customFormat="1" hidden="1" x14ac:dyDescent="0.35">
      <c r="B7" s="8" t="str">
        <v>pzhao</v>
      </c>
      <c r="C7" s="8" t="str">
        <v>MAMS</v>
      </c>
      <c r="D7" s="8" t="str">
        <v>pzhao|MAMS|RV_RATES_EUR_SWAPS-CURVE|234012644</v>
      </c>
      <c r="E7" s="8" t="str">
        <v>RV_RATES_EUR_SWAPS-CURVE</v>
      </c>
      <c r="F7" s="8" t="str">
        <v>234012644</v>
      </c>
      <c r="G7" s="8">
        <v>18.687999999999999</v>
      </c>
      <c r="H7" s="8">
        <v>0</v>
      </c>
      <c r="I7" s="8">
        <v>18.687999999999999</v>
      </c>
      <c r="J7" s="8">
        <v>0</v>
      </c>
      <c r="K7" s="8">
        <v>0</v>
      </c>
      <c r="L7" s="8">
        <v>0</v>
      </c>
      <c r="M7" s="8">
        <v>0</v>
      </c>
      <c r="N7" s="8" t="str">
        <v>SwapTrade</v>
      </c>
      <c r="O7" s="7" cm="1">
        <f t="array" ref="O7">(_xll.qwPrice($A$1,F7)-_xll.qwPrice($A$4,F7))*_xll.qwMVFactor($A$1,F7)*I7*_xll.qwFXRate($A$1,F7)</f>
        <v>370413.29549149459</v>
      </c>
      <c r="P7" s="7" cm="1">
        <f t="array" ref="P7">IF(ISNUMBER(_xll.qwDV01($A$1,F7)*I7*_xll.qwMVFactor($A$1,F7)*_xll.qwFXRate($A$1,F7)),_xll.qwDV01($A$1,F7)*I7*_xll.qwMVFactor($A$1,F7)*_xll.qwFXRate($A$1,F7),0)</f>
        <v>36867.810710202008</v>
      </c>
      <c r="Q7" s="7" cm="1">
        <f t="array" ref="Q7">IF(ISNUMBER(_xll.qwDV01($A$1,F7)*G7*_xll.qwMVFactor($A$1,F7)*_xll.qwFXRate($A$1,F7)),_xll.qwDV01($A$1,F7)*G7*_xll.qwMVFactor($A$1,F7)*_xll.qwFXRate($A$1,F7),0)</f>
        <v>36867.810710202008</v>
      </c>
      <c r="R7" s="7" cm="1">
        <f t="array" ref="R7">IF(ISNUMBER(_xll.qwDV01($A$1,F7)*J7*_xll.qwMVFactor($A$1,F7)*_xll.qwFXRate($A$1,F7)),_xll.qwDV01($A$1,F7)*J7*_xll.qwMVFactor($A$1,F7)*_xll.qwFXRate($A$1,F7),0)</f>
        <v>0</v>
      </c>
      <c r="S7" s="7" cm="1">
        <f t="array" ref="S7">IF(ISNUMBER(_xll.qwDV01($A$1,F7)*J7*_xll.qwMVFactor($A$1,F7)*_xll.qwFXRate($A$1,F7)),_xll.qwDV01($A$1,F7)*J7*_xll.qwMVFactor($A$1,F7)*_xll.qwFXRate($A$1,F7),0)</f>
        <v>0</v>
      </c>
      <c r="T7" s="7" cm="1">
        <f t="array" ref="T7">_xll.qwFXRate($A$1,F7)*J7*(_xll.qwPrice($A$1,F7)-M7)*_xll.qwMVFactor($A$1,F7)</f>
        <v>0</v>
      </c>
      <c r="U7" s="9" cm="1">
        <f t="array" ref="U7">_xll.qwYield($A$1,F7)</f>
        <v>3.4380297735820534E-2</v>
      </c>
      <c r="V7" s="9" cm="1">
        <f t="array" ref="V7">100*(_xll.qwYield($A$4,F7)-U7)</f>
        <v>0.10185031977507017</v>
      </c>
      <c r="W7" s="7">
        <f>IF(ISNA(G7*INDEX(_xll.qwTblData(_xll.qwCurveScenariosPerSecurity($A$1,F7,"Crv210")),2,2)),0,(G7*INDEX(_xll.qwTblData(_xll.qwCurveScenariosPerSecurity($A$1,F7,"Crv210")),2,2)))</f>
        <v>-111557.04917233741</v>
      </c>
      <c r="X7" s="7" cm="1">
        <f t="array" ref="X7">ABS(Q7/_xll.qwMV01($A$1,"CT10"))</f>
        <v>49.931551205180995</v>
      </c>
      <c r="Y7" s="7" cm="1">
        <f t="array" ref="Y7">IF(N7="BondFuture",-(_xll.qwCurveYield($A$1,_xll.qwSecVal($A$1,AA7,"CreditCurveName()"),AA7)-_xll.qwCurveYield($A$4,_xll.qwSecVal($A$4,AA7,"CreditCurveName()"),AA7))*P7*10000,IF(N7="Bond",-(_xll.qwCurveYield($A$1,_xll.qwSecVal($A$1,F7,"CreditCurveName()"),F7)-_xll.qwCurveYield($A$4,_xll.qwSecVal($A$4,F7,"CreditCurveName()"),F7))*P7*10000,O7))</f>
        <v>370413.29549149459</v>
      </c>
      <c r="Z7" s="7" cm="1">
        <f t="array" ref="Z7">IF(OR(N7="BondFuture",N7="Bond"),P7*(_xll.qwCurveZSpread($A$4,_xll.qwSecVal($A$1,AA7,"CreditCurveName()"),AA7)-_xll.qwCurveZSpread($A$1,_xll.qwSecVal($A$1,AA7,"CreditCurveName()"),AA7)),0)</f>
        <v>0</v>
      </c>
      <c r="AA7" s="10" cm="1">
        <f t="array" ref="AA7">IF(_xll.qwSecType(F7)="Bond",F7,IF(_xll.qwSecType(F7)="BondFuture",_xll.qwFutCTD($A$1,F7),0))</f>
        <v>0</v>
      </c>
      <c r="AB7" s="7" cm="1">
        <f t="array" ref="AB7">IF(_xll.qwSecType(F7)="BondFuture",(I7*_xll.qwDelta($A$4,F7)*_xll.qwMVFactor($A$1,F7)/_xll.qwMVFactor($A$1,_xll.qwFutCTD($A$1,F7)))*(_xll.qwFXRate($A$1,F7)*_xll.qwMVFactor($A$1,_xll.qwFutCTD($A$1,F7))*(_xll.qwIncome($A$4,_xll.qwFutCTD($A$4,F7),_xll.qwBondSettle($A$4,_xll.qwFutCTD($A$4,F7)),_xll.qwBondSettle($A$1,_xll.qwFutCTD($A$1,F7)))+(_xll.qwBondDirtyPrice($A$1,_xll.qwFutCTD($A$1,F7))-_xll.qwBondDirtyPrice($A$4,_xll.qwFutCTD($A$4,F7)))-_xll.qwBondRepoFromTo($A$1,_xll.qwFutCTD($A$1,F7),_xll.qwBondSettle($A$4,_xll.qwFutCTD($A$4,F7)),_xll.qwBondSettle($A$1,_xll.qwFutCTD($A$1,F7)))))-O7,0)</f>
        <v>0</v>
      </c>
      <c r="AD7" s="11"/>
    </row>
    <row r="8" spans="1:38" s="8" customFormat="1" hidden="1" x14ac:dyDescent="0.35">
      <c r="B8" s="8" t="str">
        <v>pzhao</v>
      </c>
      <c r="C8" s="8" t="str">
        <v>MAMS</v>
      </c>
      <c r="D8" s="8" t="str">
        <v>pzhao|MAMS|RV_RATES_EUR_SWAPS-CURVE|234012932</v>
      </c>
      <c r="E8" s="8" t="str">
        <v>RV_RATES_EUR_SWAPS-CURVE</v>
      </c>
      <c r="F8" s="8" t="str">
        <v>234012932</v>
      </c>
      <c r="G8" s="8">
        <v>17.024000000000001</v>
      </c>
      <c r="H8" s="8">
        <v>0</v>
      </c>
      <c r="I8" s="8">
        <v>17.024000000000001</v>
      </c>
      <c r="J8" s="8">
        <v>0</v>
      </c>
      <c r="K8" s="8">
        <v>0</v>
      </c>
      <c r="L8" s="8">
        <v>0</v>
      </c>
      <c r="M8" s="8">
        <v>0</v>
      </c>
      <c r="N8" s="8" t="str">
        <v>SwapTrade</v>
      </c>
      <c r="O8" s="7" cm="1">
        <f t="array" ref="O8">(_xll.qwPrice($A$1,F8)-_xll.qwPrice($A$4,F8))*_xll.qwMVFactor($A$1,F8)*I8*_xll.qwFXRate($A$1,F8)</f>
        <v>-395281.63060413144</v>
      </c>
      <c r="P8" s="7" cm="1">
        <f t="array" ref="P8">IF(ISNUMBER(_xll.qwDV01($A$1,F8)*I8*_xll.qwMVFactor($A$1,F8)*_xll.qwFXRate($A$1,F8)),_xll.qwDV01($A$1,F8)*I8*_xll.qwMVFactor($A$1,F8)*_xll.qwFXRate($A$1,F8),0)</f>
        <v>-40482.369885428794</v>
      </c>
      <c r="Q8" s="7" cm="1">
        <f t="array" ref="Q8">IF(ISNUMBER(_xll.qwDV01($A$1,F8)*G8*_xll.qwMVFactor($A$1,F8)*_xll.qwFXRate($A$1,F8)),_xll.qwDV01($A$1,F8)*G8*_xll.qwMVFactor($A$1,F8)*_xll.qwFXRate($A$1,F8),0)</f>
        <v>-40482.369885428794</v>
      </c>
      <c r="R8" s="7" cm="1">
        <f t="array" ref="R8">IF(ISNUMBER(_xll.qwDV01($A$1,F8)*J8*_xll.qwMVFactor($A$1,F8)*_xll.qwFXRate($A$1,F8)),_xll.qwDV01($A$1,F8)*J8*_xll.qwMVFactor($A$1,F8)*_xll.qwFXRate($A$1,F8),0)</f>
        <v>0</v>
      </c>
      <c r="S8" s="7" cm="1">
        <f t="array" ref="S8">IF(ISNUMBER(_xll.qwDV01($A$1,F8)*J8*_xll.qwMVFactor($A$1,F8)*_xll.qwFXRate($A$1,F8)),_xll.qwDV01($A$1,F8)*J8*_xll.qwMVFactor($A$1,F8)*_xll.qwFXRate($A$1,F8),0)</f>
        <v>0</v>
      </c>
      <c r="T8" s="7" cm="1">
        <f t="array" ref="T8">_xll.qwFXRate($A$1,F8)*J8*(_xll.qwPrice($A$1,F8)-M8)*_xll.qwMVFactor($A$1,F8)</f>
        <v>0</v>
      </c>
      <c r="U8" s="9" cm="1">
        <f t="array" ref="U8">_xll.qwYield($A$1,F8)</f>
        <v>3.2511267416091651E-2</v>
      </c>
      <c r="V8" s="9" cm="1">
        <f t="array" ref="V8">100*(_xll.qwYield($A$4,F8)-U8)</f>
        <v>9.748179229804102E-2</v>
      </c>
      <c r="W8" s="7">
        <f>IF(ISNA(G8*INDEX(_xll.qwTblData(_xll.qwCurveScenariosPerSecurity($A$1,F8,"Crv210")),2,2)),0,(G8*INDEX(_xll.qwTblData(_xll.qwCurveScenariosPerSecurity($A$1,F8,"Crv210")),2,2)))</f>
        <v>179326.41291858841</v>
      </c>
      <c r="X8" s="7" cm="1">
        <f t="array" ref="X8">ABS(Q8/_xll.qwMV01($A$1,"CT10"))</f>
        <v>54.826893322472785</v>
      </c>
      <c r="Y8" s="7" cm="1">
        <f t="array" ref="Y8">IF(N8="BondFuture",-(_xll.qwCurveYield($A$1,_xll.qwSecVal($A$1,AA8,"CreditCurveName()"),AA8)-_xll.qwCurveYield($A$4,_xll.qwSecVal($A$4,AA8,"CreditCurveName()"),AA8))*P8*10000,IF(N8="Bond",-(_xll.qwCurveYield($A$1,_xll.qwSecVal($A$1,F8,"CreditCurveName()"),F8)-_xll.qwCurveYield($A$4,_xll.qwSecVal($A$4,F8,"CreditCurveName()"),F8))*P8*10000,O8))</f>
        <v>-395281.63060413144</v>
      </c>
      <c r="Z8" s="7" cm="1">
        <f t="array" ref="Z8">IF(OR(N8="BondFuture",N8="Bond"),P8*(_xll.qwCurveZSpread($A$4,_xll.qwSecVal($A$1,AA8,"CreditCurveName()"),AA8)-_xll.qwCurveZSpread($A$1,_xll.qwSecVal($A$1,AA8,"CreditCurveName()"),AA8)),0)</f>
        <v>0</v>
      </c>
      <c r="AA8" s="10" cm="1">
        <f t="array" ref="AA8">IF(_xll.qwSecType(F8)="Bond",F8,IF(_xll.qwSecType(F8)="BondFuture",_xll.qwFutCTD($A$1,F8),0))</f>
        <v>0</v>
      </c>
      <c r="AB8" s="7" cm="1">
        <f t="array" ref="AB8">IF(_xll.qwSecType(F8)="BondFuture",-(I8*_xll.qwDelta($A$4,F8)*_xll.qwMVFactor($A$1,F8)/_xll.qwMVFactor($A$1,_xll.qwFutCTD($A$1,F8)))*(_xll.qwFXRate($A$1,F8)*_xll.qwMVFactor($A$1,_xll.qwFutCTD($A$1,F8))*(_xll.qwIncome($A$4,_xll.qwFutCTD($A$4,F8),_xll.qwBondSettle($A$4,_xll.qwFutCTD($A$4,F8)),_xll.qwBondSettle($A$1,_xll.qwFutCTD($A$1,F8)))+(_xll.qwSecVal($A$1,AA8,"Price")-_xll.qwSecVal($A$4,AA8,"Price"))-_xll.qwBondRepoFromTo($A$1,AA8,_xll.qwBondSettle($A$4,AA8),_xll.qwBondSettle($A$1,AA8))*_xll.qwSecVal($A$1,AA8,"Price")*(_xll.qwBondSettle($A$1,AA8)-_xll.qwBondSettle($A$4,AA8))/360))+O8,0)</f>
        <v>0</v>
      </c>
      <c r="AD8" s="11"/>
    </row>
    <row r="9" spans="1:38" s="8" customFormat="1" hidden="1" x14ac:dyDescent="0.35">
      <c r="B9" s="8" t="str">
        <v>pzhao</v>
      </c>
      <c r="C9" s="8" t="str">
        <v>MAMS</v>
      </c>
      <c r="D9" s="8" t="str">
        <v>pzhao|MAMS|RV_RATES_EUR_SWAPS-CURVE|234012935</v>
      </c>
      <c r="E9" s="8" t="str">
        <v>RV_RATES_EUR_SWAPS-CURVE</v>
      </c>
      <c r="F9" s="8" t="str">
        <v>234012935</v>
      </c>
      <c r="G9" s="8">
        <v>16.448</v>
      </c>
      <c r="H9" s="8">
        <v>0</v>
      </c>
      <c r="I9" s="8">
        <v>16.448</v>
      </c>
      <c r="J9" s="8">
        <v>0</v>
      </c>
      <c r="K9" s="8">
        <v>0</v>
      </c>
      <c r="L9" s="8">
        <v>0</v>
      </c>
      <c r="M9" s="8">
        <v>0</v>
      </c>
      <c r="N9" s="8" t="str">
        <v>SwapTrade</v>
      </c>
      <c r="O9" s="7" cm="1">
        <f t="array" ref="O9">(_xll.qwPrice($A$1,F9)-_xll.qwPrice($A$4,F9))*_xll.qwMVFactor($A$1,F9)*I9*_xll.qwFXRate($A$1,F9)</f>
        <v>326164.23853236198</v>
      </c>
      <c r="P9" s="7" cm="1">
        <f t="array" ref="P9">IF(ISNUMBER(_xll.qwDV01($A$1,F9)*I9*_xll.qwMVFactor($A$1,F9)*_xll.qwFXRate($A$1,F9)),_xll.qwDV01($A$1,F9)*I9*_xll.qwMVFactor($A$1,F9)*_xll.qwFXRate($A$1,F9),0)</f>
        <v>32464.135448604044</v>
      </c>
      <c r="Q9" s="7" cm="1">
        <f t="array" ref="Q9">IF(ISNUMBER(_xll.qwDV01($A$1,F9)*G9*_xll.qwMVFactor($A$1,F9)*_xll.qwFXRate($A$1,F9)),_xll.qwDV01($A$1,F9)*G9*_xll.qwMVFactor($A$1,F9)*_xll.qwFXRate($A$1,F9),0)</f>
        <v>32464.135448604044</v>
      </c>
      <c r="R9" s="7" cm="1">
        <f t="array" ref="R9">IF(ISNUMBER(_xll.qwDV01($A$1,F9)*J9*_xll.qwMVFactor($A$1,F9)*_xll.qwFXRate($A$1,F9)),_xll.qwDV01($A$1,F9)*J9*_xll.qwMVFactor($A$1,F9)*_xll.qwFXRate($A$1,F9),0)</f>
        <v>0</v>
      </c>
      <c r="S9" s="7" cm="1">
        <f t="array" ref="S9">IF(ISNUMBER(_xll.qwDV01($A$1,F9)*J9*_xll.qwMVFactor($A$1,F9)*_xll.qwFXRate($A$1,F9)),_xll.qwDV01($A$1,F9)*J9*_xll.qwMVFactor($A$1,F9)*_xll.qwFXRate($A$1,F9),0)</f>
        <v>0</v>
      </c>
      <c r="T9" s="7" cm="1">
        <f t="array" ref="T9">_xll.qwFXRate($A$1,F9)*J9*(_xll.qwPrice($A$1,F9)-M9)*_xll.qwMVFactor($A$1,F9)</f>
        <v>0</v>
      </c>
      <c r="U9" s="9" cm="1">
        <f t="array" ref="U9">_xll.qwYield($A$1,F9)</f>
        <v>3.4380297735820534E-2</v>
      </c>
      <c r="V9" s="9" cm="1">
        <f t="array" ref="V9">100*(_xll.qwYield($A$4,F9)-U9)</f>
        <v>0.10185031977507017</v>
      </c>
      <c r="W9" s="7">
        <f>IF(ISNA(G9*INDEX(_xll.qwTblData(_xll.qwCurveScenariosPerSecurity($A$1,F9,"Crv210")),2,2)),0,(G9*INDEX(_xll.qwTblData(_xll.qwCurveScenariosPerSecurity($A$1,F9,"Crv210")),2,2)))</f>
        <v>-98678.2462332961</v>
      </c>
      <c r="X9" s="7" cm="1">
        <f t="array" ref="X9">ABS(Q9/_xll.qwMV01($A$1,"CT10"))</f>
        <v>43.967477597885889</v>
      </c>
      <c r="Y9" s="7" cm="1">
        <f t="array" ref="Y9">IF(N9="BondFuture",-(_xll.qwCurveYield($A$1,_xll.qwSecVal($A$1,AA9,"CreditCurveName()"),AA9)-_xll.qwCurveYield($A$4,_xll.qwSecVal($A$4,AA9,"CreditCurveName()"),AA9))*P9*10000,IF(N9="Bond",-(_xll.qwCurveYield($A$1,_xll.qwSecVal($A$1,F9,"CreditCurveName()"),F9)-_xll.qwCurveYield($A$4,_xll.qwSecVal($A$4,F9,"CreditCurveName()"),F9))*P9*10000,O9))</f>
        <v>326164.23853236198</v>
      </c>
      <c r="Z9" s="7" cm="1">
        <f t="array" ref="Z9">IF(OR(N9="BondFuture",N9="Bond"),P9*(_xll.qwCurveZSpread($A$4,_xll.qwSecVal($A$1,AA9,"CreditCurveName()"),AA9)-_xll.qwCurveZSpread($A$1,_xll.qwSecVal($A$1,AA9,"CreditCurveName()"),AA9)),0)</f>
        <v>0</v>
      </c>
      <c r="AA9" s="10" cm="1">
        <f t="array" ref="AA9">IF(_xll.qwSecType(F9)="Bond",F9,IF(_xll.qwSecType(F9)="BondFuture",_xll.qwFutCTD($A$1,F9),0))</f>
        <v>0</v>
      </c>
      <c r="AB9" s="7" cm="1">
        <f t="array" ref="AB9">IF(_xll.qwSecType(F9)="BondFuture",-(I9*_xll.qwDelta($A$4,F9)*_xll.qwMVFactor($A$1,F9)/_xll.qwMVFactor($A$1,_xll.qwFutCTD($A$1,F9)))*(_xll.qwFXRate($A$1,F9)*_xll.qwMVFactor($A$1,_xll.qwFutCTD($A$1,F9))*(_xll.qwIncome($A$4,_xll.qwFutCTD($A$4,F9),_xll.qwBondSettle($A$4,_xll.qwFutCTD($A$4,F9)),_xll.qwBondSettle($A$1,_xll.qwFutCTD($A$1,F9)))+(_xll.qwSecVal($A$1,AA9,"Price")-_xll.qwSecVal($A$4,AA9,"Price"))-_xll.qwBondRepoFromTo($A$1,AA9,_xll.qwBondSettle($A$4,AA9),_xll.qwBondSettle($A$1,AA9))*_xll.qwSecVal($A$1,AA9,"Price")*(_xll.qwBondSettle($A$1,AA9)-_xll.qwBondSettle($A$4,AA9))/360))+O9,0)</f>
        <v>0</v>
      </c>
      <c r="AD9" s="11"/>
    </row>
    <row r="10" spans="1:38" s="8" customFormat="1" hidden="1" x14ac:dyDescent="0.35">
      <c r="B10" s="8" t="str">
        <v>pzhao</v>
      </c>
      <c r="C10" s="8" t="str">
        <v>MAMS</v>
      </c>
      <c r="D10" s="8" t="str">
        <v>pzhao|MAMS|RV_RATES_EUR_SWAPS-CURVE|234354912</v>
      </c>
      <c r="E10" s="8" t="str">
        <v>RV_RATES_EUR_SWAPS-CURVE</v>
      </c>
      <c r="F10" s="8" t="str">
        <v>234354912</v>
      </c>
      <c r="G10" s="8">
        <v>16.32</v>
      </c>
      <c r="H10" s="8">
        <v>0</v>
      </c>
      <c r="I10" s="8">
        <v>16.32</v>
      </c>
      <c r="J10" s="8">
        <v>0</v>
      </c>
      <c r="K10" s="8">
        <v>0</v>
      </c>
      <c r="L10" s="8">
        <v>0</v>
      </c>
      <c r="M10" s="8">
        <v>0</v>
      </c>
      <c r="N10" s="8" t="str">
        <v>SwapTrade</v>
      </c>
      <c r="O10" s="7" cm="1">
        <f t="array" ref="O10">(_xll.qwPrice($A$1,F10)-_xll.qwPrice($A$4,F10))*_xll.qwMVFactor($A$1,F10)*I10*_xll.qwFXRate($A$1,F10)</f>
        <v>323249.37013684557</v>
      </c>
      <c r="P10" s="7" cm="1">
        <f t="array" ref="P10">IF(ISNUMBER(_xll.qwDV01($A$1,F10)*I10*_xll.qwMVFactor($A$1,F10)*_xll.qwFXRate($A$1,F10)),_xll.qwDV01($A$1,F10)*I10*_xll.qwMVFactor($A$1,F10)*_xll.qwFXRate($A$1,F10),0)</f>
        <v>32030.93403860684</v>
      </c>
      <c r="Q10" s="7" cm="1">
        <f t="array" ref="Q10">IF(ISNUMBER(_xll.qwDV01($A$1,F10)*G10*_xll.qwMVFactor($A$1,F10)*_xll.qwFXRate($A$1,F10)),_xll.qwDV01($A$1,F10)*G10*_xll.qwMVFactor($A$1,F10)*_xll.qwFXRate($A$1,F10),0)</f>
        <v>32030.93403860684</v>
      </c>
      <c r="R10" s="7" cm="1">
        <f t="array" ref="R10">IF(ISNUMBER(_xll.qwDV01($A$1,F10)*J10*_xll.qwMVFactor($A$1,F10)*_xll.qwFXRate($A$1,F10)),_xll.qwDV01($A$1,F10)*J10*_xll.qwMVFactor($A$1,F10)*_xll.qwFXRate($A$1,F10),0)</f>
        <v>0</v>
      </c>
      <c r="S10" s="7" cm="1">
        <f t="array" ref="S10">IF(ISNUMBER(_xll.qwDV01($A$1,F10)*J10*_xll.qwMVFactor($A$1,F10)*_xll.qwFXRate($A$1,F10)),_xll.qwDV01($A$1,F10)*J10*_xll.qwMVFactor($A$1,F10)*_xll.qwFXRate($A$1,F10),0)</f>
        <v>0</v>
      </c>
      <c r="T10" s="7" cm="1">
        <f t="array" ref="T10">_xll.qwFXRate($A$1,F10)*J10*(_xll.qwPrice($A$1,F10)-M10)*_xll.qwMVFactor($A$1,F10)</f>
        <v>0</v>
      </c>
      <c r="U10" s="9" cm="1">
        <f t="array" ref="U10">_xll.qwYield($A$1,F10)</f>
        <v>3.4379381435147856E-2</v>
      </c>
      <c r="V10" s="9" cm="1">
        <f t="array" ref="V10">100*(_xll.qwYield($A$4,F10)-U10)</f>
        <v>0.10187587058186065</v>
      </c>
      <c r="W10" s="7">
        <f>IF(ISNA(G10*INDEX(_xll.qwTblData(_xll.qwCurveScenariosPerSecurity($A$1,F10,"Crv210")),2,2)),0,(G10*INDEX(_xll.qwTblData(_xll.qwCurveScenariosPerSecurity($A$1,F10,"Crv210")),2,2)))</f>
        <v>-97763.616993657226</v>
      </c>
      <c r="X10" s="7" cm="1">
        <f t="array" ref="X10">ABS(Q10/_xll.qwMV01($A$1,"CT10"))</f>
        <v>43.380775595007094</v>
      </c>
      <c r="Y10" s="7" cm="1">
        <f t="array" ref="Y10">IF(N10="BondFuture",-(_xll.qwCurveYield($A$1,_xll.qwSecVal($A$1,AA10,"CreditCurveName()"),AA10)-_xll.qwCurveYield($A$4,_xll.qwSecVal($A$4,AA10,"CreditCurveName()"),AA10))*P10*10000,IF(N10="Bond",-(_xll.qwCurveYield($A$1,_xll.qwSecVal($A$1,F10,"CreditCurveName()"),F10)-_xll.qwCurveYield($A$4,_xll.qwSecVal($A$4,F10,"CreditCurveName()"),F10))*P10*10000,O10))</f>
        <v>323249.37013684557</v>
      </c>
      <c r="Z10" s="7" cm="1">
        <f t="array" ref="Z10">IF(OR(N10="BondFuture",N10="Bond"),P10*(_xll.qwCurveZSpread($A$4,_xll.qwSecVal($A$1,AA10,"CreditCurveName()"),AA10)-_xll.qwCurveZSpread($A$1,_xll.qwSecVal($A$1,AA10,"CreditCurveName()"),AA10)),0)</f>
        <v>0</v>
      </c>
      <c r="AA10" s="10" cm="1">
        <f t="array" ref="AA10">IF(_xll.qwSecType(F10)="Bond",F10,IF(_xll.qwSecType(F10)="BondFuture",_xll.qwFutCTD($A$1,F10),0))</f>
        <v>0</v>
      </c>
      <c r="AB10" s="7" cm="1">
        <f t="array" ref="AB10">IF(_xll.qwSecType(F10)="BondFuture",(I10*_xll.qwDelta($A$4,F10)*_xll.qwMVFactor($A$1,F10)/_xll.qwMVFactor($A$1,_xll.qwFutCTD($A$1,F10)))*(_xll.qwFXRate($A$1,F10)*_xll.qwMVFactor($A$1,_xll.qwFutCTD($A$1,F10))*(_xll.qwIncome($A$4,_xll.qwFutCTD($A$4,F10),_xll.qwBondSettle($A$4,_xll.qwFutCTD($A$4,F10)),_xll.qwBondSettle($A$1,_xll.qwFutCTD($A$1,F10)))+(_xll.qwBondDirtyPrice($A$1,_xll.qwFutCTD($A$1,F10))-_xll.qwBondDirtyPrice($A$4,_xll.qwFutCTD($A$4,F10)))-_xll.qwBondRepoFromTo($A$1,_xll.qwFutCTD($A$1,F10),_xll.qwBondSettle($A$4,_xll.qwFutCTD($A$4,F10)),_xll.qwBondSettle($A$1,_xll.qwFutCTD($A$1,F10)))))-O10,0)</f>
        <v>0</v>
      </c>
      <c r="AD10" s="11"/>
    </row>
    <row r="11" spans="1:38" s="8" customFormat="1" hidden="1" x14ac:dyDescent="0.35">
      <c r="B11" s="8" t="str">
        <v>pzhao</v>
      </c>
      <c r="C11" s="8" t="str">
        <v>MAMS</v>
      </c>
      <c r="D11" s="8" t="str">
        <v>pzhao|MAMS|RV_RATES_EUR_SWAPS-CURVE|234690327</v>
      </c>
      <c r="E11" s="8" t="str">
        <v>RV_RATES_EUR_SWAPS-CURVE</v>
      </c>
      <c r="F11" s="8" t="str">
        <v>234690327</v>
      </c>
      <c r="G11" s="8">
        <v>16.384</v>
      </c>
      <c r="H11" s="8">
        <v>0</v>
      </c>
      <c r="I11" s="8">
        <v>16.384</v>
      </c>
      <c r="J11" s="8">
        <v>0</v>
      </c>
      <c r="K11" s="8">
        <v>0</v>
      </c>
      <c r="L11" s="8">
        <v>0</v>
      </c>
      <c r="M11" s="8">
        <v>0</v>
      </c>
      <c r="N11" s="8" t="str">
        <v>SwapTrade</v>
      </c>
      <c r="O11" s="7" cm="1">
        <f t="array" ref="O11">(_xll.qwPrice($A$1,F11)-_xll.qwPrice($A$4,F11))*_xll.qwMVFactor($A$1,F11)*I11*_xll.qwFXRate($A$1,F11)</f>
        <v>324908.07895460498</v>
      </c>
      <c r="P11" s="7" cm="1">
        <f t="array" ref="P11">IF(ISNUMBER(_xll.qwDV01($A$1,F11)*I11*_xll.qwMVFactor($A$1,F11)*_xll.qwFXRate($A$1,F11)),_xll.qwDV01($A$1,F11)*I11*_xll.qwMVFactor($A$1,F11)*_xll.qwFXRate($A$1,F11),0)</f>
        <v>32159.938679065137</v>
      </c>
      <c r="Q11" s="7" cm="1">
        <f t="array" ref="Q11">IF(ISNUMBER(_xll.qwDV01($A$1,F11)*G11*_xll.qwMVFactor($A$1,F11)*_xll.qwFXRate($A$1,F11)),_xll.qwDV01($A$1,F11)*G11*_xll.qwMVFactor($A$1,F11)*_xll.qwFXRate($A$1,F11),0)</f>
        <v>32159.938679065137</v>
      </c>
      <c r="R11" s="7" cm="1">
        <f t="array" ref="R11">IF(ISNUMBER(_xll.qwDV01($A$1,F11)*J11*_xll.qwMVFactor($A$1,F11)*_xll.qwFXRate($A$1,F11)),_xll.qwDV01($A$1,F11)*J11*_xll.qwMVFactor($A$1,F11)*_xll.qwFXRate($A$1,F11),0)</f>
        <v>0</v>
      </c>
      <c r="S11" s="7" cm="1">
        <f t="array" ref="S11">IF(ISNUMBER(_xll.qwDV01($A$1,F11)*J11*_xll.qwMVFactor($A$1,F11)*_xll.qwFXRate($A$1,F11)),_xll.qwDV01($A$1,F11)*J11*_xll.qwMVFactor($A$1,F11)*_xll.qwFXRate($A$1,F11),0)</f>
        <v>0</v>
      </c>
      <c r="T11" s="7" cm="1">
        <f t="array" ref="T11">_xll.qwFXRate($A$1,F11)*J11*(_xll.qwPrice($A$1,F11)-M11)*_xll.qwMVFactor($A$1,F11)</f>
        <v>0</v>
      </c>
      <c r="U11" s="9" cm="1">
        <f t="array" ref="U11">_xll.qwYield($A$1,F11)</f>
        <v>3.4377144455063902E-2</v>
      </c>
      <c r="V11" s="9" cm="1">
        <f t="array" ref="V11">100*(_xll.qwYield($A$4,F11)-U11)</f>
        <v>0.10187836423513896</v>
      </c>
      <c r="W11" s="7">
        <f>IF(ISNA(G11*INDEX(_xll.qwTblData(_xll.qwCurveScenariosPerSecurity($A$1,F11,"Crv210")),2,2)),0,(G11*INDEX(_xll.qwTblData(_xll.qwCurveScenariosPerSecurity($A$1,F11,"Crv210")),2,2)))</f>
        <v>-98336.384882949365</v>
      </c>
      <c r="X11" s="7" cm="1">
        <f t="array" ref="X11">ABS(Q11/_xll.qwMV01($A$1,"CT10"))</f>
        <v>43.555491741332723</v>
      </c>
      <c r="Y11" s="7" cm="1">
        <f t="array" ref="Y11">IF(N11="BondFuture",-(_xll.qwCurveYield($A$1,_xll.qwSecVal($A$1,AA11,"CreditCurveName()"),AA11)-_xll.qwCurveYield($A$4,_xll.qwSecVal($A$4,AA11,"CreditCurveName()"),AA11))*P11*10000,IF(N11="Bond",-(_xll.qwCurveYield($A$1,_xll.qwSecVal($A$1,F11,"CreditCurveName()"),F11)-_xll.qwCurveYield($A$4,_xll.qwSecVal($A$4,F11,"CreditCurveName()"),F11))*P11*10000,O11))</f>
        <v>324908.07895460498</v>
      </c>
      <c r="Z11" s="7" cm="1">
        <f t="array" ref="Z11">IF(OR(N11="BondFuture",N11="Bond"),P11*(_xll.qwCurveZSpread($A$4,_xll.qwSecVal($A$1,AA11,"CreditCurveName()"),AA11)-_xll.qwCurveZSpread($A$1,_xll.qwSecVal($A$1,AA11,"CreditCurveName()"),AA11)),0)</f>
        <v>0</v>
      </c>
      <c r="AA11" s="10" cm="1">
        <f t="array" ref="AA11">IF(_xll.qwSecType(F11)="Bond",F11,IF(_xll.qwSecType(F11)="BondFuture",_xll.qwFutCTD($A$1,F11),0))</f>
        <v>0</v>
      </c>
      <c r="AB11" s="7" cm="1">
        <f t="array" ref="AB11">IF(_xll.qwSecType(F11)="BondFuture",(I11*_xll.qwDelta($A$4,F11)*_xll.qwMVFactor($A$1,F11)/_xll.qwMVFactor($A$1,_xll.qwFutCTD($A$1,F11)))*(_xll.qwFXRate($A$1,F11)*_xll.qwMVFactor($A$1,_xll.qwFutCTD($A$1,F11))*(_xll.qwIncome($A$4,_xll.qwFutCTD($A$4,F11),_xll.qwBondSettle($A$4,_xll.qwFutCTD($A$4,F11)),_xll.qwBondSettle($A$1,_xll.qwFutCTD($A$1,F11)))+(_xll.qwBondDirtyPrice($A$1,_xll.qwFutCTD($A$1,F11))-_xll.qwBondDirtyPrice($A$4,_xll.qwFutCTD($A$4,F11)))-_xll.qwBondRepoFromTo($A$1,_xll.qwFutCTD($A$1,F11),_xll.qwBondSettle($A$4,_xll.qwFutCTD($A$4,F11)),_xll.qwBondSettle($A$1,_xll.qwFutCTD($A$1,F11)))))-O11,0)</f>
        <v>0</v>
      </c>
      <c r="AD11" s="11"/>
      <c r="AG11" s="16"/>
    </row>
    <row r="12" spans="1:38" s="8" customFormat="1" hidden="1" x14ac:dyDescent="0.35">
      <c r="B12" s="8" t="str">
        <v>pzhao</v>
      </c>
      <c r="C12" s="8" t="str">
        <v>MAMS</v>
      </c>
      <c r="D12" s="8" t="str">
        <v>pzhao|MAMS|RV_RATES_EUR_SWAPS-CURVE|234764744</v>
      </c>
      <c r="E12" s="8" t="str">
        <v>RV_RATES_EUR_SWAPS-CURVE</v>
      </c>
      <c r="F12" s="8" t="str">
        <v>234764744</v>
      </c>
      <c r="G12" s="8">
        <v>16.32</v>
      </c>
      <c r="H12" s="8">
        <v>0</v>
      </c>
      <c r="I12" s="8">
        <v>16.32</v>
      </c>
      <c r="J12" s="8">
        <v>0</v>
      </c>
      <c r="K12" s="8">
        <v>0</v>
      </c>
      <c r="L12" s="8">
        <v>0</v>
      </c>
      <c r="M12" s="8">
        <v>0</v>
      </c>
      <c r="N12" s="8" t="str">
        <v>SwapTrade</v>
      </c>
      <c r="O12" s="7" cm="1">
        <f t="array" ref="O12">(_xll.qwPrice($A$1,F12)-_xll.qwPrice($A$4,F12))*_xll.qwMVFactor($A$1,F12)*I12*_xll.qwFXRate($A$1,F12)</f>
        <v>322620.16591536725</v>
      </c>
      <c r="P12" s="7" cm="1">
        <f t="array" ref="P12">IF(ISNUMBER(_xll.qwDV01($A$1,F12)*I12*_xll.qwMVFactor($A$1,F12)*_xll.qwFXRate($A$1,F12)),_xll.qwDV01($A$1,F12)*I12*_xll.qwMVFactor($A$1,F12)*_xll.qwFXRate($A$1,F12),0)</f>
        <v>31914.286359753623</v>
      </c>
      <c r="Q12" s="7" cm="1">
        <f t="array" ref="Q12">IF(ISNUMBER(_xll.qwDV01($A$1,F12)*G12*_xll.qwMVFactor($A$1,F12)*_xll.qwFXRate($A$1,F12)),_xll.qwDV01($A$1,F12)*G12*_xll.qwMVFactor($A$1,F12)*_xll.qwFXRate($A$1,F12),0)</f>
        <v>31914.286359753623</v>
      </c>
      <c r="R12" s="7" cm="1">
        <f t="array" ref="R12">IF(ISNUMBER(_xll.qwDV01($A$1,F12)*J12*_xll.qwMVFactor($A$1,F12)*_xll.qwFXRate($A$1,F12)),_xll.qwDV01($A$1,F12)*J12*_xll.qwMVFactor($A$1,F12)*_xll.qwFXRate($A$1,F12),0)</f>
        <v>0</v>
      </c>
      <c r="S12" s="7" cm="1">
        <f t="array" ref="S12">IF(ISNUMBER(_xll.qwDV01($A$1,F12)*J12*_xll.qwMVFactor($A$1,F12)*_xll.qwFXRate($A$1,F12)),_xll.qwDV01($A$1,F12)*J12*_xll.qwMVFactor($A$1,F12)*_xll.qwFXRate($A$1,F12),0)</f>
        <v>0</v>
      </c>
      <c r="T12" s="7" cm="1">
        <f t="array" ref="T12">_xll.qwFXRate($A$1,F12)*J12*(_xll.qwPrice($A$1,F12)-M12)*_xll.qwMVFactor($A$1,F12)</f>
        <v>0</v>
      </c>
      <c r="U12" s="9" cm="1">
        <f t="array" ref="U12">_xll.qwYield($A$1,F12)</f>
        <v>3.4375586820097816E-2</v>
      </c>
      <c r="V12" s="9" cm="1">
        <f t="array" ref="V12">100*(_xll.qwYield($A$4,F12)-U12)</f>
        <v>0.10188141794493163</v>
      </c>
      <c r="W12" s="7">
        <f>IF(ISNA(G12*INDEX(_xll.qwTblData(_xll.qwCurveScenariosPerSecurity($A$1,F12,"Crv210")),2,2)),0,(G12*INDEX(_xll.qwTblData(_xll.qwCurveScenariosPerSecurity($A$1,F12,"Crv210")),2,2)))</f>
        <v>-97777.822825060153</v>
      </c>
      <c r="X12" s="7" cm="1">
        <f t="array" ref="X12">ABS(Q12/_xll.qwMV01($A$1,"CT10"))</f>
        <v>43.222794976211816</v>
      </c>
      <c r="Y12" s="7" cm="1">
        <f t="array" ref="Y12">IF(N12="BondFuture",-(_xll.qwCurveYield($A$1,_xll.qwSecVal($A$1,AA12,"CreditCurveName()"),AA12)-_xll.qwCurveYield($A$4,_xll.qwSecVal($A$4,AA12,"CreditCurveName()"),AA12))*P12*10000,IF(N12="Bond",-(_xll.qwCurveYield($A$1,_xll.qwSecVal($A$1,F12,"CreditCurveName()"),F12)-_xll.qwCurveYield($A$4,_xll.qwSecVal($A$4,F12,"CreditCurveName()"),F12))*P12*10000,O12))</f>
        <v>322620.16591536725</v>
      </c>
      <c r="Z12" s="7" cm="1">
        <f t="array" ref="Z12">IF(OR(N12="BondFuture",N12="Bond"),P12*(_xll.qwCurveZSpread($A$4,_xll.qwSecVal($A$1,AA12,"CreditCurveName()"),AA12)-_xll.qwCurveZSpread($A$1,_xll.qwSecVal($A$1,AA12,"CreditCurveName()"),AA12)),0)</f>
        <v>0</v>
      </c>
      <c r="AA12" s="10" cm="1">
        <f t="array" ref="AA12">IF(_xll.qwSecType(F12)="Bond",F12,IF(_xll.qwSecType(F12)="BondFuture",_xll.qwFutCTD($A$1,F12),0))</f>
        <v>0</v>
      </c>
      <c r="AB12" s="7" cm="1">
        <f t="array" ref="AB12">IF(_xll.qwSecType(F12)="BondFuture",(I12*_xll.qwDelta($A$4,F12)*_xll.qwMVFactor($A$1,F12)/_xll.qwMVFactor($A$1,_xll.qwFutCTD($A$1,F12)))*(_xll.qwFXRate($A$1,F12)*_xll.qwMVFactor($A$1,_xll.qwFutCTD($A$1,F12))*(_xll.qwIncome($A$4,_xll.qwFutCTD($A$4,F12),_xll.qwBondSettle($A$4,_xll.qwFutCTD($A$4,F12)),_xll.qwBondSettle($A$1,_xll.qwFutCTD($A$1,F12)))+(_xll.qwBondDirtyPrice($A$1,_xll.qwFutCTD($A$1,F12))-_xll.qwBondDirtyPrice($A$4,_xll.qwFutCTD($A$4,F12)))-_xll.qwBondRepoFromTo($A$1,_xll.qwFutCTD($A$1,F12),_xll.qwBondSettle($A$4,_xll.qwFutCTD($A$4,F12)),_xll.qwBondSettle($A$1,_xll.qwFutCTD($A$1,F12)))))-O12,0)</f>
        <v>0</v>
      </c>
      <c r="AD12" s="11"/>
      <c r="AG12" s="17"/>
      <c r="AH12" s="17"/>
    </row>
    <row r="13" spans="1:38" s="8" customFormat="1" hidden="1" x14ac:dyDescent="0.35">
      <c r="B13" s="8" t="str">
        <v>pzhao</v>
      </c>
      <c r="C13" s="8" t="str">
        <v>MAMS</v>
      </c>
      <c r="D13" s="8" t="str">
        <v>pzhao|MAMS|RV_RATES_EUR_SWAPS-CURVE|234764822</v>
      </c>
      <c r="E13" s="8" t="str">
        <v>RV_RATES_EUR_SWAPS-CURVE</v>
      </c>
      <c r="F13" s="8" t="str">
        <v>234764822</v>
      </c>
      <c r="G13" s="8">
        <v>16.32</v>
      </c>
      <c r="H13" s="8">
        <v>0</v>
      </c>
      <c r="I13" s="8">
        <v>16.32</v>
      </c>
      <c r="J13" s="8">
        <v>0</v>
      </c>
      <c r="K13" s="8">
        <v>0</v>
      </c>
      <c r="L13" s="8">
        <v>0</v>
      </c>
      <c r="M13" s="8">
        <v>0</v>
      </c>
      <c r="N13" s="8" t="str">
        <v>SwapTrade</v>
      </c>
      <c r="O13" s="7" cm="1">
        <f t="array" ref="O13">(_xll.qwPrice($A$1,F13)-_xll.qwPrice($A$4,F13))*_xll.qwMVFactor($A$1,F13)*I13*_xll.qwFXRate($A$1,F13)</f>
        <v>322661.88738380006</v>
      </c>
      <c r="P13" s="7" cm="1">
        <f t="array" ref="P13">IF(ISNUMBER(_xll.qwDV01($A$1,F13)*I13*_xll.qwMVFactor($A$1,F13)*_xll.qwFXRate($A$1,F13)),_xll.qwDV01($A$1,F13)*I13*_xll.qwMVFactor($A$1,F13)*_xll.qwFXRate($A$1,F13),0)</f>
        <v>31918.578597617954</v>
      </c>
      <c r="Q13" s="7" cm="1">
        <f t="array" ref="Q13">IF(ISNUMBER(_xll.qwDV01($A$1,F13)*G13*_xll.qwMVFactor($A$1,F13)*_xll.qwFXRate($A$1,F13)),_xll.qwDV01($A$1,F13)*G13*_xll.qwMVFactor($A$1,F13)*_xll.qwFXRate($A$1,F13),0)</f>
        <v>31918.578597617954</v>
      </c>
      <c r="R13" s="7" cm="1">
        <f t="array" ref="R13">IF(ISNUMBER(_xll.qwDV01($A$1,F13)*J13*_xll.qwMVFactor($A$1,F13)*_xll.qwFXRate($A$1,F13)),_xll.qwDV01($A$1,F13)*J13*_xll.qwMVFactor($A$1,F13)*_xll.qwFXRate($A$1,F13),0)</f>
        <v>0</v>
      </c>
      <c r="S13" s="7" cm="1">
        <f t="array" ref="S13">IF(ISNUMBER(_xll.qwDV01($A$1,F13)*J13*_xll.qwMVFactor($A$1,F13)*_xll.qwFXRate($A$1,F13)),_xll.qwDV01($A$1,F13)*J13*_xll.qwMVFactor($A$1,F13)*_xll.qwFXRate($A$1,F13),0)</f>
        <v>0</v>
      </c>
      <c r="T13" s="7" cm="1">
        <f t="array" ref="T13">_xll.qwFXRate($A$1,F13)*J13*(_xll.qwPrice($A$1,F13)-M13)*_xll.qwMVFactor($A$1,F13)</f>
        <v>0</v>
      </c>
      <c r="U13" s="9" cm="1">
        <f t="array" ref="U13">_xll.qwYield($A$1,F13)</f>
        <v>3.4375586820097816E-2</v>
      </c>
      <c r="V13" s="9" cm="1">
        <f t="array" ref="V13">100*(_xll.qwYield($A$4,F13)-U13)</f>
        <v>0.10188141794493163</v>
      </c>
      <c r="W13" s="7">
        <f>IF(ISNA(G13*INDEX(_xll.qwTblData(_xll.qwCurveScenariosPerSecurity($A$1,F13,"Crv210")),2,2)),0,(G13*INDEX(_xll.qwTblData(_xll.qwCurveScenariosPerSecurity($A$1,F13,"Crv210")),2,2)))</f>
        <v>-97785.930490293642</v>
      </c>
      <c r="X13" s="7" cm="1">
        <f t="array" ref="X13">ABS(Q13/_xll.qwMV01($A$1,"CT10"))</f>
        <v>43.228608125693142</v>
      </c>
      <c r="Y13" s="7" cm="1">
        <f t="array" ref="Y13">IF(N13="BondFuture",-(_xll.qwCurveYield($A$1,_xll.qwSecVal($A$1,AA13,"CreditCurveName()"),AA13)-_xll.qwCurveYield($A$4,_xll.qwSecVal($A$4,AA13,"CreditCurveName()"),AA13))*P13*10000,IF(N13="Bond",-(_xll.qwCurveYield($A$1,_xll.qwSecVal($A$1,F13,"CreditCurveName()"),F13)-_xll.qwCurveYield($A$4,_xll.qwSecVal($A$4,F13,"CreditCurveName()"),F13))*P13*10000,O13))</f>
        <v>322661.88738380006</v>
      </c>
      <c r="Z13" s="7" cm="1">
        <f t="array" ref="Z13">IF(OR(N13="BondFuture",N13="Bond"),P13*(_xll.qwCurveZSpread($A$4,_xll.qwSecVal($A$1,AA13,"CreditCurveName()"),AA13)-_xll.qwCurveZSpread($A$1,_xll.qwSecVal($A$1,AA13,"CreditCurveName()"),AA13)),0)</f>
        <v>0</v>
      </c>
      <c r="AA13" s="10" cm="1">
        <f t="array" ref="AA13">IF(_xll.qwSecType(F13)="Bond",F13,IF(_xll.qwSecType(F13)="BondFuture",_xll.qwFutCTD($A$1,F13),0))</f>
        <v>0</v>
      </c>
      <c r="AB13" s="7" cm="1">
        <f t="array" ref="AB13">IF(_xll.qwSecType(F13)="BondFuture",(I13*_xll.qwDelta($A$4,F13)*_xll.qwMVFactor($A$1,F13)/_xll.qwMVFactor($A$1,_xll.qwFutCTD($A$1,F13)))*(_xll.qwFXRate($A$1,F13)*_xll.qwMVFactor($A$1,_xll.qwFutCTD($A$1,F13))*(_xll.qwIncome($A$4,_xll.qwFutCTD($A$4,F13),_xll.qwBondSettle($A$4,_xll.qwFutCTD($A$4,F13)),_xll.qwBondSettle($A$1,_xll.qwFutCTD($A$1,F13)))+(_xll.qwBondDirtyPrice($A$1,_xll.qwFutCTD($A$1,F13))-_xll.qwBondDirtyPrice($A$4,_xll.qwFutCTD($A$4,F13)))-_xll.qwBondRepoFromTo($A$1,_xll.qwFutCTD($A$1,F13),_xll.qwBondSettle($A$4,_xll.qwFutCTD($A$4,F13)),_xll.qwBondSettle($A$1,_xll.qwFutCTD($A$1,F13)))))-O13,0)</f>
        <v>0</v>
      </c>
      <c r="AD13" s="11"/>
      <c r="AG13" s="17"/>
      <c r="AH13" s="17"/>
    </row>
    <row r="14" spans="1:38" s="8" customFormat="1" hidden="1" x14ac:dyDescent="0.35">
      <c r="B14" s="8" t="str">
        <v>pzhao</v>
      </c>
      <c r="C14" s="8" t="str">
        <v>MAMS</v>
      </c>
      <c r="D14" s="8" t="str">
        <v>pzhao|MAMS|RV_RATES_EUR_SWAPS-CURVE|234764845</v>
      </c>
      <c r="E14" s="8" t="str">
        <v>RV_RATES_EUR_SWAPS-CURVE</v>
      </c>
      <c r="F14" s="8" t="str">
        <v>234764845</v>
      </c>
      <c r="G14" s="8">
        <v>16.32</v>
      </c>
      <c r="H14" s="8">
        <v>0</v>
      </c>
      <c r="I14" s="8">
        <v>16.32</v>
      </c>
      <c r="J14" s="8">
        <v>0</v>
      </c>
      <c r="K14" s="8">
        <v>0</v>
      </c>
      <c r="L14" s="8">
        <v>0</v>
      </c>
      <c r="M14" s="8">
        <v>0</v>
      </c>
      <c r="N14" s="8" t="str">
        <v>SwapTrade</v>
      </c>
      <c r="O14" s="7" cm="1">
        <f t="array" ref="O14">(_xll.qwPrice($A$1,F14)-_xll.qwPrice($A$4,F14))*_xll.qwMVFactor($A$1,F14)*I14*_xll.qwFXRate($A$1,F14)</f>
        <v>322804.98811998504</v>
      </c>
      <c r="P14" s="7" cm="1">
        <f t="array" ref="P14">IF(ISNUMBER(_xll.qwDV01($A$1,F14)*I14*_xll.qwMVFactor($A$1,F14)*_xll.qwFXRate($A$1,F14)),_xll.qwDV01($A$1,F14)*I14*_xll.qwMVFactor($A$1,F14)*_xll.qwFXRate($A$1,F14),0)</f>
        <v>31933.300572215707</v>
      </c>
      <c r="Q14" s="7" cm="1">
        <f t="array" ref="Q14">IF(ISNUMBER(_xll.qwDV01($A$1,F14)*G14*_xll.qwMVFactor($A$1,F14)*_xll.qwFXRate($A$1,F14)),_xll.qwDV01($A$1,F14)*G14*_xll.qwMVFactor($A$1,F14)*_xll.qwFXRate($A$1,F14),0)</f>
        <v>31933.300572215707</v>
      </c>
      <c r="R14" s="7" cm="1">
        <f t="array" ref="R14">IF(ISNUMBER(_xll.qwDV01($A$1,F14)*J14*_xll.qwMVFactor($A$1,F14)*_xll.qwFXRate($A$1,F14)),_xll.qwDV01($A$1,F14)*J14*_xll.qwMVFactor($A$1,F14)*_xll.qwFXRate($A$1,F14),0)</f>
        <v>0</v>
      </c>
      <c r="S14" s="7" cm="1">
        <f t="array" ref="S14">IF(ISNUMBER(_xll.qwDV01($A$1,F14)*J14*_xll.qwMVFactor($A$1,F14)*_xll.qwFXRate($A$1,F14)),_xll.qwDV01($A$1,F14)*J14*_xll.qwMVFactor($A$1,F14)*_xll.qwFXRate($A$1,F14),0)</f>
        <v>0</v>
      </c>
      <c r="T14" s="7" cm="1">
        <f t="array" ref="T14">_xll.qwFXRate($A$1,F14)*J14*(_xll.qwPrice($A$1,F14)-M14)*_xll.qwMVFactor($A$1,F14)</f>
        <v>0</v>
      </c>
      <c r="U14" s="9" cm="1">
        <f t="array" ref="U14">_xll.qwYield($A$1,F14)</f>
        <v>3.4375586820097816E-2</v>
      </c>
      <c r="V14" s="9" cm="1">
        <f t="array" ref="V14">100*(_xll.qwYield($A$4,F14)-U14)</f>
        <v>0.10188141794493163</v>
      </c>
      <c r="W14" s="7">
        <f>IF(ISNA(G14*INDEX(_xll.qwTblData(_xll.qwCurveScenariosPerSecurity($A$1,F14,"Crv210")),2,2)),0,(G14*INDEX(_xll.qwTblData(_xll.qwCurveScenariosPerSecurity($A$1,F14,"Crv210")),2,2)))</f>
        <v>-97808.223713657673</v>
      </c>
      <c r="X14" s="7" cm="1">
        <f t="array" ref="X14">ABS(Q14/_xll.qwMV01($A$1,"CT10"))</f>
        <v>43.248546684948728</v>
      </c>
      <c r="Y14" s="7" cm="1">
        <f t="array" ref="Y14">IF(N14="BondFuture",-(_xll.qwCurveYield($A$1,_xll.qwSecVal($A$1,AA14,"CreditCurveName()"),AA14)-_xll.qwCurveYield($A$4,_xll.qwSecVal($A$4,AA14,"CreditCurveName()"),AA14))*P14*10000,IF(N14="Bond",-(_xll.qwCurveYield($A$1,_xll.qwSecVal($A$1,F14,"CreditCurveName()"),F14)-_xll.qwCurveYield($A$4,_xll.qwSecVal($A$4,F14,"CreditCurveName()"),F14))*P14*10000,O14))</f>
        <v>322804.98811998504</v>
      </c>
      <c r="Z14" s="7" cm="1">
        <f t="array" ref="Z14">IF(OR(N14="BondFuture",N14="Bond"),P14*(_xll.qwCurveZSpread($A$4,_xll.qwSecVal($A$1,AA14,"CreditCurveName()"),AA14)-_xll.qwCurveZSpread($A$1,_xll.qwSecVal($A$1,AA14,"CreditCurveName()"),AA14)),0)</f>
        <v>0</v>
      </c>
      <c r="AA14" s="10" cm="1">
        <f t="array" ref="AA14">IF(_xll.qwSecType(F14)="Bond",F14,IF(_xll.qwSecType(F14)="BondFuture",_xll.qwFutCTD($A$1,F14),0))</f>
        <v>0</v>
      </c>
      <c r="AB14" s="7" cm="1">
        <f t="array" ref="AB14">IF(_xll.qwSecType(F14)="BondFuture",(I14*_xll.qwDelta($A$4,F14)*_xll.qwMVFactor($A$1,F14)/_xll.qwMVFactor($A$1,_xll.qwFutCTD($A$1,F14)))*(_xll.qwFXRate($A$1,F14)*_xll.qwMVFactor($A$1,_xll.qwFutCTD($A$1,F14))*(_xll.qwIncome($A$4,_xll.qwFutCTD($A$4,F14),_xll.qwBondSettle($A$4,_xll.qwFutCTD($A$4,F14)),_xll.qwBondSettle($A$1,_xll.qwFutCTD($A$1,F14)))+(_xll.qwBondDirtyPrice($A$1,_xll.qwFutCTD($A$1,F14))-_xll.qwBondDirtyPrice($A$4,_xll.qwFutCTD($A$4,F14)))-_xll.qwBondRepoFromTo($A$1,_xll.qwFutCTD($A$1,F14),_xll.qwBondSettle($A$4,_xll.qwFutCTD($A$4,F14)),_xll.qwBondSettle($A$1,_xll.qwFutCTD($A$1,F14)))))-O14,0)</f>
        <v>0</v>
      </c>
      <c r="AD14" s="11"/>
    </row>
    <row r="15" spans="1:38" s="8" customFormat="1" hidden="1" x14ac:dyDescent="0.35">
      <c r="B15" s="8" t="str">
        <v>pzhao</v>
      </c>
      <c r="C15" s="8" t="str">
        <v>MAMS</v>
      </c>
      <c r="D15" s="8" t="str">
        <v>pzhao|MAMS|RV_RATES_EUR_SWAPS-CURVE|234804096</v>
      </c>
      <c r="E15" s="8" t="str">
        <v>RV_RATES_EUR_SWAPS-CURVE</v>
      </c>
      <c r="F15" s="8" t="str">
        <v>234804096</v>
      </c>
      <c r="G15" s="8">
        <v>27.584</v>
      </c>
      <c r="H15" s="8">
        <v>0</v>
      </c>
      <c r="I15" s="8">
        <v>27.584</v>
      </c>
      <c r="J15" s="8">
        <v>0</v>
      </c>
      <c r="K15" s="8">
        <v>0</v>
      </c>
      <c r="L15" s="8">
        <v>0</v>
      </c>
      <c r="M15" s="8">
        <v>0</v>
      </c>
      <c r="N15" s="8" t="str">
        <v>SwapTrade</v>
      </c>
      <c r="O15" s="7" cm="1">
        <f t="array" ref="O15">(_xll.qwPrice($A$1,F15)-_xll.qwPrice($A$4,F15))*_xll.qwMVFactor($A$1,F15)*I15*_xll.qwFXRate($A$1,F15)</f>
        <v>-619338.3155413483</v>
      </c>
      <c r="P15" s="7" cm="1">
        <f t="array" ref="P15">IF(ISNUMBER(_xll.qwDV01($A$1,F15)*I15*_xll.qwMVFactor($A$1,F15)*_xll.qwFXRate($A$1,F15)),_xll.qwDV01($A$1,F15)*I15*_xll.qwMVFactor($A$1,F15)*_xll.qwFXRate($A$1,F15),0)</f>
        <v>-64490.568997484457</v>
      </c>
      <c r="Q15" s="7" cm="1">
        <f t="array" ref="Q15">IF(ISNUMBER(_xll.qwDV01($A$1,F15)*G15*_xll.qwMVFactor($A$1,F15)*_xll.qwFXRate($A$1,F15)),_xll.qwDV01($A$1,F15)*G15*_xll.qwMVFactor($A$1,F15)*_xll.qwFXRate($A$1,F15),0)</f>
        <v>-64490.568997484457</v>
      </c>
      <c r="R15" s="7" cm="1">
        <f t="array" ref="R15">IF(ISNUMBER(_xll.qwDV01($A$1,F15)*J15*_xll.qwMVFactor($A$1,F15)*_xll.qwFXRate($A$1,F15)),_xll.qwDV01($A$1,F15)*J15*_xll.qwMVFactor($A$1,F15)*_xll.qwFXRate($A$1,F15),0)</f>
        <v>0</v>
      </c>
      <c r="S15" s="7" cm="1">
        <f t="array" ref="S15">IF(ISNUMBER(_xll.qwDV01($A$1,F15)*J15*_xll.qwMVFactor($A$1,F15)*_xll.qwFXRate($A$1,F15)),_xll.qwDV01($A$1,F15)*J15*_xll.qwMVFactor($A$1,F15)*_xll.qwFXRate($A$1,F15),0)</f>
        <v>0</v>
      </c>
      <c r="T15" s="7" cm="1">
        <f t="array" ref="T15">_xll.qwFXRate($A$1,F15)*J15*(_xll.qwPrice($A$1,F15)-M15)*_xll.qwMVFactor($A$1,F15)</f>
        <v>0</v>
      </c>
      <c r="U15" s="9" cm="1">
        <f t="array" ref="U15">_xll.qwYield($A$1,F15)</f>
        <v>3.2553431123072803E-2</v>
      </c>
      <c r="V15" s="9" cm="1">
        <f t="array" ref="V15">100*(_xll.qwYield($A$4,F15)-U15)</f>
        <v>9.7395363592667206E-2</v>
      </c>
      <c r="W15" s="7">
        <f>IF(ISNA(G15*INDEX(_xll.qwTblData(_xll.qwCurveScenariosPerSecurity($A$1,F15,"Crv210")),2,2)),0,(G15*INDEX(_xll.qwTblData(_xll.qwCurveScenariosPerSecurity($A$1,F15,"Crv210")),2,2)))</f>
        <v>283648.49678014615</v>
      </c>
      <c r="X15" s="7" cm="1">
        <f t="array" ref="X15">ABS(Q15/_xll.qwMV01($A$1,"CT10"))</f>
        <v>87.342157999582213</v>
      </c>
      <c r="Y15" s="7" cm="1">
        <f t="array" ref="Y15">IF(N15="BondFuture",-(_xll.qwCurveYield($A$1,_xll.qwSecVal($A$1,AA15,"CreditCurveName()"),AA15)-_xll.qwCurveYield($A$4,_xll.qwSecVal($A$4,AA15,"CreditCurveName()"),AA15))*P15*10000,IF(N15="Bond",-(_xll.qwCurveYield($A$1,_xll.qwSecVal($A$1,F15,"CreditCurveName()"),F15)-_xll.qwCurveYield($A$4,_xll.qwSecVal($A$4,F15,"CreditCurveName()"),F15))*P15*10000,O15))</f>
        <v>-619338.3155413483</v>
      </c>
      <c r="Z15" s="7" cm="1">
        <f t="array" ref="Z15">IF(OR(N15="BondFuture",N15="Bond"),P15*(_xll.qwCurveZSpread($A$4,_xll.qwSecVal($A$1,AA15,"CreditCurveName()"),AA15)-_xll.qwCurveZSpread($A$1,_xll.qwSecVal($A$1,AA15,"CreditCurveName()"),AA15)),0)</f>
        <v>0</v>
      </c>
      <c r="AA15" s="10" cm="1">
        <f t="array" ref="AA15">IF(_xll.qwSecType(F15)="Bond",F15,IF(_xll.qwSecType(F15)="BondFuture",_xll.qwFutCTD($A$1,F15),0))</f>
        <v>0</v>
      </c>
      <c r="AB15" s="7" cm="1">
        <f t="array" ref="AB15">IF(_xll.qwSecType(F15)="BondFuture",(I15*_xll.qwDelta($A$4,F15)*_xll.qwMVFactor($A$1,F15)/_xll.qwMVFactor($A$1,_xll.qwFutCTD($A$1,F15)))*(_xll.qwFXRate($A$1,F15)*_xll.qwMVFactor($A$1,_xll.qwFutCTD($A$1,F15))*(_xll.qwIncome($A$4,_xll.qwFutCTD($A$4,F15),_xll.qwBondSettle($A$4,_xll.qwFutCTD($A$4,F15)),_xll.qwBondSettle($A$1,_xll.qwFutCTD($A$1,F15)))+(_xll.qwBondDirtyPrice($A$1,_xll.qwFutCTD($A$1,F15))-_xll.qwBondDirtyPrice($A$4,_xll.qwFutCTD($A$4,F15)))-_xll.qwBondRepoFromTo($A$1,_xll.qwFutCTD($A$1,F15),_xll.qwBondSettle($A$4,_xll.qwFutCTD($A$4,F15)),_xll.qwBondSettle($A$1,_xll.qwFutCTD($A$1,F15)))))-O15,0)</f>
        <v>0</v>
      </c>
      <c r="AD15" s="11"/>
    </row>
    <row r="16" spans="1:38" s="8" customFormat="1" hidden="1" x14ac:dyDescent="0.35">
      <c r="B16" s="8" t="str">
        <v>pzhao</v>
      </c>
      <c r="C16" s="8" t="str">
        <v>MAMS</v>
      </c>
      <c r="D16" s="8" t="str">
        <v>pzhao|MAMS|RV_RATES_EUR_SWAPS-CURVE|234804098</v>
      </c>
      <c r="E16" s="8" t="str">
        <v>RV_RATES_EUR_SWAPS-CURVE</v>
      </c>
      <c r="F16" s="8" t="str">
        <v>234804098</v>
      </c>
      <c r="G16" s="8">
        <v>32.384</v>
      </c>
      <c r="H16" s="8">
        <v>0</v>
      </c>
      <c r="I16" s="8">
        <v>32.384</v>
      </c>
      <c r="J16" s="8">
        <v>0</v>
      </c>
      <c r="K16" s="8">
        <v>0</v>
      </c>
      <c r="L16" s="8">
        <v>0</v>
      </c>
      <c r="M16" s="8">
        <v>0</v>
      </c>
      <c r="N16" s="8" t="str">
        <v>SwapTrade</v>
      </c>
      <c r="O16" s="7" cm="1">
        <f t="array" ref="O16">(_xll.qwPrice($A$1,F16)-_xll.qwPrice($A$4,F16))*_xll.qwMVFactor($A$1,F16)*I16*_xll.qwFXRate($A$1,F16)</f>
        <v>636742.45128080086</v>
      </c>
      <c r="P16" s="7" cm="1">
        <f t="array" ref="P16">IF(ISNUMBER(_xll.qwDV01($A$1,F16)*I16*_xll.qwMVFactor($A$1,F16)*_xll.qwFXRate($A$1,F16)),_xll.qwDV01($A$1,F16)*I16*_xll.qwMVFactor($A$1,F16)*_xll.qwFXRate($A$1,F16),0)</f>
        <v>62914.921313898813</v>
      </c>
      <c r="Q16" s="7" cm="1">
        <f t="array" ref="Q16">IF(ISNUMBER(_xll.qwDV01($A$1,F16)*G16*_xll.qwMVFactor($A$1,F16)*_xll.qwFXRate($A$1,F16)),_xll.qwDV01($A$1,F16)*G16*_xll.qwMVFactor($A$1,F16)*_xll.qwFXRate($A$1,F16),0)</f>
        <v>62914.921313898813</v>
      </c>
      <c r="R16" s="7" cm="1">
        <f t="array" ref="R16">IF(ISNUMBER(_xll.qwDV01($A$1,F16)*J16*_xll.qwMVFactor($A$1,F16)*_xll.qwFXRate($A$1,F16)),_xll.qwDV01($A$1,F16)*J16*_xll.qwMVFactor($A$1,F16)*_xll.qwFXRate($A$1,F16),0)</f>
        <v>0</v>
      </c>
      <c r="S16" s="7" cm="1">
        <f t="array" ref="S16">IF(ISNUMBER(_xll.qwDV01($A$1,F16)*J16*_xll.qwMVFactor($A$1,F16)*_xll.qwFXRate($A$1,F16)),_xll.qwDV01($A$1,F16)*J16*_xll.qwMVFactor($A$1,F16)*_xll.qwFXRate($A$1,F16),0)</f>
        <v>0</v>
      </c>
      <c r="T16" s="7" cm="1">
        <f t="array" ref="T16">_xll.qwFXRate($A$1,F16)*J16*(_xll.qwPrice($A$1,F16)-M16)*_xll.qwMVFactor($A$1,F16)</f>
        <v>0</v>
      </c>
      <c r="U16" s="9" cm="1">
        <f t="array" ref="U16">_xll.qwYield($A$1,F16)</f>
        <v>3.4375204318679124E-2</v>
      </c>
      <c r="V16" s="9" cm="1">
        <f t="array" ref="V16">100*(_xll.qwYield($A$4,F16)-U16)</f>
        <v>0.10188021017278545</v>
      </c>
      <c r="W16" s="7">
        <f>IF(ISNA(G16*INDEX(_xll.qwTblData(_xll.qwCurveScenariosPerSecurity($A$1,F16,"Crv210")),2,2)),0,(G16*INDEX(_xll.qwTblData(_xll.qwCurveScenariosPerSecurity($A$1,F16,"Crv210")),2,2)))</f>
        <v>-193304.15594177981</v>
      </c>
      <c r="X16" s="7" cm="1">
        <f t="array" ref="X16">ABS(Q16/_xll.qwMV01($A$1,"CT10"))</f>
        <v>85.208195296651482</v>
      </c>
      <c r="Y16" s="7" cm="1">
        <f t="array" ref="Y16">IF(N16="BondFuture",-(_xll.qwCurveYield($A$1,_xll.qwSecVal($A$1,AA16,"CreditCurveName()"),AA16)-_xll.qwCurveYield($A$4,_xll.qwSecVal($A$4,AA16,"CreditCurveName()"),AA16))*P16*10000,IF(N16="Bond",-(_xll.qwCurveYield($A$1,_xll.qwSecVal($A$1,F16,"CreditCurveName()"),F16)-_xll.qwCurveYield($A$4,_xll.qwSecVal($A$4,F16,"CreditCurveName()"),F16))*P16*10000,O16))</f>
        <v>636742.45128080086</v>
      </c>
      <c r="Z16" s="7" cm="1">
        <f t="array" ref="Z16">IF(OR(N16="BondFuture",N16="Bond"),P16*(_xll.qwCurveZSpread($A$4,_xll.qwSecVal($A$1,AA16,"CreditCurveName()"),AA16)-_xll.qwCurveZSpread($A$1,_xll.qwSecVal($A$1,AA16,"CreditCurveName()"),AA16)),0)</f>
        <v>0</v>
      </c>
      <c r="AA16" s="10" cm="1">
        <f t="array" ref="AA16">IF(_xll.qwSecType(F16)="Bond",F16,IF(_xll.qwSecType(F16)="BondFuture",_xll.qwFutCTD($A$1,F16),0))</f>
        <v>0</v>
      </c>
      <c r="AB16" s="7" cm="1">
        <f t="array" ref="AB16">IF(_xll.qwSecType(F16)="BondFuture",(I16*_xll.qwDelta($A$4,F16)*_xll.qwMVFactor($A$1,F16)/_xll.qwMVFactor($A$1,_xll.qwFutCTD($A$1,F16)))*(_xll.qwFXRate($A$1,F16)*_xll.qwMVFactor($A$1,_xll.qwFutCTD($A$1,F16))*(_xll.qwIncome($A$4,_xll.qwFutCTD($A$4,F16),_xll.qwBondSettle($A$4,_xll.qwFutCTD($A$4,F16)),_xll.qwBondSettle($A$1,_xll.qwFutCTD($A$1,F16)))+(_xll.qwBondDirtyPrice($A$1,_xll.qwFutCTD($A$1,F16))-_xll.qwBondDirtyPrice($A$4,_xll.qwFutCTD($A$4,F16)))-_xll.qwBondRepoFromTo($A$1,_xll.qwFutCTD($A$1,F16),_xll.qwBondSettle($A$4,_xll.qwFutCTD($A$4,F16)),_xll.qwBondSettle($A$1,_xll.qwFutCTD($A$1,F16)))))-O16,0)</f>
        <v>0</v>
      </c>
      <c r="AD16" s="11"/>
    </row>
    <row r="17" spans="2:30" s="8" customFormat="1" hidden="1" x14ac:dyDescent="0.35">
      <c r="B17" s="8" t="str">
        <v>pzhao</v>
      </c>
      <c r="C17" s="8" t="str">
        <v>MAMS</v>
      </c>
      <c r="D17" s="8" t="str">
        <v>pzhao|MAMS|RV_RATES_EUR_SWAPS-CURVE|234804111</v>
      </c>
      <c r="E17" s="8" t="str">
        <v>RV_RATES_EUR_SWAPS-CURVE</v>
      </c>
      <c r="F17" s="8" t="str">
        <v>234804111</v>
      </c>
      <c r="G17" s="8">
        <v>16.256</v>
      </c>
      <c r="H17" s="8">
        <v>0</v>
      </c>
      <c r="I17" s="8">
        <v>16.256</v>
      </c>
      <c r="J17" s="8">
        <v>0</v>
      </c>
      <c r="K17" s="8">
        <v>0</v>
      </c>
      <c r="L17" s="8">
        <v>0</v>
      </c>
      <c r="M17" s="8">
        <v>0</v>
      </c>
      <c r="N17" s="8" t="str">
        <v>SwapTrade</v>
      </c>
      <c r="O17" s="7" cm="1">
        <f t="array" ref="O17">(_xll.qwPrice($A$1,F17)-_xll.qwPrice($A$4,F17))*_xll.qwMVFactor($A$1,F17)*I17*_xll.qwFXRate($A$1,F17)</f>
        <v>319526.68917513289</v>
      </c>
      <c r="P17" s="7" cm="1">
        <f t="array" ref="P17">IF(ISNUMBER(_xll.qwDV01($A$1,F17)*I17*_xll.qwMVFactor($A$1,F17)*_xll.qwFXRate($A$1,F17)),_xll.qwDV01($A$1,F17)*I17*_xll.qwMVFactor($A$1,F17)*_xll.qwFXRate($A$1,F17),0)</f>
        <v>31571.209556747988</v>
      </c>
      <c r="Q17" s="7" cm="1">
        <f t="array" ref="Q17">IF(ISNUMBER(_xll.qwDV01($A$1,F17)*G17*_xll.qwMVFactor($A$1,F17)*_xll.qwFXRate($A$1,F17)),_xll.qwDV01($A$1,F17)*G17*_xll.qwMVFactor($A$1,F17)*_xll.qwFXRate($A$1,F17),0)</f>
        <v>31571.209556747988</v>
      </c>
      <c r="R17" s="7" cm="1">
        <f t="array" ref="R17">IF(ISNUMBER(_xll.qwDV01($A$1,F17)*J17*_xll.qwMVFactor($A$1,F17)*_xll.qwFXRate($A$1,F17)),_xll.qwDV01($A$1,F17)*J17*_xll.qwMVFactor($A$1,F17)*_xll.qwFXRate($A$1,F17),0)</f>
        <v>0</v>
      </c>
      <c r="S17" s="7" cm="1">
        <f t="array" ref="S17">IF(ISNUMBER(_xll.qwDV01($A$1,F17)*J17*_xll.qwMVFactor($A$1,F17)*_xll.qwFXRate($A$1,F17)),_xll.qwDV01($A$1,F17)*J17*_xll.qwMVFactor($A$1,F17)*_xll.qwFXRate($A$1,F17),0)</f>
        <v>0</v>
      </c>
      <c r="T17" s="7" cm="1">
        <f t="array" ref="T17">_xll.qwFXRate($A$1,F17)*J17*(_xll.qwPrice($A$1,F17)-M17)*_xll.qwMVFactor($A$1,F17)</f>
        <v>0</v>
      </c>
      <c r="U17" s="9" cm="1">
        <f t="array" ref="U17">_xll.qwYield($A$1,F17)</f>
        <v>3.4375204318679124E-2</v>
      </c>
      <c r="V17" s="9" cm="1">
        <f t="array" ref="V17">100*(_xll.qwYield($A$4,F17)-U17)</f>
        <v>0.10188021017278545</v>
      </c>
      <c r="W17" s="7">
        <f>IF(ISNA(G17*INDEX(_xll.qwTblData(_xll.qwCurveScenariosPerSecurity($A$1,F17,"Crv210")),2,2)),0,(G17*INDEX(_xll.qwTblData(_xll.qwCurveScenariosPerSecurity($A$1,F17,"Crv210")),2,2)))</f>
        <v>-97013.898518981921</v>
      </c>
      <c r="X17" s="7" cm="1">
        <f t="array" ref="X17">ABS(Q17/_xll.qwMV01($A$1,"CT10"))</f>
        <v>42.758152334660949</v>
      </c>
      <c r="Y17" s="7" cm="1">
        <f t="array" ref="Y17">IF(N17="BondFuture",-(_xll.qwCurveYield($A$1,_xll.qwSecVal($A$1,AA17,"CreditCurveName()"),AA17)-_xll.qwCurveYield($A$4,_xll.qwSecVal($A$4,AA17,"CreditCurveName()"),AA17))*P17*10000,IF(N17="Bond",-(_xll.qwCurveYield($A$1,_xll.qwSecVal($A$1,F17,"CreditCurveName()"),F17)-_xll.qwCurveYield($A$4,_xll.qwSecVal($A$4,F17,"CreditCurveName()"),F17))*P17*10000,O17))</f>
        <v>319526.68917513289</v>
      </c>
      <c r="Z17" s="7" cm="1">
        <f t="array" ref="Z17">IF(OR(N17="BondFuture",N17="Bond"),P17*(_xll.qwCurveZSpread($A$4,_xll.qwSecVal($A$1,AA17,"CreditCurveName()"),AA17)-_xll.qwCurveZSpread($A$1,_xll.qwSecVal($A$1,AA17,"CreditCurveName()"),AA17)),0)</f>
        <v>0</v>
      </c>
      <c r="AA17" s="10" cm="1">
        <f t="array" ref="AA17">IF(_xll.qwSecType(F17)="Bond",F17,IF(_xll.qwSecType(F17)="BondFuture",_xll.qwFutCTD($A$1,F17),0))</f>
        <v>0</v>
      </c>
      <c r="AB17" s="7" cm="1">
        <f t="array" ref="AB17">IF(_xll.qwSecType(F17)="BondFuture",(I17*_xll.qwDelta($A$4,F17)*_xll.qwMVFactor($A$1,F17)/_xll.qwMVFactor($A$1,_xll.qwFutCTD($A$1,F17)))*(_xll.qwFXRate($A$1,F17)*_xll.qwMVFactor($A$1,_xll.qwFutCTD($A$1,F17))*(_xll.qwIncome($A$4,_xll.qwFutCTD($A$4,F17),_xll.qwBondSettle($A$4,_xll.qwFutCTD($A$4,F17)),_xll.qwBondSettle($A$1,_xll.qwFutCTD($A$1,F17)))+(_xll.qwBondDirtyPrice($A$1,_xll.qwFutCTD($A$1,F17))-_xll.qwBondDirtyPrice($A$4,_xll.qwFutCTD($A$4,F17)))-_xll.qwBondRepoFromTo($A$1,_xll.qwFutCTD($A$1,F17),_xll.qwBondSettle($A$4,_xll.qwFutCTD($A$4,F17)),_xll.qwBondSettle($A$1,_xll.qwFutCTD($A$1,F17)))))-O17,0)</f>
        <v>0</v>
      </c>
      <c r="AD17" s="11"/>
    </row>
    <row r="18" spans="2:30" s="8" customFormat="1" hidden="1" x14ac:dyDescent="0.35">
      <c r="B18" s="8" t="str">
        <v>pzhao</v>
      </c>
      <c r="C18" s="8" t="str">
        <v>MAMS</v>
      </c>
      <c r="D18" s="8" t="str">
        <v>pzhao|MAMS|RV_RATES_EUR_SWAPS-CURVE|234804137</v>
      </c>
      <c r="E18" s="8" t="str">
        <v>RV_RATES_EUR_SWAPS-CURVE</v>
      </c>
      <c r="F18" s="8" t="str">
        <v>234804137</v>
      </c>
      <c r="G18" s="8">
        <v>16.256</v>
      </c>
      <c r="H18" s="8">
        <v>0</v>
      </c>
      <c r="I18" s="8">
        <v>16.256</v>
      </c>
      <c r="J18" s="8">
        <v>0</v>
      </c>
      <c r="K18" s="8">
        <v>0</v>
      </c>
      <c r="L18" s="8">
        <v>0</v>
      </c>
      <c r="M18" s="8">
        <v>0</v>
      </c>
      <c r="N18" s="8" t="str">
        <v>SwapTrade</v>
      </c>
      <c r="O18" s="7" cm="1">
        <f t="array" ref="O18">(_xll.qwPrice($A$1,F18)-_xll.qwPrice($A$4,F18))*_xll.qwMVFactor($A$1,F18)*I18*_xll.qwFXRate($A$1,F18)</f>
        <v>319821.85813673039</v>
      </c>
      <c r="P18" s="7" cm="1">
        <f t="array" ref="P18">IF(ISNUMBER(_xll.qwDV01($A$1,F18)*I18*_xll.qwMVFactor($A$1,F18)*_xll.qwFXRate($A$1,F18)),_xll.qwDV01($A$1,F18)*I18*_xll.qwMVFactor($A$1,F18)*_xll.qwFXRate($A$1,F18),0)</f>
        <v>31601.577692272826</v>
      </c>
      <c r="Q18" s="7" cm="1">
        <f t="array" ref="Q18">IF(ISNUMBER(_xll.qwDV01($A$1,F18)*G18*_xll.qwMVFactor($A$1,F18)*_xll.qwFXRate($A$1,F18)),_xll.qwDV01($A$1,F18)*G18*_xll.qwMVFactor($A$1,F18)*_xll.qwFXRate($A$1,F18),0)</f>
        <v>31601.577692272826</v>
      </c>
      <c r="R18" s="7" cm="1">
        <f t="array" ref="R18">IF(ISNUMBER(_xll.qwDV01($A$1,F18)*J18*_xll.qwMVFactor($A$1,F18)*_xll.qwFXRate($A$1,F18)),_xll.qwDV01($A$1,F18)*J18*_xll.qwMVFactor($A$1,F18)*_xll.qwFXRate($A$1,F18),0)</f>
        <v>0</v>
      </c>
      <c r="S18" s="7" cm="1">
        <f t="array" ref="S18">IF(ISNUMBER(_xll.qwDV01($A$1,F18)*J18*_xll.qwMVFactor($A$1,F18)*_xll.qwFXRate($A$1,F18)),_xll.qwDV01($A$1,F18)*J18*_xll.qwMVFactor($A$1,F18)*_xll.qwFXRate($A$1,F18),0)</f>
        <v>0</v>
      </c>
      <c r="T18" s="7" cm="1">
        <f t="array" ref="T18">_xll.qwFXRate($A$1,F18)*J18*(_xll.qwPrice($A$1,F18)-M18)*_xll.qwMVFactor($A$1,F18)</f>
        <v>0</v>
      </c>
      <c r="U18" s="9" cm="1">
        <f t="array" ref="U18">_xll.qwYield($A$1,F18)</f>
        <v>3.4375204318679124E-2</v>
      </c>
      <c r="V18" s="9" cm="1">
        <f t="array" ref="V18">100*(_xll.qwYield($A$4,F18)-U18)</f>
        <v>0.10188021017278545</v>
      </c>
      <c r="W18" s="7">
        <f>IF(ISNA(G18*INDEX(_xll.qwTblData(_xll.qwCurveScenariosPerSecurity($A$1,F18,"Crv210")),2,2)),0,(G18*INDEX(_xll.qwTblData(_xll.qwCurveScenariosPerSecurity($A$1,F18,"Crv210")),2,2)))</f>
        <v>-97071.758852846644</v>
      </c>
      <c r="X18" s="7" cm="1">
        <f t="array" ref="X18">ABS(Q18/_xll.qwMV01($A$1,"CT10"))</f>
        <v>42.799281115696608</v>
      </c>
      <c r="Y18" s="7" cm="1">
        <f t="array" ref="Y18">IF(N18="BondFuture",-(_xll.qwCurveYield($A$1,_xll.qwSecVal($A$1,AA18,"CreditCurveName()"),AA18)-_xll.qwCurveYield($A$4,_xll.qwSecVal($A$4,AA18,"CreditCurveName()"),AA18))*P18*10000,IF(N18="Bond",-(_xll.qwCurveYield($A$1,_xll.qwSecVal($A$1,F18,"CreditCurveName()"),F18)-_xll.qwCurveYield($A$4,_xll.qwSecVal($A$4,F18,"CreditCurveName()"),F18))*P18*10000,O18))</f>
        <v>319821.85813673039</v>
      </c>
      <c r="Z18" s="7" cm="1">
        <f t="array" ref="Z18">IF(OR(N18="BondFuture",N18="Bond"),P18*(_xll.qwCurveZSpread($A$4,_xll.qwSecVal($A$1,AA18,"CreditCurveName()"),AA18)-_xll.qwCurveZSpread($A$1,_xll.qwSecVal($A$1,AA18,"CreditCurveName()"),AA18)),0)</f>
        <v>0</v>
      </c>
      <c r="AA18" s="10" cm="1">
        <f t="array" ref="AA18">IF(_xll.qwSecType(F18)="Bond",F18,IF(_xll.qwSecType(F18)="BondFuture",_xll.qwFutCTD($A$1,F18),0))</f>
        <v>0</v>
      </c>
      <c r="AB18" s="7" cm="1">
        <f t="array" ref="AB18">IF(_xll.qwSecType(F18)="BondFuture",(I18*_xll.qwDelta($A$4,F18)*_xll.qwMVFactor($A$1,F18)/_xll.qwMVFactor($A$1,_xll.qwFutCTD($A$1,F18)))*(_xll.qwFXRate($A$1,F18)*_xll.qwMVFactor($A$1,_xll.qwFutCTD($A$1,F18))*(_xll.qwIncome($A$4,_xll.qwFutCTD($A$4,F18),_xll.qwBondSettle($A$4,_xll.qwFutCTD($A$4,F18)),_xll.qwBondSettle($A$1,_xll.qwFutCTD($A$1,F18)))+(_xll.qwBondDirtyPrice($A$1,_xll.qwFutCTD($A$1,F18))-_xll.qwBondDirtyPrice($A$4,_xll.qwFutCTD($A$4,F18)))-_xll.qwBondRepoFromTo($A$1,_xll.qwFutCTD($A$1,F18),_xll.qwBondSettle($A$4,_xll.qwFutCTD($A$4,F18)),_xll.qwBondSettle($A$1,_xll.qwFutCTD($A$1,F18)))))-O18,0)</f>
        <v>0</v>
      </c>
      <c r="AD18" s="11"/>
    </row>
    <row r="19" spans="2:30" s="8" customFormat="1" hidden="1" x14ac:dyDescent="0.35">
      <c r="B19" s="8" t="str">
        <v>pzhao</v>
      </c>
      <c r="C19" s="8" t="str">
        <v>MAMS</v>
      </c>
      <c r="D19" s="8" t="str">
        <v>pzhao|MAMS|RV_RATES_EUR_SWAPS-CURVE|234804146</v>
      </c>
      <c r="E19" s="8" t="str">
        <v>RV_RATES_EUR_SWAPS-CURVE</v>
      </c>
      <c r="F19" s="8" t="str">
        <v>234804146</v>
      </c>
      <c r="G19" s="8">
        <v>27.584</v>
      </c>
      <c r="H19" s="8">
        <v>0</v>
      </c>
      <c r="I19" s="8">
        <v>27.584</v>
      </c>
      <c r="J19" s="8">
        <v>0</v>
      </c>
      <c r="K19" s="8">
        <v>0</v>
      </c>
      <c r="L19" s="8">
        <v>0</v>
      </c>
      <c r="M19" s="8">
        <v>0</v>
      </c>
      <c r="N19" s="8" t="str">
        <v>SwapTrade</v>
      </c>
      <c r="O19" s="7" cm="1">
        <f t="array" ref="O19">(_xll.qwPrice($A$1,F19)-_xll.qwPrice($A$4,F19))*_xll.qwMVFactor($A$1,F19)*I19*_xll.qwFXRate($A$1,F19)</f>
        <v>-619611.83292598883</v>
      </c>
      <c r="P19" s="7" cm="1">
        <f t="array" ref="P19">IF(ISNUMBER(_xll.qwDV01($A$1,F19)*I19*_xll.qwMVFactor($A$1,F19)*_xll.qwFXRate($A$1,F19)),_xll.qwDV01($A$1,F19)*I19*_xll.qwMVFactor($A$1,F19)*_xll.qwFXRate($A$1,F19),0)</f>
        <v>-64517.945435218673</v>
      </c>
      <c r="Q19" s="7" cm="1">
        <f t="array" ref="Q19">IF(ISNUMBER(_xll.qwDV01($A$1,F19)*G19*_xll.qwMVFactor($A$1,F19)*_xll.qwFXRate($A$1,F19)),_xll.qwDV01($A$1,F19)*G19*_xll.qwMVFactor($A$1,F19)*_xll.qwFXRate($A$1,F19),0)</f>
        <v>-64517.945435218673</v>
      </c>
      <c r="R19" s="7" cm="1">
        <f t="array" ref="R19">IF(ISNUMBER(_xll.qwDV01($A$1,F19)*J19*_xll.qwMVFactor($A$1,F19)*_xll.qwFXRate($A$1,F19)),_xll.qwDV01($A$1,F19)*J19*_xll.qwMVFactor($A$1,F19)*_xll.qwFXRate($A$1,F19),0)</f>
        <v>0</v>
      </c>
      <c r="S19" s="7" cm="1">
        <f t="array" ref="S19">IF(ISNUMBER(_xll.qwDV01($A$1,F19)*J19*_xll.qwMVFactor($A$1,F19)*_xll.qwFXRate($A$1,F19)),_xll.qwDV01($A$1,F19)*J19*_xll.qwMVFactor($A$1,F19)*_xll.qwFXRate($A$1,F19),0)</f>
        <v>0</v>
      </c>
      <c r="T19" s="7" cm="1">
        <f t="array" ref="T19">_xll.qwFXRate($A$1,F19)*J19*(_xll.qwPrice($A$1,F19)-M19)*_xll.qwMVFactor($A$1,F19)</f>
        <v>0</v>
      </c>
      <c r="U19" s="9" cm="1">
        <f t="array" ref="U19">_xll.qwYield($A$1,F19)</f>
        <v>3.2553431123072803E-2</v>
      </c>
      <c r="V19" s="9" cm="1">
        <f t="array" ref="V19">100*(_xll.qwYield($A$4,F19)-U19)</f>
        <v>9.7395363592667206E-2</v>
      </c>
      <c r="W19" s="7">
        <f>IF(ISNA(G19*INDEX(_xll.qwTblData(_xll.qwCurveScenariosPerSecurity($A$1,F19,"Crv210")),2,2)),0,(G19*INDEX(_xll.qwTblData(_xll.qwCurveScenariosPerSecurity($A$1,F19,"Crv210")),2,2)))</f>
        <v>283676.31800661946</v>
      </c>
      <c r="X19" s="7" cm="1">
        <f t="array" ref="X19">ABS(Q19/_xll.qwMV01($A$1,"CT10"))</f>
        <v>87.379235004595785</v>
      </c>
      <c r="Y19" s="7" cm="1">
        <f t="array" ref="Y19">IF(N19="BondFuture",-(_xll.qwCurveYield($A$1,_xll.qwSecVal($A$1,AA19,"CreditCurveName()"),AA19)-_xll.qwCurveYield($A$4,_xll.qwSecVal($A$4,AA19,"CreditCurveName()"),AA19))*P19*10000,IF(N19="Bond",-(_xll.qwCurveYield($A$1,_xll.qwSecVal($A$1,F19,"CreditCurveName()"),F19)-_xll.qwCurveYield($A$4,_xll.qwSecVal($A$4,F19,"CreditCurveName()"),F19))*P19*10000,O19))</f>
        <v>-619611.83292598883</v>
      </c>
      <c r="Z19" s="7" cm="1">
        <f t="array" ref="Z19">IF(OR(N19="BondFuture",N19="Bond"),P19*(_xll.qwCurveZSpread($A$4,_xll.qwSecVal($A$1,AA19,"CreditCurveName()"),AA19)-_xll.qwCurveZSpread($A$1,_xll.qwSecVal($A$1,AA19,"CreditCurveName()"),AA19)),0)</f>
        <v>0</v>
      </c>
      <c r="AA19" s="10" cm="1">
        <f t="array" ref="AA19">IF(_xll.qwSecType(F19)="Bond",F19,IF(_xll.qwSecType(F19)="BondFuture",_xll.qwFutCTD($A$1,F19),0))</f>
        <v>0</v>
      </c>
      <c r="AB19" s="7" cm="1">
        <f t="array" ref="AB19">IF(_xll.qwSecType(F19)="BondFuture",(I19*_xll.qwDelta($A$4,F19)*_xll.qwMVFactor($A$1,F19)/_xll.qwMVFactor($A$1,_xll.qwFutCTD($A$1,F19)))*(_xll.qwFXRate($A$1,F19)*_xll.qwMVFactor($A$1,_xll.qwFutCTD($A$1,F19))*(_xll.qwIncome($A$4,_xll.qwFutCTD($A$4,F19),_xll.qwBondSettle($A$4,_xll.qwFutCTD($A$4,F19)),_xll.qwBondSettle($A$1,_xll.qwFutCTD($A$1,F19)))+(_xll.qwBondDirtyPrice($A$1,_xll.qwFutCTD($A$1,F19))-_xll.qwBondDirtyPrice($A$4,_xll.qwFutCTD($A$4,F19)))-_xll.qwBondRepoFromTo($A$1,_xll.qwFutCTD($A$1,F19),_xll.qwBondSettle($A$4,_xll.qwFutCTD($A$4,F19)),_xll.qwBondSettle($A$1,_xll.qwFutCTD($A$1,F19)))))-O19,0)</f>
        <v>0</v>
      </c>
      <c r="AD19" s="11"/>
    </row>
    <row r="20" spans="2:30" s="8" customFormat="1" hidden="1" x14ac:dyDescent="0.35">
      <c r="B20" s="8" t="str">
        <v>pzhao</v>
      </c>
      <c r="C20" s="8" t="str">
        <v>MAMS</v>
      </c>
      <c r="D20" s="8" t="str">
        <v>pzhao|MAMS|RV_RATES_EUR_SWAPS-CURVE|234804147</v>
      </c>
      <c r="E20" s="8" t="str">
        <v>RV_RATES_EUR_SWAPS-CURVE</v>
      </c>
      <c r="F20" s="8" t="str">
        <v>234804147</v>
      </c>
      <c r="G20" s="8">
        <v>32.384</v>
      </c>
      <c r="H20" s="8">
        <v>0</v>
      </c>
      <c r="I20" s="8">
        <v>32.384</v>
      </c>
      <c r="J20" s="8">
        <v>0</v>
      </c>
      <c r="K20" s="8">
        <v>0</v>
      </c>
      <c r="L20" s="8">
        <v>0</v>
      </c>
      <c r="M20" s="8">
        <v>0</v>
      </c>
      <c r="N20" s="8" t="str">
        <v>SwapTrade</v>
      </c>
      <c r="O20" s="7" cm="1">
        <f t="array" ref="O20">(_xll.qwPrice($A$1,F20)-_xll.qwPrice($A$4,F20))*_xll.qwMVFactor($A$1,F20)*I20*_xll.qwFXRate($A$1,F20)</f>
        <v>636920.40281291155</v>
      </c>
      <c r="P20" s="7" cm="1">
        <f t="array" ref="P20">IF(ISNUMBER(_xll.qwDV01($A$1,F20)*I20*_xll.qwMVFactor($A$1,F20)*_xll.qwFXRate($A$1,F20)),_xll.qwDV01($A$1,F20)*I20*_xll.qwMVFactor($A$1,F20)*_xll.qwFXRate($A$1,F20),0)</f>
        <v>62933.229662495163</v>
      </c>
      <c r="Q20" s="7" cm="1">
        <f t="array" ref="Q20">IF(ISNUMBER(_xll.qwDV01($A$1,F20)*G20*_xll.qwMVFactor($A$1,F20)*_xll.qwFXRate($A$1,F20)),_xll.qwDV01($A$1,F20)*G20*_xll.qwMVFactor($A$1,F20)*_xll.qwFXRate($A$1,F20),0)</f>
        <v>62933.229662495163</v>
      </c>
      <c r="R20" s="7" cm="1">
        <f t="array" ref="R20">IF(ISNUMBER(_xll.qwDV01($A$1,F20)*J20*_xll.qwMVFactor($A$1,F20)*_xll.qwFXRate($A$1,F20)),_xll.qwDV01($A$1,F20)*J20*_xll.qwMVFactor($A$1,F20)*_xll.qwFXRate($A$1,F20),0)</f>
        <v>0</v>
      </c>
      <c r="S20" s="7" cm="1">
        <f t="array" ref="S20">IF(ISNUMBER(_xll.qwDV01($A$1,F20)*J20*_xll.qwMVFactor($A$1,F20)*_xll.qwFXRate($A$1,F20)),_xll.qwDV01($A$1,F20)*J20*_xll.qwMVFactor($A$1,F20)*_xll.qwFXRate($A$1,F20),0)</f>
        <v>0</v>
      </c>
      <c r="T20" s="7" cm="1">
        <f t="array" ref="T20">_xll.qwFXRate($A$1,F20)*J20*(_xll.qwPrice($A$1,F20)-M20)*_xll.qwMVFactor($A$1,F20)</f>
        <v>0</v>
      </c>
      <c r="U20" s="9" cm="1">
        <f t="array" ref="U20">_xll.qwYield($A$1,F20)</f>
        <v>3.4375204318679124E-2</v>
      </c>
      <c r="V20" s="9" cm="1">
        <f t="array" ref="V20">100*(_xll.qwYield($A$4,F20)-U20)</f>
        <v>0.10188021017278545</v>
      </c>
      <c r="W20" s="7">
        <f>IF(ISNA(G20*INDEX(_xll.qwTblData(_xll.qwCurveScenariosPerSecurity($A$1,F20,"Crv210")),2,2)),0,(G20*INDEX(_xll.qwTblData(_xll.qwCurveScenariosPerSecurity($A$1,F20,"Crv210")),2,2)))</f>
        <v>-192420.87564826768</v>
      </c>
      <c r="X20" s="7" cm="1">
        <f t="array" ref="X20">ABS(Q20/_xll.qwMV01($A$1,"CT10"))</f>
        <v>85.232991025711897</v>
      </c>
      <c r="Y20" s="7" cm="1">
        <f t="array" ref="Y20">IF(N20="BondFuture",-(_xll.qwCurveYield($A$1,_xll.qwSecVal($A$1,AA20,"CreditCurveName()"),AA20)-_xll.qwCurveYield($A$4,_xll.qwSecVal($A$4,AA20,"CreditCurveName()"),AA20))*P20*10000,IF(N20="Bond",-(_xll.qwCurveYield($A$1,_xll.qwSecVal($A$1,F20,"CreditCurveName()"),F20)-_xll.qwCurveYield($A$4,_xll.qwSecVal($A$4,F20,"CreditCurveName()"),F20))*P20*10000,O20))</f>
        <v>636920.40281291155</v>
      </c>
      <c r="Z20" s="7" cm="1">
        <f t="array" ref="Z20">IF(OR(N20="BondFuture",N20="Bond"),P20*(_xll.qwCurveZSpread($A$4,_xll.qwSecVal($A$1,AA20,"CreditCurveName()"),AA20)-_xll.qwCurveZSpread($A$1,_xll.qwSecVal($A$1,AA20,"CreditCurveName()"),AA20)),0)</f>
        <v>0</v>
      </c>
      <c r="AA20" s="10" cm="1">
        <f t="array" ref="AA20">IF(_xll.qwSecType(F20)="Bond",F20,IF(_xll.qwSecType(F20)="BondFuture",_xll.qwFutCTD($A$1,F20),0))</f>
        <v>0</v>
      </c>
      <c r="AB20" s="7" cm="1">
        <f t="array" ref="AB20">IF(_xll.qwSecType(F20)="BondFuture",(I20*_xll.qwDelta($A$4,F20)*_xll.qwMVFactor($A$1,F20)/_xll.qwMVFactor($A$1,_xll.qwFutCTD($A$1,F20)))*(_xll.qwFXRate($A$1,F20)*_xll.qwMVFactor($A$1,_xll.qwFutCTD($A$1,F20))*(_xll.qwIncome($A$4,_xll.qwFutCTD($A$4,F20),_xll.qwBondSettle($A$4,_xll.qwFutCTD($A$4,F20)),_xll.qwBondSettle($A$1,_xll.qwFutCTD($A$1,F20)))+(_xll.qwBondDirtyPrice($A$1,_xll.qwFutCTD($A$1,F20))-_xll.qwBondDirtyPrice($A$4,_xll.qwFutCTD($A$4,F20)))-_xll.qwBondRepoFromTo($A$1,_xll.qwFutCTD($A$1,F20),_xll.qwBondSettle($A$4,_xll.qwFutCTD($A$4,F20)),_xll.qwBondSettle($A$1,_xll.qwFutCTD($A$1,F20)))))-O20,0)</f>
        <v>0</v>
      </c>
      <c r="AD20" s="11"/>
    </row>
    <row r="21" spans="2:30" s="8" customFormat="1" hidden="1" x14ac:dyDescent="0.35">
      <c r="B21" s="8" t="str">
        <v>pzhao</v>
      </c>
      <c r="C21" s="8" t="str">
        <v>MAMS</v>
      </c>
      <c r="D21" s="8" t="str">
        <v>pzhao|MAMS|RV_RATES_EUR_SWAPS-CURVE|234811020</v>
      </c>
      <c r="E21" s="8" t="str">
        <v>RV_RATES_EUR_SWAPS-CURVE</v>
      </c>
      <c r="F21" s="8" t="str">
        <v>234811020</v>
      </c>
      <c r="G21" s="8">
        <v>16.256</v>
      </c>
      <c r="H21" s="8">
        <v>0</v>
      </c>
      <c r="I21" s="8">
        <v>16.256</v>
      </c>
      <c r="J21" s="8">
        <v>0</v>
      </c>
      <c r="K21" s="8">
        <v>0</v>
      </c>
      <c r="L21" s="8">
        <v>0</v>
      </c>
      <c r="M21" s="8">
        <v>0</v>
      </c>
      <c r="N21" s="8" t="str">
        <v>SwapTrade</v>
      </c>
      <c r="O21" s="7" cm="1">
        <f t="array" ref="O21">(_xll.qwPrice($A$1,F21)-_xll.qwPrice($A$4,F21))*_xll.qwMVFactor($A$1,F21)*I21*_xll.qwFXRate($A$1,F21)</f>
        <v>320102.65703094687</v>
      </c>
      <c r="P21" s="7" cm="1">
        <f t="array" ref="P21">IF(ISNUMBER(_xll.qwDV01($A$1,F21)*I21*_xll.qwMVFactor($A$1,F21)*_xll.qwFXRate($A$1,F21)),_xll.qwDV01($A$1,F21)*I21*_xll.qwMVFactor($A$1,F21)*_xll.qwFXRate($A$1,F21),0)</f>
        <v>31630.467379142243</v>
      </c>
      <c r="Q21" s="7" cm="1">
        <f t="array" ref="Q21">IF(ISNUMBER(_xll.qwDV01($A$1,F21)*G21*_xll.qwMVFactor($A$1,F21)*_xll.qwFXRate($A$1,F21)),_xll.qwDV01($A$1,F21)*G21*_xll.qwMVFactor($A$1,F21)*_xll.qwFXRate($A$1,F21),0)</f>
        <v>31630.467379142243</v>
      </c>
      <c r="R21" s="7" cm="1">
        <f t="array" ref="R21">IF(ISNUMBER(_xll.qwDV01($A$1,F21)*J21*_xll.qwMVFactor($A$1,F21)*_xll.qwFXRate($A$1,F21)),_xll.qwDV01($A$1,F21)*J21*_xll.qwMVFactor($A$1,F21)*_xll.qwFXRate($A$1,F21),0)</f>
        <v>0</v>
      </c>
      <c r="S21" s="7" cm="1">
        <f t="array" ref="S21">IF(ISNUMBER(_xll.qwDV01($A$1,F21)*J21*_xll.qwMVFactor($A$1,F21)*_xll.qwFXRate($A$1,F21)),_xll.qwDV01($A$1,F21)*J21*_xll.qwMVFactor($A$1,F21)*_xll.qwFXRate($A$1,F21),0)</f>
        <v>0</v>
      </c>
      <c r="T21" s="7" cm="1">
        <f t="array" ref="T21">_xll.qwFXRate($A$1,F21)*J21*(_xll.qwPrice($A$1,F21)-M21)*_xll.qwMVFactor($A$1,F21)</f>
        <v>0</v>
      </c>
      <c r="U21" s="9" cm="1">
        <f t="array" ref="U21">_xll.qwYield($A$1,F21)</f>
        <v>3.4375204318679124E-2</v>
      </c>
      <c r="V21" s="9" cm="1">
        <f t="array" ref="V21">100*(_xll.qwYield($A$4,F21)-U21)</f>
        <v>0.10188021017278545</v>
      </c>
      <c r="W21" s="7">
        <f>IF(ISNA(G21*INDEX(_xll.qwTblData(_xll.qwCurveScenariosPerSecurity($A$1,F21,"Crv210")),2,2)),0,(G21*INDEX(_xll.qwTblData(_xll.qwCurveScenariosPerSecurity($A$1,F21,"Crv210")),2,2)))</f>
        <v>-96660.282212187987</v>
      </c>
      <c r="X21" s="7" cm="1">
        <f t="array" ref="X21">ABS(Q21/_xll.qwMV01($A$1,"CT10"))</f>
        <v>42.838407574562332</v>
      </c>
      <c r="Y21" s="7" cm="1">
        <f t="array" ref="Y21">IF(N21="BondFuture",-(_xll.qwCurveYield($A$1,_xll.qwSecVal($A$1,AA21,"CreditCurveName()"),AA21)-_xll.qwCurveYield($A$4,_xll.qwSecVal($A$4,AA21,"CreditCurveName()"),AA21))*P21*10000,IF(N21="Bond",-(_xll.qwCurveYield($A$1,_xll.qwSecVal($A$1,F21,"CreditCurveName()"),F21)-_xll.qwCurveYield($A$4,_xll.qwSecVal($A$4,F21,"CreditCurveName()"),F21))*P21*10000,O21))</f>
        <v>320102.65703094687</v>
      </c>
      <c r="Z21" s="7" cm="1">
        <f t="array" ref="Z21">IF(OR(N21="BondFuture",N21="Bond"),P21*(_xll.qwCurveZSpread($A$4,_xll.qwSecVal($A$1,AA21,"CreditCurveName()"),AA21)-_xll.qwCurveZSpread($A$1,_xll.qwSecVal($A$1,AA21,"CreditCurveName()"),AA21)),0)</f>
        <v>0</v>
      </c>
      <c r="AA21" s="10" cm="1">
        <f t="array" ref="AA21">IF(_xll.qwSecType(F21)="Bond",F21,IF(_xll.qwSecType(F21)="BondFuture",_xll.qwFutCTD($A$1,F21),0))</f>
        <v>0</v>
      </c>
      <c r="AB21" s="7" cm="1">
        <f t="array" ref="AB21">IF(_xll.qwSecType(F21)="BondFuture",(I21*_xll.qwDelta($A$4,F21)*_xll.qwMVFactor($A$1,F21)/_xll.qwMVFactor($A$1,_xll.qwFutCTD($A$1,F21)))*(_xll.qwFXRate($A$1,F21)*_xll.qwMVFactor($A$1,_xll.qwFutCTD($A$1,F21))*(_xll.qwIncome($A$4,_xll.qwFutCTD($A$4,F21),_xll.qwBondSettle($A$4,_xll.qwFutCTD($A$4,F21)),_xll.qwBondSettle($A$1,_xll.qwFutCTD($A$1,F21)))+(_xll.qwBondDirtyPrice($A$1,_xll.qwFutCTD($A$1,F21))-_xll.qwBondDirtyPrice($A$4,_xll.qwFutCTD($A$4,F21)))-_xll.qwBondRepoFromTo($A$1,_xll.qwFutCTD($A$1,F21),_xll.qwBondSettle($A$4,_xll.qwFutCTD($A$4,F21)),_xll.qwBondSettle($A$1,_xll.qwFutCTD($A$1,F21)))))-O21,0)</f>
        <v>0</v>
      </c>
      <c r="AD21" s="11"/>
    </row>
    <row r="22" spans="2:30" s="8" customFormat="1" hidden="1" x14ac:dyDescent="0.35">
      <c r="B22" s="8" t="str">
        <v>pzhao</v>
      </c>
      <c r="C22" s="8" t="str">
        <v>MAMS</v>
      </c>
      <c r="D22" s="8" t="str">
        <v>pzhao|MAMS|RV_RATES_EUR_SWAPS-CURVE|234811094</v>
      </c>
      <c r="E22" s="8" t="str">
        <v>RV_RATES_EUR_SWAPS-CURVE</v>
      </c>
      <c r="F22" s="8" t="str">
        <v>234811094</v>
      </c>
      <c r="G22" s="8">
        <v>16.192</v>
      </c>
      <c r="H22" s="8">
        <v>0</v>
      </c>
      <c r="I22" s="8">
        <v>16.192</v>
      </c>
      <c r="J22" s="8">
        <v>0</v>
      </c>
      <c r="K22" s="8">
        <v>0</v>
      </c>
      <c r="L22" s="8">
        <v>0</v>
      </c>
      <c r="M22" s="8">
        <v>0</v>
      </c>
      <c r="N22" s="8" t="str">
        <v>SwapTrade</v>
      </c>
      <c r="O22" s="7" cm="1">
        <f t="array" ref="O22">(_xll.qwPrice($A$1,F22)-_xll.qwPrice($A$4,F22))*_xll.qwMVFactor($A$1,F22)*I22*_xll.qwFXRate($A$1,F22)</f>
        <v>319154.98608478514</v>
      </c>
      <c r="P22" s="7" cm="1">
        <f t="array" ref="P22">IF(ISNUMBER(_xll.qwDV01($A$1,F22)*I22*_xll.qwMVFactor($A$1,F22)*_xll.qwFXRate($A$1,F22)),_xll.qwDV01($A$1,F22)*I22*_xll.qwMVFactor($A$1,F22)*_xll.qwFXRate($A$1,F22),0)</f>
        <v>31538.096992368788</v>
      </c>
      <c r="Q22" s="7" cm="1">
        <f t="array" ref="Q22">IF(ISNUMBER(_xll.qwDV01($A$1,F22)*G22*_xll.qwMVFactor($A$1,F22)*_xll.qwFXRate($A$1,F22)),_xll.qwDV01($A$1,F22)*G22*_xll.qwMVFactor($A$1,F22)*_xll.qwFXRate($A$1,F22),0)</f>
        <v>31538.096992368788</v>
      </c>
      <c r="R22" s="7" cm="1">
        <f t="array" ref="R22">IF(ISNUMBER(_xll.qwDV01($A$1,F22)*J22*_xll.qwMVFactor($A$1,F22)*_xll.qwFXRate($A$1,F22)),_xll.qwDV01($A$1,F22)*J22*_xll.qwMVFactor($A$1,F22)*_xll.qwFXRate($A$1,F22),0)</f>
        <v>0</v>
      </c>
      <c r="S22" s="7" cm="1">
        <f t="array" ref="S22">IF(ISNUMBER(_xll.qwDV01($A$1,F22)*J22*_xll.qwMVFactor($A$1,F22)*_xll.qwFXRate($A$1,F22)),_xll.qwDV01($A$1,F22)*J22*_xll.qwMVFactor($A$1,F22)*_xll.qwFXRate($A$1,F22),0)</f>
        <v>0</v>
      </c>
      <c r="T22" s="7" cm="1">
        <f t="array" ref="T22">_xll.qwFXRate($A$1,F22)*J22*(_xll.qwPrice($A$1,F22)-M22)*_xll.qwMVFactor($A$1,F22)</f>
        <v>0</v>
      </c>
      <c r="U22" s="9" cm="1">
        <f t="array" ref="U22">_xll.qwYield($A$1,F22)</f>
        <v>3.4375204318679124E-2</v>
      </c>
      <c r="V22" s="9" cm="1">
        <f t="array" ref="V22">100*(_xll.qwYield($A$4,F22)-U22)</f>
        <v>0.10188021017278545</v>
      </c>
      <c r="W22" s="7">
        <f>IF(ISNA(G22*INDEX(_xll.qwTblData(_xll.qwCurveScenariosPerSecurity($A$1,F22,"Crv210")),2,2)),0,(G22*INDEX(_xll.qwTblData(_xll.qwCurveScenariosPerSecurity($A$1,F22,"Crv210")),2,2)))</f>
        <v>-96800.103568581704</v>
      </c>
      <c r="X22" s="7" cm="1">
        <f t="array" ref="X22">ABS(Q22/_xll.qwMV01($A$1,"CT10"))</f>
        <v>42.71330666381732</v>
      </c>
      <c r="Y22" s="7" cm="1">
        <f t="array" ref="Y22">IF(N22="BondFuture",-(_xll.qwCurveYield($A$1,_xll.qwSecVal($A$1,AA22,"CreditCurveName()"),AA22)-_xll.qwCurveYield($A$4,_xll.qwSecVal($A$4,AA22,"CreditCurveName()"),AA22))*P22*10000,IF(N22="Bond",-(_xll.qwCurveYield($A$1,_xll.qwSecVal($A$1,F22,"CreditCurveName()"),F22)-_xll.qwCurveYield($A$4,_xll.qwSecVal($A$4,F22,"CreditCurveName()"),F22))*P22*10000,O22))</f>
        <v>319154.98608478514</v>
      </c>
      <c r="Z22" s="7" cm="1">
        <f t="array" ref="Z22">IF(OR(N22="BondFuture",N22="Bond"),P22*(_xll.qwCurveZSpread($A$4,_xll.qwSecVal($A$1,AA22,"CreditCurveName()"),AA22)-_xll.qwCurveZSpread($A$1,_xll.qwSecVal($A$1,AA22,"CreditCurveName()"),AA22)),0)</f>
        <v>0</v>
      </c>
      <c r="AA22" s="10" cm="1">
        <f t="array" ref="AA22">IF(_xll.qwSecType(F22)="Bond",F22,IF(_xll.qwSecType(F22)="BondFuture",_xll.qwFutCTD($A$1,F22),0))</f>
        <v>0</v>
      </c>
      <c r="AB22" s="7" cm="1">
        <f t="array" ref="AB22">IF(_xll.qwSecType(F22)="BondFuture",(I22*_xll.qwDelta($A$4,F22)*_xll.qwMVFactor($A$1,F22)/_xll.qwMVFactor($A$1,_xll.qwFutCTD($A$1,F22)))*(_xll.qwFXRate($A$1,F22)*_xll.qwMVFactor($A$1,_xll.qwFutCTD($A$1,F22))*(_xll.qwIncome($A$4,_xll.qwFutCTD($A$4,F22),_xll.qwBondSettle($A$4,_xll.qwFutCTD($A$4,F22)),_xll.qwBondSettle($A$1,_xll.qwFutCTD($A$1,F22)))+(_xll.qwBondDirtyPrice($A$1,_xll.qwFutCTD($A$1,F22))-_xll.qwBondDirtyPrice($A$4,_xll.qwFutCTD($A$4,F22)))-_xll.qwBondRepoFromTo($A$1,_xll.qwFutCTD($A$1,F22),_xll.qwBondSettle($A$4,_xll.qwFutCTD($A$4,F22)),_xll.qwBondSettle($A$1,_xll.qwFutCTD($A$1,F22)))))-O22,0)</f>
        <v>0</v>
      </c>
      <c r="AD22" s="11"/>
    </row>
    <row r="23" spans="2:30" s="8" customFormat="1" hidden="1" x14ac:dyDescent="0.35">
      <c r="B23" s="8" t="str">
        <v>pzhao</v>
      </c>
      <c r="C23" s="8" t="str">
        <v>MAMS</v>
      </c>
      <c r="D23" s="8" t="str">
        <v>pzhao|MAMS|RV_RATES_EUR_SWAPS-CURVE|235378975</v>
      </c>
      <c r="E23" s="8" t="str">
        <v>RV_RATES_EUR_SWAPS-CURVE</v>
      </c>
      <c r="F23" s="8" t="str">
        <v>235378975</v>
      </c>
      <c r="G23" s="8">
        <v>17.792000000000002</v>
      </c>
      <c r="H23" s="8">
        <v>0</v>
      </c>
      <c r="I23" s="8">
        <v>17.792000000000002</v>
      </c>
      <c r="J23" s="8">
        <v>0</v>
      </c>
      <c r="K23" s="8">
        <v>0</v>
      </c>
      <c r="L23" s="8">
        <v>0</v>
      </c>
      <c r="M23" s="8">
        <v>0</v>
      </c>
      <c r="N23" s="8" t="str">
        <v>SwapTrade</v>
      </c>
      <c r="O23" s="7" cm="1">
        <f t="array" ref="O23">(_xll.qwPrice($A$1,F23)-_xll.qwPrice($A$4,F23))*_xll.qwMVFactor($A$1,F23)*I23*_xll.qwFXRate($A$1,F23)</f>
        <v>-394576.51398251677</v>
      </c>
      <c r="P23" s="7" cm="1">
        <f t="array" ref="P23">IF(ISNUMBER(_xll.qwDV01($A$1,F23)*I23*_xll.qwMVFactor($A$1,F23)*_xll.qwFXRate($A$1,F23)),_xll.qwDV01($A$1,F23)*I23*_xll.qwMVFactor($A$1,F23)*_xll.qwFXRate($A$1,F23),0)</f>
        <v>-41014.254874915256</v>
      </c>
      <c r="Q23" s="7" cm="1">
        <f t="array" ref="Q23">IF(ISNUMBER(_xll.qwDV01($A$1,F23)*G23*_xll.qwMVFactor($A$1,F23)*_xll.qwFXRate($A$1,F23)),_xll.qwDV01($A$1,F23)*G23*_xll.qwMVFactor($A$1,F23)*_xll.qwFXRate($A$1,F23),0)</f>
        <v>-41014.254874915256</v>
      </c>
      <c r="R23" s="7" cm="1">
        <f t="array" ref="R23">IF(ISNUMBER(_xll.qwDV01($A$1,F23)*J23*_xll.qwMVFactor($A$1,F23)*_xll.qwFXRate($A$1,F23)),_xll.qwDV01($A$1,F23)*J23*_xll.qwMVFactor($A$1,F23)*_xll.qwFXRate($A$1,F23),0)</f>
        <v>0</v>
      </c>
      <c r="S23" s="7" cm="1">
        <f t="array" ref="S23">IF(ISNUMBER(_xll.qwDV01($A$1,F23)*J23*_xll.qwMVFactor($A$1,F23)*_xll.qwFXRate($A$1,F23)),_xll.qwDV01($A$1,F23)*J23*_xll.qwMVFactor($A$1,F23)*_xll.qwFXRate($A$1,F23),0)</f>
        <v>0</v>
      </c>
      <c r="T23" s="7" cm="1">
        <f t="array" ref="T23">_xll.qwFXRate($A$1,F23)*J23*(_xll.qwPrice($A$1,F23)-M23)*_xll.qwMVFactor($A$1,F23)</f>
        <v>0</v>
      </c>
      <c r="U23" s="9" cm="1">
        <f t="array" ref="U23">_xll.qwYield($A$1,F23)</f>
        <v>3.2548677616055628E-2</v>
      </c>
      <c r="V23" s="9" cm="1">
        <f t="array" ref="V23">100*(_xll.qwYield($A$4,F23)-U23)</f>
        <v>9.7405967705694457E-2</v>
      </c>
      <c r="W23" s="7">
        <f>IF(ISNA(G23*INDEX(_xll.qwTblData(_xll.qwCurveScenariosPerSecurity($A$1,F23,"Crv210")),2,2)),0,(G23*INDEX(_xll.qwTblData(_xll.qwCurveScenariosPerSecurity($A$1,F23,"Crv210")),2,2)))</f>
        <v>180239.3647077193</v>
      </c>
      <c r="X23" s="7" cm="1">
        <f t="array" ref="X23">ABS(Q23/_xll.qwMV01($A$1,"CT10"))</f>
        <v>55.547246445596024</v>
      </c>
      <c r="Y23" s="7" cm="1">
        <f t="array" ref="Y23">IF(N23="BondFuture",-(_xll.qwCurveYield($A$1,_xll.qwSecVal($A$1,AA23,"CreditCurveName()"),AA23)-_xll.qwCurveYield($A$4,_xll.qwSecVal($A$4,AA23,"CreditCurveName()"),AA23))*P23*10000,IF(N23="Bond",-(_xll.qwCurveYield($A$1,_xll.qwSecVal($A$1,F23,"CreditCurveName()"),F23)-_xll.qwCurveYield($A$4,_xll.qwSecVal($A$4,F23,"CreditCurveName()"),F23))*P23*10000,O23))</f>
        <v>-394576.51398251677</v>
      </c>
      <c r="Z23" s="7" cm="1">
        <f t="array" ref="Z23">IF(OR(N23="BondFuture",N23="Bond"),P23*(_xll.qwCurveZSpread($A$4,_xll.qwSecVal($A$1,AA23,"CreditCurveName()"),AA23)-_xll.qwCurveZSpread($A$1,_xll.qwSecVal($A$1,AA23,"CreditCurveName()"),AA23)),0)</f>
        <v>0</v>
      </c>
      <c r="AA23" s="10" cm="1">
        <f t="array" ref="AA23">IF(_xll.qwSecType(F23)="Bond",F23,IF(_xll.qwSecType(F23)="BondFuture",_xll.qwFutCTD($A$1,F23),0))</f>
        <v>0</v>
      </c>
      <c r="AB23" s="7" cm="1">
        <f t="array" ref="AB23">IF(_xll.qwSecType(F23)="BondFuture",(I23*_xll.qwDelta($A$4,F23)*_xll.qwMVFactor($A$1,F23)/_xll.qwMVFactor($A$1,_xll.qwFutCTD($A$1,F23)))*(_xll.qwFXRate($A$1,F23)*_xll.qwMVFactor($A$1,_xll.qwFutCTD($A$1,F23))*(_xll.qwIncome($A$4,_xll.qwFutCTD($A$4,F23),_xll.qwBondSettle($A$4,_xll.qwFutCTD($A$4,F23)),_xll.qwBondSettle($A$1,_xll.qwFutCTD($A$1,F23)))+(_xll.qwBondDirtyPrice($A$1,_xll.qwFutCTD($A$1,F23))-_xll.qwBondDirtyPrice($A$4,_xll.qwFutCTD($A$4,F23)))-_xll.qwBondRepoFromTo($A$1,_xll.qwFutCTD($A$1,F23),_xll.qwBondSettle($A$4,_xll.qwFutCTD($A$4,F23)),_xll.qwBondSettle($A$1,_xll.qwFutCTD($A$1,F23)))))-O23,0)</f>
        <v>0</v>
      </c>
      <c r="AD23" s="11"/>
    </row>
    <row r="24" spans="2:30" s="8" customFormat="1" hidden="1" x14ac:dyDescent="0.35">
      <c r="B24" s="8" t="str">
        <v>pzhao</v>
      </c>
      <c r="C24" s="8" t="str">
        <v>MAMS</v>
      </c>
      <c r="D24" s="8" t="str">
        <v>pzhao|MAMS|RV_RATES_EUR_SWAPS-CURVE|235379176</v>
      </c>
      <c r="E24" s="8" t="str">
        <v>RV_RATES_EUR_SWAPS-CURVE</v>
      </c>
      <c r="F24" s="8" t="str">
        <v>235379176</v>
      </c>
      <c r="G24" s="8">
        <v>17.792000000000002</v>
      </c>
      <c r="H24" s="8">
        <v>0</v>
      </c>
      <c r="I24" s="8">
        <v>17.792000000000002</v>
      </c>
      <c r="J24" s="8">
        <v>0</v>
      </c>
      <c r="K24" s="8">
        <v>0</v>
      </c>
      <c r="L24" s="8">
        <v>0</v>
      </c>
      <c r="M24" s="8">
        <v>0</v>
      </c>
      <c r="N24" s="8" t="str">
        <v>SwapTrade</v>
      </c>
      <c r="O24" s="7" cm="1">
        <f t="array" ref="O24">(_xll.qwPrice($A$1,F24)-_xll.qwPrice($A$4,F24))*_xll.qwMVFactor($A$1,F24)*I24*_xll.qwFXRate($A$1,F24)</f>
        <v>-394308.52072019083</v>
      </c>
      <c r="P24" s="7" cm="1">
        <f t="array" ref="P24">IF(ISNUMBER(_xll.qwDV01($A$1,F24)*I24*_xll.qwMVFactor($A$1,F24)*_xll.qwFXRate($A$1,F24)),_xll.qwDV01($A$1,F24)*I24*_xll.qwMVFactor($A$1,F24)*_xll.qwFXRate($A$1,F24),0)</f>
        <v>-40987.427958315129</v>
      </c>
      <c r="Q24" s="7" cm="1">
        <f t="array" ref="Q24">IF(ISNUMBER(_xll.qwDV01($A$1,F24)*G24*_xll.qwMVFactor($A$1,F24)*_xll.qwFXRate($A$1,F24)),_xll.qwDV01($A$1,F24)*G24*_xll.qwMVFactor($A$1,F24)*_xll.qwFXRate($A$1,F24),0)</f>
        <v>-40987.427958315129</v>
      </c>
      <c r="R24" s="7" cm="1">
        <f t="array" ref="R24">IF(ISNUMBER(_xll.qwDV01($A$1,F24)*J24*_xll.qwMVFactor($A$1,F24)*_xll.qwFXRate($A$1,F24)),_xll.qwDV01($A$1,F24)*J24*_xll.qwMVFactor($A$1,F24)*_xll.qwFXRate($A$1,F24),0)</f>
        <v>0</v>
      </c>
      <c r="S24" s="7" cm="1">
        <f t="array" ref="S24">IF(ISNUMBER(_xll.qwDV01($A$1,F24)*J24*_xll.qwMVFactor($A$1,F24)*_xll.qwFXRate($A$1,F24)),_xll.qwDV01($A$1,F24)*J24*_xll.qwMVFactor($A$1,F24)*_xll.qwFXRate($A$1,F24),0)</f>
        <v>0</v>
      </c>
      <c r="T24" s="7" cm="1">
        <f t="array" ref="T24">_xll.qwFXRate($A$1,F24)*J24*(_xll.qwPrice($A$1,F24)-M24)*_xll.qwMVFactor($A$1,F24)</f>
        <v>0</v>
      </c>
      <c r="U24" s="9" cm="1">
        <f t="array" ref="U24">_xll.qwYield($A$1,F24)</f>
        <v>3.2548677616055628E-2</v>
      </c>
      <c r="V24" s="9" cm="1">
        <f t="array" ref="V24">100*(_xll.qwYield($A$4,F24)-U24)</f>
        <v>9.7405967705694457E-2</v>
      </c>
      <c r="W24" s="7">
        <f>IF(ISNA(G24*INDEX(_xll.qwTblData(_xll.qwCurveScenariosPerSecurity($A$1,F24,"Crv210")),2,2)),0,(G24*INDEX(_xll.qwTblData(_xll.qwCurveScenariosPerSecurity($A$1,F24,"Crv210")),2,2)))</f>
        <v>181460.63022927885</v>
      </c>
      <c r="X24" s="7" cm="1">
        <f t="array" ref="X24">ABS(Q24/_xll.qwMV01($A$1,"CT10"))</f>
        <v>55.51091367904187</v>
      </c>
      <c r="Y24" s="7" cm="1">
        <f t="array" ref="Y24">IF(N24="BondFuture",-(_xll.qwCurveYield($A$1,_xll.qwSecVal($A$1,AA24,"CreditCurveName()"),AA24)-_xll.qwCurveYield($A$4,_xll.qwSecVal($A$4,AA24,"CreditCurveName()"),AA24))*P24*10000,IF(N24="Bond",-(_xll.qwCurveYield($A$1,_xll.qwSecVal($A$1,F24,"CreditCurveName()"),F24)-_xll.qwCurveYield($A$4,_xll.qwSecVal($A$4,F24,"CreditCurveName()"),F24))*P24*10000,O24))</f>
        <v>-394308.52072019083</v>
      </c>
      <c r="Z24" s="7" cm="1">
        <f t="array" ref="Z24">IF(OR(N24="BondFuture",N24="Bond"),P24*(_xll.qwCurveZSpread($A$4,_xll.qwSecVal($A$1,AA24,"CreditCurveName()"),AA24)-_xll.qwCurveZSpread($A$1,_xll.qwSecVal($A$1,AA24,"CreditCurveName()"),AA24)),0)</f>
        <v>0</v>
      </c>
      <c r="AA24" s="10" cm="1">
        <f t="array" ref="AA24">IF(_xll.qwSecType(F24)="Bond",F24,IF(_xll.qwSecType(F24)="BondFuture",_xll.qwFutCTD($A$1,F24),0))</f>
        <v>0</v>
      </c>
      <c r="AB24" s="7" cm="1">
        <f t="array" ref="AB24">IF(_xll.qwSecType(F24)="BondFuture",(I24*_xll.qwDelta($A$4,F24)*_xll.qwMVFactor($A$1,F24)/_xll.qwMVFactor($A$1,_xll.qwFutCTD($A$1,F24)))*(_xll.qwFXRate($A$1,F24)*_xll.qwMVFactor($A$1,_xll.qwFutCTD($A$1,F24))*(_xll.qwIncome($A$4,_xll.qwFutCTD($A$4,F24),_xll.qwBondSettle($A$4,_xll.qwFutCTD($A$4,F24)),_xll.qwBondSettle($A$1,_xll.qwFutCTD($A$1,F24)))+(_xll.qwBondDirtyPrice($A$1,_xll.qwFutCTD($A$1,F24))-_xll.qwBondDirtyPrice($A$4,_xll.qwFutCTD($A$4,F24)))-_xll.qwBondRepoFromTo($A$1,_xll.qwFutCTD($A$1,F24),_xll.qwBondSettle($A$4,_xll.qwFutCTD($A$4,F24)),_xll.qwBondSettle($A$1,_xll.qwFutCTD($A$1,F24)))))-O24,0)</f>
        <v>0</v>
      </c>
      <c r="AD24" s="11"/>
    </row>
    <row r="25" spans="2:30" s="8" customFormat="1" hidden="1" x14ac:dyDescent="0.35">
      <c r="B25" s="8" t="str">
        <v>pzhao</v>
      </c>
      <c r="C25" s="8" t="str">
        <v>MAMS</v>
      </c>
      <c r="D25" s="8" t="str">
        <v>pzhao|MAMS|RV_RATES_EUR_SWAPS-CURVE|235379184</v>
      </c>
      <c r="E25" s="8" t="str">
        <v>RV_RATES_EUR_SWAPS-CURVE</v>
      </c>
      <c r="F25" s="8" t="str">
        <v>235379184</v>
      </c>
      <c r="G25" s="8">
        <v>17.792000000000002</v>
      </c>
      <c r="H25" s="8">
        <v>0</v>
      </c>
      <c r="I25" s="8">
        <v>17.792000000000002</v>
      </c>
      <c r="J25" s="8">
        <v>0</v>
      </c>
      <c r="K25" s="8">
        <v>0</v>
      </c>
      <c r="L25" s="8">
        <v>0</v>
      </c>
      <c r="M25" s="8">
        <v>0</v>
      </c>
      <c r="N25" s="8" t="str">
        <v>SwapTrade</v>
      </c>
      <c r="O25" s="7" cm="1">
        <f t="array" ref="O25">(_xll.qwPrice($A$1,F25)-_xll.qwPrice($A$4,F25))*_xll.qwMVFactor($A$1,F25)*I25*_xll.qwFXRate($A$1,F25)</f>
        <v>-394084.66000112862</v>
      </c>
      <c r="P25" s="7" cm="1">
        <f t="array" ref="P25">IF(ISNUMBER(_xll.qwDV01($A$1,F25)*I25*_xll.qwMVFactor($A$1,F25)*_xll.qwFXRate($A$1,F25)),_xll.qwDV01($A$1,F25)*I25*_xll.qwMVFactor($A$1,F25)*_xll.qwFXRate($A$1,F25),0)</f>
        <v>-40965.01883956229</v>
      </c>
      <c r="Q25" s="7" cm="1">
        <f t="array" ref="Q25">IF(ISNUMBER(_xll.qwDV01($A$1,F25)*G25*_xll.qwMVFactor($A$1,F25)*_xll.qwFXRate($A$1,F25)),_xll.qwDV01($A$1,F25)*G25*_xll.qwMVFactor($A$1,F25)*_xll.qwFXRate($A$1,F25),0)</f>
        <v>-40965.01883956229</v>
      </c>
      <c r="R25" s="7" cm="1">
        <f t="array" ref="R25">IF(ISNUMBER(_xll.qwDV01($A$1,F25)*J25*_xll.qwMVFactor($A$1,F25)*_xll.qwFXRate($A$1,F25)),_xll.qwDV01($A$1,F25)*J25*_xll.qwMVFactor($A$1,F25)*_xll.qwFXRate($A$1,F25),0)</f>
        <v>0</v>
      </c>
      <c r="S25" s="7" cm="1">
        <f t="array" ref="S25">IF(ISNUMBER(_xll.qwDV01($A$1,F25)*J25*_xll.qwMVFactor($A$1,F25)*_xll.qwFXRate($A$1,F25)),_xll.qwDV01($A$1,F25)*J25*_xll.qwMVFactor($A$1,F25)*_xll.qwFXRate($A$1,F25),0)</f>
        <v>0</v>
      </c>
      <c r="T25" s="7" cm="1">
        <f t="array" ref="T25">_xll.qwFXRate($A$1,F25)*J25*(_xll.qwPrice($A$1,F25)-M25)*_xll.qwMVFactor($A$1,F25)</f>
        <v>0</v>
      </c>
      <c r="U25" s="9" cm="1">
        <f t="array" ref="U25">_xll.qwYield($A$1,F25)</f>
        <v>3.2548677616055628E-2</v>
      </c>
      <c r="V25" s="9" cm="1">
        <f t="array" ref="V25">100*(_xll.qwYield($A$4,F25)-U25)</f>
        <v>9.7405967705694457E-2</v>
      </c>
      <c r="W25" s="7">
        <f>IF(ISNA(G25*INDEX(_xll.qwTblData(_xll.qwCurveScenariosPerSecurity($A$1,F25,"Crv210")),2,2)),0,(G25*INDEX(_xll.qwTblData(_xll.qwCurveScenariosPerSecurity($A$1,F25,"Crv210")),2,2)))</f>
        <v>179117.07989946665</v>
      </c>
      <c r="X25" s="7" cm="1">
        <f t="array" ref="X25">ABS(Q25/_xll.qwMV01($A$1,"CT10"))</f>
        <v>55.480564112877893</v>
      </c>
      <c r="Y25" s="7" cm="1">
        <f t="array" ref="Y25">IF(N25="BondFuture",-(_xll.qwCurveYield($A$1,_xll.qwSecVal($A$1,AA25,"CreditCurveName()"),AA25)-_xll.qwCurveYield($A$4,_xll.qwSecVal($A$4,AA25,"CreditCurveName()"),AA25))*P25*10000,IF(N25="Bond",-(_xll.qwCurveYield($A$1,_xll.qwSecVal($A$1,F25,"CreditCurveName()"),F25)-_xll.qwCurveYield($A$4,_xll.qwSecVal($A$4,F25,"CreditCurveName()"),F25))*P25*10000,O25))</f>
        <v>-394084.66000112862</v>
      </c>
      <c r="Z25" s="7" cm="1">
        <f t="array" ref="Z25">IF(OR(N25="BondFuture",N25="Bond"),P25*(_xll.qwCurveZSpread($A$4,_xll.qwSecVal($A$1,AA25,"CreditCurveName()"),AA25)-_xll.qwCurveZSpread($A$1,_xll.qwSecVal($A$1,AA25,"CreditCurveName()"),AA25)),0)</f>
        <v>0</v>
      </c>
      <c r="AA25" s="10" cm="1">
        <f t="array" ref="AA25">IF(_xll.qwSecType(F25)="Bond",F25,IF(_xll.qwSecType(F25)="BondFuture",_xll.qwFutCTD($A$1,F25),0))</f>
        <v>0</v>
      </c>
      <c r="AB25" s="7" cm="1">
        <f t="array" ref="AB25">IF(_xll.qwSecType(F25)="BondFuture",(I25*_xll.qwDelta($A$4,F25)*_xll.qwMVFactor($A$1,F25)/_xll.qwMVFactor($A$1,_xll.qwFutCTD($A$1,F25)))*(_xll.qwFXRate($A$1,F25)*_xll.qwMVFactor($A$1,_xll.qwFutCTD($A$1,F25))*(_xll.qwIncome($A$4,_xll.qwFutCTD($A$4,F25),_xll.qwBondSettle($A$4,_xll.qwFutCTD($A$4,F25)),_xll.qwBondSettle($A$1,_xll.qwFutCTD($A$1,F25)))+(_xll.qwBondDirtyPrice($A$1,_xll.qwFutCTD($A$1,F25))-_xll.qwBondDirtyPrice($A$4,_xll.qwFutCTD($A$4,F25)))-_xll.qwBondRepoFromTo($A$1,_xll.qwFutCTD($A$1,F25),_xll.qwBondSettle($A$4,_xll.qwFutCTD($A$4,F25)),_xll.qwBondSettle($A$1,_xll.qwFutCTD($A$1,F25)))))-O25,0)</f>
        <v>0</v>
      </c>
      <c r="AD25" s="11"/>
    </row>
    <row r="26" spans="2:30" s="8" customFormat="1" hidden="1" x14ac:dyDescent="0.35">
      <c r="B26" s="8" t="str">
        <v>pzhao</v>
      </c>
      <c r="C26" s="8" t="str">
        <v>MAMS</v>
      </c>
      <c r="D26" s="8" t="str">
        <v>pzhao|MAMS|RV_RATES_EUR_SWAPS-CURVE|235379193</v>
      </c>
      <c r="E26" s="8" t="str">
        <v>RV_RATES_EUR_SWAPS-CURVE</v>
      </c>
      <c r="F26" s="8" t="str">
        <v>235379193</v>
      </c>
      <c r="G26" s="8">
        <v>17.792000000000002</v>
      </c>
      <c r="H26" s="8">
        <v>0</v>
      </c>
      <c r="I26" s="8">
        <v>17.792000000000002</v>
      </c>
      <c r="J26" s="8">
        <v>0</v>
      </c>
      <c r="K26" s="8">
        <v>0</v>
      </c>
      <c r="L26" s="8">
        <v>0</v>
      </c>
      <c r="M26" s="8">
        <v>0</v>
      </c>
      <c r="N26" s="8" t="str">
        <v>SwapTrade</v>
      </c>
      <c r="O26" s="7" cm="1">
        <f t="array" ref="O26">(_xll.qwPrice($A$1,F26)-_xll.qwPrice($A$4,F26))*_xll.qwMVFactor($A$1,F26)*I26*_xll.qwFXRate($A$1,F26)</f>
        <v>-394185.07752296887</v>
      </c>
      <c r="P26" s="7" cm="1">
        <f t="array" ref="P26">IF(ISNUMBER(_xll.qwDV01($A$1,F26)*I26*_xll.qwMVFactor($A$1,F26)*_xll.qwFXRate($A$1,F26)),_xll.qwDV01($A$1,F26)*I26*_xll.qwMVFactor($A$1,F26)*_xll.qwFXRate($A$1,F26),0)</f>
        <v>-40975.070929904403</v>
      </c>
      <c r="Q26" s="7" cm="1">
        <f t="array" ref="Q26">IF(ISNUMBER(_xll.qwDV01($A$1,F26)*G26*_xll.qwMVFactor($A$1,F26)*_xll.qwFXRate($A$1,F26)),_xll.qwDV01($A$1,F26)*G26*_xll.qwMVFactor($A$1,F26)*_xll.qwFXRate($A$1,F26),0)</f>
        <v>-40975.070929904403</v>
      </c>
      <c r="R26" s="7" cm="1">
        <f t="array" ref="R26">IF(ISNUMBER(_xll.qwDV01($A$1,F26)*J26*_xll.qwMVFactor($A$1,F26)*_xll.qwFXRate($A$1,F26)),_xll.qwDV01($A$1,F26)*J26*_xll.qwMVFactor($A$1,F26)*_xll.qwFXRate($A$1,F26),0)</f>
        <v>0</v>
      </c>
      <c r="S26" s="7" cm="1">
        <f t="array" ref="S26">IF(ISNUMBER(_xll.qwDV01($A$1,F26)*J26*_xll.qwMVFactor($A$1,F26)*_xll.qwFXRate($A$1,F26)),_xll.qwDV01($A$1,F26)*J26*_xll.qwMVFactor($A$1,F26)*_xll.qwFXRate($A$1,F26),0)</f>
        <v>0</v>
      </c>
      <c r="T26" s="7" cm="1">
        <f t="array" ref="T26">_xll.qwFXRate($A$1,F26)*J26*(_xll.qwPrice($A$1,F26)-M26)*_xll.qwMVFactor($A$1,F26)</f>
        <v>0</v>
      </c>
      <c r="U26" s="9" cm="1">
        <f t="array" ref="U26">_xll.qwYield($A$1,F26)</f>
        <v>3.2548677616055628E-2</v>
      </c>
      <c r="V26" s="9" cm="1">
        <f t="array" ref="V26">100*(_xll.qwYield($A$4,F26)-U26)</f>
        <v>9.7405967705694457E-2</v>
      </c>
      <c r="W26" s="7">
        <f>IF(ISNA(G26*INDEX(_xll.qwTblData(_xll.qwCurveScenariosPerSecurity($A$1,F26,"Crv210")),2,2)),0,(G26*INDEX(_xll.qwTblData(_xll.qwCurveScenariosPerSecurity($A$1,F26,"Crv210")),2,2)))</f>
        <v>181362.21507065994</v>
      </c>
      <c r="X26" s="7" cm="1">
        <f t="array" ref="X26">ABS(Q26/_xll.qwMV01($A$1,"CT10"))</f>
        <v>55.494178061033956</v>
      </c>
      <c r="Y26" s="7" cm="1">
        <f t="array" ref="Y26">IF(N26="BondFuture",-(_xll.qwCurveYield($A$1,_xll.qwSecVal($A$1,AA26,"CreditCurveName()"),AA26)-_xll.qwCurveYield($A$4,_xll.qwSecVal($A$4,AA26,"CreditCurveName()"),AA26))*P26*10000,IF(N26="Bond",-(_xll.qwCurveYield($A$1,_xll.qwSecVal($A$1,F26,"CreditCurveName()"),F26)-_xll.qwCurveYield($A$4,_xll.qwSecVal($A$4,F26,"CreditCurveName()"),F26))*P26*10000,O26))</f>
        <v>-394185.07752296887</v>
      </c>
      <c r="Z26" s="7" cm="1">
        <f t="array" ref="Z26">IF(OR(N26="BondFuture",N26="Bond"),P26*(_xll.qwCurveZSpread($A$4,_xll.qwSecVal($A$1,AA26,"CreditCurveName()"),AA26)-_xll.qwCurveZSpread($A$1,_xll.qwSecVal($A$1,AA26,"CreditCurveName()"),AA26)),0)</f>
        <v>0</v>
      </c>
      <c r="AA26" s="10" cm="1">
        <f t="array" ref="AA26">IF(_xll.qwSecType(F26)="Bond",F26,IF(_xll.qwSecType(F26)="BondFuture",_xll.qwFutCTD($A$1,F26),0))</f>
        <v>0</v>
      </c>
      <c r="AB26" s="7" cm="1">
        <f t="array" ref="AB26">IF(_xll.qwSecType(F26)="BondFuture",(I26*_xll.qwDelta($A$4,F26)*_xll.qwMVFactor($A$1,F26)/_xll.qwMVFactor($A$1,_xll.qwFutCTD($A$1,F26)))*(_xll.qwFXRate($A$1,F26)*_xll.qwMVFactor($A$1,_xll.qwFutCTD($A$1,F26))*(_xll.qwIncome($A$4,_xll.qwFutCTD($A$4,F26),_xll.qwBondSettle($A$4,_xll.qwFutCTD($A$4,F26)),_xll.qwBondSettle($A$1,_xll.qwFutCTD($A$1,F26)))+(_xll.qwBondDirtyPrice($A$1,_xll.qwFutCTD($A$1,F26))-_xll.qwBondDirtyPrice($A$4,_xll.qwFutCTD($A$4,F26)))-_xll.qwBondRepoFromTo($A$1,_xll.qwFutCTD($A$1,F26),_xll.qwBondSettle($A$4,_xll.qwFutCTD($A$4,F26)),_xll.qwBondSettle($A$1,_xll.qwFutCTD($A$1,F26)))))-O26,0)</f>
        <v>0</v>
      </c>
      <c r="AD26" s="11"/>
    </row>
    <row r="27" spans="2:30" s="8" customFormat="1" hidden="1" x14ac:dyDescent="0.35">
      <c r="B27" s="8" t="str">
        <v>pzhao</v>
      </c>
      <c r="C27" s="8" t="str">
        <v>MAMS</v>
      </c>
      <c r="D27" s="8" t="str">
        <v>pzhao|MAMS|RV_RATES_EUR_SWAPS-CURVE|237223586</v>
      </c>
      <c r="E27" s="8" t="str">
        <v>RV_RATES_EUR_SWAPS-CURVE</v>
      </c>
      <c r="F27" s="8" t="str">
        <v>237223586</v>
      </c>
      <c r="G27" s="8">
        <v>27.648</v>
      </c>
      <c r="H27" s="8">
        <v>0</v>
      </c>
      <c r="I27" s="8">
        <v>27.648</v>
      </c>
      <c r="J27" s="8">
        <v>0</v>
      </c>
      <c r="K27" s="8">
        <v>0</v>
      </c>
      <c r="L27" s="8">
        <v>0</v>
      </c>
      <c r="M27" s="8">
        <v>0</v>
      </c>
      <c r="N27" s="8" t="str">
        <v>SwapTrade</v>
      </c>
      <c r="O27" s="7" cm="1">
        <f t="array" ref="O27">(_xll.qwPrice($A$1,F27)-_xll.qwPrice($A$4,F27))*_xll.qwMVFactor($A$1,F27)*I27*_xll.qwFXRate($A$1,F27)</f>
        <v>-621514.26896178292</v>
      </c>
      <c r="P27" s="7" cm="1">
        <f t="array" ref="P27">IF(ISNUMBER(_xll.qwDV01($A$1,F27)*I27*_xll.qwMVFactor($A$1,F27)*_xll.qwFXRate($A$1,F27)),_xll.qwDV01($A$1,F27)*I27*_xll.qwMVFactor($A$1,F27)*_xll.qwFXRate($A$1,F27),0)</f>
        <v>-64177.348775940503</v>
      </c>
      <c r="Q27" s="7" cm="1">
        <f t="array" ref="Q27">IF(ISNUMBER(_xll.qwDV01($A$1,F27)*G27*_xll.qwMVFactor($A$1,F27)*_xll.qwFXRate($A$1,F27)),_xll.qwDV01($A$1,F27)*G27*_xll.qwMVFactor($A$1,F27)*_xll.qwFXRate($A$1,F27),0)</f>
        <v>-64177.348775940503</v>
      </c>
      <c r="R27" s="7" cm="1">
        <f t="array" ref="R27">IF(ISNUMBER(_xll.qwDV01($A$1,F27)*J27*_xll.qwMVFactor($A$1,F27)*_xll.qwFXRate($A$1,F27)),_xll.qwDV01($A$1,F27)*J27*_xll.qwMVFactor($A$1,F27)*_xll.qwFXRate($A$1,F27),0)</f>
        <v>0</v>
      </c>
      <c r="S27" s="7" cm="1">
        <f t="array" ref="S27">IF(ISNUMBER(_xll.qwDV01($A$1,F27)*J27*_xll.qwMVFactor($A$1,F27)*_xll.qwFXRate($A$1,F27)),_xll.qwDV01($A$1,F27)*J27*_xll.qwMVFactor($A$1,F27)*_xll.qwFXRate($A$1,F27),0)</f>
        <v>0</v>
      </c>
      <c r="T27" s="7" cm="1">
        <f t="array" ref="T27">_xll.qwFXRate($A$1,F27)*J27*(_xll.qwPrice($A$1,F27)-M27)*_xll.qwMVFactor($A$1,F27)</f>
        <v>0</v>
      </c>
      <c r="U27" s="9" cm="1">
        <f t="array" ref="U27">_xll.qwYield($A$1,F27)</f>
        <v>3.2539792572015586E-2</v>
      </c>
      <c r="V27" s="9" cm="1">
        <f t="array" ref="V27">100*(_xll.qwYield($A$4,F27)-U27)</f>
        <v>9.7455754595306837E-2</v>
      </c>
      <c r="W27" s="7">
        <f>IF(ISNA(G27*INDEX(_xll.qwTblData(_xll.qwCurveScenariosPerSecurity($A$1,F27,"Crv210")),2,2)),0,(G27*INDEX(_xll.qwTblData(_xll.qwCurveScenariosPerSecurity($A$1,F27,"Crv210")),2,2)))</f>
        <v>284664.70140228706</v>
      </c>
      <c r="X27" s="7" cm="1">
        <f t="array" ref="X27">ABS(Q27/_xll.qwMV01($A$1,"CT10"))</f>
        <v>86.917951320930911</v>
      </c>
      <c r="Y27" s="7" cm="1">
        <f t="array" ref="Y27">IF(N27="BondFuture",-(_xll.qwCurveYield($A$1,_xll.qwSecVal($A$1,AA27,"CreditCurveName()"),AA27)-_xll.qwCurveYield($A$4,_xll.qwSecVal($A$4,AA27,"CreditCurveName()"),AA27))*P27*10000,IF(N27="Bond",-(_xll.qwCurveYield($A$1,_xll.qwSecVal($A$1,F27,"CreditCurveName()"),F27)-_xll.qwCurveYield($A$4,_xll.qwSecVal($A$4,F27,"CreditCurveName()"),F27))*P27*10000,O27))</f>
        <v>-621514.26896178292</v>
      </c>
      <c r="Z27" s="7" cm="1">
        <f t="array" ref="Z27">IF(OR(N27="BondFuture",N27="Bond"),P27*(_xll.qwCurveZSpread($A$4,_xll.qwSecVal($A$1,AA27,"CreditCurveName()"),AA27)-_xll.qwCurveZSpread($A$1,_xll.qwSecVal($A$1,AA27,"CreditCurveName()"),AA27)),0)</f>
        <v>0</v>
      </c>
      <c r="AA27" s="10" cm="1">
        <f t="array" ref="AA27">IF(_xll.qwSecType(F27)="Bond",F27,IF(_xll.qwSecType(F27)="BondFuture",_xll.qwFutCTD($A$1,F27),0))</f>
        <v>0</v>
      </c>
      <c r="AB27" s="7" cm="1">
        <f t="array" ref="AB27">IF(_xll.qwSecType(F27)="BondFuture",(I27*_xll.qwDelta($A$4,F27)*_xll.qwMVFactor($A$1,F27)/_xll.qwMVFactor($A$1,_xll.qwFutCTD($A$1,F27)))*(_xll.qwFXRate($A$1,F27)*_xll.qwMVFactor($A$1,_xll.qwFutCTD($A$1,F27))*(_xll.qwIncome($A$4,_xll.qwFutCTD($A$4,F27),_xll.qwBondSettle($A$4,_xll.qwFutCTD($A$4,F27)),_xll.qwBondSettle($A$1,_xll.qwFutCTD($A$1,F27)))+(_xll.qwBondDirtyPrice($A$1,_xll.qwFutCTD($A$1,F27))-_xll.qwBondDirtyPrice($A$4,_xll.qwFutCTD($A$4,F27)))-_xll.qwBondRepoFromTo($A$1,_xll.qwFutCTD($A$1,F27),_xll.qwBondSettle($A$4,_xll.qwFutCTD($A$4,F27)),_xll.qwBondSettle($A$1,_xll.qwFutCTD($A$1,F27)))))-O27,0)</f>
        <v>0</v>
      </c>
      <c r="AD27" s="11"/>
    </row>
    <row r="28" spans="2:30" s="8" customFormat="1" hidden="1" x14ac:dyDescent="0.35">
      <c r="B28" s="8" t="str">
        <v>pzhao</v>
      </c>
      <c r="C28" s="8" t="str">
        <v>MAMS</v>
      </c>
      <c r="D28" s="8" t="str">
        <v>pzhao|MAMS|RV_RATES_EUR_SWAPS-CURVE|237223587</v>
      </c>
      <c r="E28" s="8" t="str">
        <v>RV_RATES_EUR_SWAPS-CURVE</v>
      </c>
      <c r="F28" s="8" t="str">
        <v>237223587</v>
      </c>
      <c r="G28" s="8">
        <v>32.448</v>
      </c>
      <c r="H28" s="8">
        <v>0</v>
      </c>
      <c r="I28" s="8">
        <v>32.448</v>
      </c>
      <c r="J28" s="8">
        <v>0</v>
      </c>
      <c r="K28" s="8">
        <v>0</v>
      </c>
      <c r="L28" s="8">
        <v>0</v>
      </c>
      <c r="M28" s="8">
        <v>0</v>
      </c>
      <c r="N28" s="8" t="str">
        <v>SwapTrade</v>
      </c>
      <c r="O28" s="7" cm="1">
        <f t="array" ref="O28">(_xll.qwPrice($A$1,F28)-_xll.qwPrice($A$4,F28))*_xll.qwMVFactor($A$1,F28)*I28*_xll.qwFXRate($A$1,F28)</f>
        <v>641932.58033703547</v>
      </c>
      <c r="P28" s="7" cm="1">
        <f t="array" ref="P28">IF(ISNUMBER(_xll.qwDV01($A$1,F28)*I28*_xll.qwMVFactor($A$1,F28)*_xll.qwFXRate($A$1,F28)),_xll.qwDV01($A$1,F28)*I28*_xll.qwMVFactor($A$1,F28)*_xll.qwFXRate($A$1,F28),0)</f>
        <v>62813.482931465442</v>
      </c>
      <c r="Q28" s="7" cm="1">
        <f t="array" ref="Q28">IF(ISNUMBER(_xll.qwDV01($A$1,F28)*G28*_xll.qwMVFactor($A$1,F28)*_xll.qwFXRate($A$1,F28)),_xll.qwDV01($A$1,F28)*G28*_xll.qwMVFactor($A$1,F28)*_xll.qwFXRate($A$1,F28),0)</f>
        <v>62813.482931465442</v>
      </c>
      <c r="R28" s="7" cm="1">
        <f t="array" ref="R28">IF(ISNUMBER(_xll.qwDV01($A$1,F28)*J28*_xll.qwMVFactor($A$1,F28)*_xll.qwFXRate($A$1,F28)),_xll.qwDV01($A$1,F28)*J28*_xll.qwMVFactor($A$1,F28)*_xll.qwFXRate($A$1,F28),0)</f>
        <v>0</v>
      </c>
      <c r="S28" s="7" cm="1">
        <f t="array" ref="S28">IF(ISNUMBER(_xll.qwDV01($A$1,F28)*J28*_xll.qwMVFactor($A$1,F28)*_xll.qwFXRate($A$1,F28)),_xll.qwDV01($A$1,F28)*J28*_xll.qwMVFactor($A$1,F28)*_xll.qwFXRate($A$1,F28),0)</f>
        <v>0</v>
      </c>
      <c r="T28" s="7" cm="1">
        <f t="array" ref="T28">_xll.qwFXRate($A$1,F28)*J28*(_xll.qwPrice($A$1,F28)-M28)*_xll.qwMVFactor($A$1,F28)</f>
        <v>0</v>
      </c>
      <c r="U28" s="9" cm="1">
        <f t="array" ref="U28">_xll.qwYield($A$1,F28)</f>
        <v>3.4362373809599382E-2</v>
      </c>
      <c r="V28" s="9" cm="1">
        <f t="array" ref="V28">100*(_xll.qwYield($A$4,F28)-U28)</f>
        <v>0.10191634542026165</v>
      </c>
      <c r="W28" s="7">
        <f>IF(ISNA(G28*INDEX(_xll.qwTblData(_xll.qwCurveScenariosPerSecurity($A$1,F28,"Crv210")),2,2)),0,(G28*INDEX(_xll.qwTblData(_xll.qwCurveScenariosPerSecurity($A$1,F28,"Crv210")),2,2)))</f>
        <v>-194474.01983930293</v>
      </c>
      <c r="X28" s="7" cm="1">
        <f t="array" ref="X28">ABS(Q28/_xll.qwMV01($A$1,"CT10"))</f>
        <v>85.070813236554244</v>
      </c>
      <c r="Y28" s="7" cm="1">
        <f t="array" ref="Y28">IF(N28="BondFuture",-(_xll.qwCurveYield($A$1,_xll.qwSecVal($A$1,AA28,"CreditCurveName()"),AA28)-_xll.qwCurveYield($A$4,_xll.qwSecVal($A$4,AA28,"CreditCurveName()"),AA28))*P28*10000,IF(N28="Bond",-(_xll.qwCurveYield($A$1,_xll.qwSecVal($A$1,F28,"CreditCurveName()"),F28)-_xll.qwCurveYield($A$4,_xll.qwSecVal($A$4,F28,"CreditCurveName()"),F28))*P28*10000,O28))</f>
        <v>641932.58033703547</v>
      </c>
      <c r="Z28" s="7" cm="1">
        <f t="array" ref="Z28">IF(OR(N28="BondFuture",N28="Bond"),P28*(_xll.qwCurveZSpread($A$4,_xll.qwSecVal($A$1,AA28,"CreditCurveName()"),AA28)-_xll.qwCurveZSpread($A$1,_xll.qwSecVal($A$1,AA28,"CreditCurveName()"),AA28)),0)</f>
        <v>0</v>
      </c>
      <c r="AA28" s="10" cm="1">
        <f t="array" ref="AA28">IF(_xll.qwSecType(F28)="Bond",F28,IF(_xll.qwSecType(F28)="BondFuture",_xll.qwFutCTD($A$1,F28),0))</f>
        <v>0</v>
      </c>
      <c r="AB28" s="7" cm="1">
        <f t="array" ref="AB28">IF(_xll.qwSecType(F28)="BondFuture",(I28*_xll.qwDelta($A$4,F28)*_xll.qwMVFactor($A$1,F28)/_xll.qwMVFactor($A$1,_xll.qwFutCTD($A$1,F28)))*(_xll.qwFXRate($A$1,F28)*_xll.qwMVFactor($A$1,_xll.qwFutCTD($A$1,F28))*(_xll.qwIncome($A$4,_xll.qwFutCTD($A$4,F28),_xll.qwBondSettle($A$4,_xll.qwFutCTD($A$4,F28)),_xll.qwBondSettle($A$1,_xll.qwFutCTD($A$1,F28)))+(_xll.qwBondDirtyPrice($A$1,_xll.qwFutCTD($A$1,F28))-_xll.qwBondDirtyPrice($A$4,_xll.qwFutCTD($A$4,F28)))-_xll.qwBondRepoFromTo($A$1,_xll.qwFutCTD($A$1,F28),_xll.qwBondSettle($A$4,_xll.qwFutCTD($A$4,F28)),_xll.qwBondSettle($A$1,_xll.qwFutCTD($A$1,F28)))))-O28,0)</f>
        <v>0</v>
      </c>
      <c r="AD28" s="11"/>
    </row>
    <row r="29" spans="2:30" s="8" customFormat="1" hidden="1" x14ac:dyDescent="0.35">
      <c r="B29" s="8" t="str">
        <v>pzhao</v>
      </c>
      <c r="C29" s="8" t="str">
        <v>MAMS</v>
      </c>
      <c r="D29" s="8" t="str">
        <v>pzhao|MAMS|RV_RATES_EUR_SWAPS-CURVE|237223606</v>
      </c>
      <c r="E29" s="8" t="str">
        <v>RV_RATES_EUR_SWAPS-CURVE</v>
      </c>
      <c r="F29" s="8" t="str">
        <v>237223606</v>
      </c>
      <c r="G29" s="8">
        <v>27.648</v>
      </c>
      <c r="H29" s="8">
        <v>0</v>
      </c>
      <c r="I29" s="8">
        <v>27.648</v>
      </c>
      <c r="J29" s="8">
        <v>0</v>
      </c>
      <c r="K29" s="8">
        <v>0</v>
      </c>
      <c r="L29" s="8">
        <v>0</v>
      </c>
      <c r="M29" s="8">
        <v>0</v>
      </c>
      <c r="N29" s="8" t="str">
        <v>SwapTrade</v>
      </c>
      <c r="O29" s="7" cm="1">
        <f t="array" ref="O29">(_xll.qwPrice($A$1,F29)-_xll.qwPrice($A$4,F29))*_xll.qwMVFactor($A$1,F29)*I29*_xll.qwFXRate($A$1,F29)</f>
        <v>-621431.63193670567</v>
      </c>
      <c r="P29" s="7" cm="1">
        <f t="array" ref="P29">IF(ISNUMBER(_xll.qwDV01($A$1,F29)*I29*_xll.qwMVFactor($A$1,F29)*_xll.qwFXRate($A$1,F29)),_xll.qwDV01($A$1,F29)*I29*_xll.qwMVFactor($A$1,F29)*_xll.qwFXRate($A$1,F29),0)</f>
        <v>-64169.07563346305</v>
      </c>
      <c r="Q29" s="7" cm="1">
        <f t="array" ref="Q29">IF(ISNUMBER(_xll.qwDV01($A$1,F29)*G29*_xll.qwMVFactor($A$1,F29)*_xll.qwFXRate($A$1,F29)),_xll.qwDV01($A$1,F29)*G29*_xll.qwMVFactor($A$1,F29)*_xll.qwFXRate($A$1,F29),0)</f>
        <v>-64169.07563346305</v>
      </c>
      <c r="R29" s="7" cm="1">
        <f t="array" ref="R29">IF(ISNUMBER(_xll.qwDV01($A$1,F29)*J29*_xll.qwMVFactor($A$1,F29)*_xll.qwFXRate($A$1,F29)),_xll.qwDV01($A$1,F29)*J29*_xll.qwMVFactor($A$1,F29)*_xll.qwFXRate($A$1,F29),0)</f>
        <v>0</v>
      </c>
      <c r="S29" s="7" cm="1">
        <f t="array" ref="S29">IF(ISNUMBER(_xll.qwDV01($A$1,F29)*J29*_xll.qwMVFactor($A$1,F29)*_xll.qwFXRate($A$1,F29)),_xll.qwDV01($A$1,F29)*J29*_xll.qwMVFactor($A$1,F29)*_xll.qwFXRate($A$1,F29),0)</f>
        <v>0</v>
      </c>
      <c r="T29" s="7" cm="1">
        <f t="array" ref="T29">_xll.qwFXRate($A$1,F29)*J29*(_xll.qwPrice($A$1,F29)-M29)*_xll.qwMVFactor($A$1,F29)</f>
        <v>0</v>
      </c>
      <c r="U29" s="9" cm="1">
        <f t="array" ref="U29">_xll.qwYield($A$1,F29)</f>
        <v>3.2539792572015586E-2</v>
      </c>
      <c r="V29" s="9" cm="1">
        <f t="array" ref="V29">100*(_xll.qwYield($A$4,F29)-U29)</f>
        <v>9.7455754595306837E-2</v>
      </c>
      <c r="W29" s="7">
        <f>IF(ISNA(G29*INDEX(_xll.qwTblData(_xll.qwCurveScenariosPerSecurity($A$1,F29,"Crv210")),2,2)),0,(G29*INDEX(_xll.qwTblData(_xll.qwCurveScenariosPerSecurity($A$1,F29,"Crv210")),2,2)))</f>
        <v>284640.48945205827</v>
      </c>
      <c r="X29" s="7" cm="1">
        <f t="array" ref="X29">ABS(Q29/_xll.qwMV01($A$1,"CT10"))</f>
        <v>86.906746673047479</v>
      </c>
      <c r="Y29" s="7" cm="1">
        <f t="array" ref="Y29">IF(N29="BondFuture",-(_xll.qwCurveYield($A$1,_xll.qwSecVal($A$1,AA29,"CreditCurveName()"),AA29)-_xll.qwCurveYield($A$4,_xll.qwSecVal($A$4,AA29,"CreditCurveName()"),AA29))*P29*10000,IF(N29="Bond",-(_xll.qwCurveYield($A$1,_xll.qwSecVal($A$1,F29,"CreditCurveName()"),F29)-_xll.qwCurveYield($A$4,_xll.qwSecVal($A$4,F29,"CreditCurveName()"),F29))*P29*10000,O29))</f>
        <v>-621431.63193670567</v>
      </c>
      <c r="Z29" s="7" cm="1">
        <f t="array" ref="Z29">IF(OR(N29="BondFuture",N29="Bond"),P29*(_xll.qwCurveZSpread($A$4,_xll.qwSecVal($A$1,AA29,"CreditCurveName()"),AA29)-_xll.qwCurveZSpread($A$1,_xll.qwSecVal($A$1,AA29,"CreditCurveName()"),AA29)),0)</f>
        <v>0</v>
      </c>
      <c r="AA29" s="10" cm="1">
        <f t="array" ref="AA29">IF(_xll.qwSecType(F29)="Bond",F29,IF(_xll.qwSecType(F29)="BondFuture",_xll.qwFutCTD($A$1,F29),0))</f>
        <v>0</v>
      </c>
      <c r="AB29" s="7" cm="1">
        <f t="array" ref="AB29">IF(_xll.qwSecType(F29)="BondFuture",(I29*_xll.qwDelta($A$4,F29)*_xll.qwMVFactor($A$1,F29)/_xll.qwMVFactor($A$1,_xll.qwFutCTD($A$1,F29)))*(_xll.qwFXRate($A$1,F29)*_xll.qwMVFactor($A$1,_xll.qwFutCTD($A$1,F29))*(_xll.qwIncome($A$4,_xll.qwFutCTD($A$4,F29),_xll.qwBondSettle($A$4,_xll.qwFutCTD($A$4,F29)),_xll.qwBondSettle($A$1,_xll.qwFutCTD($A$1,F29)))+(_xll.qwBondDirtyPrice($A$1,_xll.qwFutCTD($A$1,F29))-_xll.qwBondDirtyPrice($A$4,_xll.qwFutCTD($A$4,F29)))-_xll.qwBondRepoFromTo($A$1,_xll.qwFutCTD($A$1,F29),_xll.qwBondSettle($A$4,_xll.qwFutCTD($A$4,F29)),_xll.qwBondSettle($A$1,_xll.qwFutCTD($A$1,F29)))))-O29,0)</f>
        <v>0</v>
      </c>
      <c r="AD29" s="11"/>
    </row>
    <row r="30" spans="2:30" s="8" customFormat="1" hidden="1" x14ac:dyDescent="0.35">
      <c r="B30" s="8" t="str">
        <v>pzhao</v>
      </c>
      <c r="C30" s="8" t="str">
        <v>MAMS</v>
      </c>
      <c r="D30" s="8" t="str">
        <v>pzhao|MAMS|RV_RATES_EUR_SWAPS-CURVE|237223607</v>
      </c>
      <c r="E30" s="8" t="str">
        <v>RV_RATES_EUR_SWAPS-CURVE</v>
      </c>
      <c r="F30" s="8" t="str">
        <v>237223607</v>
      </c>
      <c r="G30" s="8">
        <v>32.448</v>
      </c>
      <c r="H30" s="8">
        <v>0</v>
      </c>
      <c r="I30" s="8">
        <v>32.448</v>
      </c>
      <c r="J30" s="8">
        <v>0</v>
      </c>
      <c r="K30" s="8">
        <v>0</v>
      </c>
      <c r="L30" s="8">
        <v>0</v>
      </c>
      <c r="M30" s="8">
        <v>0</v>
      </c>
      <c r="N30" s="8" t="str">
        <v>SwapTrade</v>
      </c>
      <c r="O30" s="7" cm="1">
        <f t="array" ref="O30">(_xll.qwPrice($A$1,F30)-_xll.qwPrice($A$4,F30))*_xll.qwMVFactor($A$1,F30)*I30*_xll.qwFXRate($A$1,F30)</f>
        <v>641945.81109879015</v>
      </c>
      <c r="P30" s="7" cm="1">
        <f t="array" ref="P30">IF(ISNUMBER(_xll.qwDV01($A$1,F30)*I30*_xll.qwMVFactor($A$1,F30)*_xll.qwFXRate($A$1,F30)),_xll.qwDV01($A$1,F30)*I30*_xll.qwMVFactor($A$1,F30)*_xll.qwFXRate($A$1,F30),0)</f>
        <v>62814.844187033865</v>
      </c>
      <c r="Q30" s="7" cm="1">
        <f t="array" ref="Q30">IF(ISNUMBER(_xll.qwDV01($A$1,F30)*G30*_xll.qwMVFactor($A$1,F30)*_xll.qwFXRate($A$1,F30)),_xll.qwDV01($A$1,F30)*G30*_xll.qwMVFactor($A$1,F30)*_xll.qwFXRate($A$1,F30),0)</f>
        <v>62814.844187033865</v>
      </c>
      <c r="R30" s="7" cm="1">
        <f t="array" ref="R30">IF(ISNUMBER(_xll.qwDV01($A$1,F30)*J30*_xll.qwMVFactor($A$1,F30)*_xll.qwFXRate($A$1,F30)),_xll.qwDV01($A$1,F30)*J30*_xll.qwMVFactor($A$1,F30)*_xll.qwFXRate($A$1,F30),0)</f>
        <v>0</v>
      </c>
      <c r="S30" s="7" cm="1">
        <f t="array" ref="S30">IF(ISNUMBER(_xll.qwDV01($A$1,F30)*J30*_xll.qwMVFactor($A$1,F30)*_xll.qwFXRate($A$1,F30)),_xll.qwDV01($A$1,F30)*J30*_xll.qwMVFactor($A$1,F30)*_xll.qwFXRate($A$1,F30),0)</f>
        <v>0</v>
      </c>
      <c r="T30" s="7" cm="1">
        <f t="array" ref="T30">_xll.qwFXRate($A$1,F30)*J30*(_xll.qwPrice($A$1,F30)-M30)*_xll.qwMVFactor($A$1,F30)</f>
        <v>0</v>
      </c>
      <c r="U30" s="9" cm="1">
        <f t="array" ref="U30">_xll.qwYield($A$1,F30)</f>
        <v>3.4362373809599382E-2</v>
      </c>
      <c r="V30" s="9" cm="1">
        <f t="array" ref="V30">100*(_xll.qwYield($A$4,F30)-U30)</f>
        <v>0.10191634542026165</v>
      </c>
      <c r="W30" s="7">
        <f>IF(ISNA(G30*INDEX(_xll.qwTblData(_xll.qwCurveScenariosPerSecurity($A$1,F30,"Crv210")),2,2)),0,(G30*INDEX(_xll.qwTblData(_xll.qwCurveScenariosPerSecurity($A$1,F30,"Crv210")),2,2)))</f>
        <v>-194866.26943395298</v>
      </c>
      <c r="X30" s="7" cm="1">
        <f t="array" ref="X30">ABS(Q30/_xll.qwMV01($A$1,"CT10"))</f>
        <v>85.072656839437315</v>
      </c>
      <c r="Y30" s="7" cm="1">
        <f t="array" ref="Y30">IF(N30="BondFuture",-(_xll.qwCurveYield($A$1,_xll.qwSecVal($A$1,AA30,"CreditCurveName()"),AA30)-_xll.qwCurveYield($A$4,_xll.qwSecVal($A$4,AA30,"CreditCurveName()"),AA30))*P30*10000,IF(N30="Bond",-(_xll.qwCurveYield($A$1,_xll.qwSecVal($A$1,F30,"CreditCurveName()"),F30)-_xll.qwCurveYield($A$4,_xll.qwSecVal($A$4,F30,"CreditCurveName()"),F30))*P30*10000,O30))</f>
        <v>641945.81109879015</v>
      </c>
      <c r="Z30" s="7" cm="1">
        <f t="array" ref="Z30">IF(OR(N30="BondFuture",N30="Bond"),P30*(_xll.qwCurveZSpread($A$4,_xll.qwSecVal($A$1,AA30,"CreditCurveName()"),AA30)-_xll.qwCurveZSpread($A$1,_xll.qwSecVal($A$1,AA30,"CreditCurveName()"),AA30)),0)</f>
        <v>0</v>
      </c>
      <c r="AA30" s="10" cm="1">
        <f t="array" ref="AA30">IF(_xll.qwSecType(F30)="Bond",F30,IF(_xll.qwSecType(F30)="BondFuture",_xll.qwFutCTD($A$1,F30),0))</f>
        <v>0</v>
      </c>
      <c r="AB30" s="7" cm="1">
        <f t="array" ref="AB30">IF(_xll.qwSecType(F30)="BondFuture",(I30*_xll.qwDelta($A$4,F30)*_xll.qwMVFactor($A$1,F30)/_xll.qwMVFactor($A$1,_xll.qwFutCTD($A$1,F30)))*(_xll.qwFXRate($A$1,F30)*_xll.qwMVFactor($A$1,_xll.qwFutCTD($A$1,F30))*(_xll.qwIncome($A$4,_xll.qwFutCTD($A$4,F30),_xll.qwBondSettle($A$4,_xll.qwFutCTD($A$4,F30)),_xll.qwBondSettle($A$1,_xll.qwFutCTD($A$1,F30)))+(_xll.qwBondDirtyPrice($A$1,_xll.qwFutCTD($A$1,F30))-_xll.qwBondDirtyPrice($A$4,_xll.qwFutCTD($A$4,F30)))-_xll.qwBondRepoFromTo($A$1,_xll.qwFutCTD($A$1,F30),_xll.qwBondSettle($A$4,_xll.qwFutCTD($A$4,F30)),_xll.qwBondSettle($A$1,_xll.qwFutCTD($A$1,F30)))))-O30,0)</f>
        <v>0</v>
      </c>
      <c r="AD30" s="11"/>
    </row>
    <row r="31" spans="2:30" s="8" customFormat="1" hidden="1" x14ac:dyDescent="0.35">
      <c r="B31" s="8" t="str">
        <v>pzhao</v>
      </c>
      <c r="C31" s="8" t="str">
        <v>MAMS</v>
      </c>
      <c r="D31" s="8" t="str">
        <v>pzhao|MAMS|RV_RATES_EUR_SWAPS-CURVE|238774634</v>
      </c>
      <c r="E31" s="8" t="str">
        <v>RV_RATES_EUR_SWAPS-CURVE</v>
      </c>
      <c r="F31" s="8" t="str">
        <v>238774634</v>
      </c>
      <c r="G31" s="8">
        <v>20.288</v>
      </c>
      <c r="H31" s="8">
        <v>0</v>
      </c>
      <c r="I31" s="8">
        <v>20.288</v>
      </c>
      <c r="J31" s="8">
        <v>0</v>
      </c>
      <c r="K31" s="8">
        <v>0</v>
      </c>
      <c r="L31" s="8">
        <v>0</v>
      </c>
      <c r="M31" s="8">
        <v>0</v>
      </c>
      <c r="N31" s="8" t="str">
        <v>SwapTrade</v>
      </c>
      <c r="O31" s="7" cm="1">
        <f t="array" ref="O31">(_xll.qwPrice($A$1,F31)-_xll.qwPrice($A$4,F31))*_xll.qwMVFactor($A$1,F31)*I31*_xll.qwFXRate($A$1,F31)</f>
        <v>-445730.7240094837</v>
      </c>
      <c r="P31" s="7" cm="1">
        <f t="array" ref="P31">IF(ISNUMBER(_xll.qwDV01($A$1,F31)*I31*_xll.qwMVFactor($A$1,F31)*_xll.qwFXRate($A$1,F31)),_xll.qwDV01($A$1,F31)*I31*_xll.qwMVFactor($A$1,F31)*_xll.qwFXRate($A$1,F31),0)</f>
        <v>-45831.887484433413</v>
      </c>
      <c r="Q31" s="7" cm="1">
        <f t="array" ref="Q31">IF(ISNUMBER(_xll.qwDV01($A$1,F31)*G31*_xll.qwMVFactor($A$1,F31)*_xll.qwFXRate($A$1,F31)),_xll.qwDV01($A$1,F31)*G31*_xll.qwMVFactor($A$1,F31)*_xll.qwFXRate($A$1,F31),0)</f>
        <v>-45831.887484433413</v>
      </c>
      <c r="R31" s="7" cm="1">
        <f t="array" ref="R31">IF(ISNUMBER(_xll.qwDV01($A$1,F31)*J31*_xll.qwMVFactor($A$1,F31)*_xll.qwFXRate($A$1,F31)),_xll.qwDV01($A$1,F31)*J31*_xll.qwMVFactor($A$1,F31)*_xll.qwFXRate($A$1,F31),0)</f>
        <v>0</v>
      </c>
      <c r="S31" s="7" cm="1">
        <f t="array" ref="S31">IF(ISNUMBER(_xll.qwDV01($A$1,F31)*J31*_xll.qwMVFactor($A$1,F31)*_xll.qwFXRate($A$1,F31)),_xll.qwDV01($A$1,F31)*J31*_xll.qwMVFactor($A$1,F31)*_xll.qwFXRate($A$1,F31),0)</f>
        <v>0</v>
      </c>
      <c r="T31" s="7" cm="1">
        <f t="array" ref="T31">_xll.qwFXRate($A$1,F31)*J31*(_xll.qwPrice($A$1,F31)-M31)*_xll.qwMVFactor($A$1,F31)</f>
        <v>0</v>
      </c>
      <c r="U31" s="9" cm="1">
        <f t="array" ref="U31">_xll.qwYield($A$1,F31)</f>
        <v>3.2519341446506339E-2</v>
      </c>
      <c r="V31" s="9" cm="1">
        <f t="array" ref="V31">100*(_xll.qwYield($A$4,F31)-U31)</f>
        <v>9.7456693734712663E-2</v>
      </c>
      <c r="W31" s="7">
        <f>IF(ISNA(G31*INDEX(_xll.qwTblData(_xll.qwCurveScenariosPerSecurity($A$1,F31,"Crv210")),2,2)),0,(G31*INDEX(_xll.qwTblData(_xll.qwCurveScenariosPerSecurity($A$1,F31,"Crv210")),2,2)))</f>
        <v>206036.92586937355</v>
      </c>
      <c r="X31" s="7" cm="1">
        <f t="array" ref="X31">ABS(Q31/_xll.qwMV01($A$1,"CT10"))</f>
        <v>62.071959052502741</v>
      </c>
      <c r="Y31" s="7" cm="1">
        <f t="array" ref="Y31">IF(N31="BondFuture",-(_xll.qwCurveYield($A$1,_xll.qwSecVal($A$1,AA31,"CreditCurveName()"),AA31)-_xll.qwCurveYield($A$4,_xll.qwSecVal($A$4,AA31,"CreditCurveName()"),AA31))*P31*10000,IF(N31="Bond",-(_xll.qwCurveYield($A$1,_xll.qwSecVal($A$1,F31,"CreditCurveName()"),F31)-_xll.qwCurveYield($A$4,_xll.qwSecVal($A$4,F31,"CreditCurveName()"),F31))*P31*10000,O31))</f>
        <v>-445730.7240094837</v>
      </c>
      <c r="Z31" s="7" cm="1">
        <f t="array" ref="Z31">IF(OR(N31="BondFuture",N31="Bond"),P31*(_xll.qwCurveZSpread($A$4,_xll.qwSecVal($A$1,AA31,"CreditCurveName()"),AA31)-_xll.qwCurveZSpread($A$1,_xll.qwSecVal($A$1,AA31,"CreditCurveName()"),AA31)),0)</f>
        <v>0</v>
      </c>
      <c r="AA31" s="10" cm="1">
        <f t="array" ref="AA31">IF(_xll.qwSecType(F31)="Bond",F31,IF(_xll.qwSecType(F31)="BondFuture",_xll.qwFutCTD($A$1,F31),0))</f>
        <v>0</v>
      </c>
      <c r="AB31" s="7" cm="1">
        <f t="array" ref="AB31">IF(_xll.qwSecType(F31)="BondFuture",(I31*_xll.qwDelta($A$4,F31)*_xll.qwMVFactor($A$1,F31)/_xll.qwMVFactor($A$1,_xll.qwFutCTD($A$1,F31)))*(_xll.qwFXRate($A$1,F31)*_xll.qwMVFactor($A$1,_xll.qwFutCTD($A$1,F31))*(_xll.qwIncome($A$4,_xll.qwFutCTD($A$4,F31),_xll.qwBondSettle($A$4,_xll.qwFutCTD($A$4,F31)),_xll.qwBondSettle($A$1,_xll.qwFutCTD($A$1,F31)))+(_xll.qwBondDirtyPrice($A$1,_xll.qwFutCTD($A$1,F31))-_xll.qwBondDirtyPrice($A$4,_xll.qwFutCTD($A$4,F31)))-_xll.qwBondRepoFromTo($A$1,_xll.qwFutCTD($A$1,F31),_xll.qwBondSettle($A$4,_xll.qwFutCTD($A$4,F31)),_xll.qwBondSettle($A$1,_xll.qwFutCTD($A$1,F31)))))-O31,0)</f>
        <v>0</v>
      </c>
      <c r="AD31" s="11"/>
    </row>
    <row r="32" spans="2:30" s="8" customFormat="1" hidden="1" x14ac:dyDescent="0.35">
      <c r="B32" s="8" t="str">
        <v>pzhao</v>
      </c>
      <c r="C32" s="8" t="str">
        <v>MAMS</v>
      </c>
      <c r="D32" s="8" t="str">
        <v>pzhao|MAMS|RV_RATES_EUR_SWAPS-CURVE|238778170</v>
      </c>
      <c r="E32" s="8" t="str">
        <v>RV_RATES_EUR_SWAPS-CURVE</v>
      </c>
      <c r="F32" s="8" t="str">
        <v>238778170</v>
      </c>
      <c r="G32" s="8">
        <v>20.288</v>
      </c>
      <c r="H32" s="8">
        <v>0</v>
      </c>
      <c r="I32" s="8">
        <v>20.288</v>
      </c>
      <c r="J32" s="8">
        <v>0</v>
      </c>
      <c r="K32" s="8">
        <v>0</v>
      </c>
      <c r="L32" s="8">
        <v>0</v>
      </c>
      <c r="M32" s="8">
        <v>0</v>
      </c>
      <c r="N32" s="8" t="str">
        <v>SwapTrade</v>
      </c>
      <c r="O32" s="7" cm="1">
        <f t="array" ref="O32">(_xll.qwPrice($A$1,F32)-_xll.qwPrice($A$4,F32))*_xll.qwMVFactor($A$1,F32)*I32*_xll.qwFXRate($A$1,F32)</f>
        <v>-445588.73435436707</v>
      </c>
      <c r="P32" s="7" cm="1">
        <f t="array" ref="P32">IF(ISNUMBER(_xll.qwDV01($A$1,F32)*I32*_xll.qwMVFactor($A$1,F32)*_xll.qwFXRate($A$1,F32)),_xll.qwDV01($A$1,F32)*I32*_xll.qwMVFactor($A$1,F32)*_xll.qwFXRate($A$1,F32),0)</f>
        <v>-45817.664512392148</v>
      </c>
      <c r="Q32" s="7" cm="1">
        <f t="array" ref="Q32">IF(ISNUMBER(_xll.qwDV01($A$1,F32)*G32*_xll.qwMVFactor($A$1,F32)*_xll.qwFXRate($A$1,F32)),_xll.qwDV01($A$1,F32)*G32*_xll.qwMVFactor($A$1,F32)*_xll.qwFXRate($A$1,F32),0)</f>
        <v>-45817.664512392148</v>
      </c>
      <c r="R32" s="7" cm="1">
        <f t="array" ref="R32">IF(ISNUMBER(_xll.qwDV01($A$1,F32)*J32*_xll.qwMVFactor($A$1,F32)*_xll.qwFXRate($A$1,F32)),_xll.qwDV01($A$1,F32)*J32*_xll.qwMVFactor($A$1,F32)*_xll.qwFXRate($A$1,F32),0)</f>
        <v>0</v>
      </c>
      <c r="S32" s="7" cm="1">
        <f t="array" ref="S32">IF(ISNUMBER(_xll.qwDV01($A$1,F32)*J32*_xll.qwMVFactor($A$1,F32)*_xll.qwFXRate($A$1,F32)),_xll.qwDV01($A$1,F32)*J32*_xll.qwMVFactor($A$1,F32)*_xll.qwFXRate($A$1,F32),0)</f>
        <v>0</v>
      </c>
      <c r="T32" s="7" cm="1">
        <f t="array" ref="T32">_xll.qwFXRate($A$1,F32)*J32*(_xll.qwPrice($A$1,F32)-M32)*_xll.qwMVFactor($A$1,F32)</f>
        <v>0</v>
      </c>
      <c r="U32" s="9" cm="1">
        <f t="array" ref="U32">_xll.qwYield($A$1,F32)</f>
        <v>3.2519341446506339E-2</v>
      </c>
      <c r="V32" s="9" cm="1">
        <f t="array" ref="V32">100*(_xll.qwYield($A$4,F32)-U32)</f>
        <v>9.7456693734712663E-2</v>
      </c>
      <c r="W32" s="7">
        <f>IF(ISNA(G32*INDEX(_xll.qwTblData(_xll.qwCurveScenariosPerSecurity($A$1,F32,"Crv210")),2,2)),0,(G32*INDEX(_xll.qwTblData(_xll.qwCurveScenariosPerSecurity($A$1,F32,"Crv210")),2,2)))</f>
        <v>205995.09955877016</v>
      </c>
      <c r="X32" s="7" cm="1">
        <f t="array" ref="X32">ABS(Q32/_xll.qwMV01($A$1,"CT10"))</f>
        <v>62.052696312375573</v>
      </c>
      <c r="Y32" s="7" cm="1">
        <f t="array" ref="Y32">IF(N32="BondFuture",-(_xll.qwCurveYield($A$1,_xll.qwSecVal($A$1,AA32,"CreditCurveName()"),AA32)-_xll.qwCurveYield($A$4,_xll.qwSecVal($A$4,AA32,"CreditCurveName()"),AA32))*P32*10000,IF(N32="Bond",-(_xll.qwCurveYield($A$1,_xll.qwSecVal($A$1,F32,"CreditCurveName()"),F32)-_xll.qwCurveYield($A$4,_xll.qwSecVal($A$4,F32,"CreditCurveName()"),F32))*P32*10000,O32))</f>
        <v>-445588.73435436707</v>
      </c>
      <c r="Z32" s="7" cm="1">
        <f t="array" ref="Z32">IF(OR(N32="BondFuture",N32="Bond"),P32*(_xll.qwCurveZSpread($A$4,_xll.qwSecVal($A$1,AA32,"CreditCurveName()"),AA32)-_xll.qwCurveZSpread($A$1,_xll.qwSecVal($A$1,AA32,"CreditCurveName()"),AA32)),0)</f>
        <v>0</v>
      </c>
      <c r="AA32" s="10" cm="1">
        <f t="array" ref="AA32">IF(_xll.qwSecType(F32)="Bond",F32,IF(_xll.qwSecType(F32)="BondFuture",_xll.qwFutCTD($A$1,F32),0))</f>
        <v>0</v>
      </c>
      <c r="AB32" s="7" cm="1">
        <f t="array" ref="AB32">IF(_xll.qwSecType(F32)="BondFuture",(I32*_xll.qwDelta($A$4,F32)*_xll.qwMVFactor($A$1,F32)/_xll.qwMVFactor($A$1,_xll.qwFutCTD($A$1,F32)))*(_xll.qwFXRate($A$1,F32)*_xll.qwMVFactor($A$1,_xll.qwFutCTD($A$1,F32))*(_xll.qwIncome($A$4,_xll.qwFutCTD($A$4,F32),_xll.qwBondSettle($A$4,_xll.qwFutCTD($A$4,F32)),_xll.qwBondSettle($A$1,_xll.qwFutCTD($A$1,F32)))+(_xll.qwBondDirtyPrice($A$1,_xll.qwFutCTD($A$1,F32))-_xll.qwBondDirtyPrice($A$4,_xll.qwFutCTD($A$4,F32)))-_xll.qwBondRepoFromTo($A$1,_xll.qwFutCTD($A$1,F32),_xll.qwBondSettle($A$4,_xll.qwFutCTD($A$4,F32)),_xll.qwBondSettle($A$1,_xll.qwFutCTD($A$1,F32)))))-O32,0)</f>
        <v>0</v>
      </c>
      <c r="AD32" s="11"/>
    </row>
    <row r="33" spans="2:30" s="8" customFormat="1" hidden="1" x14ac:dyDescent="0.35">
      <c r="B33" s="8" t="str">
        <v>pzhao</v>
      </c>
      <c r="C33" s="8" t="str">
        <v>MAMS</v>
      </c>
      <c r="D33" s="8" t="str">
        <v>pzhao|MAMS|RV_RATES_EUR_SWAPS-CURVE|254291240</v>
      </c>
      <c r="E33" s="8" t="str">
        <v>RV_RATES_EUR_SWAPS-CURVE</v>
      </c>
      <c r="F33" s="8" t="str">
        <v>254291240</v>
      </c>
      <c r="G33" s="8">
        <v>44.991999999999997</v>
      </c>
      <c r="H33" s="8">
        <v>0</v>
      </c>
      <c r="I33" s="8">
        <v>44.991999999999997</v>
      </c>
      <c r="J33" s="8">
        <v>0</v>
      </c>
      <c r="K33" s="8">
        <v>0</v>
      </c>
      <c r="L33" s="8">
        <v>0</v>
      </c>
      <c r="M33" s="8">
        <v>0</v>
      </c>
      <c r="N33" s="8" t="str">
        <v>SwapTrade</v>
      </c>
      <c r="O33" s="7" cm="1">
        <f t="array" ref="O33">(_xll.qwPrice($A$1,F33)-_xll.qwPrice($A$4,F33))*_xll.qwMVFactor($A$1,F33)*I33*_xll.qwFXRate($A$1,F33)</f>
        <v>-911355.35985926678</v>
      </c>
      <c r="P33" s="7" cm="1">
        <f t="array" ref="P33">IF(ISNUMBER(_xll.qwDV01($A$1,F33)*I33*_xll.qwMVFactor($A$1,F33)*_xll.qwFXRate($A$1,F33)),_xll.qwDV01($A$1,F33)*I33*_xll.qwMVFactor($A$1,F33)*_xll.qwFXRate($A$1,F33),0)</f>
        <v>-93922.024085398167</v>
      </c>
      <c r="Q33" s="7" cm="1">
        <f t="array" ref="Q33">IF(ISNUMBER(_xll.qwDV01($A$1,F33)*G33*_xll.qwMVFactor($A$1,F33)*_xll.qwFXRate($A$1,F33)),_xll.qwDV01($A$1,F33)*G33*_xll.qwMVFactor($A$1,F33)*_xll.qwFXRate($A$1,F33),0)</f>
        <v>-93922.024085398167</v>
      </c>
      <c r="R33" s="7" cm="1">
        <f t="array" ref="R33">IF(ISNUMBER(_xll.qwDV01($A$1,F33)*J33*_xll.qwMVFactor($A$1,F33)*_xll.qwFXRate($A$1,F33)),_xll.qwDV01($A$1,F33)*J33*_xll.qwMVFactor($A$1,F33)*_xll.qwFXRate($A$1,F33),0)</f>
        <v>0</v>
      </c>
      <c r="S33" s="7" cm="1">
        <f t="array" ref="S33">IF(ISNUMBER(_xll.qwDV01($A$1,F33)*J33*_xll.qwMVFactor($A$1,F33)*_xll.qwFXRate($A$1,F33)),_xll.qwDV01($A$1,F33)*J33*_xll.qwMVFactor($A$1,F33)*_xll.qwFXRate($A$1,F33),0)</f>
        <v>0</v>
      </c>
      <c r="T33" s="7" cm="1">
        <f t="array" ref="T33">_xll.qwFXRate($A$1,F33)*J33*(_xll.qwPrice($A$1,F33)-M33)*_xll.qwMVFactor($A$1,F33)</f>
        <v>0</v>
      </c>
      <c r="U33" s="9" cm="1">
        <f t="array" ref="U33">_xll.qwYield($A$1,F33)</f>
        <v>3.4280238835449416E-2</v>
      </c>
      <c r="V33" s="9" cm="1">
        <f t="array" ref="V33">100*(_xll.qwYield($A$4,F33)-U33)</f>
        <v>9.8385972194153098E-2</v>
      </c>
      <c r="W33" s="7">
        <f>IF(ISNA(G33*INDEX(_xll.qwTblData(_xll.qwCurveScenariosPerSecurity($A$1,F33,"Crv210")),2,2)),0,(G33*INDEX(_xll.qwTblData(_xll.qwCurveScenariosPerSecurity($A$1,F33,"Crv210")),2,2)))</f>
        <v>288684.35795981815</v>
      </c>
      <c r="X33" s="7" cm="1">
        <f t="array" ref="X33">ABS(Q33/_xll.qwMV01($A$1,"CT10"))</f>
        <v>127.20235524092517</v>
      </c>
      <c r="Y33" s="7" cm="1">
        <f t="array" ref="Y33">IF(N33="BondFuture",-(_xll.qwCurveYield($A$1,_xll.qwSecVal($A$1,AA33,"CreditCurveName()"),AA33)-_xll.qwCurveYield($A$4,_xll.qwSecVal($A$4,AA33,"CreditCurveName()"),AA33))*P33*10000,IF(N33="Bond",-(_xll.qwCurveYield($A$1,_xll.qwSecVal($A$1,F33,"CreditCurveName()"),F33)-_xll.qwCurveYield($A$4,_xll.qwSecVal($A$4,F33,"CreditCurveName()"),F33))*P33*10000,O33))</f>
        <v>-911355.35985926678</v>
      </c>
      <c r="Z33" s="7" cm="1">
        <f t="array" ref="Z33">IF(OR(N33="BondFuture",N33="Bond"),P33*(_xll.qwCurveZSpread($A$4,_xll.qwSecVal($A$1,AA33,"CreditCurveName()"),AA33)-_xll.qwCurveZSpread($A$1,_xll.qwSecVal($A$1,AA33,"CreditCurveName()"),AA33)),0)</f>
        <v>0</v>
      </c>
      <c r="AA33" s="10" cm="1">
        <f t="array" ref="AA33">IF(_xll.qwSecType(F33)="Bond",F33,IF(_xll.qwSecType(F33)="BondFuture",_xll.qwFutCTD($A$1,F33),0))</f>
        <v>0</v>
      </c>
      <c r="AB33" s="7" cm="1">
        <f t="array" ref="AB33">IF(_xll.qwSecType(F33)="BondFuture",(I33*_xll.qwDelta($A$4,F33)*_xll.qwMVFactor($A$1,F33)/_xll.qwMVFactor($A$1,_xll.qwFutCTD($A$1,F33)))*(_xll.qwFXRate($A$1,F33)*_xll.qwMVFactor($A$1,_xll.qwFutCTD($A$1,F33))*(_xll.qwIncome($A$4,_xll.qwFutCTD($A$4,F33),_xll.qwBondSettle($A$4,_xll.qwFutCTD($A$4,F33)),_xll.qwBondSettle($A$1,_xll.qwFutCTD($A$1,F33)))+(_xll.qwBondDirtyPrice($A$1,_xll.qwFutCTD($A$1,F33))-_xll.qwBondDirtyPrice($A$4,_xll.qwFutCTD($A$4,F33)))-_xll.qwBondRepoFromTo($A$1,_xll.qwFutCTD($A$1,F33),_xll.qwBondSettle($A$4,_xll.qwFutCTD($A$4,F33)),_xll.qwBondSettle($A$1,_xll.qwFutCTD($A$1,F33)))))-O33,0)</f>
        <v>0</v>
      </c>
      <c r="AD33" s="11"/>
    </row>
    <row r="34" spans="2:30" s="8" customFormat="1" hidden="1" x14ac:dyDescent="0.35">
      <c r="B34" s="8" t="str">
        <v>pzhao</v>
      </c>
      <c r="C34" s="8" t="str">
        <v>MAMS</v>
      </c>
      <c r="D34" s="8" t="str">
        <v>pzhao|MAMS|RV_RATES_EUR_SWAPS-CURVE|254291245</v>
      </c>
      <c r="E34" s="8" t="str">
        <v>RV_RATES_EUR_SWAPS-CURVE</v>
      </c>
      <c r="F34" s="8" t="str">
        <v>254291245</v>
      </c>
      <c r="G34" s="8">
        <v>38.4</v>
      </c>
      <c r="H34" s="8">
        <v>0</v>
      </c>
      <c r="I34" s="8">
        <v>38.4</v>
      </c>
      <c r="J34" s="8">
        <v>0</v>
      </c>
      <c r="K34" s="8">
        <v>0</v>
      </c>
      <c r="L34" s="8">
        <v>0</v>
      </c>
      <c r="M34" s="8">
        <v>0</v>
      </c>
      <c r="N34" s="8" t="str">
        <v>SwapTrade</v>
      </c>
      <c r="O34" s="7" cm="1">
        <f t="array" ref="O34">(_xll.qwPrice($A$1,F34)-_xll.qwPrice($A$4,F34))*_xll.qwMVFactor($A$1,F34)*I34*_xll.qwFXRate($A$1,F34)</f>
        <v>884492.26529894408</v>
      </c>
      <c r="P34" s="7" cm="1">
        <f t="array" ref="P34">IF(ISNUMBER(_xll.qwDV01($A$1,F34)*I34*_xll.qwMVFactor($A$1,F34)*_xll.qwFXRate($A$1,F34)),_xll.qwDV01($A$1,F34)*I34*_xll.qwMVFactor($A$1,F34)*_xll.qwFXRate($A$1,F34),0)</f>
        <v>94809.84631568304</v>
      </c>
      <c r="Q34" s="7" cm="1">
        <f t="array" ref="Q34">IF(ISNUMBER(_xll.qwDV01($A$1,F34)*G34*_xll.qwMVFactor($A$1,F34)*_xll.qwFXRate($A$1,F34)),_xll.qwDV01($A$1,F34)*G34*_xll.qwMVFactor($A$1,F34)*_xll.qwFXRate($A$1,F34),0)</f>
        <v>94809.84631568304</v>
      </c>
      <c r="R34" s="7" cm="1">
        <f t="array" ref="R34">IF(ISNUMBER(_xll.qwDV01($A$1,F34)*J34*_xll.qwMVFactor($A$1,F34)*_xll.qwFXRate($A$1,F34)),_xll.qwDV01($A$1,F34)*J34*_xll.qwMVFactor($A$1,F34)*_xll.qwFXRate($A$1,F34),0)</f>
        <v>0</v>
      </c>
      <c r="S34" s="7" cm="1">
        <f t="array" ref="S34">IF(ISNUMBER(_xll.qwDV01($A$1,F34)*J34*_xll.qwMVFactor($A$1,F34)*_xll.qwFXRate($A$1,F34)),_xll.qwDV01($A$1,F34)*J34*_xll.qwMVFactor($A$1,F34)*_xll.qwFXRate($A$1,F34),0)</f>
        <v>0</v>
      </c>
      <c r="T34" s="7" cm="1">
        <f t="array" ref="T34">_xll.qwFXRate($A$1,F34)*J34*(_xll.qwPrice($A$1,F34)-M34)*_xll.qwMVFactor($A$1,F34)</f>
        <v>0</v>
      </c>
      <c r="U34" s="9" cm="1">
        <f t="array" ref="U34">_xll.qwYield($A$1,F34)</f>
        <v>3.244298913596539E-2</v>
      </c>
      <c r="V34" s="9" cm="1">
        <f t="array" ref="V34">100*(_xll.qwYield($A$4,F34)-U34)</f>
        <v>9.4841922462408218E-2</v>
      </c>
      <c r="W34" s="7">
        <f>IF(ISNA(G34*INDEX(_xll.qwTblData(_xll.qwCurveScenariosPerSecurity($A$1,F34,"Crv210")),2,2)),0,(G34*INDEX(_xll.qwTblData(_xll.qwCurveScenariosPerSecurity($A$1,F34,"Crv210")),2,2)))</f>
        <v>-416894.49940602714</v>
      </c>
      <c r="X34" s="7" cm="1">
        <f t="array" ref="X34">ABS(Q34/_xll.qwMV01($A$1,"CT10"))</f>
        <v>128.40476841107579</v>
      </c>
      <c r="Y34" s="7" cm="1">
        <f t="array" ref="Y34">IF(N34="BondFuture",-(_xll.qwCurveYield($A$1,_xll.qwSecVal($A$1,AA34,"CreditCurveName()"),AA34)-_xll.qwCurveYield($A$4,_xll.qwSecVal($A$4,AA34,"CreditCurveName()"),AA34))*P34*10000,IF(N34="Bond",-(_xll.qwCurveYield($A$1,_xll.qwSecVal($A$1,F34,"CreditCurveName()"),F34)-_xll.qwCurveYield($A$4,_xll.qwSecVal($A$4,F34,"CreditCurveName()"),F34))*P34*10000,O34))</f>
        <v>884492.26529894408</v>
      </c>
      <c r="Z34" s="7" cm="1">
        <f t="array" ref="Z34">IF(OR(N34="BondFuture",N34="Bond"),P34*(_xll.qwCurveZSpread($A$4,_xll.qwSecVal($A$1,AA34,"CreditCurveName()"),AA34)-_xll.qwCurveZSpread($A$1,_xll.qwSecVal($A$1,AA34,"CreditCurveName()"),AA34)),0)</f>
        <v>0</v>
      </c>
      <c r="AA34" s="10" cm="1">
        <f t="array" ref="AA34">IF(_xll.qwSecType(F34)="Bond",F34,IF(_xll.qwSecType(F34)="BondFuture",_xll.qwFutCTD($A$1,F34),0))</f>
        <v>0</v>
      </c>
      <c r="AB34" s="7" cm="1">
        <f t="array" ref="AB34">IF(_xll.qwSecType(F34)="BondFuture",(I34*_xll.qwDelta($A$4,F34)*_xll.qwMVFactor($A$1,F34)/_xll.qwMVFactor($A$1,_xll.qwFutCTD($A$1,F34)))*(_xll.qwFXRate($A$1,F34)*_xll.qwMVFactor($A$1,_xll.qwFutCTD($A$1,F34))*(_xll.qwIncome($A$4,_xll.qwFutCTD($A$4,F34),_xll.qwBondSettle($A$4,_xll.qwFutCTD($A$4,F34)),_xll.qwBondSettle($A$1,_xll.qwFutCTD($A$1,F34)))+(_xll.qwBondDirtyPrice($A$1,_xll.qwFutCTD($A$1,F34))-_xll.qwBondDirtyPrice($A$4,_xll.qwFutCTD($A$4,F34)))-_xll.qwBondRepoFromTo($A$1,_xll.qwFutCTD($A$1,F34),_xll.qwBondSettle($A$4,_xll.qwFutCTD($A$4,F34)),_xll.qwBondSettle($A$1,_xll.qwFutCTD($A$1,F34)))))-O34,0)</f>
        <v>0</v>
      </c>
      <c r="AD34" s="11"/>
    </row>
    <row r="35" spans="2:30" s="8" customFormat="1" hidden="1" x14ac:dyDescent="0.35">
      <c r="B35" s="8" t="str">
        <v>pzhao</v>
      </c>
      <c r="C35" s="8" t="str">
        <v>MAMS</v>
      </c>
      <c r="D35" s="8" t="str">
        <v>pzhao|MAMS|RV_RATES_EUR_SWAPS-CURVE|254291749</v>
      </c>
      <c r="E35" s="8" t="str">
        <v>RV_RATES_EUR_SWAPS-CURVE</v>
      </c>
      <c r="F35" s="8" t="str">
        <v>254291749</v>
      </c>
      <c r="G35" s="8">
        <v>38.4</v>
      </c>
      <c r="H35" s="8">
        <v>0</v>
      </c>
      <c r="I35" s="8">
        <v>38.4</v>
      </c>
      <c r="J35" s="8">
        <v>0</v>
      </c>
      <c r="K35" s="8">
        <v>0</v>
      </c>
      <c r="L35" s="8">
        <v>0</v>
      </c>
      <c r="M35" s="8">
        <v>0</v>
      </c>
      <c r="N35" s="8" t="str">
        <v>SwapTrade</v>
      </c>
      <c r="O35" s="7" cm="1">
        <f t="array" ref="O35">(_xll.qwPrice($A$1,F35)-_xll.qwPrice($A$4,F35))*_xll.qwMVFactor($A$1,F35)*I35*_xll.qwFXRate($A$1,F35)</f>
        <v>-778494.82215666329</v>
      </c>
      <c r="P35" s="7" cm="1">
        <f t="array" ref="P35">IF(ISNUMBER(_xll.qwDV01($A$1,F35)*I35*_xll.qwMVFactor($A$1,F35)*_xll.qwFXRate($A$1,F35)),_xll.qwDV01($A$1,F35)*I35*_xll.qwMVFactor($A$1,F35)*_xll.qwFXRate($A$1,F35),0)</f>
        <v>-80229.369010594557</v>
      </c>
      <c r="Q35" s="7" cm="1">
        <f t="array" ref="Q35">IF(ISNUMBER(_xll.qwDV01($A$1,F35)*G35*_xll.qwMVFactor($A$1,F35)*_xll.qwFXRate($A$1,F35)),_xll.qwDV01($A$1,F35)*G35*_xll.qwMVFactor($A$1,F35)*_xll.qwFXRate($A$1,F35),0)</f>
        <v>-80229.369010594557</v>
      </c>
      <c r="R35" s="7" cm="1">
        <f t="array" ref="R35">IF(ISNUMBER(_xll.qwDV01($A$1,F35)*J35*_xll.qwMVFactor($A$1,F35)*_xll.qwFXRate($A$1,F35)),_xll.qwDV01($A$1,F35)*J35*_xll.qwMVFactor($A$1,F35)*_xll.qwFXRate($A$1,F35),0)</f>
        <v>0</v>
      </c>
      <c r="S35" s="7" cm="1">
        <f t="array" ref="S35">IF(ISNUMBER(_xll.qwDV01($A$1,F35)*J35*_xll.qwMVFactor($A$1,F35)*_xll.qwFXRate($A$1,F35)),_xll.qwDV01($A$1,F35)*J35*_xll.qwMVFactor($A$1,F35)*_xll.qwFXRate($A$1,F35),0)</f>
        <v>0</v>
      </c>
      <c r="T35" s="7" cm="1">
        <f t="array" ref="T35">_xll.qwFXRate($A$1,F35)*J35*(_xll.qwPrice($A$1,F35)-M35)*_xll.qwMVFactor($A$1,F35)</f>
        <v>0</v>
      </c>
      <c r="U35" s="9" cm="1">
        <f t="array" ref="U35">_xll.qwYield($A$1,F35)</f>
        <v>3.4280238835449416E-2</v>
      </c>
      <c r="V35" s="9" cm="1">
        <f t="array" ref="V35">100*(_xll.qwYield($A$4,F35)-U35)</f>
        <v>9.8385972194153098E-2</v>
      </c>
      <c r="W35" s="7">
        <f>IF(ISNA(G35*INDEX(_xll.qwTblData(_xll.qwCurveScenariosPerSecurity($A$1,F35,"Crv210")),2,2)),0,(G35*INDEX(_xll.qwTblData(_xll.qwCurveScenariosPerSecurity($A$1,F35,"Crv210")),2,2)))</f>
        <v>246519.64546429136</v>
      </c>
      <c r="X35" s="7" cm="1">
        <f t="array" ref="X35">ABS(Q35/_xll.qwMV01($A$1,"CT10"))</f>
        <v>108.65784460055653</v>
      </c>
      <c r="Y35" s="7" cm="1">
        <f t="array" ref="Y35">IF(N35="BondFuture",-(_xll.qwCurveYield($A$1,_xll.qwSecVal($A$1,AA35,"CreditCurveName()"),AA35)-_xll.qwCurveYield($A$4,_xll.qwSecVal($A$4,AA35,"CreditCurveName()"),AA35))*P35*10000,IF(N35="Bond",-(_xll.qwCurveYield($A$1,_xll.qwSecVal($A$1,F35,"CreditCurveName()"),F35)-_xll.qwCurveYield($A$4,_xll.qwSecVal($A$4,F35,"CreditCurveName()"),F35))*P35*10000,O35))</f>
        <v>-778494.82215666329</v>
      </c>
      <c r="Z35" s="7" cm="1">
        <f t="array" ref="Z35">IF(OR(N35="BondFuture",N35="Bond"),P35*(_xll.qwCurveZSpread($A$4,_xll.qwSecVal($A$1,AA35,"CreditCurveName()"),AA35)-_xll.qwCurveZSpread($A$1,_xll.qwSecVal($A$1,AA35,"CreditCurveName()"),AA35)),0)</f>
        <v>0</v>
      </c>
      <c r="AA35" s="10" cm="1">
        <f t="array" ref="AA35">IF(_xll.qwSecType(F35)="Bond",F35,IF(_xll.qwSecType(F35)="BondFuture",_xll.qwFutCTD($A$1,F35),0))</f>
        <v>0</v>
      </c>
      <c r="AB35" s="7" cm="1">
        <f t="array" ref="AB35">IF(_xll.qwSecType(F35)="BondFuture",(I35*_xll.qwDelta($A$4,F35)*_xll.qwMVFactor($A$1,F35)/_xll.qwMVFactor($A$1,_xll.qwFutCTD($A$1,F35)))*(_xll.qwFXRate($A$1,F35)*_xll.qwMVFactor($A$1,_xll.qwFutCTD($A$1,F35))*(_xll.qwIncome($A$4,_xll.qwFutCTD($A$4,F35),_xll.qwBondSettle($A$4,_xll.qwFutCTD($A$4,F35)),_xll.qwBondSettle($A$1,_xll.qwFutCTD($A$1,F35)))+(_xll.qwBondDirtyPrice($A$1,_xll.qwFutCTD($A$1,F35))-_xll.qwBondDirtyPrice($A$4,_xll.qwFutCTD($A$4,F35)))-_xll.qwBondRepoFromTo($A$1,_xll.qwFutCTD($A$1,F35),_xll.qwBondSettle($A$4,_xll.qwFutCTD($A$4,F35)),_xll.qwBondSettle($A$1,_xll.qwFutCTD($A$1,F35)))))-O35,0)</f>
        <v>0</v>
      </c>
      <c r="AD35" s="11"/>
    </row>
    <row r="36" spans="2:30" s="8" customFormat="1" hidden="1" x14ac:dyDescent="0.35">
      <c r="B36" s="8" t="str">
        <v>pzhao</v>
      </c>
      <c r="C36" s="8" t="str">
        <v>MAMS</v>
      </c>
      <c r="D36" s="8" t="str">
        <v>pzhao|MAMS|RV_RATES_EUR_SWAPS-CURVE|254397246</v>
      </c>
      <c r="E36" s="8" t="str">
        <v>RV_RATES_EUR_SWAPS-CURVE</v>
      </c>
      <c r="F36" s="8" t="str">
        <v>254397246</v>
      </c>
      <c r="G36" s="8">
        <v>30.207999999999998</v>
      </c>
      <c r="H36" s="8">
        <v>0</v>
      </c>
      <c r="I36" s="8">
        <v>0</v>
      </c>
      <c r="J36" s="8">
        <v>30.207999999999998</v>
      </c>
      <c r="K36" s="8">
        <v>0</v>
      </c>
      <c r="L36" s="8">
        <v>0</v>
      </c>
      <c r="M36" s="8">
        <v>0</v>
      </c>
      <c r="N36" s="8" t="str">
        <v>SwapTrade</v>
      </c>
      <c r="O36" s="7" cm="1">
        <f t="array" ref="O36">(_xll.qwPrice($A$1,F36)-_xll.qwPrice($A$4,F36))*_xll.qwMVFactor($A$1,F36)*I36*_xll.qwFXRate($A$1,F36)</f>
        <v>0</v>
      </c>
      <c r="P36" s="7" cm="1">
        <f t="array" ref="P36">IF(ISNUMBER(_xll.qwDV01($A$1,F36)*I36*_xll.qwMVFactor($A$1,F36)*_xll.qwFXRate($A$1,F36)),_xll.qwDV01($A$1,F36)*I36*_xll.qwMVFactor($A$1,F36)*_xll.qwFXRate($A$1,F36),0)</f>
        <v>0</v>
      </c>
      <c r="Q36" s="7" cm="1">
        <f t="array" ref="Q36">IF(ISNUMBER(_xll.qwDV01($A$1,F36)*G36*_xll.qwMVFactor($A$1,F36)*_xll.qwFXRate($A$1,F36)),_xll.qwDV01($A$1,F36)*G36*_xll.qwMVFactor($A$1,F36)*_xll.qwFXRate($A$1,F36),0)</f>
        <v>-62059.56339086729</v>
      </c>
      <c r="R36" s="7" cm="1">
        <f t="array" ref="R36">IF(ISNUMBER(_xll.qwDV01($A$1,F36)*J36*_xll.qwMVFactor($A$1,F36)*_xll.qwFXRate($A$1,F36)),_xll.qwDV01($A$1,F36)*J36*_xll.qwMVFactor($A$1,F36)*_xll.qwFXRate($A$1,F36),0)</f>
        <v>-62059.56339086729</v>
      </c>
      <c r="S36" s="7" cm="1">
        <f t="array" ref="S36">IF(ISNUMBER(_xll.qwDV01($A$1,F36)*J36*_xll.qwMVFactor($A$1,F36)*_xll.qwFXRate($A$1,F36)),_xll.qwDV01($A$1,F36)*J36*_xll.qwMVFactor($A$1,F36)*_xll.qwFXRate($A$1,F36),0)</f>
        <v>-62059.56339086729</v>
      </c>
      <c r="T36" s="7" cm="1">
        <f t="array" ref="T36">_xll.qwFXRate($A$1,F36)*J36*(_xll.qwPrice($A$1,F36)-M36)*_xll.qwMVFactor($A$1,F36)</f>
        <v>264833.81959909585</v>
      </c>
      <c r="U36" s="9" cm="1">
        <f t="array" ref="U36">_xll.qwYield($A$1,F36)</f>
        <v>3.4280271208443416E-2</v>
      </c>
      <c r="V36" s="9" cm="1">
        <f t="array" ref="V36">100*(_xll.qwYield($A$4,F36)-U36)</f>
        <v>9.8494849451047362E-2</v>
      </c>
      <c r="W36" s="7">
        <f>IF(ISNA(G36*INDEX(_xll.qwTblData(_xll.qwCurveScenariosPerSecurity($A$1,F36,"Crv210")),2,2)),0,(G36*INDEX(_xll.qwTblData(_xll.qwCurveScenariosPerSecurity($A$1,F36,"Crv210")),2,2)))</f>
        <v>191878.83989573058</v>
      </c>
      <c r="X36" s="7" cm="1">
        <f t="array" ref="X36">ABS(Q36/_xll.qwMV01($A$1,"CT10"))</f>
        <v>84.049749836780791</v>
      </c>
      <c r="Y36" s="7" cm="1">
        <f t="array" ref="Y36">IF(N36="BondFuture",-(_xll.qwCurveYield($A$1,_xll.qwSecVal($A$1,AA36,"CreditCurveName()"),AA36)-_xll.qwCurveYield($A$4,_xll.qwSecVal($A$4,AA36,"CreditCurveName()"),AA36))*P36*10000,IF(N36="Bond",-(_xll.qwCurveYield($A$1,_xll.qwSecVal($A$1,F36,"CreditCurveName()"),F36)-_xll.qwCurveYield($A$4,_xll.qwSecVal($A$4,F36,"CreditCurveName()"),F36))*P36*10000,O36))</f>
        <v>0</v>
      </c>
      <c r="Z36" s="7" cm="1">
        <f t="array" ref="Z36">IF(OR(N36="BondFuture",N36="Bond"),P36*(_xll.qwCurveZSpread($A$4,_xll.qwSecVal($A$1,AA36,"CreditCurveName()"),AA36)-_xll.qwCurveZSpread($A$1,_xll.qwSecVal($A$1,AA36,"CreditCurveName()"),AA36)),0)</f>
        <v>0</v>
      </c>
      <c r="AA36" s="10" cm="1">
        <f t="array" ref="AA36">IF(_xll.qwSecType(F36)="Bond",F36,IF(_xll.qwSecType(F36)="BondFuture",_xll.qwFutCTD($A$1,F36),0))</f>
        <v>0</v>
      </c>
      <c r="AB36" s="7" cm="1">
        <f t="array" ref="AB36">IF(_xll.qwSecType(F36)="BondFuture",(I36*_xll.qwDelta($A$4,F36)*_xll.qwMVFactor($A$1,F36)/_xll.qwMVFactor($A$1,_xll.qwFutCTD($A$1,F36)))*(_xll.qwFXRate($A$1,F36)*_xll.qwMVFactor($A$1,_xll.qwFutCTD($A$1,F36))*(_xll.qwIncome($A$4,_xll.qwFutCTD($A$4,F36),_xll.qwBondSettle($A$4,_xll.qwFutCTD($A$4,F36)),_xll.qwBondSettle($A$1,_xll.qwFutCTD($A$1,F36)))+(_xll.qwBondDirtyPrice($A$1,_xll.qwFutCTD($A$1,F36))-_xll.qwBondDirtyPrice($A$4,_xll.qwFutCTD($A$4,F36)))-_xll.qwBondRepoFromTo($A$1,_xll.qwFutCTD($A$1,F36),_xll.qwBondSettle($A$4,_xll.qwFutCTD($A$4,F36)),_xll.qwBondSettle($A$1,_xll.qwFutCTD($A$1,F36)))))-O36,0)</f>
        <v>0</v>
      </c>
    </row>
    <row r="37" spans="2:30" s="8" customFormat="1" hidden="1" x14ac:dyDescent="0.35">
      <c r="B37" s="8" t="str">
        <v>pzhao</v>
      </c>
      <c r="C37" s="8" t="str">
        <v>MAMS</v>
      </c>
      <c r="D37" s="8" t="str">
        <v>pzhao|MAMS|RV_RATES_EUR_SWAPS-CURVE|254397250</v>
      </c>
      <c r="E37" s="8" t="str">
        <v>RV_RATES_EUR_SWAPS-CURVE</v>
      </c>
      <c r="F37" s="8" t="str">
        <v>254397250</v>
      </c>
      <c r="G37" s="8">
        <v>25.6</v>
      </c>
      <c r="H37" s="8">
        <v>0</v>
      </c>
      <c r="I37" s="8">
        <v>0</v>
      </c>
      <c r="J37" s="8">
        <v>25.6</v>
      </c>
      <c r="K37" s="8">
        <v>0</v>
      </c>
      <c r="L37" s="8">
        <v>0</v>
      </c>
      <c r="M37" s="8">
        <v>0</v>
      </c>
      <c r="N37" s="8" t="str">
        <v>SwapTrade</v>
      </c>
      <c r="O37" s="7" cm="1">
        <f t="array" ref="O37">(_xll.qwPrice($A$1,F37)-_xll.qwPrice($A$4,F37))*_xll.qwMVFactor($A$1,F37)*I37*_xll.qwFXRate($A$1,F37)</f>
        <v>0</v>
      </c>
      <c r="P37" s="7" cm="1">
        <f t="array" ref="P37">IF(ISNUMBER(_xll.qwDV01($A$1,F37)*I37*_xll.qwMVFactor($A$1,F37)*_xll.qwFXRate($A$1,F37)),_xll.qwDV01($A$1,F37)*I37*_xll.qwMVFactor($A$1,F37)*_xll.qwFXRate($A$1,F37),0)</f>
        <v>0</v>
      </c>
      <c r="Q37" s="7" cm="1">
        <f t="array" ref="Q37">IF(ISNUMBER(_xll.qwDV01($A$1,F37)*G37*_xll.qwMVFactor($A$1,F37)*_xll.qwFXRate($A$1,F37)),_xll.qwDV01($A$1,F37)*G37*_xll.qwMVFactor($A$1,F37)*_xll.qwFXRate($A$1,F37),0)</f>
        <v>61934.477844881636</v>
      </c>
      <c r="R37" s="7" cm="1">
        <f t="array" ref="R37">IF(ISNUMBER(_xll.qwDV01($A$1,F37)*J37*_xll.qwMVFactor($A$1,F37)*_xll.qwFXRate($A$1,F37)),_xll.qwDV01($A$1,F37)*J37*_xll.qwMVFactor($A$1,F37)*_xll.qwFXRate($A$1,F37),0)</f>
        <v>61934.477844881636</v>
      </c>
      <c r="S37" s="7" cm="1">
        <f t="array" ref="S37">IF(ISNUMBER(_xll.qwDV01($A$1,F37)*J37*_xll.qwMVFactor($A$1,F37)*_xll.qwFXRate($A$1,F37)),_xll.qwDV01($A$1,F37)*J37*_xll.qwMVFactor($A$1,F37)*_xll.qwFXRate($A$1,F37),0)</f>
        <v>61934.477844881636</v>
      </c>
      <c r="T37" s="7" cm="1">
        <f t="array" ref="T37">_xll.qwFXRate($A$1,F37)*J37*(_xll.qwPrice($A$1,F37)-M37)*_xll.qwMVFactor($A$1,F37)</f>
        <v>-309903.65801134374</v>
      </c>
      <c r="U37" s="9" cm="1">
        <f t="array" ref="U37">_xll.qwYield($A$1,F37)</f>
        <v>3.2442690694704734E-2</v>
      </c>
      <c r="V37" s="9" cm="1">
        <f t="array" ref="V37">100*(_xll.qwYield($A$4,F37)-U37)</f>
        <v>9.4935378059158443E-2</v>
      </c>
      <c r="W37" s="7">
        <f>IF(ISNA(G37*INDEX(_xll.qwTblData(_xll.qwCurveScenariosPerSecurity($A$1,F37,"Crv210")),2,2)),0,(G37*INDEX(_xll.qwTblData(_xll.qwCurveScenariosPerSecurity($A$1,F37,"Crv210")),2,2)))</f>
        <v>-274160.19508212962</v>
      </c>
      <c r="X37" s="7" cm="1">
        <f t="array" ref="X37">ABS(Q37/_xll.qwMV01($A$1,"CT10"))</f>
        <v>83.880341476910843</v>
      </c>
      <c r="Y37" s="7" cm="1">
        <f t="array" ref="Y37">IF(N37="BondFuture",-(_xll.qwCurveYield($A$1,_xll.qwSecVal($A$1,AA37,"CreditCurveName()"),AA37)-_xll.qwCurveYield($A$4,_xll.qwSecVal($A$4,AA37,"CreditCurveName()"),AA37))*P37*10000,IF(N37="Bond",-(_xll.qwCurveYield($A$1,_xll.qwSecVal($A$1,F37,"CreditCurveName()"),F37)-_xll.qwCurveYield($A$4,_xll.qwSecVal($A$4,F37,"CreditCurveName()"),F37))*P37*10000,O37))</f>
        <v>0</v>
      </c>
      <c r="Z37" s="7" cm="1">
        <f t="array" ref="Z37">IF(OR(N37="BondFuture",N37="Bond"),P37*(_xll.qwCurveZSpread($A$4,_xll.qwSecVal($A$1,AA37,"CreditCurveName()"),AA37)-_xll.qwCurveZSpread($A$1,_xll.qwSecVal($A$1,AA37,"CreditCurveName()"),AA37)),0)</f>
        <v>0</v>
      </c>
      <c r="AA37" s="10" cm="1">
        <f t="array" ref="AA37">IF(_xll.qwSecType(F37)="Bond",F37,IF(_xll.qwSecType(F37)="BondFuture",_xll.qwFutCTD($A$1,F37),0))</f>
        <v>0</v>
      </c>
      <c r="AB37" s="7" cm="1">
        <f t="array" ref="AB37">IF(_xll.qwSecType(F37)="BondFuture",(I37*_xll.qwDelta($A$4,F37)*_xll.qwMVFactor($A$1,F37)/_xll.qwMVFactor($A$1,_xll.qwFutCTD($A$1,F37)))*(_xll.qwFXRate($A$1,F37)*_xll.qwMVFactor($A$1,_xll.qwFutCTD($A$1,F37))*(_xll.qwIncome($A$4,_xll.qwFutCTD($A$4,F37),_xll.qwBondSettle($A$4,_xll.qwFutCTD($A$4,F37)),_xll.qwBondSettle($A$1,_xll.qwFutCTD($A$1,F37)))+(_xll.qwBondDirtyPrice($A$1,_xll.qwFutCTD($A$1,F37))-_xll.qwBondDirtyPrice($A$4,_xll.qwFutCTD($A$4,F37)))-_xll.qwBondRepoFromTo($A$1,_xll.qwFutCTD($A$1,F37),_xll.qwBondSettle($A$4,_xll.qwFutCTD($A$4,F37)),_xll.qwBondSettle($A$1,_xll.qwFutCTD($A$1,F37)))))-O37,0)</f>
        <v>0</v>
      </c>
    </row>
    <row r="38" spans="2:30" s="8" customFormat="1" hidden="1" x14ac:dyDescent="0.35">
      <c r="B38" s="8" t="str">
        <v>pzhao</v>
      </c>
      <c r="C38" s="8" t="str">
        <v>MAMS</v>
      </c>
      <c r="D38" s="8" t="str">
        <v>pzhao|MAMS|RV_RATES_EUR_TAIL-PUTS|ESZ6</v>
      </c>
      <c r="E38" s="8" t="str">
        <v>RV_RATES_EUR_TAIL-PUTS</v>
      </c>
      <c r="F38" s="8" t="str">
        <v>ESZ6</v>
      </c>
      <c r="G38" s="8">
        <v>-30</v>
      </c>
      <c r="H38" s="8">
        <v>0</v>
      </c>
      <c r="I38" s="8">
        <v>-30</v>
      </c>
      <c r="J38" s="8">
        <v>0</v>
      </c>
      <c r="K38" s="8">
        <v>0</v>
      </c>
      <c r="L38" s="8">
        <v>0</v>
      </c>
      <c r="M38" s="8">
        <v>0</v>
      </c>
      <c r="N38" s="8" t="str">
        <v>IndexFuture</v>
      </c>
      <c r="O38" s="7" t="e" cm="1">
        <f t="array" ref="O38">(_xll.qwPrice($A$1,F38)-_xll.qwPrice($A$4,F38))*_xll.qwMVFactor($A$1,F38)*I38*_xll.qwFXRate($A$1,F38)</f>
        <v>#NUM!</v>
      </c>
      <c r="P38" s="7" cm="1">
        <f t="array" ref="P38">IF(ISNUMBER(_xll.qwDV01($A$1,F38)*I38*_xll.qwMVFactor($A$1,F38)*_xll.qwFXRate($A$1,F38)),_xll.qwDV01($A$1,F38)*I38*_xll.qwMVFactor($A$1,F38)*_xll.qwFXRate($A$1,F38),0)</f>
        <v>0</v>
      </c>
      <c r="Q38" s="7" cm="1">
        <f t="array" ref="Q38">IF(ISNUMBER(_xll.qwDV01($A$1,F38)*G38*_xll.qwMVFactor($A$1,F38)*_xll.qwFXRate($A$1,F38)),_xll.qwDV01($A$1,F38)*G38*_xll.qwMVFactor($A$1,F38)*_xll.qwFXRate($A$1,F38),0)</f>
        <v>0</v>
      </c>
      <c r="R38" s="7" cm="1">
        <f t="array" ref="R38">IF(ISNUMBER(_xll.qwDV01($A$1,F38)*J38*_xll.qwMVFactor($A$1,F38)*_xll.qwFXRate($A$1,F38)),_xll.qwDV01($A$1,F38)*J38*_xll.qwMVFactor($A$1,F38)*_xll.qwFXRate($A$1,F38),0)</f>
        <v>0</v>
      </c>
      <c r="S38" s="7" cm="1">
        <f t="array" ref="S38">IF(ISNUMBER(_xll.qwDV01($A$1,F38)*J38*_xll.qwMVFactor($A$1,F38)*_xll.qwFXRate($A$1,F38)),_xll.qwDV01($A$1,F38)*J38*_xll.qwMVFactor($A$1,F38)*_xll.qwFXRate($A$1,F38),0)</f>
        <v>0</v>
      </c>
      <c r="T38" s="7" t="e" cm="1">
        <f t="array" ref="T38">_xll.qwFXRate($A$1,F38)*J38*(_xll.qwPrice($A$1,F38)-M38)*_xll.qwMVFactor($A$1,F38)</f>
        <v>#NUM!</v>
      </c>
      <c r="U38" s="9" t="e" cm="1">
        <f t="array" ref="U38">_xll.qwYield($A$1,F38)</f>
        <v>#NUM!</v>
      </c>
      <c r="V38" s="9" t="e" cm="1">
        <f t="array" ref="V38">100*(_xll.qwYield($A$4,F38)-U38)</f>
        <v>#NUM!</v>
      </c>
      <c r="W38" s="7">
        <f>IF(ISNA(G38*INDEX(_xll.qwTblData(_xll.qwCurveScenariosPerSecurity($A$1,F38,"Crv210")),2,2)),0,(G38*INDEX(_xll.qwTblData(_xll.qwCurveScenariosPerSecurity($A$1,F38,"Crv210")),2,2)))</f>
        <v>0</v>
      </c>
      <c r="X38" s="7" cm="1">
        <f t="array" ref="X38">ABS(Q38/_xll.qwMV01($A$1,"CT10"))</f>
        <v>0</v>
      </c>
      <c r="Y38" s="7" t="e" cm="1">
        <f t="array" ref="Y38">IF(N38="BondFuture",-(_xll.qwCurveYield($A$1,_xll.qwSecVal($A$1,AA38,"CreditCurveName()"),AA38)-_xll.qwCurveYield($A$4,_xll.qwSecVal($A$4,AA38,"CreditCurveName()"),AA38))*P38*10000,IF(N38="Bond",-(_xll.qwCurveYield($A$1,_xll.qwSecVal($A$1,F38,"CreditCurveName()"),F38)-_xll.qwCurveYield($A$4,_xll.qwSecVal($A$4,F38,"CreditCurveName()"),F38))*P38*10000,O38))</f>
        <v>#NUM!</v>
      </c>
      <c r="Z38" s="7" cm="1">
        <f t="array" ref="Z38">IF(OR(N38="BondFuture",N38="Bond"),P38*(_xll.qwCurveZSpread($A$4,_xll.qwSecVal($A$1,AA38,"CreditCurveName()"),AA38)-_xll.qwCurveZSpread($A$1,_xll.qwSecVal($A$1,AA38,"CreditCurveName()"),AA38)),0)</f>
        <v>0</v>
      </c>
      <c r="AA38" s="10" cm="1">
        <f t="array" ref="AA38">IF(_xll.qwSecType(F38)="Bond",F38,IF(_xll.qwSecType(F38)="BondFuture",_xll.qwFutCTD($A$1,F38),0))</f>
        <v>0</v>
      </c>
      <c r="AB38" s="7" cm="1">
        <f t="array" ref="AB38">IF(_xll.qwSecType(F38)="BondFuture",(I38*_xll.qwDelta($A$4,F38)*_xll.qwMVFactor($A$1,F38)/_xll.qwMVFactor($A$1,_xll.qwFutCTD($A$1,F38)))*(_xll.qwFXRate($A$1,F38)*_xll.qwMVFactor($A$1,_xll.qwFutCTD($A$1,F38))*(_xll.qwIncome($A$4,_xll.qwFutCTD($A$4,F38),_xll.qwBondSettle($A$4,_xll.qwFutCTD($A$4,F38)),_xll.qwBondSettle($A$1,_xll.qwFutCTD($A$1,F38)))+(_xll.qwBondDirtyPrice($A$1,_xll.qwFutCTD($A$1,F38))-_xll.qwBondDirtyPrice($A$4,_xll.qwFutCTD($A$4,F38)))-_xll.qwBondRepoFromTo($A$1,_xll.qwFutCTD($A$1,F38),_xll.qwBondSettle($A$4,_xll.qwFutCTD($A$4,F38)),_xll.qwBondSettle($A$1,_xll.qwFutCTD($A$1,F38)))))-O38,0)</f>
        <v>0</v>
      </c>
    </row>
    <row r="39" spans="2:30" s="8" customFormat="1" x14ac:dyDescent="0.35">
      <c r="B39" s="8" t="str">
        <v>pzhao</v>
      </c>
      <c r="C39" s="8" t="str">
        <v>MAMS</v>
      </c>
      <c r="D39" s="8" t="str">
        <v>pzhao|MAMS|RV_RATES_EUR_TAIL-PUTS|OEZ6</v>
      </c>
      <c r="E39" s="8" t="str">
        <v>RV_RATES_EUR_TAIL-PUTS</v>
      </c>
      <c r="F39" s="8" t="str">
        <v>OEZ6</v>
      </c>
      <c r="G39" s="8">
        <v>-192</v>
      </c>
      <c r="H39" s="8">
        <v>0</v>
      </c>
      <c r="I39" s="8">
        <v>-192</v>
      </c>
      <c r="J39" s="8">
        <v>0</v>
      </c>
      <c r="K39" s="8">
        <v>0</v>
      </c>
      <c r="L39" s="8">
        <v>0</v>
      </c>
      <c r="M39" s="8">
        <v>0</v>
      </c>
      <c r="N39" s="8" t="str">
        <v>BondFuture</v>
      </c>
      <c r="O39" s="7" cm="1">
        <f t="array" ref="O39">(_xll.qwPrice($A$1,F39)-_xll.qwPrice($A$4,F39))*_xll.qwMVFactor($A$1,F39)*I39*_xll.qwFXRate($A$1,F39)</f>
        <v>-60563.328000000241</v>
      </c>
      <c r="P39" s="7" cm="1">
        <f t="array" ref="P39">IF(ISNUMBER(_xll.qwDV01($A$1,F39)*I39*_xll.qwMVFactor($A$1,F39)*_xll.qwFXRate($A$1,F39)),_xll.qwDV01($A$1,F39)*I39*_xll.qwMVFactor($A$1,F39)*_xll.qwFXRate($A$1,F39),0)</f>
        <v>-11252.408275617525</v>
      </c>
      <c r="Q39" s="7" cm="1">
        <f t="array" ref="Q39">IF(ISNUMBER(_xll.qwDV01($A$1,F39)*G39*_xll.qwMVFactor($A$1,F39)*_xll.qwFXRate($A$1,F39)),_xll.qwDV01($A$1,F39)*G39*_xll.qwMVFactor($A$1,F39)*_xll.qwFXRate($A$1,F39),0)</f>
        <v>-11252.408275617525</v>
      </c>
      <c r="R39" s="7" cm="1">
        <f t="array" ref="R39">IF(ISNUMBER(_xll.qwDV01($A$1,F39)*J39*_xll.qwMVFactor($A$1,F39)*_xll.qwFXRate($A$1,F39)),_xll.qwDV01($A$1,F39)*J39*_xll.qwMVFactor($A$1,F39)*_xll.qwFXRate($A$1,F39),0)</f>
        <v>0</v>
      </c>
      <c r="S39" s="7" cm="1">
        <f t="array" ref="S39">IF(ISNUMBER(_xll.qwDV01($A$1,F39)*J39*_xll.qwMVFactor($A$1,F39)*_xll.qwFXRate($A$1,F39)),_xll.qwDV01($A$1,F39)*J39*_xll.qwMVFactor($A$1,F39)*_xll.qwFXRate($A$1,F39),0)</f>
        <v>0</v>
      </c>
      <c r="T39" s="7" cm="1">
        <f t="array" ref="T39">_xll.qwFXRate($A$1,F39)*J39*(_xll.qwPrice($A$1,F39)-M39)*_xll.qwMVFactor($A$1,F39)</f>
        <v>0</v>
      </c>
      <c r="U39" s="9" cm="1">
        <f t="array" ref="U39">_xll.qwYield($A$1,F39)</f>
        <v>3.2197471767515654E-2</v>
      </c>
      <c r="V39" s="9" cm="1">
        <f t="array" ref="V39">100*(_xll.qwYield($A$4,F39)-U39)</f>
        <v>5.3502639976571453E-2</v>
      </c>
      <c r="W39" s="7">
        <f>IF(ISNA(G39*INDEX(_xll.qwTblData(_xll.qwCurveScenariosPerSecurity($A$1,F39,"Crv210")),2,2)),0,(G39*INDEX(_xll.qwTblData(_xll.qwCurveScenariosPerSecurity($A$1,F39,"Crv210")),2,2)))</f>
        <v>-1388.548512288713</v>
      </c>
      <c r="X39" s="7" cm="1">
        <f t="array" ref="X39">ABS(Q39/_xll.qwMV01($A$1,"CT10"))</f>
        <v>15.239586760711139</v>
      </c>
      <c r="Y39" s="7" cm="1">
        <f t="array" ref="Y39">IF(N39="BondFuture",-(_xll.qwCurveYield($A$1,_xll.qwSecVal($A$1,AA39,"CreditCurveName()"),AA39)-_xll.qwCurveYield($A$4,_xll.qwSecVal($A$4,AA39,"CreditCurveName()"),AA39))*P39*10000,IF(N39="Bond",-(_xll.qwCurveYield($A$1,_xll.qwSecVal($A$1,F39,"CreditCurveName()"),F39)-_xll.qwCurveYield($A$4,_xll.qwSecVal($A$4,F39,"CreditCurveName()"),F39))*P39*10000,O39))</f>
        <v>-57378.911859192915</v>
      </c>
      <c r="Z39" s="7" cm="1">
        <f t="array" ref="Z39">IF(OR(N39="BondFuture",N39="Bond"),P39*(_xll.qwCurveZSpread($A$4,_xll.qwSecVal($A$1,AA39,"CreditCurveName()"),AA39)-_xll.qwCurveZSpread($A$1,_xll.qwSecVal($A$1,AA39,"CreditCurveName()"),AA39)),0)</f>
        <v>-2272.0096326088328</v>
      </c>
      <c r="AA39" s="10" t="str" cm="1">
        <f t="array" ref="AA39">IF(_xll.qwSecType(F39)="Bond",F39,IF(_xll.qwSecType(F39)="BondFuture",_xll.qwFutCTD($A$1,F39),0))</f>
        <v>DE000BU25075</v>
      </c>
      <c r="AB39" s="7" cm="1">
        <f t="array" ref="AB39">IF(_xll.qwSecType(F39)="BondFuture",-(I39*_xll.qwDelta($A$4,F39)*_xll.qwMVFactor($A$1,F39)/_xll.qwMVFactor($A$1,_xll.qwFutCTD($A$1,F39)))*(_xll.qwFXRate($A$1,F39)*_xll.qwMVFactor($A$1,_xll.qwFutCTD($A$1,F39))*(_xll.qwIncome($A$4,_xll.qwFutCTD($A$4,F39),_xll.qwBondSettle($A$4,_xll.qwFutCTD($A$4,F39)),_xll.qwBondSettle($A$1,_xll.qwFutCTD($A$1,F39)))+(_xll.qwSecVal($A$1,AA39,"Price")-_xll.qwSecVal($A$4,AA39,"Price"))-_xll.qwBondRepoFromTo($A$1,AA39,_xll.qwBondSettle($A$4,AA39),_xll.qwBondSettle($A$1,AA39))*_xll.qwSecVal($A$1,AA39,"Price")*(_xll.qwBondSettle($A$1,AA39)-_xll.qwBondSettle($A$4,AA39))/360))+O39,0)</f>
        <v>-561.08565476124204</v>
      </c>
    </row>
    <row r="40" spans="2:30" s="8" customFormat="1" x14ac:dyDescent="0.35">
      <c r="B40" s="8" t="str">
        <v>pzhao</v>
      </c>
      <c r="C40" s="8" t="str">
        <v>MAMS</v>
      </c>
      <c r="D40" s="8" t="str">
        <v>pzhao|MAMS|RV_RATES_EUR_TAIL-PUTS|RXZ6</v>
      </c>
      <c r="E40" s="8" t="str">
        <v>RV_RATES_EUR_TAIL-PUTS</v>
      </c>
      <c r="F40" s="8" t="str">
        <v>RXZ6</v>
      </c>
      <c r="G40" s="8">
        <v>7</v>
      </c>
      <c r="H40" s="8">
        <v>0</v>
      </c>
      <c r="I40" s="8">
        <v>7</v>
      </c>
      <c r="J40" s="8">
        <v>0</v>
      </c>
      <c r="K40" s="8">
        <v>0</v>
      </c>
      <c r="L40" s="8">
        <v>0</v>
      </c>
      <c r="M40" s="8">
        <v>0</v>
      </c>
      <c r="N40" s="8" t="str">
        <v>BondFuture</v>
      </c>
      <c r="O40" s="7" cm="1">
        <f t="array" ref="O40">(_xll.qwPrice($A$1,F40)-_xll.qwPrice($A$4,F40))*_xll.qwMVFactor($A$1,F40)*I40*_xll.qwFXRate($A$1,F40)</f>
        <v>5598.9535000000624</v>
      </c>
      <c r="P40" s="7" cm="1">
        <f t="array" ref="P40">IF(ISNUMBER(_xll.qwDV01($A$1,F40)*I40*_xll.qwMVFactor($A$1,F40)*_xll.qwFXRate($A$1,F40)),_xll.qwDV01($A$1,F40)*I40*_xll.qwMVFactor($A$1,F40)*_xll.qwFXRate($A$1,F40),0)</f>
        <v>741.86309350066404</v>
      </c>
      <c r="Q40" s="7" cm="1">
        <f t="array" ref="Q40">IF(ISNUMBER(_xll.qwDV01($A$1,F40)*G40*_xll.qwMVFactor($A$1,F40)*_xll.qwFXRate($A$1,F40)),_xll.qwDV01($A$1,F40)*G40*_xll.qwMVFactor($A$1,F40)*_xll.qwFXRate($A$1,F40),0)</f>
        <v>741.86309350066404</v>
      </c>
      <c r="R40" s="7" cm="1">
        <f t="array" ref="R40">IF(ISNUMBER(_xll.qwDV01($A$1,F40)*J40*_xll.qwMVFactor($A$1,F40)*_xll.qwFXRate($A$1,F40)),_xll.qwDV01($A$1,F40)*J40*_xll.qwMVFactor($A$1,F40)*_xll.qwFXRate($A$1,F40),0)</f>
        <v>0</v>
      </c>
      <c r="S40" s="7" cm="1">
        <f t="array" ref="S40">IF(ISNUMBER(_xll.qwDV01($A$1,F40)*J40*_xll.qwMVFactor($A$1,F40)*_xll.qwFXRate($A$1,F40)),_xll.qwDV01($A$1,F40)*J40*_xll.qwMVFactor($A$1,F40)*_xll.qwFXRate($A$1,F40),0)</f>
        <v>0</v>
      </c>
      <c r="T40" s="7" cm="1">
        <f t="array" ref="T40">_xll.qwFXRate($A$1,F40)*J40*(_xll.qwPrice($A$1,F40)-M40)*_xll.qwMVFactor($A$1,F40)</f>
        <v>0</v>
      </c>
      <c r="U40" s="9" cm="1">
        <f t="array" ref="U40">_xll.qwYield($A$1,F40)</f>
        <v>3.4171779472362815E-2</v>
      </c>
      <c r="V40" s="9" cm="1">
        <f t="array" ref="V40">100*(_xll.qwYield($A$4,F40)-U40)</f>
        <v>7.5443181855398139E-2</v>
      </c>
      <c r="W40" s="7">
        <f>IF(ISNA(G40*INDEX(_xll.qwTblData(_xll.qwCurveScenariosPerSecurity($A$1,F40,"Crv210")),2,2)),0,(G40*INDEX(_xll.qwTblData(_xll.qwCurveScenariosPerSecurity($A$1,F40,"Crv210")),2,2)))</f>
        <v>-280.20478500503771</v>
      </c>
      <c r="X40" s="7" cm="1">
        <f t="array" ref="X40">ABS(Q40/_xll.qwMV01($A$1,"CT10"))</f>
        <v>1.004734871064966</v>
      </c>
      <c r="Y40" s="7" cm="1">
        <f t="array" ref="Y40">IF(N40="BondFuture",-(_xll.qwCurveYield($A$1,_xll.qwSecVal($A$1,AA40,"CreditCurveName()"),AA40)-_xll.qwCurveYield($A$4,_xll.qwSecVal($A$4,AA40,"CreditCurveName()"),AA40))*P40*10000,IF(N40="Bond",-(_xll.qwCurveYield($A$1,_xll.qwSecVal($A$1,F40,"CreditCurveName()"),F40)-_xll.qwCurveYield($A$4,_xll.qwSecVal($A$4,F40,"CreditCurveName()"),F40))*P40*10000,O40))</f>
        <v>5536.5272254663796</v>
      </c>
      <c r="Z40" s="7" cm="1">
        <f t="array" ref="Z40">IF(OR(N40="BondFuture",N40="Bond"),P40*(_xll.qwCurveZSpread($A$4,_xll.qwSecVal($A$1,AA40,"CreditCurveName()"),AA40)-_xll.qwCurveZSpread($A$1,_xll.qwSecVal($A$1,AA40,"CreditCurveName()"),AA40)),0)</f>
        <v>108.54351976655262</v>
      </c>
      <c r="AA40" s="10" t="str" cm="1">
        <f t="array" ref="AA40">IF(_xll.qwSecType(F40)="Bond",F40,IF(_xll.qwSecType(F40)="BondFuture",_xll.qwFutCTD($A$1,F40),0))</f>
        <v>DE000BU2Z056</v>
      </c>
      <c r="AB40" s="7" cm="1">
        <f t="array" ref="AB40">IF(_xll.qwSecType(F40)="BondFuture",-(I40*_xll.qwDelta($A$4,F40)*_xll.qwMVFactor($A$1,F40)/_xll.qwMVFactor($A$1,_xll.qwFutCTD($A$1,F40)))*(_xll.qwFXRate($A$1,F40)*_xll.qwMVFactor($A$1,_xll.qwFutCTD($A$1,F40))*(_xll.qwIncome($A$4,_xll.qwFutCTD($A$4,F40),_xll.qwBondSettle($A$4,_xll.qwFutCTD($A$4,F40)),_xll.qwBondSettle($A$1,_xll.qwFutCTD($A$1,F40)))+(_xll.qwSecVal($A$1,AA40,"Price")-_xll.qwSecVal($A$4,AA40,"Price"))-_xll.qwBondRepoFromTo($A$1,AA40,_xll.qwBondSettle($A$4,AA40),_xll.qwBondSettle($A$1,AA40))*_xll.qwSecVal($A$1,AA40,"Price")*(_xll.qwBondSettle($A$1,AA40)-_xll.qwBondSettle($A$4,AA40))/360))+O40,0)</f>
        <v>-48.98267140840926</v>
      </c>
    </row>
    <row r="41" spans="2:30" s="8" customFormat="1" x14ac:dyDescent="0.35">
      <c r="B41" s="8" t="str">
        <v>pzhao</v>
      </c>
      <c r="C41" s="8" t="str">
        <v>MAMS</v>
      </c>
      <c r="D41" s="8" t="str">
        <v>pzhao|MAMS|RV_RATES_GBP_UKT-FLY|G Z6</v>
      </c>
      <c r="E41" s="8" t="str">
        <v>RV_RATES_GBP_UKT-FLY</v>
      </c>
      <c r="F41" s="8" t="str">
        <v>G Z6</v>
      </c>
      <c r="G41" s="8">
        <v>-234</v>
      </c>
      <c r="H41" s="8">
        <v>0</v>
      </c>
      <c r="I41" s="8">
        <v>-393</v>
      </c>
      <c r="J41" s="8">
        <v>159</v>
      </c>
      <c r="K41" s="8">
        <v>84.6</v>
      </c>
      <c r="L41" s="8">
        <v>0</v>
      </c>
      <c r="M41" s="8">
        <v>84.6</v>
      </c>
      <c r="N41" s="8" t="str">
        <v>BondFuture</v>
      </c>
      <c r="O41" s="7" cm="1">
        <f t="array" ref="O41">(_xll.qwPrice($A$1,F41)-_xll.qwPrice($A$4,F41))*_xll.qwMVFactor($A$1,F41)*I41*_xll.qwFXRate($A$1,F41)</f>
        <v>-364081.09500000143</v>
      </c>
      <c r="P41" s="7" cm="1">
        <f t="array" ref="P41">IF(ISNUMBER(_xll.qwDV01($A$1,F41)*I41*_xll.qwMVFactor($A$1,F41)*_xll.qwFXRate($A$1,F41)),_xll.qwDV01($A$1,F41)*I41*_xll.qwMVFactor($A$1,F41)*_xll.qwFXRate($A$1,F41),0)</f>
        <v>-48385.466377204815</v>
      </c>
      <c r="Q41" s="7" cm="1">
        <f t="array" ref="Q41">IF(ISNUMBER(_xll.qwDV01($A$1,F41)*G41*_xll.qwMVFactor($A$1,F41)*_xll.qwFXRate($A$1,F41)),_xll.qwDV01($A$1,F41)*G41*_xll.qwMVFactor($A$1,F41)*_xll.qwFXRate($A$1,F41),0)</f>
        <v>-28809.66700322118</v>
      </c>
      <c r="R41" s="7" cm="1">
        <f t="array" ref="R41">IF(ISNUMBER(_xll.qwDV01($A$1,F41)*J41*_xll.qwMVFactor($A$1,F41)*_xll.qwFXRate($A$1,F41)),_xll.qwDV01($A$1,F41)*J41*_xll.qwMVFactor($A$1,F41)*_xll.qwFXRate($A$1,F41),0)</f>
        <v>19575.799373983627</v>
      </c>
      <c r="S41" s="7" cm="1">
        <f t="array" ref="S41">IF(ISNUMBER(_xll.qwDV01($A$1,F41)*J41*_xll.qwMVFactor($A$1,F41)*_xll.qwFXRate($A$1,F41)),_xll.qwDV01($A$1,F41)*J41*_xll.qwMVFactor($A$1,F41)*_xll.qwFXRate($A$1,F41),0)</f>
        <v>19575.799373983627</v>
      </c>
      <c r="T41" s="7" cm="1">
        <f t="array" ref="T41">_xll.qwFXRate($A$1,F41)*J41*(_xll.qwPrice($A$1,F41)-M41)*_xll.qwMVFactor($A$1,F41)</f>
        <v>-25251.425999997962</v>
      </c>
      <c r="U41" s="9" cm="1">
        <f t="array" ref="U41">_xll.qwYield($A$1,F41)</f>
        <v>5.5394444696192244E-2</v>
      </c>
      <c r="V41" s="9" cm="1">
        <f t="array" ref="V41">100*(_xll.qwYield($A$4,F41)-U41)</f>
        <v>7.4453306262749902E-2</v>
      </c>
      <c r="W41" s="7">
        <f>IF(ISNA(G41*INDEX(_xll.qwTblData(_xll.qwCurveScenariosPerSecurity($A$1,F41,"Crv210")),2,2)),0,(G41*INDEX(_xll.qwTblData(_xll.qwCurveScenariosPerSecurity($A$1,F41,"Crv210")),2,2)))</f>
        <v>27494.526430821439</v>
      </c>
      <c r="X41" s="7" cm="1">
        <f t="array" ref="X41">ABS(Q41/_xll.qwMV01($A$1,"CT10"))</f>
        <v>39.018084759166044</v>
      </c>
      <c r="Y41" s="7" cm="1">
        <f t="array" ref="Y41">IF(N41="BondFuture",-(_xll.qwCurveYield($A$1,_xll.qwSecVal($A$1,AA41,"CreditCurveName()"),AA41)-_xll.qwCurveYield($A$4,_xll.qwSecVal($A$4,AA41,"CreditCurveName()"),AA41))*P41*10000,IF(N41="Bond",-(_xll.qwCurveYield($A$1,_xll.qwSecVal($A$1,F41,"CreditCurveName()"),F41)-_xll.qwCurveYield($A$4,_xll.qwSecVal($A$4,F41,"CreditCurveName()"),F41))*P41*10000,O41))</f>
        <v>-350560.59828956483</v>
      </c>
      <c r="Z41" s="7" cm="1">
        <f t="array" ref="Z41">IF(OR(N41="BondFuture",N41="Bond"),P41*(_xll.qwCurveZSpread($A$4,_xll.qwSecVal($A$1,AA41,"CreditCurveName()"),AA41)-_xll.qwCurveZSpread($A$1,_xll.qwSecVal($A$1,AA41,"CreditCurveName()"),AA41)),0)</f>
        <v>10870.204951420255</v>
      </c>
      <c r="AA41" s="10" t="str" cm="1">
        <f t="array" ref="AA41">IF(_xll.qwSecType(F41)="Bond",F41,IF(_xll.qwSecType(F41)="BondFuture",_xll.qwFutCTD($A$1,F41),0))</f>
        <v>GB00BLPK7334</v>
      </c>
      <c r="AB41" s="7" cm="1">
        <f t="array" ref="AB41">IF(_xll.qwSecType(F41)="BondFuture",-(I41*_xll.qwDelta($A$4,F41)*_xll.qwMVFactor($A$1,F41)/_xll.qwMVFactor($A$1,_xll.qwFutCTD($A$1,F41)))*(_xll.qwFXRate($A$1,F41)*_xll.qwMVFactor($A$1,_xll.qwFutCTD($A$1,F41))*(_xll.qwIncome($A$4,_xll.qwFutCTD($A$4,F41),_xll.qwBondSettle($A$4,_xll.qwFutCTD($A$4,F41)),_xll.qwBondSettle($A$1,_xll.qwFutCTD($A$1,F41)))+(_xll.qwSecVal($A$1,AA41,"Price")-_xll.qwSecVal($A$4,AA41,"Price"))-_xll.qwBondRepoFromTo($A$1,AA41,_xll.qwBondSettle($A$4,AA41),_xll.qwBondSettle($A$1,AA41))*_xll.qwSecVal($A$1,AA41,"Price")*(_xll.qwBondSettle($A$1,AA41)-_xll.qwBondSettle($A$4,AA41))/360))+O41,0)</f>
        <v>-19790.694173508789</v>
      </c>
    </row>
    <row r="42" spans="2:30" s="8" customFormat="1" hidden="1" x14ac:dyDescent="0.35">
      <c r="B42" s="8" t="str">
        <v>pzhao</v>
      </c>
      <c r="C42" s="8" t="str">
        <v>MAMS</v>
      </c>
      <c r="D42" s="8" t="str">
        <v>pzhao|MAMS|RV_RATES_GBP_UKT-FLY|GB00BLBDX619</v>
      </c>
      <c r="E42" s="8" t="str">
        <v>RV_RATES_GBP_UKT-FLY</v>
      </c>
      <c r="F42" s="8" t="str">
        <v>GB00BLBDX619</v>
      </c>
      <c r="G42" s="8">
        <v>-68.17</v>
      </c>
      <c r="H42" s="8">
        <v>0</v>
      </c>
      <c r="I42" s="8">
        <v>-68.17</v>
      </c>
      <c r="J42" s="8">
        <v>0</v>
      </c>
      <c r="K42" s="8">
        <v>0</v>
      </c>
      <c r="L42" s="8">
        <v>0</v>
      </c>
      <c r="M42" s="8">
        <v>0</v>
      </c>
      <c r="N42" s="8" t="str">
        <v>Bond</v>
      </c>
      <c r="O42" s="7" cm="1">
        <f t="array" ref="O42">(_xll.qwPrice($A$1,F42)-_xll.qwPrice($A$4,F42))*_xll.qwMVFactor($A$1,F42)*I42*_xll.qwFXRate($A$1,F42)</f>
        <v>-438147.36195580964</v>
      </c>
      <c r="P42" s="7" cm="1">
        <f t="array" ref="P42">IF(ISNUMBER(_xll.qwDV01($A$1,F42)*I42*_xll.qwMVFactor($A$1,F42)*_xll.qwFXRate($A$1,F42)),_xll.qwDV01($A$1,F42)*I42*_xll.qwMVFactor($A$1,F42)*_xll.qwFXRate($A$1,F42),0)</f>
        <v>-60999.330527439663</v>
      </c>
      <c r="Q42" s="7" cm="1">
        <f t="array" ref="Q42">IF(ISNUMBER(_xll.qwDV01($A$1,F42)*G42*_xll.qwMVFactor($A$1,F42)*_xll.qwFXRate($A$1,F42)),_xll.qwDV01($A$1,F42)*G42*_xll.qwMVFactor($A$1,F42)*_xll.qwFXRate($A$1,F42),0)</f>
        <v>-60999.330527439663</v>
      </c>
      <c r="R42" s="7" cm="1">
        <f t="array" ref="R42">IF(ISNUMBER(_xll.qwDV01($A$1,F42)*J42*_xll.qwMVFactor($A$1,F42)*_xll.qwFXRate($A$1,F42)),_xll.qwDV01($A$1,F42)*J42*_xll.qwMVFactor($A$1,F42)*_xll.qwFXRate($A$1,F42),0)</f>
        <v>0</v>
      </c>
      <c r="S42" s="7" cm="1">
        <f t="array" ref="S42">IF(ISNUMBER(_xll.qwDV01($A$1,F42)*J42*_xll.qwMVFactor($A$1,F42)*_xll.qwFXRate($A$1,F42)),_xll.qwDV01($A$1,F42)*J42*_xll.qwMVFactor($A$1,F42)*_xll.qwFXRate($A$1,F42),0)</f>
        <v>0</v>
      </c>
      <c r="T42" s="7" cm="1">
        <f t="array" ref="T42">_xll.qwFXRate($A$1,F42)*J42*(_xll.qwPrice($A$1,F42)-M42)*_xll.qwMVFactor($A$1,F42)</f>
        <v>0</v>
      </c>
      <c r="U42" s="9" cm="1">
        <f t="array" ref="U42">_xll.qwYield($A$1,F42)</f>
        <v>5.2933978703092889E-2</v>
      </c>
      <c r="V42" s="9" cm="1">
        <f t="array" ref="V42">100*(_xll.qwYield($A$4,F42)-U42)</f>
        <v>7.2353033588280768E-2</v>
      </c>
      <c r="W42" s="7">
        <f>IF(ISNA(G42*INDEX(_xll.qwTblData(_xll.qwCurveScenariosPerSecurity($A$1,F42,"Crv210")),2,2)),0,(G42*INDEX(_xll.qwTblData(_xll.qwCurveScenariosPerSecurity($A$1,F42,"Crv210")),2,2)))</f>
        <v>428706.09342558187</v>
      </c>
      <c r="X42" s="7" cm="1">
        <f t="array" ref="X42">ABS(Q42/_xll.qwMV01($A$1,"CT10"))</f>
        <v>82.6138340476449</v>
      </c>
      <c r="Y42" s="7" cm="1">
        <f t="array" ref="Y42">IF(N42="BondFuture",-(_xll.qwCurveYield($A$1,_xll.qwSecVal($A$1,AA42,"CreditCurveName()"),AA42)-_xll.qwCurveYield($A$4,_xll.qwSecVal($A$4,AA42,"CreditCurveName()"),AA42))*P42*10000,IF(N42="Bond",-(_xll.qwCurveYield($A$1,_xll.qwSecVal($A$1,F42,"CreditCurveName()"),F42)-_xll.qwCurveYield($A$4,_xll.qwSecVal($A$4,F42,"CreditCurveName()"),F42))*P42*10000,O42))</f>
        <v>-499818.47732528491</v>
      </c>
      <c r="Z42" s="7" cm="1">
        <f t="array" ref="Z42">IF(OR(N42="BondFuture",N42="Bond"),P42*(_xll.qwCurveZSpread($A$4,_xll.qwSecVal($A$1,AA42,"CreditCurveName()"),AA42)-_xll.qwCurveZSpread($A$1,_xll.qwSecVal($A$1,AA42,"CreditCurveName()"),AA42)),0)</f>
        <v>58469.816273836805</v>
      </c>
      <c r="AA42" s="10" t="str" cm="1">
        <f t="array" ref="AA42">IF(_xll.qwSecType(F42)="Bond",F42,IF(_xll.qwSecType(F42)="BondFuture",_xll.qwFutCTD($A$1,F42),0))</f>
        <v>GB00BLBDX619</v>
      </c>
      <c r="AB42" s="7" cm="1">
        <f t="array" ref="AB42">IF(_xll.qwSecType(F42)="BondFuture",(I42*_xll.qwDelta($A$4,F42)*_xll.qwMVFactor($A$1,F42)/_xll.qwMVFactor($A$1,_xll.qwFutCTD($A$1,F42)))*(_xll.qwFXRate($A$1,F42)*_xll.qwMVFactor($A$1,_xll.qwFutCTD($A$1,F42))*(_xll.qwIncome($A$4,_xll.qwFutCTD($A$4,F42),_xll.qwBondSettle($A$4,_xll.qwFutCTD($A$4,F42)),_xll.qwBondSettle($A$1,_xll.qwFutCTD($A$1,F42)))+(_xll.qwBondDirtyPrice($A$1,_xll.qwFutCTD($A$1,F42))-_xll.qwBondDirtyPrice($A$4,_xll.qwFutCTD($A$4,F42)))-_xll.qwBondRepoFromTo($A$1,_xll.qwFutCTD($A$1,F42),_xll.qwBondSettle($A$4,_xll.qwFutCTD($A$4,F42)),_xll.qwBondSettle($A$1,_xll.qwFutCTD($A$1,F42)))))-O42,0)</f>
        <v>0</v>
      </c>
    </row>
    <row r="43" spans="2:30" s="8" customFormat="1" hidden="1" x14ac:dyDescent="0.35">
      <c r="B43" s="8" t="str">
        <v>pzhao</v>
      </c>
      <c r="C43" s="8" t="str">
        <v>MAMS</v>
      </c>
      <c r="D43" s="8" t="str">
        <v>pzhao|MAMS|RV_RATES_GBP_UKT-FLY|GB00BPSNBB36</v>
      </c>
      <c r="E43" s="8" t="str">
        <v>RV_RATES_GBP_UKT-FLY</v>
      </c>
      <c r="F43" s="8" t="str">
        <v>GB00BPSNBB36</v>
      </c>
      <c r="G43" s="8">
        <v>51.7</v>
      </c>
      <c r="H43" s="8">
        <v>0</v>
      </c>
      <c r="I43" s="8">
        <v>64.5</v>
      </c>
      <c r="J43" s="8">
        <v>-12.8</v>
      </c>
      <c r="K43" s="8">
        <v>79.16</v>
      </c>
      <c r="L43" s="8">
        <v>0</v>
      </c>
      <c r="M43" s="8">
        <v>79.16</v>
      </c>
      <c r="N43" s="8" t="str">
        <v>Bond</v>
      </c>
      <c r="O43" s="7" cm="1">
        <f t="array" ref="O43">(_xll.qwPrice($A$1,F43)-_xll.qwPrice($A$4,F43))*_xll.qwMVFactor($A$1,F43)*I43*_xll.qwFXRate($A$1,F43)</f>
        <v>834809.2154268889</v>
      </c>
      <c r="P43" s="7" cm="1">
        <f t="array" ref="P43">IF(ISNUMBER(_xll.qwDV01($A$1,F43)*I43*_xll.qwMVFactor($A$1,F43)*_xll.qwFXRate($A$1,F43)),_xll.qwDV01($A$1,F43)*I43*_xll.qwMVFactor($A$1,F43)*_xll.qwFXRate($A$1,F43),0)</f>
        <v>97684.311434857562</v>
      </c>
      <c r="Q43" s="7" cm="1">
        <f t="array" ref="Q43">IF(ISNUMBER(_xll.qwDV01($A$1,F43)*G43*_xll.qwMVFactor($A$1,F43)*_xll.qwFXRate($A$1,F43)),_xll.qwDV01($A$1,F43)*G43*_xll.qwMVFactor($A$1,F43)*_xll.qwFXRate($A$1,F43),0)</f>
        <v>78298.897692746279</v>
      </c>
      <c r="R43" s="7" cm="1">
        <f t="array" ref="R43">IF(ISNUMBER(_xll.qwDV01($A$1,F43)*J43*_xll.qwMVFactor($A$1,F43)*_xll.qwFXRate($A$1,F43)),_xll.qwDV01($A$1,F43)*J43*_xll.qwMVFactor($A$1,F43)*_xll.qwFXRate($A$1,F43),0)</f>
        <v>-19385.413742111265</v>
      </c>
      <c r="S43" s="7" cm="1">
        <f t="array" ref="S43">IF(ISNUMBER(_xll.qwDV01($A$1,F43)*J43*_xll.qwMVFactor($A$1,F43)*_xll.qwFXRate($A$1,F43)),_xll.qwDV01($A$1,F43)*J43*_xll.qwMVFactor($A$1,F43)*_xll.qwFXRate($A$1,F43),0)</f>
        <v>-19385.413742111265</v>
      </c>
      <c r="T43" s="7" cm="1">
        <f t="array" ref="T43">_xll.qwFXRate($A$1,F43)*J43*(_xll.qwPrice($A$1,F43)-M43)*_xll.qwMVFactor($A$1,F43)</f>
        <v>-4381.1488800340994</v>
      </c>
      <c r="U43" s="9" cm="1">
        <f t="array" ref="U43">_xll.qwYield($A$1,F43)</f>
        <v>5.9075500329370881E-2</v>
      </c>
      <c r="V43" s="9" cm="1">
        <f t="array" ref="V43">100*(_xll.qwYield($A$4,F43)-U43)</f>
        <v>8.6039229695211716E-2</v>
      </c>
      <c r="W43" s="7">
        <f>IF(ISNA(G43*INDEX(_xll.qwTblData(_xll.qwCurveScenariosPerSecurity($A$1,F43,"Crv210")),2,2)),0,(G43*INDEX(_xll.qwTblData(_xll.qwCurveScenariosPerSecurity($A$1,F43,"Crv210")),2,2)))</f>
        <v>-227670.53738929128</v>
      </c>
      <c r="X43" s="7" cm="1">
        <f t="array" ref="X43">ABS(Q43/_xll.qwMV01($A$1,"CT10"))</f>
        <v>106.0433300524876</v>
      </c>
      <c r="Y43" s="7" cm="1">
        <f t="array" ref="Y43">IF(N43="BondFuture",-(_xll.qwCurveYield($A$1,_xll.qwSecVal($A$1,AA43,"CreditCurveName()"),AA43)-_xll.qwCurveYield($A$4,_xll.qwSecVal($A$4,AA43,"CreditCurveName()"),AA43))*P43*10000,IF(N43="Bond",-(_xll.qwCurveYield($A$1,_xll.qwSecVal($A$1,F43,"CreditCurveName()"),F43)-_xll.qwCurveYield($A$4,_xll.qwSecVal($A$4,F43,"CreditCurveName()"),F43))*P43*10000,O43))</f>
        <v>830428.33997660712</v>
      </c>
      <c r="Z43" s="7" cm="1">
        <f t="array" ref="Z43">IF(OR(N43="BondFuture",N43="Bond"),P43*(_xll.qwCurveZSpread($A$4,_xll.qwSecVal($A$1,AA43,"CreditCurveName()"),AA43)-_xll.qwCurveZSpread($A$1,_xll.qwSecVal($A$1,AA43,"CreditCurveName()"),AA43)),0)</f>
        <v>10039.950939623581</v>
      </c>
      <c r="AA43" s="10" t="str" cm="1">
        <f t="array" ref="AA43">IF(_xll.qwSecType(F43)="Bond",F43,IF(_xll.qwSecType(F43)="BondFuture",_xll.qwFutCTD($A$1,F43),0))</f>
        <v>GB00BPSNBB36</v>
      </c>
      <c r="AB43" s="7" cm="1">
        <f t="array" ref="AB43">IF(_xll.qwSecType(F43)="BondFuture",(I43*_xll.qwDelta($A$4,F43)*_xll.qwMVFactor($A$1,F43)/_xll.qwMVFactor($A$1,_xll.qwFutCTD($A$1,F43)))*(_xll.qwFXRate($A$1,F43)*_xll.qwMVFactor($A$1,_xll.qwFutCTD($A$1,F43))*(_xll.qwIncome($A$4,_xll.qwFutCTD($A$4,F43),_xll.qwBondSettle($A$4,_xll.qwFutCTD($A$4,F43)),_xll.qwBondSettle($A$1,_xll.qwFutCTD($A$1,F43)))+(_xll.qwBondDirtyPrice($A$1,_xll.qwFutCTD($A$1,F43))-_xll.qwBondDirtyPrice($A$4,_xll.qwFutCTD($A$4,F43)))-_xll.qwBondRepoFromTo($A$1,_xll.qwFutCTD($A$1,F43),_xll.qwBondSettle($A$4,_xll.qwFutCTD($A$4,F43)),_xll.qwBondSettle($A$1,_xll.qwFutCTD($A$1,F43)))))-O43,0)</f>
        <v>0</v>
      </c>
    </row>
    <row r="44" spans="2:30" s="8" customFormat="1" hidden="1" x14ac:dyDescent="0.35">
      <c r="B44" s="18" t="str">
        <v>pzhao</v>
      </c>
      <c r="C44" s="18" t="str">
        <v>MAMS</v>
      </c>
      <c r="D44" s="18" t="str">
        <v>pzhao|MAMS|RV_RATES_GBP_UKT-FLY|GB00BT7J0241</v>
      </c>
      <c r="E44" s="18" t="str">
        <v>RV_RATES_GBP_UKT-FLY</v>
      </c>
      <c r="F44" s="18" t="str">
        <v>GB00BT7J0241</v>
      </c>
      <c r="G44" s="18">
        <v>-2.1800000000000002</v>
      </c>
      <c r="H44" s="18">
        <v>0</v>
      </c>
      <c r="I44" s="18">
        <v>-2.1800000000000002</v>
      </c>
      <c r="J44" s="18">
        <v>0</v>
      </c>
      <c r="K44" s="18">
        <v>0</v>
      </c>
      <c r="L44" s="18">
        <v>0</v>
      </c>
      <c r="M44" s="18">
        <v>0</v>
      </c>
      <c r="N44" s="18" t="str">
        <v>Bond</v>
      </c>
      <c r="O44" s="7" cm="1">
        <f t="array" ref="O44">(_xll.qwPrice($A$1,F44)-_xll.qwPrice($A$4,F44))*_xll.qwMVFactor($A$1,F44)*I44*_xll.qwFXRate($A$1,F44)</f>
        <v>-32171.926568576811</v>
      </c>
      <c r="P44" s="7" cm="1">
        <f t="array" ref="P44">IF(ISNUMBER(_xll.qwDV01($A$1,F44)*I44*_xll.qwMVFactor($A$1,F44)*_xll.qwFXRate($A$1,F44)),_xll.qwDV01($A$1,F44)*I44*_xll.qwMVFactor($A$1,F44)*_xll.qwFXRate($A$1,F44),0)</f>
        <v>-3793.5327823150537</v>
      </c>
      <c r="Q44" s="7" cm="1">
        <f t="array" ref="Q44">IF(ISNUMBER(_xll.qwDV01($A$1,F44)*G44*_xll.qwMVFactor($A$1,F44)*_xll.qwFXRate($A$1,F44)),_xll.qwDV01($A$1,F44)*G44*_xll.qwMVFactor($A$1,F44)*_xll.qwFXRate($A$1,F44),0)</f>
        <v>-3793.5327823150537</v>
      </c>
      <c r="R44" s="7" cm="1">
        <f t="array" ref="R44">IF(ISNUMBER(_xll.qwDV01($A$1,F44)*J44*_xll.qwMVFactor($A$1,F44)*_xll.qwFXRate($A$1,F44)),_xll.qwDV01($A$1,F44)*J44*_xll.qwMVFactor($A$1,F44)*_xll.qwFXRate($A$1,F44),0)</f>
        <v>0</v>
      </c>
      <c r="S44" s="7" cm="1">
        <f t="array" ref="S44">IF(ISNUMBER(_xll.qwDV01($A$1,F44)*J44*_xll.qwMVFactor($A$1,F44)*_xll.qwFXRate($A$1,F44)),_xll.qwDV01($A$1,F44)*J44*_xll.qwMVFactor($A$1,F44)*_xll.qwFXRate($A$1,F44),0)</f>
        <v>0</v>
      </c>
      <c r="T44" s="7" cm="1">
        <f t="array" ref="T44">_xll.qwFXRate($A$1,F44)*J44*(_xll.qwPrice($A$1,F44)-M44)*_xll.qwMVFactor($A$1,F44)</f>
        <v>0</v>
      </c>
      <c r="U44" s="9" cm="1">
        <f t="array" ref="U44">_xll.qwYield($A$1,F44)</f>
        <v>5.8814215043829624E-2</v>
      </c>
      <c r="V44" s="9" cm="1">
        <f t="array" ref="V44">100*(_xll.qwYield($A$4,F44)-U44)</f>
        <v>8.5539557265767313E-2</v>
      </c>
      <c r="W44" s="7">
        <f>IF(ISNA(G44*INDEX(_xll.qwTblData(_xll.qwCurveScenariosPerSecurity($A$1,F44,"Crv210")),2,2)),0,(G44*INDEX(_xll.qwTblData(_xll.qwCurveScenariosPerSecurity($A$1,F44,"Crv210")),2,2)))</f>
        <v>11261.767308448259</v>
      </c>
      <c r="X44" s="7" cm="1">
        <f t="array" ref="X44">ABS(Q44/_xll.qwMV01($A$1,"CT10"))</f>
        <v>5.1377332344901525</v>
      </c>
      <c r="Y44" s="7" cm="1">
        <f t="array" ref="Y44">IF(N44="BondFuture",-(_xll.qwCurveYield($A$1,_xll.qwSecVal($A$1,AA44,"CreditCurveName()"),AA44)-_xll.qwCurveYield($A$4,_xll.qwSecVal($A$4,AA44,"CreditCurveName()"),AA44))*P44*10000,IF(N44="Bond",-(_xll.qwCurveYield($A$1,_xll.qwSecVal($A$1,F44,"CreditCurveName()"),F44)-_xll.qwCurveYield($A$4,_xll.qwSecVal($A$4,F44,"CreditCurveName()"),F44))*P44*10000,O44))</f>
        <v>-31414.289790310886</v>
      </c>
      <c r="Z44" s="7" cm="1">
        <f t="array" ref="Z44">IF(OR(N44="BondFuture",N44="Bond"),P44*(_xll.qwCurveZSpread($A$4,_xll.qwSecVal($A$1,AA44,"CreditCurveName()"),AA44)-_xll.qwCurveZSpread($A$1,_xll.qwSecVal($A$1,AA44,"CreditCurveName()"),AA44)),0)</f>
        <v>-1035.4216769295297</v>
      </c>
      <c r="AA44" s="10" t="str" cm="1">
        <f t="array" ref="AA44">IF(_xll.qwSecType(F44)="Bond",F44,IF(_xll.qwSecType(F44)="BondFuture",_xll.qwFutCTD($A$1,F44),0))</f>
        <v>GB00BT7J0241</v>
      </c>
      <c r="AB44" s="7" cm="1">
        <f t="array" ref="AB44">IF(_xll.qwSecType(F44)="BondFuture",(I44*_xll.qwDelta($A$4,F44)*_xll.qwMVFactor($A$1,F44)/_xll.qwMVFactor($A$1,_xll.qwFutCTD($A$1,F44)))*(_xll.qwFXRate($A$1,F44)*_xll.qwMVFactor($A$1,_xll.qwFutCTD($A$1,F44))*(_xll.qwIncome($A$4,_xll.qwFutCTD($A$4,F44),_xll.qwBondSettle($A$4,_xll.qwFutCTD($A$4,F44)),_xll.qwBondSettle($A$1,_xll.qwFutCTD($A$1,F44)))+(_xll.qwBondDirtyPrice($A$1,_xll.qwFutCTD($A$1,F44))-_xll.qwBondDirtyPrice($A$4,_xll.qwFutCTD($A$4,F44)))-_xll.qwBondRepoFromTo($A$1,_xll.qwFutCTD($A$1,F44),_xll.qwBondSettle($A$4,_xll.qwFutCTD($A$4,F44)),_xll.qwBondSettle($A$1,_xll.qwFutCTD($A$1,F44)))))-O44,0)</f>
        <v>0</v>
      </c>
    </row>
    <row r="45" spans="2:30" s="8" customFormat="1" hidden="1" x14ac:dyDescent="0.35">
      <c r="B45" s="8" t="str">
        <v>pzhao</v>
      </c>
      <c r="C45" s="8" t="str">
        <v>MAMS</v>
      </c>
      <c r="D45" s="8" t="str">
        <v>pzhao|MAMS|RV_RATES_GBP_UKT-FLY|GB00BVP99897</v>
      </c>
      <c r="E45" s="8" t="str">
        <v>RV_RATES_GBP_UKT-FLY</v>
      </c>
      <c r="F45" s="8" t="str">
        <v>GB00BVP99897</v>
      </c>
      <c r="G45" s="8">
        <v>34.975999999999999</v>
      </c>
      <c r="H45" s="8">
        <v>0</v>
      </c>
      <c r="I45" s="8">
        <v>34.975999999999999</v>
      </c>
      <c r="J45" s="8">
        <v>0</v>
      </c>
      <c r="K45" s="8">
        <v>0</v>
      </c>
      <c r="L45" s="8">
        <v>0</v>
      </c>
      <c r="M45" s="8">
        <v>0</v>
      </c>
      <c r="N45" s="8" t="str">
        <v>Bond</v>
      </c>
      <c r="O45" s="7" cm="1">
        <f t="array" ref="O45">(_xll.qwPrice($A$1,F45)-_xll.qwPrice($A$4,F45))*_xll.qwMVFactor($A$1,F45)*I45*_xll.qwFXRate($A$1,F45)</f>
        <v>305816.52595447679</v>
      </c>
      <c r="P45" s="7" cm="1">
        <f t="array" ref="P45">IF(ISNUMBER(_xll.qwDV01($A$1,F45)*I45*_xll.qwMVFactor($A$1,F45)*_xll.qwFXRate($A$1,F45)),_xll.qwDV01($A$1,F45)*I45*_xll.qwMVFactor($A$1,F45)*_xll.qwFXRate($A$1,F45),0)</f>
        <v>43877.816029125592</v>
      </c>
      <c r="Q45" s="7" cm="1">
        <f t="array" ref="Q45">IF(ISNUMBER(_xll.qwDV01($A$1,F45)*G45*_xll.qwMVFactor($A$1,F45)*_xll.qwFXRate($A$1,F45)),_xll.qwDV01($A$1,F45)*G45*_xll.qwMVFactor($A$1,F45)*_xll.qwFXRate($A$1,F45),0)</f>
        <v>43877.816029125592</v>
      </c>
      <c r="R45" s="7" cm="1">
        <f t="array" ref="R45">IF(ISNUMBER(_xll.qwDV01($A$1,F45)*J45*_xll.qwMVFactor($A$1,F45)*_xll.qwFXRate($A$1,F45)),_xll.qwDV01($A$1,F45)*J45*_xll.qwMVFactor($A$1,F45)*_xll.qwFXRate($A$1,F45),0)</f>
        <v>0</v>
      </c>
      <c r="S45" s="7" cm="1">
        <f t="array" ref="S45">IF(ISNUMBER(_xll.qwDV01($A$1,F45)*J45*_xll.qwMVFactor($A$1,F45)*_xll.qwFXRate($A$1,F45)),_xll.qwDV01($A$1,F45)*J45*_xll.qwMVFactor($A$1,F45)*_xll.qwFXRate($A$1,F45),0)</f>
        <v>0</v>
      </c>
      <c r="T45" s="7" cm="1">
        <f t="array" ref="T45">_xll.qwFXRate($A$1,F45)*J45*(_xll.qwPrice($A$1,F45)-M45)*_xll.qwMVFactor($A$1,F45)</f>
        <v>0</v>
      </c>
      <c r="U45" s="9" cm="1">
        <f t="array" ref="U45">_xll.qwYield($A$1,F45)</f>
        <v>5.655968264347401E-2</v>
      </c>
      <c r="V45" s="9" cm="1">
        <f t="array" ref="V45">100*(_xll.qwYield($A$4,F45)-U45)</f>
        <v>6.9844699140619165E-2</v>
      </c>
      <c r="W45" s="7">
        <f>IF(ISNA(G45*INDEX(_xll.qwTblData(_xll.qwCurveScenariosPerSecurity($A$1,F45,"Crv210")),2,2)),0,(G45*INDEX(_xll.qwTblData(_xll.qwCurveScenariosPerSecurity($A$1,F45,"Crv210")),2,2)))</f>
        <v>-46348.652969692594</v>
      </c>
      <c r="X45" s="7" cm="1">
        <f t="array" ref="X45">ABS(Q45/_xll.qwMV01($A$1,"CT10"))</f>
        <v>59.425481893980127</v>
      </c>
      <c r="Y45" s="7" cm="1">
        <f t="array" ref="Y45">IF(N45="BondFuture",-(_xll.qwCurveYield($A$1,_xll.qwSecVal($A$1,AA45,"CreditCurveName()"),AA45)-_xll.qwCurveYield($A$4,_xll.qwSecVal($A$4,AA45,"CreditCurveName()"),AA45))*P45*10000,IF(N45="Bond",-(_xll.qwCurveYield($A$1,_xll.qwSecVal($A$1,F45,"CreditCurveName()"),F45)-_xll.qwCurveYield($A$4,_xll.qwSecVal($A$4,F45,"CreditCurveName()"),F45))*P45*10000,O45))</f>
        <v>308165.0187511589</v>
      </c>
      <c r="Z45" s="7" cm="1">
        <f t="array" ref="Z45">IF(OR(N45="BondFuture",N45="Bond"),P45*(_xll.qwCurveZSpread($A$4,_xll.qwSecVal($A$1,AA45,"CreditCurveName()"),AA45)-_xll.qwCurveZSpread($A$1,_xll.qwSecVal($A$1,AA45,"CreditCurveName()"),AA45)),0)</f>
        <v>-1701.7328009875005</v>
      </c>
      <c r="AA45" s="10" t="str" cm="1">
        <f t="array" ref="AA45">IF(_xll.qwSecType(F45)="Bond",F45,IF(_xll.qwSecType(F45)="BondFuture",_xll.qwFutCTD($A$1,F45),0))</f>
        <v>GB00BVP99897</v>
      </c>
      <c r="AB45" s="7" cm="1">
        <f t="array" ref="AB45">IF(_xll.qwSecType(F45)="BondFuture",(I45*_xll.qwDelta($A$4,F45)*_xll.qwMVFactor($A$1,F45)/_xll.qwMVFactor($A$1,_xll.qwFutCTD($A$1,F45)))*(_xll.qwFXRate($A$1,F45)*_xll.qwMVFactor($A$1,_xll.qwFutCTD($A$1,F45))*(_xll.qwIncome($A$4,_xll.qwFutCTD($A$4,F45),_xll.qwBondSettle($A$4,_xll.qwFutCTD($A$4,F45)),_xll.qwBondSettle($A$1,_xll.qwFutCTD($A$1,F45)))+(_xll.qwBondDirtyPrice($A$1,_xll.qwFutCTD($A$1,F45))-_xll.qwBondDirtyPrice($A$4,_xll.qwFutCTD($A$4,F45)))-_xll.qwBondRepoFromTo($A$1,_xll.qwFutCTD($A$1,F45),_xll.qwBondSettle($A$4,_xll.qwFutCTD($A$4,F45)),_xll.qwBondSettle($A$1,_xll.qwFutCTD($A$1,F45)))))-O45,0)</f>
        <v>0</v>
      </c>
    </row>
    <row r="46" spans="2:30" s="8" customFormat="1" hidden="1" x14ac:dyDescent="0.35">
      <c r="B46" s="8" t="str">
        <v>pzhao</v>
      </c>
      <c r="C46" s="8" t="str">
        <v>PPA</v>
      </c>
      <c r="D46" s="8" t="str">
        <v>pzhao|PPA|RV_RATES_CAD_GOC-CTB|912810UU0</v>
      </c>
      <c r="E46" s="8" t="str">
        <v>RV_RATES_CAD_GOC-CTB</v>
      </c>
      <c r="F46" s="8" t="str">
        <v>912810UU0</v>
      </c>
      <c r="G46" s="8">
        <v>-3.6</v>
      </c>
      <c r="H46" s="8">
        <v>0</v>
      </c>
      <c r="I46" s="8">
        <v>-3.6</v>
      </c>
      <c r="J46" s="8">
        <v>0</v>
      </c>
      <c r="K46" s="8">
        <v>0</v>
      </c>
      <c r="L46" s="8">
        <v>0</v>
      </c>
      <c r="M46" s="8">
        <v>0</v>
      </c>
      <c r="N46" s="8" t="str">
        <v>Bond</v>
      </c>
      <c r="O46" s="7" cm="1">
        <f t="array" ref="O46">(_xll.qwPrice($A$1,F46)-_xll.qwPrice($A$4,F46))*_xll.qwMVFactor($A$1,F46)*I46*_xll.qwFXRate($A$1,F46)</f>
        <v>12374.999999996931</v>
      </c>
      <c r="P46" s="7" cm="1">
        <f t="array" ref="P46">IF(ISNUMBER(_xll.qwDV01($A$1,F46)*I46*_xll.qwMVFactor($A$1,F46)*_xll.qwFXRate($A$1,F46)),_xll.qwDV01($A$1,F46)*I46*_xll.qwMVFactor($A$1,F46)*_xll.qwFXRate($A$1,F46),0)</f>
        <v>-4805.8509491966106</v>
      </c>
      <c r="Q46" s="7" cm="1">
        <f t="array" ref="Q46">IF(ISNUMBER(_xll.qwDV01($A$1,F46)*G46*_xll.qwMVFactor($A$1,F46)*_xll.qwFXRate($A$1,F46)),_xll.qwDV01($A$1,F46)*G46*_xll.qwMVFactor($A$1,F46)*_xll.qwFXRate($A$1,F46),0)</f>
        <v>-4805.8509491966106</v>
      </c>
      <c r="R46" s="7" cm="1">
        <f t="array" ref="R46">IF(ISNUMBER(_xll.qwDV01($A$1,F46)*J46*_xll.qwMVFactor($A$1,F46)*_xll.qwFXRate($A$1,F46)),_xll.qwDV01($A$1,F46)*J46*_xll.qwMVFactor($A$1,F46)*_xll.qwFXRate($A$1,F46),0)</f>
        <v>0</v>
      </c>
      <c r="S46" s="7" cm="1">
        <f t="array" ref="S46">IF(ISNUMBER(_xll.qwDV01($A$1,F46)*J46*_xll.qwMVFactor($A$1,F46)*_xll.qwFXRate($A$1,F46)),_xll.qwDV01($A$1,F46)*J46*_xll.qwMVFactor($A$1,F46)*_xll.qwFXRate($A$1,F46),0)</f>
        <v>0</v>
      </c>
      <c r="T46" s="7" cm="1">
        <f t="array" ref="T46">_xll.qwFXRate($A$1,F46)*J46*(_xll.qwPrice($A$1,F46)-M46)*_xll.qwMVFactor($A$1,F46)</f>
        <v>0</v>
      </c>
      <c r="U46" s="9" cm="1">
        <f t="array" ref="U46">_xll.qwYield($A$1,F46)</f>
        <v>5.6303575763793627E-2</v>
      </c>
      <c r="V46" s="9" cm="1">
        <f t="array" ref="V46">100*(_xll.qwYield($A$4,F46)-U46)</f>
        <v>-2.5769900252562566E-2</v>
      </c>
      <c r="W46" s="7">
        <f>IF(ISNA(G46*INDEX(_xll.qwTblData(_xll.qwCurveScenariosPerSecurity($A$1,F46,"Crv210")),2,2)),0,(G46*INDEX(_xll.qwTblData(_xll.qwCurveScenariosPerSecurity($A$1,F46,"Crv210")),2,2)))</f>
        <v>14555.313527017233</v>
      </c>
      <c r="X46" s="7" cm="1">
        <f t="array" ref="X46">ABS(Q46/_xll.qwMV01($A$1,"CT10"))</f>
        <v>6.5087562329236945</v>
      </c>
      <c r="Y46" s="7" cm="1">
        <f t="array" ref="Y46">IF(N46="BondFuture",-(_xll.qwCurveYield($A$1,_xll.qwSecVal($A$1,AA46,"CreditCurveName()"),AA46)-_xll.qwCurveYield($A$4,_xll.qwSecVal($A$4,AA46,"CreditCurveName()"),AA46))*P46*10000,IF(N46="Bond",-(_xll.qwCurveYield($A$1,_xll.qwSecVal($A$1,F46,"CreditCurveName()"),F46)-_xll.qwCurveYield($A$4,_xll.qwSecVal($A$4,F46,"CreditCurveName()"),F46))*P46*10000,O46))</f>
        <v>12510.5546979883</v>
      </c>
      <c r="Z46" s="7" cm="1">
        <f t="array" ref="Z46">IF(OR(N46="BondFuture",N46="Bond"),P46*(_xll.qwCurveZSpread($A$4,_xll.qwSecVal($A$1,AA46,"CreditCurveName()"),AA46)-_xll.qwCurveZSpread($A$1,_xll.qwSecVal($A$1,AA46,"CreditCurveName()"),AA46)),0)</f>
        <v>-125.92473904032293</v>
      </c>
      <c r="AA46" s="10" t="str" cm="1">
        <f t="array" ref="AA46">IF(_xll.qwSecType(F46)="Bond",F46,IF(_xll.qwSecType(F46)="BondFuture",_xll.qwFutCTD($A$1,F46),0))</f>
        <v>912810UU0</v>
      </c>
      <c r="AB46" s="7" cm="1">
        <f t="array" ref="AB46">IF(_xll.qwSecType(F46)="BondFuture",(I46*_xll.qwDelta($A$4,F46)*_xll.qwMVFactor($A$1,F46)/_xll.qwMVFactor($A$1,_xll.qwFutCTD($A$1,F46)))*(_xll.qwFXRate($A$1,F46)*_xll.qwMVFactor($A$1,_xll.qwFutCTD($A$1,F46))*(_xll.qwIncome($A$4,_xll.qwFutCTD($A$4,F46),_xll.qwBondSettle($A$4,_xll.qwFutCTD($A$4,F46)),_xll.qwBondSettle($A$1,_xll.qwFutCTD($A$1,F46)))+(_xll.qwBondDirtyPrice($A$1,_xll.qwFutCTD($A$1,F46))-_xll.qwBondDirtyPrice($A$4,_xll.qwFutCTD($A$4,F46)))-_xll.qwBondRepoFromTo($A$1,_xll.qwFutCTD($A$1,F46),_xll.qwBondSettle($A$4,_xll.qwFutCTD($A$4,F46)),_xll.qwBondSettle($A$1,_xll.qwFutCTD($A$1,F46)))))-O46,0)</f>
        <v>0</v>
      </c>
    </row>
    <row r="47" spans="2:30" s="8" customFormat="1" hidden="1" x14ac:dyDescent="0.35">
      <c r="B47" s="8" t="str">
        <v>pzhao</v>
      </c>
      <c r="C47" s="8" t="str">
        <v>PPA</v>
      </c>
      <c r="D47" s="8" t="str">
        <v>pzhao|PPA|RV_RATES_CAD_GOC-CTB|CA135087U691</v>
      </c>
      <c r="E47" s="8" t="str">
        <v>RV_RATES_CAD_GOC-CTB</v>
      </c>
      <c r="F47" s="8" t="str">
        <v>CA135087U691</v>
      </c>
      <c r="G47" s="8">
        <v>-18</v>
      </c>
      <c r="H47" s="8">
        <v>0</v>
      </c>
      <c r="I47" s="8">
        <v>-18</v>
      </c>
      <c r="J47" s="8">
        <v>0</v>
      </c>
      <c r="K47" s="8">
        <v>0</v>
      </c>
      <c r="L47" s="8">
        <v>0</v>
      </c>
      <c r="M47" s="8">
        <v>0</v>
      </c>
      <c r="N47" s="8" t="str">
        <v>Bond</v>
      </c>
      <c r="O47" s="7" cm="1">
        <f t="array" ref="O47">(_xll.qwPrice($A$1,F47)-_xll.qwPrice($A$4,F47))*_xll.qwMVFactor($A$1,F47)*I47*_xll.qwFXRate($A$1,F47)</f>
        <v>-8191.9554299524534</v>
      </c>
      <c r="P47" s="7" cm="1">
        <f t="array" ref="P47">IF(ISNUMBER(_xll.qwDV01($A$1,F47)*I47*_xll.qwMVFactor($A$1,F47)*_xll.qwFXRate($A$1,F47)),_xll.qwDV01($A$1,F47)*I47*_xll.qwMVFactor($A$1,F47)*_xll.qwFXRate($A$1,F47),0)</f>
        <v>-5543.1832922181457</v>
      </c>
      <c r="Q47" s="7" cm="1">
        <f t="array" ref="Q47">IF(ISNUMBER(_xll.qwDV01($A$1,F47)*G47*_xll.qwMVFactor($A$1,F47)*_xll.qwFXRate($A$1,F47)),_xll.qwDV01($A$1,F47)*G47*_xll.qwMVFactor($A$1,F47)*_xll.qwFXRate($A$1,F47),0)</f>
        <v>-5543.1832922181457</v>
      </c>
      <c r="R47" s="7" cm="1">
        <f t="array" ref="R47">IF(ISNUMBER(_xll.qwDV01($A$1,F47)*J47*_xll.qwMVFactor($A$1,F47)*_xll.qwFXRate($A$1,F47)),_xll.qwDV01($A$1,F47)*J47*_xll.qwMVFactor($A$1,F47)*_xll.qwFXRate($A$1,F47),0)</f>
        <v>0</v>
      </c>
      <c r="S47" s="7" cm="1">
        <f t="array" ref="S47">IF(ISNUMBER(_xll.qwDV01($A$1,F47)*J47*_xll.qwMVFactor($A$1,F47)*_xll.qwFXRate($A$1,F47)),_xll.qwDV01($A$1,F47)*J47*_xll.qwMVFactor($A$1,F47)*_xll.qwFXRate($A$1,F47),0)</f>
        <v>0</v>
      </c>
      <c r="T47" s="7" cm="1">
        <f t="array" ref="T47">_xll.qwFXRate($A$1,F47)*J47*(_xll.qwPrice($A$1,F47)-M47)*_xll.qwMVFactor($A$1,F47)</f>
        <v>0</v>
      </c>
      <c r="U47" s="9" cm="1">
        <f t="array" ref="U47">_xll.qwYield($A$1,F47)</f>
        <v>3.6032787785623493E-2</v>
      </c>
      <c r="V47" s="9" cm="1">
        <f t="array" ref="V47">100*(_xll.qwYield($A$4,F47)-U47)</f>
        <v>1.3847755424180319E-2</v>
      </c>
      <c r="W47" s="7">
        <f>IF(ISNA(G47*INDEX(_xll.qwTblData(_xll.qwCurveScenariosPerSecurity($A$1,F47,"Crv210")),2,2)),0,(G47*INDEX(_xll.qwTblData(_xll.qwCurveScenariosPerSecurity($A$1,F47,"Crv210")),2,2)))</f>
        <v>-738.83741452833829</v>
      </c>
      <c r="X47" s="7" cm="1">
        <f t="array" ref="X47">ABS(Q47/_xll.qwMV01($A$1,"CT10"))</f>
        <v>7.5073549273297102</v>
      </c>
      <c r="Y47" s="7" cm="1">
        <f t="array" ref="Y47">IF(N47="BondFuture",-(_xll.qwCurveYield($A$1,_xll.qwSecVal($A$1,AA47,"CreditCurveName()"),AA47)-_xll.qwCurveYield($A$4,_xll.qwSecVal($A$4,AA47,"CreditCurveName()"),AA47))*P47*10000,IF(N47="Bond",-(_xll.qwCurveYield($A$1,_xll.qwSecVal($A$1,F47,"CreditCurveName()"),F47)-_xll.qwCurveYield($A$4,_xll.qwSecVal($A$4,F47,"CreditCurveName()"),F47))*P47*10000,O47))</f>
        <v>-7519.4113010169185</v>
      </c>
      <c r="Z47" s="7" cm="1">
        <f t="array" ref="Z47">IF(OR(N47="BondFuture",N47="Bond"),P47*(_xll.qwCurveZSpread($A$4,_xll.qwSecVal($A$1,AA47,"CreditCurveName()"),AA47)-_xll.qwCurveZSpread($A$1,_xll.qwSecVal($A$1,AA47,"CreditCurveName()"),AA47)),0)</f>
        <v>-156.65334918703664</v>
      </c>
      <c r="AA47" s="10" t="str" cm="1">
        <f t="array" ref="AA47">IF(_xll.qwSecType(F47)="Bond",F47,IF(_xll.qwSecType(F47)="BondFuture",_xll.qwFutCTD($A$1,F47),0))</f>
        <v>CA135087U691</v>
      </c>
      <c r="AB47" s="7" cm="1">
        <f t="array" ref="AB47">IF(_xll.qwSecType(F47)="BondFuture",(I47*_xll.qwDelta($A$4,F47)*_xll.qwMVFactor($A$1,F47)/_xll.qwMVFactor($A$1,_xll.qwFutCTD($A$1,F47)))*(_xll.qwFXRate($A$1,F47)*_xll.qwMVFactor($A$1,_xll.qwFutCTD($A$1,F47))*(_xll.qwIncome($A$4,_xll.qwFutCTD($A$4,F47),_xll.qwBondSettle($A$4,_xll.qwFutCTD($A$4,F47)),_xll.qwBondSettle($A$1,_xll.qwFutCTD($A$1,F47)))+(_xll.qwBondDirtyPrice($A$1,_xll.qwFutCTD($A$1,F47))-_xll.qwBondDirtyPrice($A$4,_xll.qwFutCTD($A$4,F47)))-_xll.qwBondRepoFromTo($A$1,_xll.qwFutCTD($A$1,F47),_xll.qwBondSettle($A$4,_xll.qwFutCTD($A$4,F47)),_xll.qwBondSettle($A$1,_xll.qwFutCTD($A$1,F47)))))-O47,0)</f>
        <v>0</v>
      </c>
    </row>
    <row r="48" spans="2:30" s="8" customFormat="1" x14ac:dyDescent="0.35">
      <c r="B48" s="8" t="str">
        <v>pzhao</v>
      </c>
      <c r="C48" s="8" t="str">
        <v>PPA</v>
      </c>
      <c r="D48" s="8" t="str">
        <v>pzhao|PPA|RV_RATES_CAD_GOC-CTB|FVZ6</v>
      </c>
      <c r="E48" s="8" t="str">
        <v>RV_RATES_CAD_GOC-CTB</v>
      </c>
      <c r="F48" s="8" t="str">
        <v>FVZ6</v>
      </c>
      <c r="G48" s="8">
        <v>-180</v>
      </c>
      <c r="H48" s="8">
        <v>0</v>
      </c>
      <c r="I48" s="8">
        <v>-180</v>
      </c>
      <c r="J48" s="8">
        <v>0</v>
      </c>
      <c r="K48" s="8">
        <v>0</v>
      </c>
      <c r="L48" s="8">
        <v>0</v>
      </c>
      <c r="M48" s="8">
        <v>0</v>
      </c>
      <c r="N48" s="8" t="str">
        <v>BondFuture</v>
      </c>
      <c r="O48" s="7" cm="1">
        <f t="array" ref="O48">(_xll.qwPrice($A$1,F48)-_xll.qwPrice($A$4,F48))*_xll.qwMVFactor($A$1,F48)*I48*_xll.qwFXRate($A$1,F48)</f>
        <v>39375</v>
      </c>
      <c r="P48" s="7" cm="1">
        <f t="array" ref="P48">IF(ISNUMBER(_xll.qwDV01($A$1,F48)*I48*_xll.qwMVFactor($A$1,F48)*_xll.qwFXRate($A$1,F48)),_xll.qwDV01($A$1,F48)*I48*_xll.qwMVFactor($A$1,F48)*_xll.qwFXRate($A$1,F48),0)</f>
        <v>-7621.8780688734341</v>
      </c>
      <c r="Q48" s="7" cm="1">
        <f t="array" ref="Q48">IF(ISNUMBER(_xll.qwDV01($A$1,F48)*G48*_xll.qwMVFactor($A$1,F48)*_xll.qwFXRate($A$1,F48)),_xll.qwDV01($A$1,F48)*G48*_xll.qwMVFactor($A$1,F48)*_xll.qwFXRate($A$1,F48),0)</f>
        <v>-7621.8780688734341</v>
      </c>
      <c r="R48" s="7" cm="1">
        <f t="array" ref="R48">IF(ISNUMBER(_xll.qwDV01($A$1,F48)*J48*_xll.qwMVFactor($A$1,F48)*_xll.qwFXRate($A$1,F48)),_xll.qwDV01($A$1,F48)*J48*_xll.qwMVFactor($A$1,F48)*_xll.qwFXRate($A$1,F48),0)</f>
        <v>0</v>
      </c>
      <c r="S48" s="7" cm="1">
        <f t="array" ref="S48">IF(ISNUMBER(_xll.qwDV01($A$1,F48)*J48*_xll.qwMVFactor($A$1,F48)*_xll.qwFXRate($A$1,F48)),_xll.qwDV01($A$1,F48)*J48*_xll.qwMVFactor($A$1,F48)*_xll.qwFXRate($A$1,F48),0)</f>
        <v>0</v>
      </c>
      <c r="T48" s="7" cm="1">
        <f t="array" ref="T48">_xll.qwFXRate($A$1,F48)*J48*(_xll.qwPrice($A$1,F48)-M48)*_xll.qwMVFactor($A$1,F48)</f>
        <v>0</v>
      </c>
      <c r="U48" s="9" cm="1">
        <f t="array" ref="U48">_xll.qwYield($A$1,F48)</f>
        <v>5.0650517090344176E-2</v>
      </c>
      <c r="V48" s="9" cm="1">
        <f t="array" ref="V48">100*(_xll.qwYield($A$4,F48)-U48)</f>
        <v>-5.3312940172272477E-2</v>
      </c>
      <c r="W48" s="7">
        <f>IF(ISNA(G48*INDEX(_xll.qwTblData(_xll.qwCurveScenariosPerSecurity($A$1,F48,"Crv210")),2,2)),0,(G48*INDEX(_xll.qwTblData(_xll.qwCurveScenariosPerSecurity($A$1,F48,"Crv210")),2,2)))</f>
        <v>-1401.9739013900789</v>
      </c>
      <c r="X48" s="7" cm="1">
        <f t="array" ref="X48">ABS(Q48/_xll.qwMV01($A$1,"CT10"))</f>
        <v>10.322614436400167</v>
      </c>
      <c r="Y48" s="7" cm="1">
        <f t="array" ref="Y48">IF(N48="BondFuture",-(_xll.qwCurveYield($A$1,_xll.qwSecVal($A$1,AA48,"CreditCurveName()"),AA48)-_xll.qwCurveYield($A$4,_xll.qwSecVal($A$4,AA48,"CreditCurveName()"),AA48))*P48*10000,IF(N48="Bond",-(_xll.qwCurveYield($A$1,_xll.qwSecVal($A$1,F48,"CreditCurveName()"),F48)-_xll.qwCurveYield($A$4,_xll.qwSecVal($A$4,F48,"CreditCurveName()"),F48))*P48*10000,O48))</f>
        <v>40318.654102532782</v>
      </c>
      <c r="Z48" s="7" cm="1">
        <f t="array" ref="Z48">IF(OR(N48="BondFuture",N48="Bond"),P48*(_xll.qwCurveZSpread($A$4,_xll.qwSecVal($A$1,AA48,"CreditCurveName()"),AA48)-_xll.qwCurveZSpread($A$1,_xll.qwSecVal($A$1,AA48,"CreditCurveName()"),AA48)),0)</f>
        <v>1103.9967495330363</v>
      </c>
      <c r="AA48" s="10" t="str" cm="1">
        <f t="array" ref="AA48">IF(_xll.qwSecType(F48)="Bond",F48,IF(_xll.qwSecType(F48)="BondFuture",_xll.qwFutCTD($A$1,F48),0))</f>
        <v>91282CQG9</v>
      </c>
      <c r="AB48" s="7" cm="1">
        <f t="array" ref="AB48">IF(_xll.qwSecType(F48)="BondFuture",-(I48*_xll.qwDelta($A$4,F48)*_xll.qwMVFactor($A$1,F48)/_xll.qwMVFactor($A$1,_xll.qwFutCTD($A$1,F48)))*(_xll.qwFXRate($A$1,F48)*_xll.qwMVFactor($A$1,_xll.qwFutCTD($A$1,F48))*(_xll.qwIncome($A$4,_xll.qwFutCTD($A$4,F48),_xll.qwBondSettle($A$4,_xll.qwFutCTD($A$4,F48)),_xll.qwBondSettle($A$1,_xll.qwFutCTD($A$1,F48)))+(_xll.qwSecVal($A$1,AA48,"Price")-_xll.qwSecVal($A$4,AA48,"Price"))-_xll.qwBondRepoFromTo($A$1,AA48,_xll.qwBondSettle($A$4,AA48),_xll.qwBondSettle($A$1,AA48))*_xll.qwSecVal($A$1,AA48,"Price")*(_xll.qwBondSettle($A$1,AA48)-_xll.qwBondSettle($A$4,AA48))/360))+O48,0)</f>
        <v>-562.62263823015383</v>
      </c>
    </row>
    <row r="49" spans="2:28" s="8" customFormat="1" x14ac:dyDescent="0.35">
      <c r="B49" s="8" t="str">
        <v>pzhao</v>
      </c>
      <c r="C49" s="8" t="str">
        <v>PPA</v>
      </c>
      <c r="D49" s="8" t="str">
        <v>pzhao|PPA|RV_RATES_CAD_GOC-CTB|G Z6</v>
      </c>
      <c r="E49" s="8" t="str">
        <v>RV_RATES_CAD_GOC-CTB</v>
      </c>
      <c r="F49" s="8" t="str">
        <v>G Z6</v>
      </c>
      <c r="G49" s="8">
        <v>18</v>
      </c>
      <c r="H49" s="8">
        <v>0</v>
      </c>
      <c r="I49" s="8">
        <v>18</v>
      </c>
      <c r="J49" s="8">
        <v>0</v>
      </c>
      <c r="K49" s="8">
        <v>0</v>
      </c>
      <c r="L49" s="8">
        <v>0</v>
      </c>
      <c r="M49" s="8">
        <v>0</v>
      </c>
      <c r="N49" s="8" t="str">
        <v>BondFuture</v>
      </c>
      <c r="O49" s="7" cm="1">
        <f t="array" ref="O49">(_xll.qwPrice($A$1,F49)-_xll.qwPrice($A$4,F49))*_xll.qwMVFactor($A$1,F49)*I49*_xll.qwFXRate($A$1,F49)</f>
        <v>16675.470000000063</v>
      </c>
      <c r="P49" s="7" cm="1">
        <f t="array" ref="P49">IF(ISNUMBER(_xll.qwDV01($A$1,F49)*I49*_xll.qwMVFactor($A$1,F49)*_xll.qwFXRate($A$1,F49)),_xll.qwDV01($A$1,F49)*I49*_xll.qwMVFactor($A$1,F49)*_xll.qwFXRate($A$1,F49),0)</f>
        <v>2216.1282310170141</v>
      </c>
      <c r="Q49" s="7" cm="1">
        <f t="array" ref="Q49">IF(ISNUMBER(_xll.qwDV01($A$1,F49)*G49*_xll.qwMVFactor($A$1,F49)*_xll.qwFXRate($A$1,F49)),_xll.qwDV01($A$1,F49)*G49*_xll.qwMVFactor($A$1,F49)*_xll.qwFXRate($A$1,F49),0)</f>
        <v>2216.1282310170141</v>
      </c>
      <c r="R49" s="7" cm="1">
        <f t="array" ref="R49">IF(ISNUMBER(_xll.qwDV01($A$1,F49)*J49*_xll.qwMVFactor($A$1,F49)*_xll.qwFXRate($A$1,F49)),_xll.qwDV01($A$1,F49)*J49*_xll.qwMVFactor($A$1,F49)*_xll.qwFXRate($A$1,F49),0)</f>
        <v>0</v>
      </c>
      <c r="S49" s="7" cm="1">
        <f t="array" ref="S49">IF(ISNUMBER(_xll.qwDV01($A$1,F49)*J49*_xll.qwMVFactor($A$1,F49)*_xll.qwFXRate($A$1,F49)),_xll.qwDV01($A$1,F49)*J49*_xll.qwMVFactor($A$1,F49)*_xll.qwFXRate($A$1,F49),0)</f>
        <v>0</v>
      </c>
      <c r="T49" s="7" cm="1">
        <f t="array" ref="T49">_xll.qwFXRate($A$1,F49)*J49*(_xll.qwPrice($A$1,F49)-M49)*_xll.qwMVFactor($A$1,F49)</f>
        <v>0</v>
      </c>
      <c r="U49" s="9" cm="1">
        <f t="array" ref="U49">_xll.qwYield($A$1,F49)</f>
        <v>5.5394444696192244E-2</v>
      </c>
      <c r="V49" s="9" cm="1">
        <f t="array" ref="V49">100*(_xll.qwYield($A$4,F49)-U49)</f>
        <v>7.4453306262749902E-2</v>
      </c>
      <c r="W49" s="7">
        <f>IF(ISNA(G49*INDEX(_xll.qwTblData(_xll.qwCurveScenariosPerSecurity($A$1,F49,"Crv210")),2,2)),0,(G49*INDEX(_xll.qwTblData(_xll.qwCurveScenariosPerSecurity($A$1,F49,"Crv210")),2,2)))</f>
        <v>-2114.9635716016492</v>
      </c>
      <c r="X49" s="7" cm="1">
        <f t="array" ref="X49">ABS(Q49/_xll.qwMV01($A$1,"CT10"))</f>
        <v>3.0013911353204654</v>
      </c>
      <c r="Y49" s="7" cm="1">
        <f t="array" ref="Y49">IF(N49="BondFuture",-(_xll.qwCurveYield($A$1,_xll.qwSecVal($A$1,AA49,"CreditCurveName()"),AA49)-_xll.qwCurveYield($A$4,_xll.qwSecVal($A$4,AA49,"CreditCurveName()"),AA49))*P49*10000,IF(N49="Bond",-(_xll.qwCurveYield($A$1,_xll.qwSecVal($A$1,F49,"CreditCurveName()"),F49)-_xll.qwCurveYield($A$4,_xll.qwSecVal($A$4,F49,"CreditCurveName()"),F49))*P49*10000,O49))</f>
        <v>16056.210608682357</v>
      </c>
      <c r="Z49" s="7" cm="1">
        <f t="array" ref="Z49">IF(OR(N49="BondFuture",N49="Bond"),P49*(_xll.qwCurveZSpread($A$4,_xll.qwSecVal($A$1,AA49,"CreditCurveName()"),AA49)-_xll.qwCurveZSpread($A$1,_xll.qwSecVal($A$1,AA49,"CreditCurveName()"),AA49)),0)</f>
        <v>-497.87198250779784</v>
      </c>
      <c r="AA49" s="10" t="str" cm="1">
        <f t="array" ref="AA49">IF(_xll.qwSecType(F49)="Bond",F49,IF(_xll.qwSecType(F49)="BondFuture",_xll.qwFutCTD($A$1,F49),0))</f>
        <v>GB00BLPK7334</v>
      </c>
      <c r="AB49" s="7" cm="1">
        <f t="array" ref="AB49">IF(_xll.qwSecType(F49)="BondFuture",-(I49*_xll.qwDelta($A$4,F49)*_xll.qwMVFactor($A$1,F49)/_xll.qwMVFactor($A$1,_xll.qwFutCTD($A$1,F49)))*(_xll.qwFXRate($A$1,F49)*_xll.qwMVFactor($A$1,_xll.qwFutCTD($A$1,F49))*(_xll.qwIncome($A$4,_xll.qwFutCTD($A$4,F49),_xll.qwBondSettle($A$4,_xll.qwFutCTD($A$4,F49)),_xll.qwBondSettle($A$1,_xll.qwFutCTD($A$1,F49)))+(_xll.qwSecVal($A$1,AA49,"Price")-_xll.qwSecVal($A$4,AA49,"Price"))-_xll.qwBondRepoFromTo($A$1,AA49,_xll.qwBondSettle($A$4,AA49),_xll.qwBondSettle($A$1,AA49))*_xll.qwSecVal($A$1,AA49,"Price")*(_xll.qwBondSettle($A$1,AA49)-_xll.qwBondSettle($A$4,AA49))/360))+O49,0)</f>
        <v>906.4440079469623</v>
      </c>
    </row>
    <row r="50" spans="2:28" s="8" customFormat="1" hidden="1" x14ac:dyDescent="0.35">
      <c r="B50" s="8" t="str">
        <v>pzhao</v>
      </c>
      <c r="C50" s="8" t="str">
        <v>PPA</v>
      </c>
      <c r="D50" s="8" t="str">
        <v>pzhao|PPA|RV_RATES_CAD_GOC-CTB|GB00BPSNBB36</v>
      </c>
      <c r="E50" s="8" t="str">
        <v>RV_RATES_CAD_GOC-CTB</v>
      </c>
      <c r="F50" s="8" t="str">
        <v>GB00BPSNBB36</v>
      </c>
      <c r="G50" s="8">
        <v>3.6</v>
      </c>
      <c r="H50" s="8">
        <v>0</v>
      </c>
      <c r="I50" s="8">
        <v>3.6</v>
      </c>
      <c r="J50" s="8">
        <v>0</v>
      </c>
      <c r="K50" s="8">
        <v>0</v>
      </c>
      <c r="L50" s="8">
        <v>0</v>
      </c>
      <c r="M50" s="8">
        <v>0</v>
      </c>
      <c r="N50" s="8" t="str">
        <v>Bond</v>
      </c>
      <c r="O50" s="7" cm="1">
        <f t="array" ref="O50">(_xll.qwPrice($A$1,F50)-_xll.qwPrice($A$4,F50))*_xll.qwMVFactor($A$1,F50)*I50*_xll.qwFXRate($A$1,F50)</f>
        <v>46594.002721500772</v>
      </c>
      <c r="P50" s="7" cm="1">
        <f t="array" ref="P50">IF(ISNUMBER(_xll.qwDV01($A$1,F50)*I50*_xll.qwMVFactor($A$1,F50)*_xll.qwFXRate($A$1,F50)),_xll.qwDV01($A$1,F50)*I50*_xll.qwMVFactor($A$1,F50)*_xll.qwFXRate($A$1,F50),0)</f>
        <v>5452.1476149687933</v>
      </c>
      <c r="Q50" s="7" cm="1">
        <f t="array" ref="Q50">IF(ISNUMBER(_xll.qwDV01($A$1,F50)*G50*_xll.qwMVFactor($A$1,F50)*_xll.qwFXRate($A$1,F50)),_xll.qwDV01($A$1,F50)*G50*_xll.qwMVFactor($A$1,F50)*_xll.qwFXRate($A$1,F50),0)</f>
        <v>5452.1476149687933</v>
      </c>
      <c r="R50" s="7" cm="1">
        <f t="array" ref="R50">IF(ISNUMBER(_xll.qwDV01($A$1,F50)*J50*_xll.qwMVFactor($A$1,F50)*_xll.qwFXRate($A$1,F50)),_xll.qwDV01($A$1,F50)*J50*_xll.qwMVFactor($A$1,F50)*_xll.qwFXRate($A$1,F50),0)</f>
        <v>0</v>
      </c>
      <c r="S50" s="7" cm="1">
        <f t="array" ref="S50">IF(ISNUMBER(_xll.qwDV01($A$1,F50)*J50*_xll.qwMVFactor($A$1,F50)*_xll.qwFXRate($A$1,F50)),_xll.qwDV01($A$1,F50)*J50*_xll.qwMVFactor($A$1,F50)*_xll.qwFXRate($A$1,F50),0)</f>
        <v>0</v>
      </c>
      <c r="T50" s="7" cm="1">
        <f t="array" ref="T50">_xll.qwFXRate($A$1,F50)*J50*(_xll.qwPrice($A$1,F50)-M50)*_xll.qwMVFactor($A$1,F50)</f>
        <v>0</v>
      </c>
      <c r="U50" s="9" cm="1">
        <f t="array" ref="U50">_xll.qwYield($A$1,F50)</f>
        <v>5.9075500329370881E-2</v>
      </c>
      <c r="V50" s="9" cm="1">
        <f t="array" ref="V50">100*(_xll.qwYield($A$4,F50)-U50)</f>
        <v>8.6039229695211716E-2</v>
      </c>
      <c r="W50" s="7">
        <f>IF(ISNA(G50*INDEX(_xll.qwTblData(_xll.qwCurveScenariosPerSecurity($A$1,F50,"Crv210")),2,2)),0,(G50*INDEX(_xll.qwTblData(_xll.qwCurveScenariosPerSecurity($A$1,F50,"Crv210")),2,2)))</f>
        <v>-15853.267593838464</v>
      </c>
      <c r="X50" s="7" cm="1">
        <f t="array" ref="X50">ABS(Q50/_xll.qwMV01($A$1,"CT10"))</f>
        <v>7.3840616670977832</v>
      </c>
      <c r="Y50" s="7" cm="1">
        <f t="array" ref="Y50">IF(N50="BondFuture",-(_xll.qwCurveYield($A$1,_xll.qwSecVal($A$1,AA50,"CreditCurveName()"),AA50)-_xll.qwCurveYield($A$4,_xll.qwSecVal($A$4,AA50,"CreditCurveName()"),AA50))*P50*10000,IF(N50="Bond",-(_xll.qwCurveYield($A$1,_xll.qwSecVal($A$1,F50,"CreditCurveName()"),F50)-_xll.qwCurveYield($A$4,_xll.qwSecVal($A$4,F50,"CreditCurveName()"),F50))*P50*10000,O50))</f>
        <v>46349.488742880392</v>
      </c>
      <c r="Z50" s="7" cm="1">
        <f t="array" ref="Z50">IF(OR(N50="BondFuture",N50="Bond"),P50*(_xll.qwCurveZSpread($A$4,_xll.qwSecVal($A$1,AA50,"CreditCurveName()"),AA50)-_xll.qwCurveZSpread($A$1,_xll.qwSecVal($A$1,AA50,"CreditCurveName()"),AA50)),0)</f>
        <v>560.36935476968824</v>
      </c>
      <c r="AA50" s="10" t="str" cm="1">
        <f t="array" ref="AA50">IF(_xll.qwSecType(F50)="Bond",F50,IF(_xll.qwSecType(F50)="BondFuture",_xll.qwFutCTD($A$1,F50),0))</f>
        <v>GB00BPSNBB36</v>
      </c>
      <c r="AB50" s="7" cm="1">
        <f t="array" ref="AB50">IF(_xll.qwSecType(F50)="BondFuture",(I50*_xll.qwDelta($A$4,F50)*_xll.qwMVFactor($A$1,F50)/_xll.qwMVFactor($A$1,_xll.qwFutCTD($A$1,F50)))*(_xll.qwFXRate($A$1,F50)*_xll.qwMVFactor($A$1,_xll.qwFutCTD($A$1,F50))*(_xll.qwIncome($A$4,_xll.qwFutCTD($A$4,F50),_xll.qwBondSettle($A$4,_xll.qwFutCTD($A$4,F50)),_xll.qwBondSettle($A$1,_xll.qwFutCTD($A$1,F50)))+(_xll.qwBondDirtyPrice($A$1,_xll.qwFutCTD($A$1,F50))-_xll.qwBondDirtyPrice($A$4,_xll.qwFutCTD($A$4,F50)))-_xll.qwBondRepoFromTo($A$1,_xll.qwFutCTD($A$1,F50),_xll.qwBondSettle($A$4,_xll.qwFutCTD($A$4,F50)),_xll.qwBondSettle($A$1,_xll.qwFutCTD($A$1,F50)))))-O50,0)</f>
        <v>0</v>
      </c>
    </row>
    <row r="51" spans="2:28" s="8" customFormat="1" hidden="1" x14ac:dyDescent="0.35">
      <c r="B51" s="8" t="str">
        <v>pzhao</v>
      </c>
      <c r="C51" s="8" t="str">
        <v>PPA</v>
      </c>
      <c r="D51" s="8" t="str">
        <v>pzhao|PPA|RV_RATES_EUR_SWAPS-CURVE|234012644</v>
      </c>
      <c r="E51" s="8" t="str">
        <v>RV_RATES_EUR_SWAPS-CURVE</v>
      </c>
      <c r="F51" s="8" t="str">
        <v>234012644</v>
      </c>
      <c r="G51" s="8">
        <v>10.512</v>
      </c>
      <c r="H51" s="8">
        <v>0</v>
      </c>
      <c r="I51" s="8">
        <v>10.512</v>
      </c>
      <c r="J51" s="8">
        <v>0</v>
      </c>
      <c r="K51" s="8">
        <v>0</v>
      </c>
      <c r="L51" s="8">
        <v>0</v>
      </c>
      <c r="M51" s="8">
        <v>0</v>
      </c>
      <c r="N51" s="8" t="str">
        <v>SwapTrade</v>
      </c>
      <c r="O51" s="7" cm="1">
        <f t="array" ref="O51">(_xll.qwPrice($A$1,F51)-_xll.qwPrice($A$4,F51))*_xll.qwMVFactor($A$1,F51)*I51*_xll.qwFXRate($A$1,F51)</f>
        <v>208357.47871396571</v>
      </c>
      <c r="P51" s="7" cm="1">
        <f t="array" ref="P51">IF(ISNUMBER(_xll.qwDV01($A$1,F51)*I51*_xll.qwMVFactor($A$1,F51)*_xll.qwFXRate($A$1,F51)),_xll.qwDV01($A$1,F51)*I51*_xll.qwMVFactor($A$1,F51)*_xll.qwFXRate($A$1,F51),0)</f>
        <v>20738.143524488631</v>
      </c>
      <c r="Q51" s="7" cm="1">
        <f t="array" ref="Q51">IF(ISNUMBER(_xll.qwDV01($A$1,F51)*G51*_xll.qwMVFactor($A$1,F51)*_xll.qwFXRate($A$1,F51)),_xll.qwDV01($A$1,F51)*G51*_xll.qwMVFactor($A$1,F51)*_xll.qwFXRate($A$1,F51),0)</f>
        <v>20738.143524488631</v>
      </c>
      <c r="R51" s="7" cm="1">
        <f t="array" ref="R51">IF(ISNUMBER(_xll.qwDV01($A$1,F51)*J51*_xll.qwMVFactor($A$1,F51)*_xll.qwFXRate($A$1,F51)),_xll.qwDV01($A$1,F51)*J51*_xll.qwMVFactor($A$1,F51)*_xll.qwFXRate($A$1,F51),0)</f>
        <v>0</v>
      </c>
      <c r="S51" s="7" cm="1">
        <f t="array" ref="S51">IF(ISNUMBER(_xll.qwDV01($A$1,F51)*J51*_xll.qwMVFactor($A$1,F51)*_xll.qwFXRate($A$1,F51)),_xll.qwDV01($A$1,F51)*J51*_xll.qwMVFactor($A$1,F51)*_xll.qwFXRate($A$1,F51),0)</f>
        <v>0</v>
      </c>
      <c r="T51" s="7" cm="1">
        <f t="array" ref="T51">_xll.qwFXRate($A$1,F51)*J51*(_xll.qwPrice($A$1,F51)-M51)*_xll.qwMVFactor($A$1,F51)</f>
        <v>0</v>
      </c>
      <c r="U51" s="9" cm="1">
        <f t="array" ref="U51">_xll.qwYield($A$1,F51)</f>
        <v>3.4380297735820534E-2</v>
      </c>
      <c r="V51" s="9" cm="1">
        <f t="array" ref="V51">100*(_xll.qwYield($A$4,F51)-U51)</f>
        <v>0.10185031977507017</v>
      </c>
      <c r="W51" s="7">
        <f>IF(ISNA(G51*INDEX(_xll.qwTblData(_xll.qwCurveScenariosPerSecurity($A$1,F51,"Crv210")),2,2)),0,(G51*INDEX(_xll.qwTblData(_xll.qwCurveScenariosPerSecurity($A$1,F51,"Crv210")),2,2)))</f>
        <v>-62750.840159439802</v>
      </c>
      <c r="X51" s="7" cm="1">
        <f t="array" ref="X51">ABS(Q51/_xll.qwMV01($A$1,"CT10"))</f>
        <v>28.086497552914313</v>
      </c>
      <c r="Y51" s="7" cm="1">
        <f t="array" ref="Y51">IF(N51="BondFuture",-(_xll.qwCurveYield($A$1,_xll.qwSecVal($A$1,AA51,"CreditCurveName()"),AA51)-_xll.qwCurveYield($A$4,_xll.qwSecVal($A$4,AA51,"CreditCurveName()"),AA51))*P51*10000,IF(N51="Bond",-(_xll.qwCurveYield($A$1,_xll.qwSecVal($A$1,F51,"CreditCurveName()"),F51)-_xll.qwCurveYield($A$4,_xll.qwSecVal($A$4,F51,"CreditCurveName()"),F51))*P51*10000,O51))</f>
        <v>208357.47871396571</v>
      </c>
      <c r="Z51" s="7" cm="1">
        <f t="array" ref="Z51">IF(OR(N51="BondFuture",N51="Bond"),P51*(_xll.qwCurveZSpread($A$4,_xll.qwSecVal($A$1,AA51,"CreditCurveName()"),AA51)-_xll.qwCurveZSpread($A$1,_xll.qwSecVal($A$1,AA51,"CreditCurveName()"),AA51)),0)</f>
        <v>0</v>
      </c>
      <c r="AA51" s="10" cm="1">
        <f t="array" ref="AA51">IF(_xll.qwSecType(F51)="Bond",F51,IF(_xll.qwSecType(F51)="BondFuture",_xll.qwFutCTD($A$1,F51),0))</f>
        <v>0</v>
      </c>
      <c r="AB51" s="7" cm="1">
        <f t="array" ref="AB51">IF(_xll.qwSecType(F51)="BondFuture",(I51*_xll.qwDelta($A$4,F51)*_xll.qwMVFactor($A$1,F51)/_xll.qwMVFactor($A$1,_xll.qwFutCTD($A$1,F51)))*(_xll.qwFXRate($A$1,F51)*_xll.qwMVFactor($A$1,_xll.qwFutCTD($A$1,F51))*(_xll.qwIncome($A$4,_xll.qwFutCTD($A$4,F51),_xll.qwBondSettle($A$4,_xll.qwFutCTD($A$4,F51)),_xll.qwBondSettle($A$1,_xll.qwFutCTD($A$1,F51)))+(_xll.qwBondDirtyPrice($A$1,_xll.qwFutCTD($A$1,F51))-_xll.qwBondDirtyPrice($A$4,_xll.qwFutCTD($A$4,F51)))-_xll.qwBondRepoFromTo($A$1,_xll.qwFutCTD($A$1,F51),_xll.qwBondSettle($A$4,_xll.qwFutCTD($A$4,F51)),_xll.qwBondSettle($A$1,_xll.qwFutCTD($A$1,F51)))))-O51,0)</f>
        <v>0</v>
      </c>
    </row>
    <row r="52" spans="2:28" s="8" customFormat="1" hidden="1" x14ac:dyDescent="0.35">
      <c r="B52" s="8" t="str">
        <v>pzhao</v>
      </c>
      <c r="C52" s="8" t="str">
        <v>PPA</v>
      </c>
      <c r="D52" s="8" t="str">
        <v>pzhao|PPA|RV_RATES_EUR_SWAPS-CURVE|234012932</v>
      </c>
      <c r="E52" s="8" t="str">
        <v>RV_RATES_EUR_SWAPS-CURVE</v>
      </c>
      <c r="F52" s="8" t="str">
        <v>234012932</v>
      </c>
      <c r="G52" s="8">
        <v>9.5760000000000005</v>
      </c>
      <c r="H52" s="8">
        <v>0</v>
      </c>
      <c r="I52" s="8">
        <v>9.5760000000000005</v>
      </c>
      <c r="J52" s="8">
        <v>0</v>
      </c>
      <c r="K52" s="8">
        <v>0</v>
      </c>
      <c r="L52" s="8">
        <v>0</v>
      </c>
      <c r="M52" s="8">
        <v>0</v>
      </c>
      <c r="N52" s="8" t="str">
        <v>SwapTrade</v>
      </c>
      <c r="O52" s="7" cm="1">
        <f t="array" ref="O52">(_xll.qwPrice($A$1,F52)-_xll.qwPrice($A$4,F52))*_xll.qwMVFactor($A$1,F52)*I52*_xll.qwFXRate($A$1,F52)</f>
        <v>-222345.91721482392</v>
      </c>
      <c r="P52" s="7" cm="1">
        <f t="array" ref="P52">IF(ISNUMBER(_xll.qwDV01($A$1,F52)*I52*_xll.qwMVFactor($A$1,F52)*_xll.qwFXRate($A$1,F52)),_xll.qwDV01($A$1,F52)*I52*_xll.qwMVFactor($A$1,F52)*_xll.qwFXRate($A$1,F52),0)</f>
        <v>-22771.33306055369</v>
      </c>
      <c r="Q52" s="7" cm="1">
        <f t="array" ref="Q52">IF(ISNUMBER(_xll.qwDV01($A$1,F52)*G52*_xll.qwMVFactor($A$1,F52)*_xll.qwFXRate($A$1,F52)),_xll.qwDV01($A$1,F52)*G52*_xll.qwMVFactor($A$1,F52)*_xll.qwFXRate($A$1,F52),0)</f>
        <v>-22771.33306055369</v>
      </c>
      <c r="R52" s="7" cm="1">
        <f t="array" ref="R52">IF(ISNUMBER(_xll.qwDV01($A$1,F52)*J52*_xll.qwMVFactor($A$1,F52)*_xll.qwFXRate($A$1,F52)),_xll.qwDV01($A$1,F52)*J52*_xll.qwMVFactor($A$1,F52)*_xll.qwFXRate($A$1,F52),0)</f>
        <v>0</v>
      </c>
      <c r="S52" s="7" cm="1">
        <f t="array" ref="S52">IF(ISNUMBER(_xll.qwDV01($A$1,F52)*J52*_xll.qwMVFactor($A$1,F52)*_xll.qwFXRate($A$1,F52)),_xll.qwDV01($A$1,F52)*J52*_xll.qwMVFactor($A$1,F52)*_xll.qwFXRate($A$1,F52),0)</f>
        <v>0</v>
      </c>
      <c r="T52" s="7" cm="1">
        <f t="array" ref="T52">_xll.qwFXRate($A$1,F52)*J52*(_xll.qwPrice($A$1,F52)-M52)*_xll.qwMVFactor($A$1,F52)</f>
        <v>0</v>
      </c>
      <c r="U52" s="9" cm="1">
        <f t="array" ref="U52">_xll.qwYield($A$1,F52)</f>
        <v>3.2511267416091651E-2</v>
      </c>
      <c r="V52" s="9" cm="1">
        <f t="array" ref="V52">100*(_xll.qwYield($A$4,F52)-U52)</f>
        <v>9.748179229804102E-2</v>
      </c>
      <c r="W52" s="7">
        <f>IF(ISNA(G52*INDEX(_xll.qwTblData(_xll.qwCurveScenariosPerSecurity($A$1,F52,"Crv210")),2,2)),0,(G52*INDEX(_xll.qwTblData(_xll.qwCurveScenariosPerSecurity($A$1,F52,"Crv210")),2,2)))</f>
        <v>100871.10726670599</v>
      </c>
      <c r="X52" s="7" cm="1">
        <f t="array" ref="X52">ABS(Q52/_xll.qwMV01($A$1,"CT10"))</f>
        <v>30.840127493890932</v>
      </c>
      <c r="Y52" s="7" cm="1">
        <f t="array" ref="Y52">IF(N52="BondFuture",-(_xll.qwCurveYield($A$1,_xll.qwSecVal($A$1,AA52,"CreditCurveName()"),AA52)-_xll.qwCurveYield($A$4,_xll.qwSecVal($A$4,AA52,"CreditCurveName()"),AA52))*P52*10000,IF(N52="Bond",-(_xll.qwCurveYield($A$1,_xll.qwSecVal($A$1,F52,"CreditCurveName()"),F52)-_xll.qwCurveYield($A$4,_xll.qwSecVal($A$4,F52,"CreditCurveName()"),F52))*P52*10000,O52))</f>
        <v>-222345.91721482392</v>
      </c>
      <c r="Z52" s="7" cm="1">
        <f t="array" ref="Z52">IF(OR(N52="BondFuture",N52="Bond"),P52*(_xll.qwCurveZSpread($A$4,_xll.qwSecVal($A$1,AA52,"CreditCurveName()"),AA52)-_xll.qwCurveZSpread($A$1,_xll.qwSecVal($A$1,AA52,"CreditCurveName()"),AA52)),0)</f>
        <v>0</v>
      </c>
      <c r="AA52" s="10" cm="1">
        <f t="array" ref="AA52">IF(_xll.qwSecType(F52)="Bond",F52,IF(_xll.qwSecType(F52)="BondFuture",_xll.qwFutCTD($A$1,F52),0))</f>
        <v>0</v>
      </c>
      <c r="AB52" s="7" cm="1">
        <f t="array" ref="AB52">IF(_xll.qwSecType(F52)="BondFuture",(I52*_xll.qwDelta($A$4,F52)*_xll.qwMVFactor($A$1,F52)/_xll.qwMVFactor($A$1,_xll.qwFutCTD($A$1,F52)))*(_xll.qwFXRate($A$1,F52)*_xll.qwMVFactor($A$1,_xll.qwFutCTD($A$1,F52))*(_xll.qwIncome($A$4,_xll.qwFutCTD($A$4,F52),_xll.qwBondSettle($A$4,_xll.qwFutCTD($A$4,F52)),_xll.qwBondSettle($A$1,_xll.qwFutCTD($A$1,F52)))+(_xll.qwBondDirtyPrice($A$1,_xll.qwFutCTD($A$1,F52))-_xll.qwBondDirtyPrice($A$4,_xll.qwFutCTD($A$4,F52)))-_xll.qwBondRepoFromTo($A$1,_xll.qwFutCTD($A$1,F52),_xll.qwBondSettle($A$4,_xll.qwFutCTD($A$4,F52)),_xll.qwBondSettle($A$1,_xll.qwFutCTD($A$1,F52)))))-O52,0)</f>
        <v>0</v>
      </c>
    </row>
    <row r="53" spans="2:28" s="8" customFormat="1" hidden="1" x14ac:dyDescent="0.35">
      <c r="B53" s="8" t="str">
        <v>pzhao</v>
      </c>
      <c r="C53" s="8" t="str">
        <v>PPA</v>
      </c>
      <c r="D53" s="8" t="str">
        <v>pzhao|PPA|RV_RATES_EUR_SWAPS-CURVE|234012935</v>
      </c>
      <c r="E53" s="8" t="str">
        <v>RV_RATES_EUR_SWAPS-CURVE</v>
      </c>
      <c r="F53" s="8" t="str">
        <v>234012935</v>
      </c>
      <c r="G53" s="8">
        <v>9.2520000000000007</v>
      </c>
      <c r="H53" s="8">
        <v>0</v>
      </c>
      <c r="I53" s="8">
        <v>9.2520000000000007</v>
      </c>
      <c r="J53" s="8">
        <v>0</v>
      </c>
      <c r="K53" s="8">
        <v>0</v>
      </c>
      <c r="L53" s="8">
        <v>0</v>
      </c>
      <c r="M53" s="8">
        <v>0</v>
      </c>
      <c r="N53" s="8" t="str">
        <v>SwapTrade</v>
      </c>
      <c r="O53" s="7" cm="1">
        <f t="array" ref="O53">(_xll.qwPrice($A$1,F53)-_xll.qwPrice($A$4,F53))*_xll.qwMVFactor($A$1,F53)*I53*_xll.qwFXRate($A$1,F53)</f>
        <v>183467.38417445362</v>
      </c>
      <c r="P53" s="7" cm="1">
        <f t="array" ref="P53">IF(ISNUMBER(_xll.qwDV01($A$1,F53)*I53*_xll.qwMVFactor($A$1,F53)*_xll.qwFXRate($A$1,F53)),_xll.qwDV01($A$1,F53)*I53*_xll.qwMVFactor($A$1,F53)*_xll.qwFXRate($A$1,F53),0)</f>
        <v>18261.076189839776</v>
      </c>
      <c r="Q53" s="7" cm="1">
        <f t="array" ref="Q53">IF(ISNUMBER(_xll.qwDV01($A$1,F53)*G53*_xll.qwMVFactor($A$1,F53)*_xll.qwFXRate($A$1,F53)),_xll.qwDV01($A$1,F53)*G53*_xll.qwMVFactor($A$1,F53)*_xll.qwFXRate($A$1,F53),0)</f>
        <v>18261.076189839776</v>
      </c>
      <c r="R53" s="7" cm="1">
        <f t="array" ref="R53">IF(ISNUMBER(_xll.qwDV01($A$1,F53)*J53*_xll.qwMVFactor($A$1,F53)*_xll.qwFXRate($A$1,F53)),_xll.qwDV01($A$1,F53)*J53*_xll.qwMVFactor($A$1,F53)*_xll.qwFXRate($A$1,F53),0)</f>
        <v>0</v>
      </c>
      <c r="S53" s="7" cm="1">
        <f t="array" ref="S53">IF(ISNUMBER(_xll.qwDV01($A$1,F53)*J53*_xll.qwMVFactor($A$1,F53)*_xll.qwFXRate($A$1,F53)),_xll.qwDV01($A$1,F53)*J53*_xll.qwMVFactor($A$1,F53)*_xll.qwFXRate($A$1,F53),0)</f>
        <v>0</v>
      </c>
      <c r="T53" s="7" cm="1">
        <f t="array" ref="T53">_xll.qwFXRate($A$1,F53)*J53*(_xll.qwPrice($A$1,F53)-M53)*_xll.qwMVFactor($A$1,F53)</f>
        <v>0</v>
      </c>
      <c r="U53" s="9" cm="1">
        <f t="array" ref="U53">_xll.qwYield($A$1,F53)</f>
        <v>3.4380297735820534E-2</v>
      </c>
      <c r="V53" s="9" cm="1">
        <f t="array" ref="V53">100*(_xll.qwYield($A$4,F53)-U53)</f>
        <v>0.10185031977507017</v>
      </c>
      <c r="W53" s="7">
        <f>IF(ISNA(G53*INDEX(_xll.qwTblData(_xll.qwCurveScenariosPerSecurity($A$1,F53,"Crv210")),2,2)),0,(G53*INDEX(_xll.qwTblData(_xll.qwCurveScenariosPerSecurity($A$1,F53,"Crv210")),2,2)))</f>
        <v>-55506.513506229057</v>
      </c>
      <c r="X53" s="7" cm="1">
        <f t="array" ref="X53">ABS(Q53/_xll.qwMV01($A$1,"CT10"))</f>
        <v>24.731706148810815</v>
      </c>
      <c r="Y53" s="7" cm="1">
        <f t="array" ref="Y53">IF(N53="BondFuture",-(_xll.qwCurveYield($A$1,_xll.qwSecVal($A$1,AA53,"CreditCurveName()"),AA53)-_xll.qwCurveYield($A$4,_xll.qwSecVal($A$4,AA53,"CreditCurveName()"),AA53))*P53*10000,IF(N53="Bond",-(_xll.qwCurveYield($A$1,_xll.qwSecVal($A$1,F53,"CreditCurveName()"),F53)-_xll.qwCurveYield($A$4,_xll.qwSecVal($A$4,F53,"CreditCurveName()"),F53))*P53*10000,O53))</f>
        <v>183467.38417445362</v>
      </c>
      <c r="Z53" s="7" cm="1">
        <f t="array" ref="Z53">IF(OR(N53="BondFuture",N53="Bond"),P53*(_xll.qwCurveZSpread($A$4,_xll.qwSecVal($A$1,AA53,"CreditCurveName()"),AA53)-_xll.qwCurveZSpread($A$1,_xll.qwSecVal($A$1,AA53,"CreditCurveName()"),AA53)),0)</f>
        <v>0</v>
      </c>
      <c r="AA53" s="10" cm="1">
        <f t="array" ref="AA53">IF(_xll.qwSecType(F53)="Bond",F53,IF(_xll.qwSecType(F53)="BondFuture",_xll.qwFutCTD($A$1,F53),0))</f>
        <v>0</v>
      </c>
      <c r="AB53" s="7" cm="1">
        <f t="array" ref="AB53">IF(_xll.qwSecType(F53)="BondFuture",(I53*_xll.qwDelta($A$4,F53)*_xll.qwMVFactor($A$1,F53)/_xll.qwMVFactor($A$1,_xll.qwFutCTD($A$1,F53)))*(_xll.qwFXRate($A$1,F53)*_xll.qwMVFactor($A$1,_xll.qwFutCTD($A$1,F53))*(_xll.qwIncome($A$4,_xll.qwFutCTD($A$4,F53),_xll.qwBondSettle($A$4,_xll.qwFutCTD($A$4,F53)),_xll.qwBondSettle($A$1,_xll.qwFutCTD($A$1,F53)))+(_xll.qwBondDirtyPrice($A$1,_xll.qwFutCTD($A$1,F53))-_xll.qwBondDirtyPrice($A$4,_xll.qwFutCTD($A$4,F53)))-_xll.qwBondRepoFromTo($A$1,_xll.qwFutCTD($A$1,F53),_xll.qwBondSettle($A$4,_xll.qwFutCTD($A$4,F53)),_xll.qwBondSettle($A$1,_xll.qwFutCTD($A$1,F53)))))-O53,0)</f>
        <v>0</v>
      </c>
    </row>
    <row r="54" spans="2:28" s="8" customFormat="1" hidden="1" x14ac:dyDescent="0.35">
      <c r="B54" s="8" t="str">
        <v>pzhao</v>
      </c>
      <c r="C54" s="8" t="str">
        <v>PPA</v>
      </c>
      <c r="D54" s="8" t="str">
        <v>pzhao|PPA|RV_RATES_EUR_SWAPS-CURVE|234354912</v>
      </c>
      <c r="E54" s="8" t="str">
        <v>RV_RATES_EUR_SWAPS-CURVE</v>
      </c>
      <c r="F54" s="8" t="str">
        <v>234354912</v>
      </c>
      <c r="G54" s="8">
        <v>9.18</v>
      </c>
      <c r="H54" s="8">
        <v>0</v>
      </c>
      <c r="I54" s="8">
        <v>9.18</v>
      </c>
      <c r="J54" s="8">
        <v>0</v>
      </c>
      <c r="K54" s="8">
        <v>0</v>
      </c>
      <c r="L54" s="8">
        <v>0</v>
      </c>
      <c r="M54" s="8">
        <v>0</v>
      </c>
      <c r="N54" s="8" t="str">
        <v>SwapTrade</v>
      </c>
      <c r="O54" s="7" cm="1">
        <f t="array" ref="O54">(_xll.qwPrice($A$1,F54)-_xll.qwPrice($A$4,F54))*_xll.qwMVFactor($A$1,F54)*I54*_xll.qwFXRate($A$1,F54)</f>
        <v>181827.77070197562</v>
      </c>
      <c r="P54" s="7" cm="1">
        <f t="array" ref="P54">IF(ISNUMBER(_xll.qwDV01($A$1,F54)*I54*_xll.qwMVFactor($A$1,F54)*_xll.qwFXRate($A$1,F54)),_xll.qwDV01($A$1,F54)*I54*_xll.qwMVFactor($A$1,F54)*_xll.qwFXRate($A$1,F54),0)</f>
        <v>18017.400396716344</v>
      </c>
      <c r="Q54" s="7" cm="1">
        <f t="array" ref="Q54">IF(ISNUMBER(_xll.qwDV01($A$1,F54)*G54*_xll.qwMVFactor($A$1,F54)*_xll.qwFXRate($A$1,F54)),_xll.qwDV01($A$1,F54)*G54*_xll.qwMVFactor($A$1,F54)*_xll.qwFXRate($A$1,F54),0)</f>
        <v>18017.400396716344</v>
      </c>
      <c r="R54" s="7" cm="1">
        <f t="array" ref="R54">IF(ISNUMBER(_xll.qwDV01($A$1,F54)*J54*_xll.qwMVFactor($A$1,F54)*_xll.qwFXRate($A$1,F54)),_xll.qwDV01($A$1,F54)*J54*_xll.qwMVFactor($A$1,F54)*_xll.qwFXRate($A$1,F54),0)</f>
        <v>0</v>
      </c>
      <c r="S54" s="7" cm="1">
        <f t="array" ref="S54">IF(ISNUMBER(_xll.qwDV01($A$1,F54)*J54*_xll.qwMVFactor($A$1,F54)*_xll.qwFXRate($A$1,F54)),_xll.qwDV01($A$1,F54)*J54*_xll.qwMVFactor($A$1,F54)*_xll.qwFXRate($A$1,F54),0)</f>
        <v>0</v>
      </c>
      <c r="T54" s="7" cm="1">
        <f t="array" ref="T54">_xll.qwFXRate($A$1,F54)*J54*(_xll.qwPrice($A$1,F54)-M54)*_xll.qwMVFactor($A$1,F54)</f>
        <v>0</v>
      </c>
      <c r="U54" s="9" cm="1">
        <f t="array" ref="U54">_xll.qwYield($A$1,F54)</f>
        <v>3.4379381435147856E-2</v>
      </c>
      <c r="V54" s="9" cm="1">
        <f t="array" ref="V54">100*(_xll.qwYield($A$4,F54)-U54)</f>
        <v>0.10187587058186065</v>
      </c>
      <c r="W54" s="7">
        <f>IF(ISNA(G54*INDEX(_xll.qwTblData(_xll.qwCurveScenariosPerSecurity($A$1,F54,"Crv210")),2,2)),0,(G54*INDEX(_xll.qwTblData(_xll.qwCurveScenariosPerSecurity($A$1,F54,"Crv210")),2,2)))</f>
        <v>-54992.034558932188</v>
      </c>
      <c r="X54" s="7" cm="1">
        <f t="array" ref="X54">ABS(Q54/_xll.qwMV01($A$1,"CT10"))</f>
        <v>24.401686272191487</v>
      </c>
      <c r="Y54" s="7" cm="1">
        <f t="array" ref="Y54">IF(N54="BondFuture",-(_xll.qwCurveYield($A$1,_xll.qwSecVal($A$1,AA54,"CreditCurveName()"),AA54)-_xll.qwCurveYield($A$4,_xll.qwSecVal($A$4,AA54,"CreditCurveName()"),AA54))*P54*10000,IF(N54="Bond",-(_xll.qwCurveYield($A$1,_xll.qwSecVal($A$1,F54,"CreditCurveName()"),F54)-_xll.qwCurveYield($A$4,_xll.qwSecVal($A$4,F54,"CreditCurveName()"),F54))*P54*10000,O54))</f>
        <v>181827.77070197562</v>
      </c>
      <c r="Z54" s="7" cm="1">
        <f t="array" ref="Z54">IF(OR(N54="BondFuture",N54="Bond"),P54*(_xll.qwCurveZSpread($A$4,_xll.qwSecVal($A$1,AA54,"CreditCurveName()"),AA54)-_xll.qwCurveZSpread($A$1,_xll.qwSecVal($A$1,AA54,"CreditCurveName()"),AA54)),0)</f>
        <v>0</v>
      </c>
      <c r="AA54" s="10" cm="1">
        <f t="array" ref="AA54">IF(_xll.qwSecType(F54)="Bond",F54,IF(_xll.qwSecType(F54)="BondFuture",_xll.qwFutCTD($A$1,F54),0))</f>
        <v>0</v>
      </c>
      <c r="AB54" s="7" cm="1">
        <f t="array" ref="AB54">IF(_xll.qwSecType(F54)="BondFuture",(I54*_xll.qwDelta($A$4,F54)*_xll.qwMVFactor($A$1,F54)/_xll.qwMVFactor($A$1,_xll.qwFutCTD($A$1,F54)))*(_xll.qwFXRate($A$1,F54)*_xll.qwMVFactor($A$1,_xll.qwFutCTD($A$1,F54))*(_xll.qwIncome($A$4,_xll.qwFutCTD($A$4,F54),_xll.qwBondSettle($A$4,_xll.qwFutCTD($A$4,F54)),_xll.qwBondSettle($A$1,_xll.qwFutCTD($A$1,F54)))+(_xll.qwBondDirtyPrice($A$1,_xll.qwFutCTD($A$1,F54))-_xll.qwBondDirtyPrice($A$4,_xll.qwFutCTD($A$4,F54)))-_xll.qwBondRepoFromTo($A$1,_xll.qwFutCTD($A$1,F54),_xll.qwBondSettle($A$4,_xll.qwFutCTD($A$4,F54)),_xll.qwBondSettle($A$1,_xll.qwFutCTD($A$1,F54)))))-O54,0)</f>
        <v>0</v>
      </c>
    </row>
    <row r="55" spans="2:28" s="8" customFormat="1" hidden="1" x14ac:dyDescent="0.35">
      <c r="B55" s="8" t="str">
        <v>pzhao</v>
      </c>
      <c r="C55" s="8" t="str">
        <v>PPA</v>
      </c>
      <c r="D55" s="8" t="str">
        <v>pzhao|PPA|RV_RATES_EUR_SWAPS-CURVE|234690327</v>
      </c>
      <c r="E55" s="8" t="str">
        <v>RV_RATES_EUR_SWAPS-CURVE</v>
      </c>
      <c r="F55" s="8" t="str">
        <v>234690327</v>
      </c>
      <c r="G55" s="8">
        <v>9.2159999999999993</v>
      </c>
      <c r="H55" s="8">
        <v>0</v>
      </c>
      <c r="I55" s="8">
        <v>9.2159999999999993</v>
      </c>
      <c r="J55" s="8">
        <v>0</v>
      </c>
      <c r="K55" s="8">
        <v>0</v>
      </c>
      <c r="L55" s="8">
        <v>0</v>
      </c>
      <c r="M55" s="8">
        <v>0</v>
      </c>
      <c r="N55" s="8" t="str">
        <v>SwapTrade</v>
      </c>
      <c r="O55" s="7" cm="1">
        <f t="array" ref="O55">(_xll.qwPrice($A$1,F55)-_xll.qwPrice($A$4,F55))*_xll.qwMVFactor($A$1,F55)*I55*_xll.qwFXRate($A$1,F55)</f>
        <v>182760.79441196527</v>
      </c>
      <c r="P55" s="7" cm="1">
        <f t="array" ref="P55">IF(ISNUMBER(_xll.qwDV01($A$1,F55)*I55*_xll.qwMVFactor($A$1,F55)*_xll.qwFXRate($A$1,F55)),_xll.qwDV01($A$1,F55)*I55*_xll.qwMVFactor($A$1,F55)*_xll.qwFXRate($A$1,F55),0)</f>
        <v>18089.965506974138</v>
      </c>
      <c r="Q55" s="7" cm="1">
        <f t="array" ref="Q55">IF(ISNUMBER(_xll.qwDV01($A$1,F55)*G55*_xll.qwMVFactor($A$1,F55)*_xll.qwFXRate($A$1,F55)),_xll.qwDV01($A$1,F55)*G55*_xll.qwMVFactor($A$1,F55)*_xll.qwFXRate($A$1,F55),0)</f>
        <v>18089.965506974138</v>
      </c>
      <c r="R55" s="7" cm="1">
        <f t="array" ref="R55">IF(ISNUMBER(_xll.qwDV01($A$1,F55)*J55*_xll.qwMVFactor($A$1,F55)*_xll.qwFXRate($A$1,F55)),_xll.qwDV01($A$1,F55)*J55*_xll.qwMVFactor($A$1,F55)*_xll.qwFXRate($A$1,F55),0)</f>
        <v>0</v>
      </c>
      <c r="S55" s="7" cm="1">
        <f t="array" ref="S55">IF(ISNUMBER(_xll.qwDV01($A$1,F55)*J55*_xll.qwMVFactor($A$1,F55)*_xll.qwFXRate($A$1,F55)),_xll.qwDV01($A$1,F55)*J55*_xll.qwMVFactor($A$1,F55)*_xll.qwFXRate($A$1,F55),0)</f>
        <v>0</v>
      </c>
      <c r="T55" s="7" cm="1">
        <f t="array" ref="T55">_xll.qwFXRate($A$1,F55)*J55*(_xll.qwPrice($A$1,F55)-M55)*_xll.qwMVFactor($A$1,F55)</f>
        <v>0</v>
      </c>
      <c r="U55" s="9" cm="1">
        <f t="array" ref="U55">_xll.qwYield($A$1,F55)</f>
        <v>3.4377144455063902E-2</v>
      </c>
      <c r="V55" s="9" cm="1">
        <f t="array" ref="V55">100*(_xll.qwYield($A$4,F55)-U55)</f>
        <v>0.10187836423513896</v>
      </c>
      <c r="W55" s="7">
        <f>IF(ISNA(G55*INDEX(_xll.qwTblData(_xll.qwCurveScenariosPerSecurity($A$1,F55,"Crv210")),2,2)),0,(G55*INDEX(_xll.qwTblData(_xll.qwCurveScenariosPerSecurity($A$1,F55,"Crv210")),2,2)))</f>
        <v>-55314.216496659014</v>
      </c>
      <c r="X55" s="7" cm="1">
        <f t="array" ref="X55">ABS(Q55/_xll.qwMV01($A$1,"CT10"))</f>
        <v>24.499964104499657</v>
      </c>
      <c r="Y55" s="7" cm="1">
        <f t="array" ref="Y55">IF(N55="BondFuture",-(_xll.qwCurveYield($A$1,_xll.qwSecVal($A$1,AA55,"CreditCurveName()"),AA55)-_xll.qwCurveYield($A$4,_xll.qwSecVal($A$4,AA55,"CreditCurveName()"),AA55))*P55*10000,IF(N55="Bond",-(_xll.qwCurveYield($A$1,_xll.qwSecVal($A$1,F55,"CreditCurveName()"),F55)-_xll.qwCurveYield($A$4,_xll.qwSecVal($A$4,F55,"CreditCurveName()"),F55))*P55*10000,O55))</f>
        <v>182760.79441196527</v>
      </c>
      <c r="Z55" s="7" cm="1">
        <f t="array" ref="Z55">IF(OR(N55="BondFuture",N55="Bond"),P55*(_xll.qwCurveZSpread($A$4,_xll.qwSecVal($A$1,AA55,"CreditCurveName()"),AA55)-_xll.qwCurveZSpread($A$1,_xll.qwSecVal($A$1,AA55,"CreditCurveName()"),AA55)),0)</f>
        <v>0</v>
      </c>
      <c r="AA55" s="10" cm="1">
        <f t="array" ref="AA55">IF(_xll.qwSecType(F55)="Bond",F55,IF(_xll.qwSecType(F55)="BondFuture",_xll.qwFutCTD($A$1,F55),0))</f>
        <v>0</v>
      </c>
      <c r="AB55" s="7" cm="1">
        <f t="array" ref="AB55">IF(_xll.qwSecType(F55)="BondFuture",(I55*_xll.qwDelta($A$4,F55)*_xll.qwMVFactor($A$1,F55)/_xll.qwMVFactor($A$1,_xll.qwFutCTD($A$1,F55)))*(_xll.qwFXRate($A$1,F55)*_xll.qwMVFactor($A$1,_xll.qwFutCTD($A$1,F55))*(_xll.qwIncome($A$4,_xll.qwFutCTD($A$4,F55),_xll.qwBondSettle($A$4,_xll.qwFutCTD($A$4,F55)),_xll.qwBondSettle($A$1,_xll.qwFutCTD($A$1,F55)))+(_xll.qwBondDirtyPrice($A$1,_xll.qwFutCTD($A$1,F55))-_xll.qwBondDirtyPrice($A$4,_xll.qwFutCTD($A$4,F55)))-_xll.qwBondRepoFromTo($A$1,_xll.qwFutCTD($A$1,F55),_xll.qwBondSettle($A$4,_xll.qwFutCTD($A$4,F55)),_xll.qwBondSettle($A$1,_xll.qwFutCTD($A$1,F55)))))-O55,0)</f>
        <v>0</v>
      </c>
    </row>
    <row r="56" spans="2:28" s="8" customFormat="1" hidden="1" x14ac:dyDescent="0.35">
      <c r="B56" s="8" t="str">
        <v>pzhao</v>
      </c>
      <c r="C56" s="8" t="str">
        <v>PPA</v>
      </c>
      <c r="D56" s="8" t="str">
        <v>pzhao|PPA|RV_RATES_EUR_SWAPS-CURVE|234764744</v>
      </c>
      <c r="E56" s="8" t="str">
        <v>RV_RATES_EUR_SWAPS-CURVE</v>
      </c>
      <c r="F56" s="8" t="str">
        <v>234764744</v>
      </c>
      <c r="G56" s="8">
        <v>9.18</v>
      </c>
      <c r="H56" s="8">
        <v>0</v>
      </c>
      <c r="I56" s="8">
        <v>9.18</v>
      </c>
      <c r="J56" s="8">
        <v>0</v>
      </c>
      <c r="K56" s="8">
        <v>0</v>
      </c>
      <c r="L56" s="8">
        <v>0</v>
      </c>
      <c r="M56" s="8">
        <v>0</v>
      </c>
      <c r="N56" s="8" t="str">
        <v>SwapTrade</v>
      </c>
      <c r="O56" s="7" cm="1">
        <f t="array" ref="O56">(_xll.qwPrice($A$1,F56)-_xll.qwPrice($A$4,F56))*_xll.qwMVFactor($A$1,F56)*I56*_xll.qwFXRate($A$1,F56)</f>
        <v>181473.84332739405</v>
      </c>
      <c r="P56" s="7" cm="1">
        <f t="array" ref="P56">IF(ISNUMBER(_xll.qwDV01($A$1,F56)*I56*_xll.qwMVFactor($A$1,F56)*_xll.qwFXRate($A$1,F56)),_xll.qwDV01($A$1,F56)*I56*_xll.qwMVFactor($A$1,F56)*_xll.qwFXRate($A$1,F56),0)</f>
        <v>17951.786077361412</v>
      </c>
      <c r="Q56" s="7" cm="1">
        <f t="array" ref="Q56">IF(ISNUMBER(_xll.qwDV01($A$1,F56)*G56*_xll.qwMVFactor($A$1,F56)*_xll.qwFXRate($A$1,F56)),_xll.qwDV01($A$1,F56)*G56*_xll.qwMVFactor($A$1,F56)*_xll.qwFXRate($A$1,F56),0)</f>
        <v>17951.786077361412</v>
      </c>
      <c r="R56" s="7" cm="1">
        <f t="array" ref="R56">IF(ISNUMBER(_xll.qwDV01($A$1,F56)*J56*_xll.qwMVFactor($A$1,F56)*_xll.qwFXRate($A$1,F56)),_xll.qwDV01($A$1,F56)*J56*_xll.qwMVFactor($A$1,F56)*_xll.qwFXRate($A$1,F56),0)</f>
        <v>0</v>
      </c>
      <c r="S56" s="7" cm="1">
        <f t="array" ref="S56">IF(ISNUMBER(_xll.qwDV01($A$1,F56)*J56*_xll.qwMVFactor($A$1,F56)*_xll.qwFXRate($A$1,F56)),_xll.qwDV01($A$1,F56)*J56*_xll.qwMVFactor($A$1,F56)*_xll.qwFXRate($A$1,F56),0)</f>
        <v>0</v>
      </c>
      <c r="T56" s="7" cm="1">
        <f t="array" ref="T56">_xll.qwFXRate($A$1,F56)*J56*(_xll.qwPrice($A$1,F56)-M56)*_xll.qwMVFactor($A$1,F56)</f>
        <v>0</v>
      </c>
      <c r="U56" s="9" cm="1">
        <f t="array" ref="U56">_xll.qwYield($A$1,F56)</f>
        <v>3.4375586820097816E-2</v>
      </c>
      <c r="V56" s="9" cm="1">
        <f t="array" ref="V56">100*(_xll.qwYield($A$4,F56)-U56)</f>
        <v>0.10188141794493163</v>
      </c>
      <c r="W56" s="7">
        <f>IF(ISNA(G56*INDEX(_xll.qwTblData(_xll.qwCurveScenariosPerSecurity($A$1,F56,"Crv210")),2,2)),0,(G56*INDEX(_xll.qwTblData(_xll.qwCurveScenariosPerSecurity($A$1,F56,"Crv210")),2,2)))</f>
        <v>-55000.025339096333</v>
      </c>
      <c r="X56" s="7" cm="1">
        <f t="array" ref="X56">ABS(Q56/_xll.qwMV01($A$1,"CT10"))</f>
        <v>24.312822174119145</v>
      </c>
      <c r="Y56" s="7" cm="1">
        <f t="array" ref="Y56">IF(N56="BondFuture",-(_xll.qwCurveYield($A$1,_xll.qwSecVal($A$1,AA56,"CreditCurveName()"),AA56)-_xll.qwCurveYield($A$4,_xll.qwSecVal($A$4,AA56,"CreditCurveName()"),AA56))*P56*10000,IF(N56="Bond",-(_xll.qwCurveYield($A$1,_xll.qwSecVal($A$1,F56,"CreditCurveName()"),F56)-_xll.qwCurveYield($A$4,_xll.qwSecVal($A$4,F56,"CreditCurveName()"),F56))*P56*10000,O56))</f>
        <v>181473.84332739405</v>
      </c>
      <c r="Z56" s="7" cm="1">
        <f t="array" ref="Z56">IF(OR(N56="BondFuture",N56="Bond"),P56*(_xll.qwCurveZSpread($A$4,_xll.qwSecVal($A$1,AA56,"CreditCurveName()"),AA56)-_xll.qwCurveZSpread($A$1,_xll.qwSecVal($A$1,AA56,"CreditCurveName()"),AA56)),0)</f>
        <v>0</v>
      </c>
      <c r="AA56" s="10" cm="1">
        <f t="array" ref="AA56">IF(_xll.qwSecType(F56)="Bond",F56,IF(_xll.qwSecType(F56)="BondFuture",_xll.qwFutCTD($A$1,F56),0))</f>
        <v>0</v>
      </c>
      <c r="AB56" s="7" cm="1">
        <f t="array" ref="AB56">IF(_xll.qwSecType(F56)="BondFuture",(I56*_xll.qwDelta($A$4,F56)*_xll.qwMVFactor($A$1,F56)/_xll.qwMVFactor($A$1,_xll.qwFutCTD($A$1,F56)))*(_xll.qwFXRate($A$1,F56)*_xll.qwMVFactor($A$1,_xll.qwFutCTD($A$1,F56))*(_xll.qwIncome($A$4,_xll.qwFutCTD($A$4,F56),_xll.qwBondSettle($A$4,_xll.qwFutCTD($A$4,F56)),_xll.qwBondSettle($A$1,_xll.qwFutCTD($A$1,F56)))+(_xll.qwBondDirtyPrice($A$1,_xll.qwFutCTD($A$1,F56))-_xll.qwBondDirtyPrice($A$4,_xll.qwFutCTD($A$4,F56)))-_xll.qwBondRepoFromTo($A$1,_xll.qwFutCTD($A$1,F56),_xll.qwBondSettle($A$4,_xll.qwFutCTD($A$4,F56)),_xll.qwBondSettle($A$1,_xll.qwFutCTD($A$1,F56)))))-O56,0)</f>
        <v>0</v>
      </c>
    </row>
    <row r="57" spans="2:28" s="8" customFormat="1" hidden="1" x14ac:dyDescent="0.35">
      <c r="B57" s="8" t="str">
        <v>pzhao</v>
      </c>
      <c r="C57" s="8" t="str">
        <v>PPA</v>
      </c>
      <c r="D57" s="8" t="str">
        <v>pzhao|PPA|RV_RATES_EUR_SWAPS-CURVE|234764822</v>
      </c>
      <c r="E57" s="8" t="str">
        <v>RV_RATES_EUR_SWAPS-CURVE</v>
      </c>
      <c r="F57" s="8" t="str">
        <v>234764822</v>
      </c>
      <c r="G57" s="8">
        <v>9.18</v>
      </c>
      <c r="H57" s="8">
        <v>0</v>
      </c>
      <c r="I57" s="8">
        <v>9.18</v>
      </c>
      <c r="J57" s="8">
        <v>0</v>
      </c>
      <c r="K57" s="8">
        <v>0</v>
      </c>
      <c r="L57" s="8">
        <v>0</v>
      </c>
      <c r="M57" s="8">
        <v>0</v>
      </c>
      <c r="N57" s="8" t="str">
        <v>SwapTrade</v>
      </c>
      <c r="O57" s="7" cm="1">
        <f t="array" ref="O57">(_xll.qwPrice($A$1,F57)-_xll.qwPrice($A$4,F57))*_xll.qwMVFactor($A$1,F57)*I57*_xll.qwFXRate($A$1,F57)</f>
        <v>181497.31165338753</v>
      </c>
      <c r="P57" s="7" cm="1">
        <f t="array" ref="P57">IF(ISNUMBER(_xll.qwDV01($A$1,F57)*I57*_xll.qwMVFactor($A$1,F57)*_xll.qwFXRate($A$1,F57)),_xll.qwDV01($A$1,F57)*I57*_xll.qwMVFactor($A$1,F57)*_xll.qwFXRate($A$1,F57),0)</f>
        <v>17954.200461160101</v>
      </c>
      <c r="Q57" s="7" cm="1">
        <f t="array" ref="Q57">IF(ISNUMBER(_xll.qwDV01($A$1,F57)*G57*_xll.qwMVFactor($A$1,F57)*_xll.qwFXRate($A$1,F57)),_xll.qwDV01($A$1,F57)*G57*_xll.qwMVFactor($A$1,F57)*_xll.qwFXRate($A$1,F57),0)</f>
        <v>17954.200461160101</v>
      </c>
      <c r="R57" s="7" cm="1">
        <f t="array" ref="R57">IF(ISNUMBER(_xll.qwDV01($A$1,F57)*J57*_xll.qwMVFactor($A$1,F57)*_xll.qwFXRate($A$1,F57)),_xll.qwDV01($A$1,F57)*J57*_xll.qwMVFactor($A$1,F57)*_xll.qwFXRate($A$1,F57),0)</f>
        <v>0</v>
      </c>
      <c r="S57" s="7" cm="1">
        <f t="array" ref="S57">IF(ISNUMBER(_xll.qwDV01($A$1,F57)*J57*_xll.qwMVFactor($A$1,F57)*_xll.qwFXRate($A$1,F57)),_xll.qwDV01($A$1,F57)*J57*_xll.qwMVFactor($A$1,F57)*_xll.qwFXRate($A$1,F57),0)</f>
        <v>0</v>
      </c>
      <c r="T57" s="7" cm="1">
        <f t="array" ref="T57">_xll.qwFXRate($A$1,F57)*J57*(_xll.qwPrice($A$1,F57)-M57)*_xll.qwMVFactor($A$1,F57)</f>
        <v>0</v>
      </c>
      <c r="U57" s="9" cm="1">
        <f t="array" ref="U57">_xll.qwYield($A$1,F57)</f>
        <v>3.4375586820097816E-2</v>
      </c>
      <c r="V57" s="9" cm="1">
        <f t="array" ref="V57">100*(_xll.qwYield($A$4,F57)-U57)</f>
        <v>0.10188141794493163</v>
      </c>
      <c r="W57" s="7">
        <f>IF(ISNA(G57*INDEX(_xll.qwTblData(_xll.qwCurveScenariosPerSecurity($A$1,F57,"Crv210")),2,2)),0,(G57*INDEX(_xll.qwTblData(_xll.qwCurveScenariosPerSecurity($A$1,F57,"Crv210")),2,2)))</f>
        <v>-55004.585900790174</v>
      </c>
      <c r="X57" s="7" cm="1">
        <f t="array" ref="X57">ABS(Q57/_xll.qwMV01($A$1,"CT10"))</f>
        <v>24.316092070702393</v>
      </c>
      <c r="Y57" s="7" cm="1">
        <f t="array" ref="Y57">IF(N57="BondFuture",-(_xll.qwCurveYield($A$1,_xll.qwSecVal($A$1,AA57,"CreditCurveName()"),AA57)-_xll.qwCurveYield($A$4,_xll.qwSecVal($A$4,AA57,"CreditCurveName()"),AA57))*P57*10000,IF(N57="Bond",-(_xll.qwCurveYield($A$1,_xll.qwSecVal($A$1,F57,"CreditCurveName()"),F57)-_xll.qwCurveYield($A$4,_xll.qwSecVal($A$4,F57,"CreditCurveName()"),F57))*P57*10000,O57))</f>
        <v>181497.31165338753</v>
      </c>
      <c r="Z57" s="7" cm="1">
        <f t="array" ref="Z57">IF(OR(N57="BondFuture",N57="Bond"),P57*(_xll.qwCurveZSpread($A$4,_xll.qwSecVal($A$1,AA57,"CreditCurveName()"),AA57)-_xll.qwCurveZSpread($A$1,_xll.qwSecVal($A$1,AA57,"CreditCurveName()"),AA57)),0)</f>
        <v>0</v>
      </c>
      <c r="AA57" s="10" cm="1">
        <f t="array" ref="AA57">IF(_xll.qwSecType(F57)="Bond",F57,IF(_xll.qwSecType(F57)="BondFuture",_xll.qwFutCTD($A$1,F57),0))</f>
        <v>0</v>
      </c>
      <c r="AB57" s="7" cm="1">
        <f t="array" ref="AB57">IF(_xll.qwSecType(F57)="BondFuture",(I57*_xll.qwDelta($A$4,F57)*_xll.qwMVFactor($A$1,F57)/_xll.qwMVFactor($A$1,_xll.qwFutCTD($A$1,F57)))*(_xll.qwFXRate($A$1,F57)*_xll.qwMVFactor($A$1,_xll.qwFutCTD($A$1,F57))*(_xll.qwIncome($A$4,_xll.qwFutCTD($A$4,F57),_xll.qwBondSettle($A$4,_xll.qwFutCTD($A$4,F57)),_xll.qwBondSettle($A$1,_xll.qwFutCTD($A$1,F57)))+(_xll.qwBondDirtyPrice($A$1,_xll.qwFutCTD($A$1,F57))-_xll.qwBondDirtyPrice($A$4,_xll.qwFutCTD($A$4,F57)))-_xll.qwBondRepoFromTo($A$1,_xll.qwFutCTD($A$1,F57),_xll.qwBondSettle($A$4,_xll.qwFutCTD($A$4,F57)),_xll.qwBondSettle($A$1,_xll.qwFutCTD($A$1,F57)))))-O57,0)</f>
        <v>0</v>
      </c>
    </row>
    <row r="58" spans="2:28" s="8" customFormat="1" hidden="1" x14ac:dyDescent="0.35">
      <c r="B58" s="8" t="str">
        <v>pzhao</v>
      </c>
      <c r="C58" s="8" t="str">
        <v>PPA</v>
      </c>
      <c r="D58" s="8" t="str">
        <v>pzhao|PPA|RV_RATES_EUR_SWAPS-CURVE|234764845</v>
      </c>
      <c r="E58" s="8" t="str">
        <v>RV_RATES_EUR_SWAPS-CURVE</v>
      </c>
      <c r="F58" s="8" t="str">
        <v>234764845</v>
      </c>
      <c r="G58" s="8">
        <v>9.18</v>
      </c>
      <c r="H58" s="8">
        <v>0</v>
      </c>
      <c r="I58" s="8">
        <v>9.18</v>
      </c>
      <c r="J58" s="8">
        <v>0</v>
      </c>
      <c r="K58" s="8">
        <v>0</v>
      </c>
      <c r="L58" s="8">
        <v>0</v>
      </c>
      <c r="M58" s="8">
        <v>0</v>
      </c>
      <c r="N58" s="8" t="str">
        <v>SwapTrade</v>
      </c>
      <c r="O58" s="7" cm="1">
        <f t="array" ref="O58">(_xll.qwPrice($A$1,F58)-_xll.qwPrice($A$4,F58))*_xll.qwMVFactor($A$1,F58)*I58*_xll.qwFXRate($A$1,F58)</f>
        <v>181577.80581749158</v>
      </c>
      <c r="P58" s="7" cm="1">
        <f t="array" ref="P58">IF(ISNUMBER(_xll.qwDV01($A$1,F58)*I58*_xll.qwMVFactor($A$1,F58)*_xll.qwFXRate($A$1,F58)),_xll.qwDV01($A$1,F58)*I58*_xll.qwMVFactor($A$1,F58)*_xll.qwFXRate($A$1,F58),0)</f>
        <v>17962.481571871333</v>
      </c>
      <c r="Q58" s="7" cm="1">
        <f t="array" ref="Q58">IF(ISNUMBER(_xll.qwDV01($A$1,F58)*G58*_xll.qwMVFactor($A$1,F58)*_xll.qwFXRate($A$1,F58)),_xll.qwDV01($A$1,F58)*G58*_xll.qwMVFactor($A$1,F58)*_xll.qwFXRate($A$1,F58),0)</f>
        <v>17962.481571871333</v>
      </c>
      <c r="R58" s="7" cm="1">
        <f t="array" ref="R58">IF(ISNUMBER(_xll.qwDV01($A$1,F58)*J58*_xll.qwMVFactor($A$1,F58)*_xll.qwFXRate($A$1,F58)),_xll.qwDV01($A$1,F58)*J58*_xll.qwMVFactor($A$1,F58)*_xll.qwFXRate($A$1,F58),0)</f>
        <v>0</v>
      </c>
      <c r="S58" s="7" cm="1">
        <f t="array" ref="S58">IF(ISNUMBER(_xll.qwDV01($A$1,F58)*J58*_xll.qwMVFactor($A$1,F58)*_xll.qwFXRate($A$1,F58)),_xll.qwDV01($A$1,F58)*J58*_xll.qwMVFactor($A$1,F58)*_xll.qwFXRate($A$1,F58),0)</f>
        <v>0</v>
      </c>
      <c r="T58" s="7" cm="1">
        <f t="array" ref="T58">_xll.qwFXRate($A$1,F58)*J58*(_xll.qwPrice($A$1,F58)-M58)*_xll.qwMVFactor($A$1,F58)</f>
        <v>0</v>
      </c>
      <c r="U58" s="9" cm="1">
        <f t="array" ref="U58">_xll.qwYield($A$1,F58)</f>
        <v>3.4375586820097816E-2</v>
      </c>
      <c r="V58" s="9" cm="1">
        <f t="array" ref="V58">100*(_xll.qwYield($A$4,F58)-U58)</f>
        <v>0.10188141794493163</v>
      </c>
      <c r="W58" s="7">
        <f>IF(ISNA(G58*INDEX(_xll.qwTblData(_xll.qwCurveScenariosPerSecurity($A$1,F58,"Crv210")),2,2)),0,(G58*INDEX(_xll.qwTblData(_xll.qwCurveScenariosPerSecurity($A$1,F58,"Crv210")),2,2)))</f>
        <v>-55017.125838932436</v>
      </c>
      <c r="X58" s="7" cm="1">
        <f t="array" ref="X58">ABS(Q58/_xll.qwMV01($A$1,"CT10"))</f>
        <v>24.327307510283656</v>
      </c>
      <c r="Y58" s="7" cm="1">
        <f t="array" ref="Y58">IF(N58="BondFuture",-(_xll.qwCurveYield($A$1,_xll.qwSecVal($A$1,AA58,"CreditCurveName()"),AA58)-_xll.qwCurveYield($A$4,_xll.qwSecVal($A$4,AA58,"CreditCurveName()"),AA58))*P58*10000,IF(N58="Bond",-(_xll.qwCurveYield($A$1,_xll.qwSecVal($A$1,F58,"CreditCurveName()"),F58)-_xll.qwCurveYield($A$4,_xll.qwSecVal($A$4,F58,"CreditCurveName()"),F58))*P58*10000,O58))</f>
        <v>181577.80581749158</v>
      </c>
      <c r="Z58" s="7" cm="1">
        <f t="array" ref="Z58">IF(OR(N58="BondFuture",N58="Bond"),P58*(_xll.qwCurveZSpread($A$4,_xll.qwSecVal($A$1,AA58,"CreditCurveName()"),AA58)-_xll.qwCurveZSpread($A$1,_xll.qwSecVal($A$1,AA58,"CreditCurveName()"),AA58)),0)</f>
        <v>0</v>
      </c>
      <c r="AA58" s="10" cm="1">
        <f t="array" ref="AA58">IF(_xll.qwSecType(F58)="Bond",F58,IF(_xll.qwSecType(F58)="BondFuture",_xll.qwFutCTD($A$1,F58),0))</f>
        <v>0</v>
      </c>
      <c r="AB58" s="7" cm="1">
        <f t="array" ref="AB58">IF(_xll.qwSecType(F58)="BondFuture",(I58*_xll.qwDelta($A$4,F58)*_xll.qwMVFactor($A$1,F58)/_xll.qwMVFactor($A$1,_xll.qwFutCTD($A$1,F58)))*(_xll.qwFXRate($A$1,F58)*_xll.qwMVFactor($A$1,_xll.qwFutCTD($A$1,F58))*(_xll.qwIncome($A$4,_xll.qwFutCTD($A$4,F58),_xll.qwBondSettle($A$4,_xll.qwFutCTD($A$4,F58)),_xll.qwBondSettle($A$1,_xll.qwFutCTD($A$1,F58)))+(_xll.qwBondDirtyPrice($A$1,_xll.qwFutCTD($A$1,F58))-_xll.qwBondDirtyPrice($A$4,_xll.qwFutCTD($A$4,F58)))-_xll.qwBondRepoFromTo($A$1,_xll.qwFutCTD($A$1,F58),_xll.qwBondSettle($A$4,_xll.qwFutCTD($A$4,F58)),_xll.qwBondSettle($A$1,_xll.qwFutCTD($A$1,F58)))))-O58,0)</f>
        <v>0</v>
      </c>
    </row>
    <row r="59" spans="2:28" s="8" customFormat="1" hidden="1" x14ac:dyDescent="0.35">
      <c r="B59" s="8" t="str">
        <v>pzhao</v>
      </c>
      <c r="C59" s="8" t="str">
        <v>PPA</v>
      </c>
      <c r="D59" s="8" t="str">
        <v>pzhao|PPA|RV_RATES_EUR_SWAPS-CURVE|234804096</v>
      </c>
      <c r="E59" s="8" t="str">
        <v>RV_RATES_EUR_SWAPS-CURVE</v>
      </c>
      <c r="F59" s="8" t="str">
        <v>234804096</v>
      </c>
      <c r="G59" s="8">
        <v>15.516</v>
      </c>
      <c r="H59" s="8">
        <v>0</v>
      </c>
      <c r="I59" s="8">
        <v>15.516</v>
      </c>
      <c r="J59" s="8">
        <v>0</v>
      </c>
      <c r="K59" s="8">
        <v>0</v>
      </c>
      <c r="L59" s="8">
        <v>0</v>
      </c>
      <c r="M59" s="8">
        <v>0</v>
      </c>
      <c r="N59" s="8" t="str">
        <v>SwapTrade</v>
      </c>
      <c r="O59" s="7" cm="1">
        <f t="array" ref="O59">(_xll.qwPrice($A$1,F59)-_xll.qwPrice($A$4,F59))*_xll.qwMVFactor($A$1,F59)*I59*_xll.qwFXRate($A$1,F59)</f>
        <v>-348377.80249200843</v>
      </c>
      <c r="P59" s="7" cm="1">
        <f t="array" ref="P59">IF(ISNUMBER(_xll.qwDV01($A$1,F59)*I59*_xll.qwMVFactor($A$1,F59)*_xll.qwFXRate($A$1,F59)),_xll.qwDV01($A$1,F59)*I59*_xll.qwMVFactor($A$1,F59)*_xll.qwFXRate($A$1,F59),0)</f>
        <v>-36275.945061085011</v>
      </c>
      <c r="Q59" s="7" cm="1">
        <f t="array" ref="Q59">IF(ISNUMBER(_xll.qwDV01($A$1,F59)*G59*_xll.qwMVFactor($A$1,F59)*_xll.qwFXRate($A$1,F59)),_xll.qwDV01($A$1,F59)*G59*_xll.qwMVFactor($A$1,F59)*_xll.qwFXRate($A$1,F59),0)</f>
        <v>-36275.945061085011</v>
      </c>
      <c r="R59" s="7" cm="1">
        <f t="array" ref="R59">IF(ISNUMBER(_xll.qwDV01($A$1,F59)*J59*_xll.qwMVFactor($A$1,F59)*_xll.qwFXRate($A$1,F59)),_xll.qwDV01($A$1,F59)*J59*_xll.qwMVFactor($A$1,F59)*_xll.qwFXRate($A$1,F59),0)</f>
        <v>0</v>
      </c>
      <c r="S59" s="7" cm="1">
        <f t="array" ref="S59">IF(ISNUMBER(_xll.qwDV01($A$1,F59)*J59*_xll.qwMVFactor($A$1,F59)*_xll.qwFXRate($A$1,F59)),_xll.qwDV01($A$1,F59)*J59*_xll.qwMVFactor($A$1,F59)*_xll.qwFXRate($A$1,F59),0)</f>
        <v>0</v>
      </c>
      <c r="T59" s="7" cm="1">
        <f t="array" ref="T59">_xll.qwFXRate($A$1,F59)*J59*(_xll.qwPrice($A$1,F59)-M59)*_xll.qwMVFactor($A$1,F59)</f>
        <v>0</v>
      </c>
      <c r="U59" s="9" cm="1">
        <f t="array" ref="U59">_xll.qwYield($A$1,F59)</f>
        <v>3.2553431123072803E-2</v>
      </c>
      <c r="V59" s="9" cm="1">
        <f t="array" ref="V59">100*(_xll.qwYield($A$4,F59)-U59)</f>
        <v>9.7395363592667206E-2</v>
      </c>
      <c r="W59" s="7">
        <f>IF(ISNA(G59*INDEX(_xll.qwTblData(_xll.qwCurveScenariosPerSecurity($A$1,F59,"Crv210")),2,2)),0,(G59*INDEX(_xll.qwTblData(_xll.qwCurveScenariosPerSecurity($A$1,F59,"Crv210")),2,2)))</f>
        <v>159552.27943883222</v>
      </c>
      <c r="X59" s="7" cm="1">
        <f t="array" ref="X59">ABS(Q59/_xll.qwMV01($A$1,"CT10"))</f>
        <v>49.129963874765004</v>
      </c>
      <c r="Y59" s="7" cm="1">
        <f t="array" ref="Y59">IF(N59="BondFuture",-(_xll.qwCurveYield($A$1,_xll.qwSecVal($A$1,AA59,"CreditCurveName()"),AA59)-_xll.qwCurveYield($A$4,_xll.qwSecVal($A$4,AA59,"CreditCurveName()"),AA59))*P59*10000,IF(N59="Bond",-(_xll.qwCurveYield($A$1,_xll.qwSecVal($A$1,F59,"CreditCurveName()"),F59)-_xll.qwCurveYield($A$4,_xll.qwSecVal($A$4,F59,"CreditCurveName()"),F59))*P59*10000,O59))</f>
        <v>-348377.80249200843</v>
      </c>
      <c r="Z59" s="7" cm="1">
        <f t="array" ref="Z59">IF(OR(N59="BondFuture",N59="Bond"),P59*(_xll.qwCurveZSpread($A$4,_xll.qwSecVal($A$1,AA59,"CreditCurveName()"),AA59)-_xll.qwCurveZSpread($A$1,_xll.qwSecVal($A$1,AA59,"CreditCurveName()"),AA59)),0)</f>
        <v>0</v>
      </c>
      <c r="AA59" s="10" cm="1">
        <f t="array" ref="AA59">IF(_xll.qwSecType(F59)="Bond",F59,IF(_xll.qwSecType(F59)="BondFuture",_xll.qwFutCTD($A$1,F59),0))</f>
        <v>0</v>
      </c>
      <c r="AB59" s="7" cm="1">
        <f t="array" ref="AB59">IF(_xll.qwSecType(F59)="BondFuture",(I59*_xll.qwDelta($A$4,F59)*_xll.qwMVFactor($A$1,F59)/_xll.qwMVFactor($A$1,_xll.qwFutCTD($A$1,F59)))*(_xll.qwFXRate($A$1,F59)*_xll.qwMVFactor($A$1,_xll.qwFutCTD($A$1,F59))*(_xll.qwIncome($A$4,_xll.qwFutCTD($A$4,F59),_xll.qwBondSettle($A$4,_xll.qwFutCTD($A$4,F59)),_xll.qwBondSettle($A$1,_xll.qwFutCTD($A$1,F59)))+(_xll.qwBondDirtyPrice($A$1,_xll.qwFutCTD($A$1,F59))-_xll.qwBondDirtyPrice($A$4,_xll.qwFutCTD($A$4,F59)))-_xll.qwBondRepoFromTo($A$1,_xll.qwFutCTD($A$1,F59),_xll.qwBondSettle($A$4,_xll.qwFutCTD($A$4,F59)),_xll.qwBondSettle($A$1,_xll.qwFutCTD($A$1,F59)))))-O59,0)</f>
        <v>0</v>
      </c>
    </row>
    <row r="60" spans="2:28" s="8" customFormat="1" hidden="1" x14ac:dyDescent="0.35">
      <c r="B60" s="8" t="str">
        <v>pzhao</v>
      </c>
      <c r="C60" s="8" t="str">
        <v>PPA</v>
      </c>
      <c r="D60" s="8" t="str">
        <v>pzhao|PPA|RV_RATES_EUR_SWAPS-CURVE|234804098</v>
      </c>
      <c r="E60" s="8" t="str">
        <v>RV_RATES_EUR_SWAPS-CURVE</v>
      </c>
      <c r="F60" s="8" t="str">
        <v>234804098</v>
      </c>
      <c r="G60" s="8">
        <v>18.216000000000001</v>
      </c>
      <c r="H60" s="8">
        <v>0</v>
      </c>
      <c r="I60" s="8">
        <v>18.216000000000001</v>
      </c>
      <c r="J60" s="8">
        <v>0</v>
      </c>
      <c r="K60" s="8">
        <v>0</v>
      </c>
      <c r="L60" s="8">
        <v>0</v>
      </c>
      <c r="M60" s="8">
        <v>0</v>
      </c>
      <c r="N60" s="8" t="str">
        <v>SwapTrade</v>
      </c>
      <c r="O60" s="7" cm="1">
        <f t="array" ref="O60">(_xll.qwPrice($A$1,F60)-_xll.qwPrice($A$4,F60))*_xll.qwMVFactor($A$1,F60)*I60*_xll.qwFXRate($A$1,F60)</f>
        <v>358167.62884545047</v>
      </c>
      <c r="P60" s="7" cm="1">
        <f t="array" ref="P60">IF(ISNUMBER(_xll.qwDV01($A$1,F60)*I60*_xll.qwMVFactor($A$1,F60)*_xll.qwFXRate($A$1,F60)),_xll.qwDV01($A$1,F60)*I60*_xll.qwMVFactor($A$1,F60)*_xll.qwFXRate($A$1,F60),0)</f>
        <v>35389.643239068078</v>
      </c>
      <c r="Q60" s="7" cm="1">
        <f t="array" ref="Q60">IF(ISNUMBER(_xll.qwDV01($A$1,F60)*G60*_xll.qwMVFactor($A$1,F60)*_xll.qwFXRate($A$1,F60)),_xll.qwDV01($A$1,F60)*G60*_xll.qwMVFactor($A$1,F60)*_xll.qwFXRate($A$1,F60),0)</f>
        <v>35389.643239068078</v>
      </c>
      <c r="R60" s="7" cm="1">
        <f t="array" ref="R60">IF(ISNUMBER(_xll.qwDV01($A$1,F60)*J60*_xll.qwMVFactor($A$1,F60)*_xll.qwFXRate($A$1,F60)),_xll.qwDV01($A$1,F60)*J60*_xll.qwMVFactor($A$1,F60)*_xll.qwFXRate($A$1,F60),0)</f>
        <v>0</v>
      </c>
      <c r="S60" s="7" cm="1">
        <f t="array" ref="S60">IF(ISNUMBER(_xll.qwDV01($A$1,F60)*J60*_xll.qwMVFactor($A$1,F60)*_xll.qwFXRate($A$1,F60)),_xll.qwDV01($A$1,F60)*J60*_xll.qwMVFactor($A$1,F60)*_xll.qwFXRate($A$1,F60),0)</f>
        <v>0</v>
      </c>
      <c r="T60" s="7" cm="1">
        <f t="array" ref="T60">_xll.qwFXRate($A$1,F60)*J60*(_xll.qwPrice($A$1,F60)-M60)*_xll.qwMVFactor($A$1,F60)</f>
        <v>0</v>
      </c>
      <c r="U60" s="9" cm="1">
        <f t="array" ref="U60">_xll.qwYield($A$1,F60)</f>
        <v>3.4375204318679124E-2</v>
      </c>
      <c r="V60" s="9" cm="1">
        <f t="array" ref="V60">100*(_xll.qwYield($A$4,F60)-U60)</f>
        <v>0.10188021017278545</v>
      </c>
      <c r="W60" s="7">
        <f>IF(ISNA(G60*INDEX(_xll.qwTblData(_xll.qwCurveScenariosPerSecurity($A$1,F60,"Crv210")),2,2)),0,(G60*INDEX(_xll.qwTblData(_xll.qwCurveScenariosPerSecurity($A$1,F60,"Crv210")),2,2)))</f>
        <v>-108733.58771725115</v>
      </c>
      <c r="X60" s="7" cm="1">
        <f t="array" ref="X60">ABS(Q60/_xll.qwMV01($A$1,"CT10"))</f>
        <v>47.929609854366454</v>
      </c>
      <c r="Y60" s="7" cm="1">
        <f t="array" ref="Y60">IF(N60="BondFuture",-(_xll.qwCurveYield($A$1,_xll.qwSecVal($A$1,AA60,"CreditCurveName()"),AA60)-_xll.qwCurveYield($A$4,_xll.qwSecVal($A$4,AA60,"CreditCurveName()"),AA60))*P60*10000,IF(N60="Bond",-(_xll.qwCurveYield($A$1,_xll.qwSecVal($A$1,F60,"CreditCurveName()"),F60)-_xll.qwCurveYield($A$4,_xll.qwSecVal($A$4,F60,"CreditCurveName()"),F60))*P60*10000,O60))</f>
        <v>358167.62884545047</v>
      </c>
      <c r="Z60" s="7" cm="1">
        <f t="array" ref="Z60">IF(OR(N60="BondFuture",N60="Bond"),P60*(_xll.qwCurveZSpread($A$4,_xll.qwSecVal($A$1,AA60,"CreditCurveName()"),AA60)-_xll.qwCurveZSpread($A$1,_xll.qwSecVal($A$1,AA60,"CreditCurveName()"),AA60)),0)</f>
        <v>0</v>
      </c>
      <c r="AA60" s="10" cm="1">
        <f t="array" ref="AA60">IF(_xll.qwSecType(F60)="Bond",F60,IF(_xll.qwSecType(F60)="BondFuture",_xll.qwFutCTD($A$1,F60),0))</f>
        <v>0</v>
      </c>
      <c r="AB60" s="7" cm="1">
        <f t="array" ref="AB60">IF(_xll.qwSecType(F60)="BondFuture",(I60*_xll.qwDelta($A$4,F60)*_xll.qwMVFactor($A$1,F60)/_xll.qwMVFactor($A$1,_xll.qwFutCTD($A$1,F60)))*(_xll.qwFXRate($A$1,F60)*_xll.qwMVFactor($A$1,_xll.qwFutCTD($A$1,F60))*(_xll.qwIncome($A$4,_xll.qwFutCTD($A$4,F60),_xll.qwBondSettle($A$4,_xll.qwFutCTD($A$4,F60)),_xll.qwBondSettle($A$1,_xll.qwFutCTD($A$1,F60)))+(_xll.qwBondDirtyPrice($A$1,_xll.qwFutCTD($A$1,F60))-_xll.qwBondDirtyPrice($A$4,_xll.qwFutCTD($A$4,F60)))-_xll.qwBondRepoFromTo($A$1,_xll.qwFutCTD($A$1,F60),_xll.qwBondSettle($A$4,_xll.qwFutCTD($A$4,F60)),_xll.qwBondSettle($A$1,_xll.qwFutCTD($A$1,F60)))))-O60,0)</f>
        <v>0</v>
      </c>
    </row>
    <row r="61" spans="2:28" s="8" customFormat="1" hidden="1" x14ac:dyDescent="0.35">
      <c r="B61" s="8" t="str">
        <v>pzhao</v>
      </c>
      <c r="C61" s="8" t="str">
        <v>PPA</v>
      </c>
      <c r="D61" s="8" t="str">
        <v>pzhao|PPA|RV_RATES_EUR_SWAPS-CURVE|234804111</v>
      </c>
      <c r="E61" s="8" t="str">
        <v>RV_RATES_EUR_SWAPS-CURVE</v>
      </c>
      <c r="F61" s="8" t="str">
        <v>234804111</v>
      </c>
      <c r="G61" s="8">
        <v>9.1440000000000001</v>
      </c>
      <c r="H61" s="8">
        <v>0</v>
      </c>
      <c r="I61" s="8">
        <v>9.1440000000000001</v>
      </c>
      <c r="J61" s="8">
        <v>0</v>
      </c>
      <c r="K61" s="8">
        <v>0</v>
      </c>
      <c r="L61" s="8">
        <v>0</v>
      </c>
      <c r="M61" s="8">
        <v>0</v>
      </c>
      <c r="N61" s="8" t="str">
        <v>SwapTrade</v>
      </c>
      <c r="O61" s="7" cm="1">
        <f t="array" ref="O61">(_xll.qwPrice($A$1,F61)-_xll.qwPrice($A$4,F61))*_xll.qwMVFactor($A$1,F61)*I61*_xll.qwFXRate($A$1,F61)</f>
        <v>179733.76266101227</v>
      </c>
      <c r="P61" s="7" cm="1">
        <f t="array" ref="P61">IF(ISNUMBER(_xll.qwDV01($A$1,F61)*I61*_xll.qwMVFactor($A$1,F61)*_xll.qwFXRate($A$1,F61)),_xll.qwDV01($A$1,F61)*I61*_xll.qwMVFactor($A$1,F61)*_xll.qwFXRate($A$1,F61),0)</f>
        <v>17758.805375670745</v>
      </c>
      <c r="Q61" s="7" cm="1">
        <f t="array" ref="Q61">IF(ISNUMBER(_xll.qwDV01($A$1,F61)*G61*_xll.qwMVFactor($A$1,F61)*_xll.qwFXRate($A$1,F61)),_xll.qwDV01($A$1,F61)*G61*_xll.qwMVFactor($A$1,F61)*_xll.qwFXRate($A$1,F61),0)</f>
        <v>17758.805375670745</v>
      </c>
      <c r="R61" s="7" cm="1">
        <f t="array" ref="R61">IF(ISNUMBER(_xll.qwDV01($A$1,F61)*J61*_xll.qwMVFactor($A$1,F61)*_xll.qwFXRate($A$1,F61)),_xll.qwDV01($A$1,F61)*J61*_xll.qwMVFactor($A$1,F61)*_xll.qwFXRate($A$1,F61),0)</f>
        <v>0</v>
      </c>
      <c r="S61" s="7" cm="1">
        <f t="array" ref="S61">IF(ISNUMBER(_xll.qwDV01($A$1,F61)*J61*_xll.qwMVFactor($A$1,F61)*_xll.qwFXRate($A$1,F61)),_xll.qwDV01($A$1,F61)*J61*_xll.qwMVFactor($A$1,F61)*_xll.qwFXRate($A$1,F61),0)</f>
        <v>0</v>
      </c>
      <c r="T61" s="7" cm="1">
        <f t="array" ref="T61">_xll.qwFXRate($A$1,F61)*J61*(_xll.qwPrice($A$1,F61)-M61)*_xll.qwMVFactor($A$1,F61)</f>
        <v>0</v>
      </c>
      <c r="U61" s="9" cm="1">
        <f t="array" ref="U61">_xll.qwYield($A$1,F61)</f>
        <v>3.4375204318679124E-2</v>
      </c>
      <c r="V61" s="9" cm="1">
        <f t="array" ref="V61">100*(_xll.qwYield($A$4,F61)-U61)</f>
        <v>0.10188021017278545</v>
      </c>
      <c r="W61" s="7">
        <f>IF(ISNA(G61*INDEX(_xll.qwTblData(_xll.qwCurveScenariosPerSecurity($A$1,F61,"Crv210")),2,2)),0,(G61*INDEX(_xll.qwTblData(_xll.qwCurveScenariosPerSecurity($A$1,F61,"Crv210")),2,2)))</f>
        <v>-54570.317916927328</v>
      </c>
      <c r="X61" s="7" cm="1">
        <f t="array" ref="X61">ABS(Q61/_xll.qwMV01($A$1,"CT10"))</f>
        <v>24.051460688246785</v>
      </c>
      <c r="Y61" s="7" cm="1">
        <f t="array" ref="Y61">IF(N61="BondFuture",-(_xll.qwCurveYield($A$1,_xll.qwSecVal($A$1,AA61,"CreditCurveName()"),AA61)-_xll.qwCurveYield($A$4,_xll.qwSecVal($A$4,AA61,"CreditCurveName()"),AA61))*P61*10000,IF(N61="Bond",-(_xll.qwCurveYield($A$1,_xll.qwSecVal($A$1,F61,"CreditCurveName()"),F61)-_xll.qwCurveYield($A$4,_xll.qwSecVal($A$4,F61,"CreditCurveName()"),F61))*P61*10000,O61))</f>
        <v>179733.76266101227</v>
      </c>
      <c r="Z61" s="7" cm="1">
        <f t="array" ref="Z61">IF(OR(N61="BondFuture",N61="Bond"),P61*(_xll.qwCurveZSpread($A$4,_xll.qwSecVal($A$1,AA61,"CreditCurveName()"),AA61)-_xll.qwCurveZSpread($A$1,_xll.qwSecVal($A$1,AA61,"CreditCurveName()"),AA61)),0)</f>
        <v>0</v>
      </c>
      <c r="AA61" s="10" cm="1">
        <f t="array" ref="AA61">IF(_xll.qwSecType(F61)="Bond",F61,IF(_xll.qwSecType(F61)="BondFuture",_xll.qwFutCTD($A$1,F61),0))</f>
        <v>0</v>
      </c>
      <c r="AB61" s="7" cm="1">
        <f t="array" ref="AB61">IF(_xll.qwSecType(F61)="BondFuture",(I61*_xll.qwDelta($A$4,F61)*_xll.qwMVFactor($A$1,F61)/_xll.qwMVFactor($A$1,_xll.qwFutCTD($A$1,F61)))*(_xll.qwFXRate($A$1,F61)*_xll.qwMVFactor($A$1,_xll.qwFutCTD($A$1,F61))*(_xll.qwIncome($A$4,_xll.qwFutCTD($A$4,F61),_xll.qwBondSettle($A$4,_xll.qwFutCTD($A$4,F61)),_xll.qwBondSettle($A$1,_xll.qwFutCTD($A$1,F61)))+(_xll.qwBondDirtyPrice($A$1,_xll.qwFutCTD($A$1,F61))-_xll.qwBondDirtyPrice($A$4,_xll.qwFutCTD($A$4,F61)))-_xll.qwBondRepoFromTo($A$1,_xll.qwFutCTD($A$1,F61),_xll.qwBondSettle($A$4,_xll.qwFutCTD($A$4,F61)),_xll.qwBondSettle($A$1,_xll.qwFutCTD($A$1,F61)))))-O61,0)</f>
        <v>0</v>
      </c>
    </row>
    <row r="62" spans="2:28" s="8" customFormat="1" hidden="1" x14ac:dyDescent="0.35">
      <c r="B62" s="8" t="str">
        <v>pzhao</v>
      </c>
      <c r="C62" s="8" t="str">
        <v>PPA</v>
      </c>
      <c r="D62" s="8" t="str">
        <v>pzhao|PPA|RV_RATES_EUR_SWAPS-CURVE|234804137</v>
      </c>
      <c r="E62" s="8" t="str">
        <v>RV_RATES_EUR_SWAPS-CURVE</v>
      </c>
      <c r="F62" s="8" t="str">
        <v>234804137</v>
      </c>
      <c r="G62" s="8">
        <v>9.1440000000000001</v>
      </c>
      <c r="H62" s="8">
        <v>0</v>
      </c>
      <c r="I62" s="8">
        <v>9.1440000000000001</v>
      </c>
      <c r="J62" s="8">
        <v>0</v>
      </c>
      <c r="K62" s="8">
        <v>0</v>
      </c>
      <c r="L62" s="8">
        <v>0</v>
      </c>
      <c r="M62" s="8">
        <v>0</v>
      </c>
      <c r="N62" s="8" t="str">
        <v>SwapTrade</v>
      </c>
      <c r="O62" s="7" cm="1">
        <f t="array" ref="O62">(_xll.qwPrice($A$1,F62)-_xll.qwPrice($A$4,F62))*_xll.qwMVFactor($A$1,F62)*I62*_xll.qwFXRate($A$1,F62)</f>
        <v>179899.79520191083</v>
      </c>
      <c r="P62" s="7" cm="1">
        <f t="array" ref="P62">IF(ISNUMBER(_xll.qwDV01($A$1,F62)*I62*_xll.qwMVFactor($A$1,F62)*_xll.qwFXRate($A$1,F62)),_xll.qwDV01($A$1,F62)*I62*_xll.qwMVFactor($A$1,F62)*_xll.qwFXRate($A$1,F62),0)</f>
        <v>17775.887451903465</v>
      </c>
      <c r="Q62" s="7" cm="1">
        <f t="array" ref="Q62">IF(ISNUMBER(_xll.qwDV01($A$1,F62)*G62*_xll.qwMVFactor($A$1,F62)*_xll.qwFXRate($A$1,F62)),_xll.qwDV01($A$1,F62)*G62*_xll.qwMVFactor($A$1,F62)*_xll.qwFXRate($A$1,F62),0)</f>
        <v>17775.887451903465</v>
      </c>
      <c r="R62" s="7" cm="1">
        <f t="array" ref="R62">IF(ISNUMBER(_xll.qwDV01($A$1,F62)*J62*_xll.qwMVFactor($A$1,F62)*_xll.qwFXRate($A$1,F62)),_xll.qwDV01($A$1,F62)*J62*_xll.qwMVFactor($A$1,F62)*_xll.qwFXRate($A$1,F62),0)</f>
        <v>0</v>
      </c>
      <c r="S62" s="7" cm="1">
        <f t="array" ref="S62">IF(ISNUMBER(_xll.qwDV01($A$1,F62)*J62*_xll.qwMVFactor($A$1,F62)*_xll.qwFXRate($A$1,F62)),_xll.qwDV01($A$1,F62)*J62*_xll.qwMVFactor($A$1,F62)*_xll.qwFXRate($A$1,F62),0)</f>
        <v>0</v>
      </c>
      <c r="T62" s="7" cm="1">
        <f t="array" ref="T62">_xll.qwFXRate($A$1,F62)*J62*(_xll.qwPrice($A$1,F62)-M62)*_xll.qwMVFactor($A$1,F62)</f>
        <v>0</v>
      </c>
      <c r="U62" s="9" cm="1">
        <f t="array" ref="U62">_xll.qwYield($A$1,F62)</f>
        <v>3.4375204318679124E-2</v>
      </c>
      <c r="V62" s="9" cm="1">
        <f t="array" ref="V62">100*(_xll.qwYield($A$4,F62)-U62)</f>
        <v>0.10188021017278545</v>
      </c>
      <c r="W62" s="7">
        <f>IF(ISNA(G62*INDEX(_xll.qwTblData(_xll.qwCurveScenariosPerSecurity($A$1,F62,"Crv210")),2,2)),0,(G62*INDEX(_xll.qwTblData(_xll.qwCurveScenariosPerSecurity($A$1,F62,"Crv210")),2,2)))</f>
        <v>-54602.86435472624</v>
      </c>
      <c r="X62" s="7" cm="1">
        <f t="array" ref="X62">ABS(Q62/_xll.qwMV01($A$1,"CT10"))</f>
        <v>24.074595627579345</v>
      </c>
      <c r="Y62" s="7" cm="1">
        <f t="array" ref="Y62">IF(N62="BondFuture",-(_xll.qwCurveYield($A$1,_xll.qwSecVal($A$1,AA62,"CreditCurveName()"),AA62)-_xll.qwCurveYield($A$4,_xll.qwSecVal($A$4,AA62,"CreditCurveName()"),AA62))*P62*10000,IF(N62="Bond",-(_xll.qwCurveYield($A$1,_xll.qwSecVal($A$1,F62,"CreditCurveName()"),F62)-_xll.qwCurveYield($A$4,_xll.qwSecVal($A$4,F62,"CreditCurveName()"),F62))*P62*10000,O62))</f>
        <v>179899.79520191083</v>
      </c>
      <c r="Z62" s="7" cm="1">
        <f t="array" ref="Z62">IF(OR(N62="BondFuture",N62="Bond"),P62*(_xll.qwCurveZSpread($A$4,_xll.qwSecVal($A$1,AA62,"CreditCurveName()"),AA62)-_xll.qwCurveZSpread($A$1,_xll.qwSecVal($A$1,AA62,"CreditCurveName()"),AA62)),0)</f>
        <v>0</v>
      </c>
      <c r="AA62" s="10" cm="1">
        <f t="array" ref="AA62">IF(_xll.qwSecType(F62)="Bond",F62,IF(_xll.qwSecType(F62)="BondFuture",_xll.qwFutCTD($A$1,F62),0))</f>
        <v>0</v>
      </c>
      <c r="AB62" s="7" cm="1">
        <f t="array" ref="AB62">IF(_xll.qwSecType(F62)="BondFuture",(I62*_xll.qwDelta($A$4,F62)*_xll.qwMVFactor($A$1,F62)/_xll.qwMVFactor($A$1,_xll.qwFutCTD($A$1,F62)))*(_xll.qwFXRate($A$1,F62)*_xll.qwMVFactor($A$1,_xll.qwFutCTD($A$1,F62))*(_xll.qwIncome($A$4,_xll.qwFutCTD($A$4,F62),_xll.qwBondSettle($A$4,_xll.qwFutCTD($A$4,F62)),_xll.qwBondSettle($A$1,_xll.qwFutCTD($A$1,F62)))+(_xll.qwBondDirtyPrice($A$1,_xll.qwFutCTD($A$1,F62))-_xll.qwBondDirtyPrice($A$4,_xll.qwFutCTD($A$4,F62)))-_xll.qwBondRepoFromTo($A$1,_xll.qwFutCTD($A$1,F62),_xll.qwBondSettle($A$4,_xll.qwFutCTD($A$4,F62)),_xll.qwBondSettle($A$1,_xll.qwFutCTD($A$1,F62)))))-O62,0)</f>
        <v>0</v>
      </c>
    </row>
    <row r="63" spans="2:28" s="8" customFormat="1" hidden="1" x14ac:dyDescent="0.35">
      <c r="B63" s="8" t="str">
        <v>pzhao</v>
      </c>
      <c r="C63" s="8" t="str">
        <v>PPA</v>
      </c>
      <c r="D63" s="8" t="str">
        <v>pzhao|PPA|RV_RATES_EUR_SWAPS-CURVE|234804146</v>
      </c>
      <c r="E63" s="8" t="str">
        <v>RV_RATES_EUR_SWAPS-CURVE</v>
      </c>
      <c r="F63" s="8" t="str">
        <v>234804146</v>
      </c>
      <c r="G63" s="8">
        <v>15.516</v>
      </c>
      <c r="H63" s="8">
        <v>0</v>
      </c>
      <c r="I63" s="8">
        <v>15.516</v>
      </c>
      <c r="J63" s="8">
        <v>0</v>
      </c>
      <c r="K63" s="8">
        <v>0</v>
      </c>
      <c r="L63" s="8">
        <v>0</v>
      </c>
      <c r="M63" s="8">
        <v>0</v>
      </c>
      <c r="N63" s="8" t="str">
        <v>SwapTrade</v>
      </c>
      <c r="O63" s="7" cm="1">
        <f t="array" ref="O63">(_xll.qwPrice($A$1,F63)-_xll.qwPrice($A$4,F63))*_xll.qwMVFactor($A$1,F63)*I63*_xll.qwFXRate($A$1,F63)</f>
        <v>-348531.65602086874</v>
      </c>
      <c r="P63" s="7" cm="1">
        <f t="array" ref="P63">IF(ISNUMBER(_xll.qwDV01($A$1,F63)*I63*_xll.qwMVFactor($A$1,F63)*_xll.qwFXRate($A$1,F63)),_xll.qwDV01($A$1,F63)*I63*_xll.qwMVFactor($A$1,F63)*_xll.qwFXRate($A$1,F63),0)</f>
        <v>-36291.344307310501</v>
      </c>
      <c r="Q63" s="7" cm="1">
        <f t="array" ref="Q63">IF(ISNUMBER(_xll.qwDV01($A$1,F63)*G63*_xll.qwMVFactor($A$1,F63)*_xll.qwFXRate($A$1,F63)),_xll.qwDV01($A$1,F63)*G63*_xll.qwMVFactor($A$1,F63)*_xll.qwFXRate($A$1,F63),0)</f>
        <v>-36291.344307310501</v>
      </c>
      <c r="R63" s="7" cm="1">
        <f t="array" ref="R63">IF(ISNUMBER(_xll.qwDV01($A$1,F63)*J63*_xll.qwMVFactor($A$1,F63)*_xll.qwFXRate($A$1,F63)),_xll.qwDV01($A$1,F63)*J63*_xll.qwMVFactor($A$1,F63)*_xll.qwFXRate($A$1,F63),0)</f>
        <v>0</v>
      </c>
      <c r="S63" s="7" cm="1">
        <f t="array" ref="S63">IF(ISNUMBER(_xll.qwDV01($A$1,F63)*J63*_xll.qwMVFactor($A$1,F63)*_xll.qwFXRate($A$1,F63)),_xll.qwDV01($A$1,F63)*J63*_xll.qwMVFactor($A$1,F63)*_xll.qwFXRate($A$1,F63),0)</f>
        <v>0</v>
      </c>
      <c r="T63" s="7" cm="1">
        <f t="array" ref="T63">_xll.qwFXRate($A$1,F63)*J63*(_xll.qwPrice($A$1,F63)-M63)*_xll.qwMVFactor($A$1,F63)</f>
        <v>0</v>
      </c>
      <c r="U63" s="9" cm="1">
        <f t="array" ref="U63">_xll.qwYield($A$1,F63)</f>
        <v>3.2553431123072803E-2</v>
      </c>
      <c r="V63" s="9" cm="1">
        <f t="array" ref="V63">100*(_xll.qwYield($A$4,F63)-U63)</f>
        <v>9.7395363592667206E-2</v>
      </c>
      <c r="W63" s="7">
        <f>IF(ISNA(G63*INDEX(_xll.qwTblData(_xll.qwCurveScenariosPerSecurity($A$1,F63,"Crv210")),2,2)),0,(G63*INDEX(_xll.qwTblData(_xll.qwCurveScenariosPerSecurity($A$1,F63,"Crv210")),2,2)))</f>
        <v>159567.92887872344</v>
      </c>
      <c r="X63" s="7" cm="1">
        <f t="array" ref="X63">ABS(Q63/_xll.qwMV01($A$1,"CT10"))</f>
        <v>49.150819690085129</v>
      </c>
      <c r="Y63" s="7" cm="1">
        <f t="array" ref="Y63">IF(N63="BondFuture",-(_xll.qwCurveYield($A$1,_xll.qwSecVal($A$1,AA63,"CreditCurveName()"),AA63)-_xll.qwCurveYield($A$4,_xll.qwSecVal($A$4,AA63,"CreditCurveName()"),AA63))*P63*10000,IF(N63="Bond",-(_xll.qwCurveYield($A$1,_xll.qwSecVal($A$1,F63,"CreditCurveName()"),F63)-_xll.qwCurveYield($A$4,_xll.qwSecVal($A$4,F63,"CreditCurveName()"),F63))*P63*10000,O63))</f>
        <v>-348531.65602086874</v>
      </c>
      <c r="Z63" s="7" cm="1">
        <f t="array" ref="Z63">IF(OR(N63="BondFuture",N63="Bond"),P63*(_xll.qwCurveZSpread($A$4,_xll.qwSecVal($A$1,AA63,"CreditCurveName()"),AA63)-_xll.qwCurveZSpread($A$1,_xll.qwSecVal($A$1,AA63,"CreditCurveName()"),AA63)),0)</f>
        <v>0</v>
      </c>
      <c r="AA63" s="10" cm="1">
        <f t="array" ref="AA63">IF(_xll.qwSecType(F63)="Bond",F63,IF(_xll.qwSecType(F63)="BondFuture",_xll.qwFutCTD($A$1,F63),0))</f>
        <v>0</v>
      </c>
      <c r="AB63" s="7" cm="1">
        <f t="array" ref="AB63">IF(_xll.qwSecType(F63)="BondFuture",(I63*_xll.qwDelta($A$4,F63)*_xll.qwMVFactor($A$1,F63)/_xll.qwMVFactor($A$1,_xll.qwFutCTD($A$1,F63)))*(_xll.qwFXRate($A$1,F63)*_xll.qwMVFactor($A$1,_xll.qwFutCTD($A$1,F63))*(_xll.qwIncome($A$4,_xll.qwFutCTD($A$4,F63),_xll.qwBondSettle($A$4,_xll.qwFutCTD($A$4,F63)),_xll.qwBondSettle($A$1,_xll.qwFutCTD($A$1,F63)))+(_xll.qwBondDirtyPrice($A$1,_xll.qwFutCTD($A$1,F63))-_xll.qwBondDirtyPrice($A$4,_xll.qwFutCTD($A$4,F63)))-_xll.qwBondRepoFromTo($A$1,_xll.qwFutCTD($A$1,F63),_xll.qwBondSettle($A$4,_xll.qwFutCTD($A$4,F63)),_xll.qwBondSettle($A$1,_xll.qwFutCTD($A$1,F63)))))-O63,0)</f>
        <v>0</v>
      </c>
    </row>
    <row r="64" spans="2:28" s="8" customFormat="1" hidden="1" x14ac:dyDescent="0.35">
      <c r="B64" s="8" t="str">
        <v>pzhao</v>
      </c>
      <c r="C64" s="8" t="str">
        <v>PPA</v>
      </c>
      <c r="D64" s="8" t="str">
        <v>pzhao|PPA|RV_RATES_EUR_SWAPS-CURVE|234804147</v>
      </c>
      <c r="E64" s="8" t="str">
        <v>RV_RATES_EUR_SWAPS-CURVE</v>
      </c>
      <c r="F64" s="8" t="str">
        <v>234804147</v>
      </c>
      <c r="G64" s="8">
        <v>18.216000000000001</v>
      </c>
      <c r="H64" s="8">
        <v>0</v>
      </c>
      <c r="I64" s="8">
        <v>18.216000000000001</v>
      </c>
      <c r="J64" s="8">
        <v>0</v>
      </c>
      <c r="K64" s="8">
        <v>0</v>
      </c>
      <c r="L64" s="8">
        <v>0</v>
      </c>
      <c r="M64" s="8">
        <v>0</v>
      </c>
      <c r="N64" s="8" t="str">
        <v>SwapTrade</v>
      </c>
      <c r="O64" s="7" cm="1">
        <f t="array" ref="O64">(_xll.qwPrice($A$1,F64)-_xll.qwPrice($A$4,F64))*_xll.qwMVFactor($A$1,F64)*I64*_xll.qwFXRate($A$1,F64)</f>
        <v>358267.72658226278</v>
      </c>
      <c r="P64" s="7" cm="1">
        <f t="array" ref="P64">IF(ISNUMBER(_xll.qwDV01($A$1,F64)*I64*_xll.qwMVFactor($A$1,F64)*_xll.qwFXRate($A$1,F64)),_xll.qwDV01($A$1,F64)*I64*_xll.qwMVFactor($A$1,F64)*_xll.qwFXRate($A$1,F64),0)</f>
        <v>35399.941685153535</v>
      </c>
      <c r="Q64" s="7" cm="1">
        <f t="array" ref="Q64">IF(ISNUMBER(_xll.qwDV01($A$1,F64)*G64*_xll.qwMVFactor($A$1,F64)*_xll.qwFXRate($A$1,F64)),_xll.qwDV01($A$1,F64)*G64*_xll.qwMVFactor($A$1,F64)*_xll.qwFXRate($A$1,F64),0)</f>
        <v>35399.941685153535</v>
      </c>
      <c r="R64" s="7" cm="1">
        <f t="array" ref="R64">IF(ISNUMBER(_xll.qwDV01($A$1,F64)*J64*_xll.qwMVFactor($A$1,F64)*_xll.qwFXRate($A$1,F64)),_xll.qwDV01($A$1,F64)*J64*_xll.qwMVFactor($A$1,F64)*_xll.qwFXRate($A$1,F64),0)</f>
        <v>0</v>
      </c>
      <c r="S64" s="7" cm="1">
        <f t="array" ref="S64">IF(ISNUMBER(_xll.qwDV01($A$1,F64)*J64*_xll.qwMVFactor($A$1,F64)*_xll.qwFXRate($A$1,F64)),_xll.qwDV01($A$1,F64)*J64*_xll.qwMVFactor($A$1,F64)*_xll.qwFXRate($A$1,F64),0)</f>
        <v>0</v>
      </c>
      <c r="T64" s="7" cm="1">
        <f t="array" ref="T64">_xll.qwFXRate($A$1,F64)*J64*(_xll.qwPrice($A$1,F64)-M64)*_xll.qwMVFactor($A$1,F64)</f>
        <v>0</v>
      </c>
      <c r="U64" s="9" cm="1">
        <f t="array" ref="U64">_xll.qwYield($A$1,F64)</f>
        <v>3.4375204318679124E-2</v>
      </c>
      <c r="V64" s="9" cm="1">
        <f t="array" ref="V64">100*(_xll.qwYield($A$4,F64)-U64)</f>
        <v>0.10188021017278545</v>
      </c>
      <c r="W64" s="7">
        <f>IF(ISNA(G64*INDEX(_xll.qwTblData(_xll.qwCurveScenariosPerSecurity($A$1,F64,"Crv210")),2,2)),0,(G64*INDEX(_xll.qwTblData(_xll.qwCurveScenariosPerSecurity($A$1,F64,"Crv210")),2,2)))</f>
        <v>-108236.74255215058</v>
      </c>
      <c r="X64" s="7" cm="1">
        <f t="array" ref="X64">ABS(Q64/_xll.qwMV01($A$1,"CT10"))</f>
        <v>47.943557451962953</v>
      </c>
      <c r="Y64" s="7" cm="1">
        <f t="array" ref="Y64">IF(N64="BondFuture",-(_xll.qwCurveYield($A$1,_xll.qwSecVal($A$1,AA64,"CreditCurveName()"),AA64)-_xll.qwCurveYield($A$4,_xll.qwSecVal($A$4,AA64,"CreditCurveName()"),AA64))*P64*10000,IF(N64="Bond",-(_xll.qwCurveYield($A$1,_xll.qwSecVal($A$1,F64,"CreditCurveName()"),F64)-_xll.qwCurveYield($A$4,_xll.qwSecVal($A$4,F64,"CreditCurveName()"),F64))*P64*10000,O64))</f>
        <v>358267.72658226278</v>
      </c>
      <c r="Z64" s="7" cm="1">
        <f t="array" ref="Z64">IF(OR(N64="BondFuture",N64="Bond"),P64*(_xll.qwCurveZSpread($A$4,_xll.qwSecVal($A$1,AA64,"CreditCurveName()"),AA64)-_xll.qwCurveZSpread($A$1,_xll.qwSecVal($A$1,AA64,"CreditCurveName()"),AA64)),0)</f>
        <v>0</v>
      </c>
      <c r="AA64" s="10" cm="1">
        <f t="array" ref="AA64">IF(_xll.qwSecType(F64)="Bond",F64,IF(_xll.qwSecType(F64)="BondFuture",_xll.qwFutCTD($A$1,F64),0))</f>
        <v>0</v>
      </c>
      <c r="AB64" s="7" cm="1">
        <f t="array" ref="AB64">IF(_xll.qwSecType(F64)="BondFuture",(I64*_xll.qwDelta($A$4,F64)*_xll.qwMVFactor($A$1,F64)/_xll.qwMVFactor($A$1,_xll.qwFutCTD($A$1,F64)))*(_xll.qwFXRate($A$1,F64)*_xll.qwMVFactor($A$1,_xll.qwFutCTD($A$1,F64))*(_xll.qwIncome($A$4,_xll.qwFutCTD($A$4,F64),_xll.qwBondSettle($A$4,_xll.qwFutCTD($A$4,F64)),_xll.qwBondSettle($A$1,_xll.qwFutCTD($A$1,F64)))+(_xll.qwBondDirtyPrice($A$1,_xll.qwFutCTD($A$1,F64))-_xll.qwBondDirtyPrice($A$4,_xll.qwFutCTD($A$4,F64)))-_xll.qwBondRepoFromTo($A$1,_xll.qwFutCTD($A$1,F64),_xll.qwBondSettle($A$4,_xll.qwFutCTD($A$4,F64)),_xll.qwBondSettle($A$1,_xll.qwFutCTD($A$1,F64)))))-O64,0)</f>
        <v>0</v>
      </c>
    </row>
    <row r="65" spans="2:36" s="8" customFormat="1" hidden="1" x14ac:dyDescent="0.35">
      <c r="B65" s="8" t="str">
        <v>pzhao</v>
      </c>
      <c r="C65" s="8" t="str">
        <v>PPA</v>
      </c>
      <c r="D65" s="8" t="str">
        <v>pzhao|PPA|RV_RATES_EUR_SWAPS-CURVE|234811020</v>
      </c>
      <c r="E65" s="8" t="str">
        <v>RV_RATES_EUR_SWAPS-CURVE</v>
      </c>
      <c r="F65" s="8" t="str">
        <v>234811020</v>
      </c>
      <c r="G65" s="8">
        <v>9.1440000000000001</v>
      </c>
      <c r="H65" s="8">
        <v>0</v>
      </c>
      <c r="I65" s="8">
        <v>9.1440000000000001</v>
      </c>
      <c r="J65" s="8">
        <v>0</v>
      </c>
      <c r="K65" s="8">
        <v>0</v>
      </c>
      <c r="L65" s="8">
        <v>0</v>
      </c>
      <c r="M65" s="8">
        <v>0</v>
      </c>
      <c r="N65" s="8" t="str">
        <v>SwapTrade</v>
      </c>
      <c r="O65" s="7" cm="1">
        <f t="array" ref="O65">(_xll.qwPrice($A$1,F65)-_xll.qwPrice($A$4,F65))*_xll.qwMVFactor($A$1,F65)*I65*_xll.qwFXRate($A$1,F65)</f>
        <v>180057.74457990759</v>
      </c>
      <c r="P65" s="7" cm="1">
        <f t="array" ref="P65">IF(ISNUMBER(_xll.qwDV01($A$1,F65)*I65*_xll.qwMVFactor($A$1,F65)*_xll.qwFXRate($A$1,F65)),_xll.qwDV01($A$1,F65)*I65*_xll.qwMVFactor($A$1,F65)*_xll.qwFXRate($A$1,F65),0)</f>
        <v>17792.137900767513</v>
      </c>
      <c r="Q65" s="7" cm="1">
        <f t="array" ref="Q65">IF(ISNUMBER(_xll.qwDV01($A$1,F65)*G65*_xll.qwMVFactor($A$1,F65)*_xll.qwFXRate($A$1,F65)),_xll.qwDV01($A$1,F65)*G65*_xll.qwMVFactor($A$1,F65)*_xll.qwFXRate($A$1,F65),0)</f>
        <v>17792.137900767513</v>
      </c>
      <c r="R65" s="7" cm="1">
        <f t="array" ref="R65">IF(ISNUMBER(_xll.qwDV01($A$1,F65)*J65*_xll.qwMVFactor($A$1,F65)*_xll.qwFXRate($A$1,F65)),_xll.qwDV01($A$1,F65)*J65*_xll.qwMVFactor($A$1,F65)*_xll.qwFXRate($A$1,F65),0)</f>
        <v>0</v>
      </c>
      <c r="S65" s="7" cm="1">
        <f t="array" ref="S65">IF(ISNUMBER(_xll.qwDV01($A$1,F65)*J65*_xll.qwMVFactor($A$1,F65)*_xll.qwFXRate($A$1,F65)),_xll.qwDV01($A$1,F65)*J65*_xll.qwMVFactor($A$1,F65)*_xll.qwFXRate($A$1,F65),0)</f>
        <v>0</v>
      </c>
      <c r="T65" s="7" cm="1">
        <f t="array" ref="T65">_xll.qwFXRate($A$1,F65)*J65*(_xll.qwPrice($A$1,F65)-M65)*_xll.qwMVFactor($A$1,F65)</f>
        <v>0</v>
      </c>
      <c r="U65" s="9" cm="1">
        <f t="array" ref="U65">_xll.qwYield($A$1,F65)</f>
        <v>3.4375204318679124E-2</v>
      </c>
      <c r="V65" s="9" cm="1">
        <f t="array" ref="V65">100*(_xll.qwYield($A$4,F65)-U65)</f>
        <v>0.10188021017278545</v>
      </c>
      <c r="W65" s="7">
        <f>IF(ISNA(G65*INDEX(_xll.qwTblData(_xll.qwCurveScenariosPerSecurity($A$1,F65,"Crv210")),2,2)),0,(G65*INDEX(_xll.qwTblData(_xll.qwCurveScenariosPerSecurity($A$1,F65,"Crv210")),2,2)))</f>
        <v>-54371.408744355744</v>
      </c>
      <c r="X65" s="7" cm="1">
        <f t="array" ref="X65">ABS(Q65/_xll.qwMV01($A$1,"CT10"))</f>
        <v>24.096604260691315</v>
      </c>
      <c r="Y65" s="7" cm="1">
        <f t="array" ref="Y65">IF(N65="BondFuture",-(_xll.qwCurveYield($A$1,_xll.qwSecVal($A$1,AA65,"CreditCurveName()"),AA65)-_xll.qwCurveYield($A$4,_xll.qwSecVal($A$4,AA65,"CreditCurveName()"),AA65))*P65*10000,IF(N65="Bond",-(_xll.qwCurveYield($A$1,_xll.qwSecVal($A$1,F65,"CreditCurveName()"),F65)-_xll.qwCurveYield($A$4,_xll.qwSecVal($A$4,F65,"CreditCurveName()"),F65))*P65*10000,O65))</f>
        <v>180057.74457990759</v>
      </c>
      <c r="Z65" s="7" cm="1">
        <f t="array" ref="Z65">IF(OR(N65="BondFuture",N65="Bond"),P65*(_xll.qwCurveZSpread($A$4,_xll.qwSecVal($A$1,AA65,"CreditCurveName()"),AA65)-_xll.qwCurveZSpread($A$1,_xll.qwSecVal($A$1,AA65,"CreditCurveName()"),AA65)),0)</f>
        <v>0</v>
      </c>
      <c r="AA65" s="10" cm="1">
        <f t="array" ref="AA65">IF(_xll.qwSecType(F65)="Bond",F65,IF(_xll.qwSecType(F65)="BondFuture",_xll.qwFutCTD($A$1,F65),0))</f>
        <v>0</v>
      </c>
      <c r="AB65" s="7" cm="1">
        <f t="array" ref="AB65">IF(_xll.qwSecType(F65)="BondFuture",(I65*_xll.qwDelta($A$4,F65)*_xll.qwMVFactor($A$1,F65)/_xll.qwMVFactor($A$1,_xll.qwFutCTD($A$1,F65)))*(_xll.qwFXRate($A$1,F65)*_xll.qwMVFactor($A$1,_xll.qwFutCTD($A$1,F65))*(_xll.qwIncome($A$4,_xll.qwFutCTD($A$4,F65),_xll.qwBondSettle($A$4,_xll.qwFutCTD($A$4,F65)),_xll.qwBondSettle($A$1,_xll.qwFutCTD($A$1,F65)))+(_xll.qwBondDirtyPrice($A$1,_xll.qwFutCTD($A$1,F65))-_xll.qwBondDirtyPrice($A$4,_xll.qwFutCTD($A$4,F65)))-_xll.qwBondRepoFromTo($A$1,_xll.qwFutCTD($A$1,F65),_xll.qwBondSettle($A$4,_xll.qwFutCTD($A$4,F65)),_xll.qwBondSettle($A$1,_xll.qwFutCTD($A$1,F65)))))-O65,0)</f>
        <v>0</v>
      </c>
    </row>
    <row r="66" spans="2:36" s="8" customFormat="1" hidden="1" x14ac:dyDescent="0.35">
      <c r="B66" s="8" t="str">
        <v>pzhao</v>
      </c>
      <c r="C66" s="8" t="str">
        <v>PPA</v>
      </c>
      <c r="D66" s="8" t="str">
        <v>pzhao|PPA|RV_RATES_EUR_SWAPS-CURVE|234811094</v>
      </c>
      <c r="E66" s="8" t="str">
        <v>RV_RATES_EUR_SWAPS-CURVE</v>
      </c>
      <c r="F66" s="8" t="str">
        <v>234811094</v>
      </c>
      <c r="G66" s="8">
        <v>9.1080000000000005</v>
      </c>
      <c r="H66" s="8">
        <v>0</v>
      </c>
      <c r="I66" s="8">
        <v>9.1080000000000005</v>
      </c>
      <c r="J66" s="8">
        <v>0</v>
      </c>
      <c r="K66" s="8">
        <v>0</v>
      </c>
      <c r="L66" s="8">
        <v>0</v>
      </c>
      <c r="M66" s="8">
        <v>0</v>
      </c>
      <c r="N66" s="8" t="str">
        <v>SwapTrade</v>
      </c>
      <c r="O66" s="7" cm="1">
        <f t="array" ref="O66">(_xll.qwPrice($A$1,F66)-_xll.qwPrice($A$4,F66))*_xll.qwMVFactor($A$1,F66)*I66*_xll.qwFXRate($A$1,F66)</f>
        <v>179524.67967269162</v>
      </c>
      <c r="P66" s="7" cm="1">
        <f t="array" ref="P66">IF(ISNUMBER(_xll.qwDV01($A$1,F66)*I66*_xll.qwMVFactor($A$1,F66)*_xll.qwFXRate($A$1,F66)),_xll.qwDV01($A$1,F66)*I66*_xll.qwMVFactor($A$1,F66)*_xll.qwFXRate($A$1,F66),0)</f>
        <v>17740.179558207445</v>
      </c>
      <c r="Q66" s="7" cm="1">
        <f t="array" ref="Q66">IF(ISNUMBER(_xll.qwDV01($A$1,F66)*G66*_xll.qwMVFactor($A$1,F66)*_xll.qwFXRate($A$1,F66)),_xll.qwDV01($A$1,F66)*G66*_xll.qwMVFactor($A$1,F66)*_xll.qwFXRate($A$1,F66),0)</f>
        <v>17740.179558207445</v>
      </c>
      <c r="R66" s="7" cm="1">
        <f t="array" ref="R66">IF(ISNUMBER(_xll.qwDV01($A$1,F66)*J66*_xll.qwMVFactor($A$1,F66)*_xll.qwFXRate($A$1,F66)),_xll.qwDV01($A$1,F66)*J66*_xll.qwMVFactor($A$1,F66)*_xll.qwFXRate($A$1,F66),0)</f>
        <v>0</v>
      </c>
      <c r="S66" s="7" cm="1">
        <f t="array" ref="S66">IF(ISNUMBER(_xll.qwDV01($A$1,F66)*J66*_xll.qwMVFactor($A$1,F66)*_xll.qwFXRate($A$1,F66)),_xll.qwDV01($A$1,F66)*J66*_xll.qwMVFactor($A$1,F66)*_xll.qwFXRate($A$1,F66),0)</f>
        <v>0</v>
      </c>
      <c r="T66" s="7" cm="1">
        <f t="array" ref="T66">_xll.qwFXRate($A$1,F66)*J66*(_xll.qwPrice($A$1,F66)-M66)*_xll.qwMVFactor($A$1,F66)</f>
        <v>0</v>
      </c>
      <c r="U66" s="9" cm="1">
        <f t="array" ref="U66">_xll.qwYield($A$1,F66)</f>
        <v>3.4375204318679124E-2</v>
      </c>
      <c r="V66" s="9" cm="1">
        <f t="array" ref="V66">100*(_xll.qwYield($A$4,F66)-U66)</f>
        <v>0.10188021017278545</v>
      </c>
      <c r="W66" s="7">
        <f>IF(ISNA(G66*INDEX(_xll.qwTblData(_xll.qwCurveScenariosPerSecurity($A$1,F66,"Crv210")),2,2)),0,(G66*INDEX(_xll.qwTblData(_xll.qwCurveScenariosPerSecurity($A$1,F66,"Crv210")),2,2)))</f>
        <v>-54450.058257327219</v>
      </c>
      <c r="X66" s="7" cm="1">
        <f t="array" ref="X66">ABS(Q66/_xll.qwMV01($A$1,"CT10"))</f>
        <v>24.026234998397243</v>
      </c>
      <c r="Y66" s="7" cm="1">
        <f t="array" ref="Y66">IF(N66="BondFuture",-(_xll.qwCurveYield($A$1,_xll.qwSecVal($A$1,AA66,"CreditCurveName()"),AA66)-_xll.qwCurveYield($A$4,_xll.qwSecVal($A$4,AA66,"CreditCurveName()"),AA66))*P66*10000,IF(N66="Bond",-(_xll.qwCurveYield($A$1,_xll.qwSecVal($A$1,F66,"CreditCurveName()"),F66)-_xll.qwCurveYield($A$4,_xll.qwSecVal($A$4,F66,"CreditCurveName()"),F66))*P66*10000,O66))</f>
        <v>179524.67967269162</v>
      </c>
      <c r="Z66" s="7" cm="1">
        <f t="array" ref="Z66">IF(OR(N66="BondFuture",N66="Bond"),P66*(_xll.qwCurveZSpread($A$4,_xll.qwSecVal($A$1,AA66,"CreditCurveName()"),AA66)-_xll.qwCurveZSpread($A$1,_xll.qwSecVal($A$1,AA66,"CreditCurveName()"),AA66)),0)</f>
        <v>0</v>
      </c>
      <c r="AA66" s="10" cm="1">
        <f t="array" ref="AA66">IF(_xll.qwSecType(F66)="Bond",F66,IF(_xll.qwSecType(F66)="BondFuture",_xll.qwFutCTD($A$1,F66),0))</f>
        <v>0</v>
      </c>
      <c r="AB66" s="7" cm="1">
        <f t="array" ref="AB66">IF(_xll.qwSecType(F66)="BondFuture",(I66*_xll.qwDelta($A$4,F66)*_xll.qwMVFactor($A$1,F66)/_xll.qwMVFactor($A$1,_xll.qwFutCTD($A$1,F66)))*(_xll.qwFXRate($A$1,F66)*_xll.qwMVFactor($A$1,_xll.qwFutCTD($A$1,F66))*(_xll.qwIncome($A$4,_xll.qwFutCTD($A$4,F66),_xll.qwBondSettle($A$4,_xll.qwFutCTD($A$4,F66)),_xll.qwBondSettle($A$1,_xll.qwFutCTD($A$1,F66)))+(_xll.qwBondDirtyPrice($A$1,_xll.qwFutCTD($A$1,F66))-_xll.qwBondDirtyPrice($A$4,_xll.qwFutCTD($A$4,F66)))-_xll.qwBondRepoFromTo($A$1,_xll.qwFutCTD($A$1,F66),_xll.qwBondSettle($A$4,_xll.qwFutCTD($A$4,F66)),_xll.qwBondSettle($A$1,_xll.qwFutCTD($A$1,F66)))))-O66,0)</f>
        <v>0</v>
      </c>
    </row>
    <row r="67" spans="2:36" s="8" customFormat="1" hidden="1" x14ac:dyDescent="0.35">
      <c r="B67" s="8" t="str">
        <v>pzhao</v>
      </c>
      <c r="C67" s="8" t="str">
        <v>PPA</v>
      </c>
      <c r="D67" s="8" t="str">
        <v>pzhao|PPA|RV_RATES_EUR_SWAPS-CURVE|235378975</v>
      </c>
      <c r="E67" s="8" t="str">
        <v>RV_RATES_EUR_SWAPS-CURVE</v>
      </c>
      <c r="F67" s="8" t="str">
        <v>235378975</v>
      </c>
      <c r="G67" s="8">
        <v>10.007999999999999</v>
      </c>
      <c r="H67" s="8">
        <v>0</v>
      </c>
      <c r="I67" s="8">
        <v>10.007999999999999</v>
      </c>
      <c r="J67" s="8">
        <v>0</v>
      </c>
      <c r="K67" s="8">
        <v>0</v>
      </c>
      <c r="L67" s="8">
        <v>0</v>
      </c>
      <c r="M67" s="8">
        <v>0</v>
      </c>
      <c r="N67" s="8" t="str">
        <v>SwapTrade</v>
      </c>
      <c r="O67" s="7" cm="1">
        <f t="array" ref="O67">(_xll.qwPrice($A$1,F67)-_xll.qwPrice($A$4,F67))*_xll.qwMVFactor($A$1,F67)*I67*_xll.qwFXRate($A$1,F67)</f>
        <v>-221949.28911516565</v>
      </c>
      <c r="P67" s="7" cm="1">
        <f t="array" ref="P67">IF(ISNUMBER(_xll.qwDV01($A$1,F67)*I67*_xll.qwMVFactor($A$1,F67)*_xll.qwFXRate($A$1,F67)),_xll.qwDV01($A$1,F67)*I67*_xll.qwMVFactor($A$1,F67)*_xll.qwFXRate($A$1,F67),0)</f>
        <v>-23070.51836713983</v>
      </c>
      <c r="Q67" s="7" cm="1">
        <f t="array" ref="Q67">IF(ISNUMBER(_xll.qwDV01($A$1,F67)*G67*_xll.qwMVFactor($A$1,F67)*_xll.qwFXRate($A$1,F67)),_xll.qwDV01($A$1,F67)*G67*_xll.qwMVFactor($A$1,F67)*_xll.qwFXRate($A$1,F67),0)</f>
        <v>-23070.51836713983</v>
      </c>
      <c r="R67" s="7" cm="1">
        <f t="array" ref="R67">IF(ISNUMBER(_xll.qwDV01($A$1,F67)*J67*_xll.qwMVFactor($A$1,F67)*_xll.qwFXRate($A$1,F67)),_xll.qwDV01($A$1,F67)*J67*_xll.qwMVFactor($A$1,F67)*_xll.qwFXRate($A$1,F67),0)</f>
        <v>0</v>
      </c>
      <c r="S67" s="7" cm="1">
        <f t="array" ref="S67">IF(ISNUMBER(_xll.qwDV01($A$1,F67)*J67*_xll.qwMVFactor($A$1,F67)*_xll.qwFXRate($A$1,F67)),_xll.qwDV01($A$1,F67)*J67*_xll.qwMVFactor($A$1,F67)*_xll.qwFXRate($A$1,F67),0)</f>
        <v>0</v>
      </c>
      <c r="T67" s="7" cm="1">
        <f t="array" ref="T67">_xll.qwFXRate($A$1,F67)*J67*(_xll.qwPrice($A$1,F67)-M67)*_xll.qwMVFactor($A$1,F67)</f>
        <v>0</v>
      </c>
      <c r="U67" s="9" cm="1">
        <f t="array" ref="U67">_xll.qwYield($A$1,F67)</f>
        <v>3.2548677616055628E-2</v>
      </c>
      <c r="V67" s="9" cm="1">
        <f t="array" ref="V67">100*(_xll.qwYield($A$4,F67)-U67)</f>
        <v>9.7405967705694457E-2</v>
      </c>
      <c r="W67" s="7">
        <f>IF(ISNA(G67*INDEX(_xll.qwTblData(_xll.qwCurveScenariosPerSecurity($A$1,F67,"Crv210")),2,2)),0,(G67*INDEX(_xll.qwTblData(_xll.qwCurveScenariosPerSecurity($A$1,F67,"Crv210")),2,2)))</f>
        <v>101384.64264809208</v>
      </c>
      <c r="X67" s="7" cm="1">
        <f t="array" ref="X67">ABS(Q67/_xll.qwMV01($A$1,"CT10"))</f>
        <v>31.245326125647761</v>
      </c>
      <c r="Y67" s="7" cm="1">
        <f t="array" ref="Y67">IF(N67="BondFuture",-(_xll.qwCurveYield($A$1,_xll.qwSecVal($A$1,AA67,"CreditCurveName()"),AA67)-_xll.qwCurveYield($A$4,_xll.qwSecVal($A$4,AA67,"CreditCurveName()"),AA67))*P67*10000,IF(N67="Bond",-(_xll.qwCurveYield($A$1,_xll.qwSecVal($A$1,F67,"CreditCurveName()"),F67)-_xll.qwCurveYield($A$4,_xll.qwSecVal($A$4,F67,"CreditCurveName()"),F67))*P67*10000,O67))</f>
        <v>-221949.28911516565</v>
      </c>
      <c r="Z67" s="7" cm="1">
        <f t="array" ref="Z67">IF(OR(N67="BondFuture",N67="Bond"),P67*(_xll.qwCurveZSpread($A$4,_xll.qwSecVal($A$1,AA67,"CreditCurveName()"),AA67)-_xll.qwCurveZSpread($A$1,_xll.qwSecVal($A$1,AA67,"CreditCurveName()"),AA67)),0)</f>
        <v>0</v>
      </c>
      <c r="AA67" s="10" cm="1">
        <f t="array" ref="AA67">IF(_xll.qwSecType(F67)="Bond",F67,IF(_xll.qwSecType(F67)="BondFuture",_xll.qwFutCTD($A$1,F67),0))</f>
        <v>0</v>
      </c>
      <c r="AB67" s="7" cm="1">
        <f t="array" ref="AB67">IF(_xll.qwSecType(F67)="BondFuture",(I67*_xll.qwDelta($A$4,F67)*_xll.qwMVFactor($A$1,F67)/_xll.qwMVFactor($A$1,_xll.qwFutCTD($A$1,F67)))*(_xll.qwFXRate($A$1,F67)*_xll.qwMVFactor($A$1,_xll.qwFutCTD($A$1,F67))*(_xll.qwIncome($A$4,_xll.qwFutCTD($A$4,F67),_xll.qwBondSettle($A$4,_xll.qwFutCTD($A$4,F67)),_xll.qwBondSettle($A$1,_xll.qwFutCTD($A$1,F67)))+(_xll.qwBondDirtyPrice($A$1,_xll.qwFutCTD($A$1,F67))-_xll.qwBondDirtyPrice($A$4,_xll.qwFutCTD($A$4,F67)))-_xll.qwBondRepoFromTo($A$1,_xll.qwFutCTD($A$1,F67),_xll.qwBondSettle($A$4,_xll.qwFutCTD($A$4,F67)),_xll.qwBondSettle($A$1,_xll.qwFutCTD($A$1,F67)))))-O67,0)</f>
        <v>0</v>
      </c>
    </row>
    <row r="68" spans="2:36" s="8" customFormat="1" hidden="1" x14ac:dyDescent="0.35">
      <c r="B68" s="8" t="str">
        <v>pzhao</v>
      </c>
      <c r="C68" s="8" t="str">
        <v>PPA</v>
      </c>
      <c r="D68" s="8" t="str">
        <v>pzhao|PPA|RV_RATES_EUR_SWAPS-CURVE|235379176</v>
      </c>
      <c r="E68" s="8" t="str">
        <v>RV_RATES_EUR_SWAPS-CURVE</v>
      </c>
      <c r="F68" s="8" t="str">
        <v>235379176</v>
      </c>
      <c r="G68" s="8">
        <v>10.007999999999999</v>
      </c>
      <c r="H68" s="8">
        <v>0</v>
      </c>
      <c r="I68" s="8">
        <v>10.007999999999999</v>
      </c>
      <c r="J68" s="8">
        <v>0</v>
      </c>
      <c r="K68" s="8">
        <v>0</v>
      </c>
      <c r="L68" s="8">
        <v>0</v>
      </c>
      <c r="M68" s="8">
        <v>0</v>
      </c>
      <c r="N68" s="8" t="str">
        <v>SwapTrade</v>
      </c>
      <c r="O68" s="7" cm="1">
        <f t="array" ref="O68">(_xll.qwPrice($A$1,F68)-_xll.qwPrice($A$4,F68))*_xll.qwMVFactor($A$1,F68)*I68*_xll.qwFXRate($A$1,F68)</f>
        <v>-221798.54290510732</v>
      </c>
      <c r="P68" s="7" cm="1">
        <f t="array" ref="P68">IF(ISNUMBER(_xll.qwDV01($A$1,F68)*I68*_xll.qwMVFactor($A$1,F68)*_xll.qwFXRate($A$1,F68)),_xll.qwDV01($A$1,F68)*I68*_xll.qwMVFactor($A$1,F68)*_xll.qwFXRate($A$1,F68),0)</f>
        <v>-23055.428226552256</v>
      </c>
      <c r="Q68" s="7" cm="1">
        <f t="array" ref="Q68">IF(ISNUMBER(_xll.qwDV01($A$1,F68)*G68*_xll.qwMVFactor($A$1,F68)*_xll.qwFXRate($A$1,F68)),_xll.qwDV01($A$1,F68)*G68*_xll.qwMVFactor($A$1,F68)*_xll.qwFXRate($A$1,F68),0)</f>
        <v>-23055.428226552256</v>
      </c>
      <c r="R68" s="7" cm="1">
        <f t="array" ref="R68">IF(ISNUMBER(_xll.qwDV01($A$1,F68)*J68*_xll.qwMVFactor($A$1,F68)*_xll.qwFXRate($A$1,F68)),_xll.qwDV01($A$1,F68)*J68*_xll.qwMVFactor($A$1,F68)*_xll.qwFXRate($A$1,F68),0)</f>
        <v>0</v>
      </c>
      <c r="S68" s="7" cm="1">
        <f t="array" ref="S68">IF(ISNUMBER(_xll.qwDV01($A$1,F68)*J68*_xll.qwMVFactor($A$1,F68)*_xll.qwFXRate($A$1,F68)),_xll.qwDV01($A$1,F68)*J68*_xll.qwMVFactor($A$1,F68)*_xll.qwFXRate($A$1,F68),0)</f>
        <v>0</v>
      </c>
      <c r="T68" s="7" cm="1">
        <f t="array" ref="T68">_xll.qwFXRate($A$1,F68)*J68*(_xll.qwPrice($A$1,F68)-M68)*_xll.qwMVFactor($A$1,F68)</f>
        <v>0</v>
      </c>
      <c r="U68" s="9" cm="1">
        <f t="array" ref="U68">_xll.qwYield($A$1,F68)</f>
        <v>3.2548677616055628E-2</v>
      </c>
      <c r="V68" s="9" cm="1">
        <f t="array" ref="V68">100*(_xll.qwYield($A$4,F68)-U68)</f>
        <v>9.7405967705694457E-2</v>
      </c>
      <c r="W68" s="7">
        <f>IF(ISNA(G68*INDEX(_xll.qwTblData(_xll.qwCurveScenariosPerSecurity($A$1,F68,"Crv210")),2,2)),0,(G68*INDEX(_xll.qwTblData(_xll.qwCurveScenariosPerSecurity($A$1,F68,"Crv210")),2,2)))</f>
        <v>102071.60450396933</v>
      </c>
      <c r="X68" s="7" cm="1">
        <f t="array" ref="X68">ABS(Q68/_xll.qwMV01($A$1,"CT10"))</f>
        <v>31.224888944461046</v>
      </c>
      <c r="Y68" s="7" cm="1">
        <f t="array" ref="Y68">IF(N68="BondFuture",-(_xll.qwCurveYield($A$1,_xll.qwSecVal($A$1,AA68,"CreditCurveName()"),AA68)-_xll.qwCurveYield($A$4,_xll.qwSecVal($A$4,AA68,"CreditCurveName()"),AA68))*P68*10000,IF(N68="Bond",-(_xll.qwCurveYield($A$1,_xll.qwSecVal($A$1,F68,"CreditCurveName()"),F68)-_xll.qwCurveYield($A$4,_xll.qwSecVal($A$4,F68,"CreditCurveName()"),F68))*P68*10000,O68))</f>
        <v>-221798.54290510732</v>
      </c>
      <c r="Z68" s="7" cm="1">
        <f t="array" ref="Z68">IF(OR(N68="BondFuture",N68="Bond"),P68*(_xll.qwCurveZSpread($A$4,_xll.qwSecVal($A$1,AA68,"CreditCurveName()"),AA68)-_xll.qwCurveZSpread($A$1,_xll.qwSecVal($A$1,AA68,"CreditCurveName()"),AA68)),0)</f>
        <v>0</v>
      </c>
      <c r="AA68" s="10" cm="1">
        <f t="array" ref="AA68">IF(_xll.qwSecType(F68)="Bond",F68,IF(_xll.qwSecType(F68)="BondFuture",_xll.qwFutCTD($A$1,F68),0))</f>
        <v>0</v>
      </c>
      <c r="AB68" s="7" cm="1">
        <f t="array" ref="AB68">IF(_xll.qwSecType(F68)="BondFuture",(I68*_xll.qwDelta($A$4,F68)*_xll.qwMVFactor($A$1,F68)/_xll.qwMVFactor($A$1,_xll.qwFutCTD($A$1,F68)))*(_xll.qwFXRate($A$1,F68)*_xll.qwMVFactor($A$1,_xll.qwFutCTD($A$1,F68))*(_xll.qwIncome($A$4,_xll.qwFutCTD($A$4,F68),_xll.qwBondSettle($A$4,_xll.qwFutCTD($A$4,F68)),_xll.qwBondSettle($A$1,_xll.qwFutCTD($A$1,F68)))+(_xll.qwBondDirtyPrice($A$1,_xll.qwFutCTD($A$1,F68))-_xll.qwBondDirtyPrice($A$4,_xll.qwFutCTD($A$4,F68)))-_xll.qwBondRepoFromTo($A$1,_xll.qwFutCTD($A$1,F68),_xll.qwBondSettle($A$4,_xll.qwFutCTD($A$4,F68)),_xll.qwBondSettle($A$1,_xll.qwFutCTD($A$1,F68)))))-O68,0)</f>
        <v>0</v>
      </c>
    </row>
    <row r="69" spans="2:36" s="8" customFormat="1" hidden="1" x14ac:dyDescent="0.35">
      <c r="B69" s="8" t="str">
        <v>pzhao</v>
      </c>
      <c r="C69" s="8" t="str">
        <v>PPA</v>
      </c>
      <c r="D69" s="8" t="str">
        <v>pzhao|PPA|RV_RATES_EUR_SWAPS-CURVE|235379184</v>
      </c>
      <c r="E69" s="8" t="str">
        <v>RV_RATES_EUR_SWAPS-CURVE</v>
      </c>
      <c r="F69" s="8" t="str">
        <v>235379184</v>
      </c>
      <c r="G69" s="8">
        <v>10.007999999999999</v>
      </c>
      <c r="H69" s="8">
        <v>0</v>
      </c>
      <c r="I69" s="8">
        <v>10.007999999999999</v>
      </c>
      <c r="J69" s="8">
        <v>0</v>
      </c>
      <c r="K69" s="8">
        <v>0</v>
      </c>
      <c r="L69" s="8">
        <v>0</v>
      </c>
      <c r="M69" s="8">
        <v>0</v>
      </c>
      <c r="N69" s="8" t="str">
        <v>SwapTrade</v>
      </c>
      <c r="O69" s="7" cm="1">
        <f t="array" ref="O69">(_xll.qwPrice($A$1,F69)-_xll.qwPrice($A$4,F69))*_xll.qwMVFactor($A$1,F69)*I69*_xll.qwFXRate($A$1,F69)</f>
        <v>-221672.62125063478</v>
      </c>
      <c r="P69" s="7" cm="1">
        <f t="array" ref="P69">IF(ISNUMBER(_xll.qwDV01($A$1,F69)*I69*_xll.qwMVFactor($A$1,F69)*_xll.qwFXRate($A$1,F69)),_xll.qwDV01($A$1,F69)*I69*_xll.qwMVFactor($A$1,F69)*_xll.qwFXRate($A$1,F69),0)</f>
        <v>-23042.823097253782</v>
      </c>
      <c r="Q69" s="7" cm="1">
        <f t="array" ref="Q69">IF(ISNUMBER(_xll.qwDV01($A$1,F69)*G69*_xll.qwMVFactor($A$1,F69)*_xll.qwFXRate($A$1,F69)),_xll.qwDV01($A$1,F69)*G69*_xll.qwMVFactor($A$1,F69)*_xll.qwFXRate($A$1,F69),0)</f>
        <v>-23042.823097253782</v>
      </c>
      <c r="R69" s="7" cm="1">
        <f t="array" ref="R69">IF(ISNUMBER(_xll.qwDV01($A$1,F69)*J69*_xll.qwMVFactor($A$1,F69)*_xll.qwFXRate($A$1,F69)),_xll.qwDV01($A$1,F69)*J69*_xll.qwMVFactor($A$1,F69)*_xll.qwFXRate($A$1,F69),0)</f>
        <v>0</v>
      </c>
      <c r="S69" s="7" cm="1">
        <f t="array" ref="S69">IF(ISNUMBER(_xll.qwDV01($A$1,F69)*J69*_xll.qwMVFactor($A$1,F69)*_xll.qwFXRate($A$1,F69)),_xll.qwDV01($A$1,F69)*J69*_xll.qwMVFactor($A$1,F69)*_xll.qwFXRate($A$1,F69),0)</f>
        <v>0</v>
      </c>
      <c r="T69" s="7" cm="1">
        <f t="array" ref="T69">_xll.qwFXRate($A$1,F69)*J69*(_xll.qwPrice($A$1,F69)-M69)*_xll.qwMVFactor($A$1,F69)</f>
        <v>0</v>
      </c>
      <c r="U69" s="9" cm="1">
        <f t="array" ref="U69">_xll.qwYield($A$1,F69)</f>
        <v>3.2548677616055628E-2</v>
      </c>
      <c r="V69" s="9" cm="1">
        <f t="array" ref="V69">100*(_xll.qwYield($A$4,F69)-U69)</f>
        <v>9.7405967705694457E-2</v>
      </c>
      <c r="W69" s="7">
        <f>IF(ISNA(G69*INDEX(_xll.qwTblData(_xll.qwCurveScenariosPerSecurity($A$1,F69,"Crv210")),2,2)),0,(G69*INDEX(_xll.qwTblData(_xll.qwCurveScenariosPerSecurity($A$1,F69,"Crv210")),2,2)))</f>
        <v>100753.35744344998</v>
      </c>
      <c r="X69" s="7" cm="1">
        <f t="array" ref="X69">ABS(Q69/_xll.qwMV01($A$1,"CT10"))</f>
        <v>31.207817313493806</v>
      </c>
      <c r="Y69" s="7" cm="1">
        <f t="array" ref="Y69">IF(N69="BondFuture",-(_xll.qwCurveYield($A$1,_xll.qwSecVal($A$1,AA69,"CreditCurveName()"),AA69)-_xll.qwCurveYield($A$4,_xll.qwSecVal($A$4,AA69,"CreditCurveName()"),AA69))*P69*10000,IF(N69="Bond",-(_xll.qwCurveYield($A$1,_xll.qwSecVal($A$1,F69,"CreditCurveName()"),F69)-_xll.qwCurveYield($A$4,_xll.qwSecVal($A$4,F69,"CreditCurveName()"),F69))*P69*10000,O69))</f>
        <v>-221672.62125063478</v>
      </c>
      <c r="Z69" s="7" cm="1">
        <f t="array" ref="Z69">IF(OR(N69="BondFuture",N69="Bond"),P69*(_xll.qwCurveZSpread($A$4,_xll.qwSecVal($A$1,AA69,"CreditCurveName()"),AA69)-_xll.qwCurveZSpread($A$1,_xll.qwSecVal($A$1,AA69,"CreditCurveName()"),AA69)),0)</f>
        <v>0</v>
      </c>
      <c r="AA69" s="10" cm="1">
        <f t="array" ref="AA69">IF(_xll.qwSecType(F69)="Bond",F69,IF(_xll.qwSecType(F69)="BondFuture",_xll.qwFutCTD($A$1,F69),0))</f>
        <v>0</v>
      </c>
      <c r="AB69" s="7" cm="1">
        <f t="array" ref="AB69">IF(_xll.qwSecType(F69)="BondFuture",(I69*_xll.qwDelta($A$4,F69)*_xll.qwMVFactor($A$1,F69)/_xll.qwMVFactor($A$1,_xll.qwFutCTD($A$1,F69)))*(_xll.qwFXRate($A$1,F69)*_xll.qwMVFactor($A$1,_xll.qwFutCTD($A$1,F69))*(_xll.qwIncome($A$4,_xll.qwFutCTD($A$4,F69),_xll.qwBondSettle($A$4,_xll.qwFutCTD($A$4,F69)),_xll.qwBondSettle($A$1,_xll.qwFutCTD($A$1,F69)))+(_xll.qwBondDirtyPrice($A$1,_xll.qwFutCTD($A$1,F69))-_xll.qwBondDirtyPrice($A$4,_xll.qwFutCTD($A$4,F69)))-_xll.qwBondRepoFromTo($A$1,_xll.qwFutCTD($A$1,F69),_xll.qwBondSettle($A$4,_xll.qwFutCTD($A$4,F69)),_xll.qwBondSettle($A$1,_xll.qwFutCTD($A$1,F69)))))-O69,0)</f>
        <v>0</v>
      </c>
    </row>
    <row r="70" spans="2:36" s="8" customFormat="1" hidden="1" x14ac:dyDescent="0.35">
      <c r="B70" s="8" t="str">
        <v>pzhao</v>
      </c>
      <c r="C70" s="8" t="str">
        <v>PPA</v>
      </c>
      <c r="D70" s="8" t="str">
        <v>pzhao|PPA|RV_RATES_EUR_SWAPS-CURVE|235379193</v>
      </c>
      <c r="E70" s="8" t="str">
        <v>RV_RATES_EUR_SWAPS-CURVE</v>
      </c>
      <c r="F70" s="8" t="str">
        <v>235379193</v>
      </c>
      <c r="G70" s="8">
        <v>10.007999999999999</v>
      </c>
      <c r="H70" s="8">
        <v>0</v>
      </c>
      <c r="I70" s="8">
        <v>10.007999999999999</v>
      </c>
      <c r="J70" s="8">
        <v>0</v>
      </c>
      <c r="K70" s="8">
        <v>0</v>
      </c>
      <c r="L70" s="8">
        <v>0</v>
      </c>
      <c r="M70" s="8">
        <v>0</v>
      </c>
      <c r="N70" s="8" t="str">
        <v>SwapTrade</v>
      </c>
      <c r="O70" s="7" cm="1">
        <f t="array" ref="O70">(_xll.qwPrice($A$1,F70)-_xll.qwPrice($A$4,F70))*_xll.qwMVFactor($A$1,F70)*I70*_xll.qwFXRate($A$1,F70)</f>
        <v>-221729.10610666996</v>
      </c>
      <c r="P70" s="7" cm="1">
        <f t="array" ref="P70">IF(ISNUMBER(_xll.qwDV01($A$1,F70)*I70*_xll.qwMVFactor($A$1,F70)*_xll.qwFXRate($A$1,F70)),_xll.qwDV01($A$1,F70)*I70*_xll.qwMVFactor($A$1,F70)*_xll.qwFXRate($A$1,F70),0)</f>
        <v>-23048.47739807122</v>
      </c>
      <c r="Q70" s="7" cm="1">
        <f t="array" ref="Q70">IF(ISNUMBER(_xll.qwDV01($A$1,F70)*G70*_xll.qwMVFactor($A$1,F70)*_xll.qwFXRate($A$1,F70)),_xll.qwDV01($A$1,F70)*G70*_xll.qwMVFactor($A$1,F70)*_xll.qwFXRate($A$1,F70),0)</f>
        <v>-23048.47739807122</v>
      </c>
      <c r="R70" s="7" cm="1">
        <f t="array" ref="R70">IF(ISNUMBER(_xll.qwDV01($A$1,F70)*J70*_xll.qwMVFactor($A$1,F70)*_xll.qwFXRate($A$1,F70)),_xll.qwDV01($A$1,F70)*J70*_xll.qwMVFactor($A$1,F70)*_xll.qwFXRate($A$1,F70),0)</f>
        <v>0</v>
      </c>
      <c r="S70" s="7" cm="1">
        <f t="array" ref="S70">IF(ISNUMBER(_xll.qwDV01($A$1,F70)*J70*_xll.qwMVFactor($A$1,F70)*_xll.qwFXRate($A$1,F70)),_xll.qwDV01($A$1,F70)*J70*_xll.qwMVFactor($A$1,F70)*_xll.qwFXRate($A$1,F70),0)</f>
        <v>0</v>
      </c>
      <c r="T70" s="7" cm="1">
        <f t="array" ref="T70">_xll.qwFXRate($A$1,F70)*J70*(_xll.qwPrice($A$1,F70)-M70)*_xll.qwMVFactor($A$1,F70)</f>
        <v>0</v>
      </c>
      <c r="U70" s="9" cm="1">
        <f t="array" ref="U70">_xll.qwYield($A$1,F70)</f>
        <v>3.2548677616055628E-2</v>
      </c>
      <c r="V70" s="9" cm="1">
        <f t="array" ref="V70">100*(_xll.qwYield($A$4,F70)-U70)</f>
        <v>9.7405967705694457E-2</v>
      </c>
      <c r="W70" s="7">
        <f>IF(ISNA(G70*INDEX(_xll.qwTblData(_xll.qwCurveScenariosPerSecurity($A$1,F70,"Crv210")),2,2)),0,(G70*INDEX(_xll.qwTblData(_xll.qwCurveScenariosPerSecurity($A$1,F70,"Crv210")),2,2)))</f>
        <v>102016.2459772462</v>
      </c>
      <c r="X70" s="7" cm="1">
        <f t="array" ref="X70">ABS(Q70/_xll.qwMV01($A$1,"CT10"))</f>
        <v>31.215475159331593</v>
      </c>
      <c r="Y70" s="7" cm="1">
        <f t="array" ref="Y70">IF(N70="BondFuture",-(_xll.qwCurveYield($A$1,_xll.qwSecVal($A$1,AA70,"CreditCurveName()"),AA70)-_xll.qwCurveYield($A$4,_xll.qwSecVal($A$4,AA70,"CreditCurveName()"),AA70))*P70*10000,IF(N70="Bond",-(_xll.qwCurveYield($A$1,_xll.qwSecVal($A$1,F70,"CreditCurveName()"),F70)-_xll.qwCurveYield($A$4,_xll.qwSecVal($A$4,F70,"CreditCurveName()"),F70))*P70*10000,O70))</f>
        <v>-221729.10610666996</v>
      </c>
      <c r="Z70" s="7" cm="1">
        <f t="array" ref="Z70">IF(OR(N70="BondFuture",N70="Bond"),P70*(_xll.qwCurveZSpread($A$4,_xll.qwSecVal($A$1,AA70,"CreditCurveName()"),AA70)-_xll.qwCurveZSpread($A$1,_xll.qwSecVal($A$1,AA70,"CreditCurveName()"),AA70)),0)</f>
        <v>0</v>
      </c>
      <c r="AA70" s="10" cm="1">
        <f t="array" ref="AA70">IF(_xll.qwSecType(F70)="Bond",F70,IF(_xll.qwSecType(F70)="BondFuture",_xll.qwFutCTD($A$1,F70),0))</f>
        <v>0</v>
      </c>
      <c r="AB70" s="7" cm="1">
        <f t="array" ref="AB70">IF(_xll.qwSecType(F70)="BondFuture",(I70*_xll.qwDelta($A$4,F70)*_xll.qwMVFactor($A$1,F70)/_xll.qwMVFactor($A$1,_xll.qwFutCTD($A$1,F70)))*(_xll.qwFXRate($A$1,F70)*_xll.qwMVFactor($A$1,_xll.qwFutCTD($A$1,F70))*(_xll.qwIncome($A$4,_xll.qwFutCTD($A$4,F70),_xll.qwBondSettle($A$4,_xll.qwFutCTD($A$4,F70)),_xll.qwBondSettle($A$1,_xll.qwFutCTD($A$1,F70)))+(_xll.qwBondDirtyPrice($A$1,_xll.qwFutCTD($A$1,F70))-_xll.qwBondDirtyPrice($A$4,_xll.qwFutCTD($A$4,F70)))-_xll.qwBondRepoFromTo($A$1,_xll.qwFutCTD($A$1,F70),_xll.qwBondSettle($A$4,_xll.qwFutCTD($A$4,F70)),_xll.qwBondSettle($A$1,_xll.qwFutCTD($A$1,F70)))))-O70,0)</f>
        <v>0</v>
      </c>
    </row>
    <row r="71" spans="2:36" s="8" customFormat="1" hidden="1" x14ac:dyDescent="0.35">
      <c r="B71" s="8" t="str">
        <v>pzhao</v>
      </c>
      <c r="C71" s="8" t="str">
        <v>PPA</v>
      </c>
      <c r="D71" s="8" t="str">
        <v>pzhao|PPA|RV_RATES_EUR_SWAPS-CURVE|237223586</v>
      </c>
      <c r="E71" s="8" t="str">
        <v>RV_RATES_EUR_SWAPS-CURVE</v>
      </c>
      <c r="F71" s="8" t="str">
        <v>237223586</v>
      </c>
      <c r="G71" s="8">
        <v>15.552</v>
      </c>
      <c r="H71" s="8">
        <v>0</v>
      </c>
      <c r="I71" s="8">
        <v>15.552</v>
      </c>
      <c r="J71" s="8">
        <v>0</v>
      </c>
      <c r="K71" s="8">
        <v>0</v>
      </c>
      <c r="L71" s="8">
        <v>0</v>
      </c>
      <c r="M71" s="8">
        <v>0</v>
      </c>
      <c r="N71" s="8" t="str">
        <v>SwapTrade</v>
      </c>
      <c r="O71" s="7" cm="1">
        <f t="array" ref="O71">(_xll.qwPrice($A$1,F71)-_xll.qwPrice($A$4,F71))*_xll.qwMVFactor($A$1,F71)*I71*_xll.qwFXRate($A$1,F71)</f>
        <v>-349601.77629100287</v>
      </c>
      <c r="P71" s="7" cm="1">
        <f t="array" ref="P71">IF(ISNUMBER(_xll.qwDV01($A$1,F71)*I71*_xll.qwMVFactor($A$1,F71)*_xll.qwFXRate($A$1,F71)),_xll.qwDV01($A$1,F71)*I71*_xll.qwMVFactor($A$1,F71)*_xll.qwFXRate($A$1,F71),0)</f>
        <v>-36099.758686466535</v>
      </c>
      <c r="Q71" s="7" cm="1">
        <f t="array" ref="Q71">IF(ISNUMBER(_xll.qwDV01($A$1,F71)*G71*_xll.qwMVFactor($A$1,F71)*_xll.qwFXRate($A$1,F71)),_xll.qwDV01($A$1,F71)*G71*_xll.qwMVFactor($A$1,F71)*_xll.qwFXRate($A$1,F71),0)</f>
        <v>-36099.758686466535</v>
      </c>
      <c r="R71" s="7" cm="1">
        <f t="array" ref="R71">IF(ISNUMBER(_xll.qwDV01($A$1,F71)*J71*_xll.qwMVFactor($A$1,F71)*_xll.qwFXRate($A$1,F71)),_xll.qwDV01($A$1,F71)*J71*_xll.qwMVFactor($A$1,F71)*_xll.qwFXRate($A$1,F71),0)</f>
        <v>0</v>
      </c>
      <c r="S71" s="7" cm="1">
        <f t="array" ref="S71">IF(ISNUMBER(_xll.qwDV01($A$1,F71)*J71*_xll.qwMVFactor($A$1,F71)*_xll.qwFXRate($A$1,F71)),_xll.qwDV01($A$1,F71)*J71*_xll.qwMVFactor($A$1,F71)*_xll.qwFXRate($A$1,F71),0)</f>
        <v>0</v>
      </c>
      <c r="T71" s="7" cm="1">
        <f t="array" ref="T71">_xll.qwFXRate($A$1,F71)*J71*(_xll.qwPrice($A$1,F71)-M71)*_xll.qwMVFactor($A$1,F71)</f>
        <v>0</v>
      </c>
      <c r="U71" s="9" cm="1">
        <f t="array" ref="U71">_xll.qwYield($A$1,F71)</f>
        <v>3.2539792572015586E-2</v>
      </c>
      <c r="V71" s="9" cm="1">
        <f t="array" ref="V71">100*(_xll.qwYield($A$4,F71)-U71)</f>
        <v>9.7455754595306837E-2</v>
      </c>
      <c r="W71" s="7">
        <f>IF(ISNA(G71*INDEX(_xll.qwTblData(_xll.qwCurveScenariosPerSecurity($A$1,F71,"Crv210")),2,2)),0,(G71*INDEX(_xll.qwTblData(_xll.qwCurveScenariosPerSecurity($A$1,F71,"Crv210")),2,2)))</f>
        <v>160123.89453878647</v>
      </c>
      <c r="X71" s="7" cm="1">
        <f t="array" ref="X71">ABS(Q71/_xll.qwMV01($A$1,"CT10"))</f>
        <v>48.891347618023637</v>
      </c>
      <c r="Y71" s="7" cm="1">
        <f t="array" ref="Y71">IF(N71="BondFuture",-(_xll.qwCurveYield($A$1,_xll.qwSecVal($A$1,AA71,"CreditCurveName()"),AA71)-_xll.qwCurveYield($A$4,_xll.qwSecVal($A$4,AA71,"CreditCurveName()"),AA71))*P71*10000,IF(N71="Bond",-(_xll.qwCurveYield($A$1,_xll.qwSecVal($A$1,F71,"CreditCurveName()"),F71)-_xll.qwCurveYield($A$4,_xll.qwSecVal($A$4,F71,"CreditCurveName()"),F71))*P71*10000,O71))</f>
        <v>-349601.77629100287</v>
      </c>
      <c r="Z71" s="7" cm="1">
        <f t="array" ref="Z71">IF(OR(N71="BondFuture",N71="Bond"),P71*(_xll.qwCurveZSpread($A$4,_xll.qwSecVal($A$1,AA71,"CreditCurveName()"),AA71)-_xll.qwCurveZSpread($A$1,_xll.qwSecVal($A$1,AA71,"CreditCurveName()"),AA71)),0)</f>
        <v>0</v>
      </c>
      <c r="AA71" s="10" cm="1">
        <f t="array" ref="AA71">IF(_xll.qwSecType(F71)="Bond",F71,IF(_xll.qwSecType(F71)="BondFuture",_xll.qwFutCTD($A$1,F71),0))</f>
        <v>0</v>
      </c>
      <c r="AB71" s="7" cm="1">
        <f t="array" ref="AB71">IF(_xll.qwSecType(F71)="BondFuture",(I71*_xll.qwDelta($A$4,F71)*_xll.qwMVFactor($A$1,F71)/_xll.qwMVFactor($A$1,_xll.qwFutCTD($A$1,F71)))*(_xll.qwFXRate($A$1,F71)*_xll.qwMVFactor($A$1,_xll.qwFutCTD($A$1,F71))*(_xll.qwIncome($A$4,_xll.qwFutCTD($A$4,F71),_xll.qwBondSettle($A$4,_xll.qwFutCTD($A$4,F71)),_xll.qwBondSettle($A$1,_xll.qwFutCTD($A$1,F71)))+(_xll.qwBondDirtyPrice($A$1,_xll.qwFutCTD($A$1,F71))-_xll.qwBondDirtyPrice($A$4,_xll.qwFutCTD($A$4,F71)))-_xll.qwBondRepoFromTo($A$1,_xll.qwFutCTD($A$1,F71),_xll.qwBondSettle($A$4,_xll.qwFutCTD($A$4,F71)),_xll.qwBondSettle($A$1,_xll.qwFutCTD($A$1,F71)))))-O71,0)</f>
        <v>0</v>
      </c>
    </row>
    <row r="72" spans="2:36" s="8" customFormat="1" hidden="1" x14ac:dyDescent="0.35">
      <c r="B72" s="8" t="str">
        <v>pzhao</v>
      </c>
      <c r="C72" s="8" t="str">
        <v>PPA</v>
      </c>
      <c r="D72" s="8" t="str">
        <v>pzhao|PPA|RV_RATES_EUR_SWAPS-CURVE|237223587</v>
      </c>
      <c r="E72" s="8" t="str">
        <v>RV_RATES_EUR_SWAPS-CURVE</v>
      </c>
      <c r="F72" s="8" t="str">
        <v>237223587</v>
      </c>
      <c r="G72" s="8">
        <v>18.251999999999999</v>
      </c>
      <c r="H72" s="8">
        <v>0</v>
      </c>
      <c r="I72" s="8">
        <v>18.251999999999999</v>
      </c>
      <c r="J72" s="8">
        <v>0</v>
      </c>
      <c r="K72" s="8">
        <v>0</v>
      </c>
      <c r="L72" s="8">
        <v>0</v>
      </c>
      <c r="M72" s="8">
        <v>0</v>
      </c>
      <c r="N72" s="8" t="str">
        <v>SwapTrade</v>
      </c>
      <c r="O72" s="7" cm="1">
        <f t="array" ref="O72">(_xll.qwPrice($A$1,F72)-_xll.qwPrice($A$4,F72))*_xll.qwMVFactor($A$1,F72)*I72*_xll.qwFXRate($A$1,F72)</f>
        <v>361087.07643958245</v>
      </c>
      <c r="P72" s="7" cm="1">
        <f t="array" ref="P72">IF(ISNUMBER(_xll.qwDV01($A$1,F72)*I72*_xll.qwMVFactor($A$1,F72)*_xll.qwFXRate($A$1,F72)),_xll.qwDV01($A$1,F72)*I72*_xll.qwMVFactor($A$1,F72)*_xll.qwFXRate($A$1,F72),0)</f>
        <v>35332.584148949303</v>
      </c>
      <c r="Q72" s="7" cm="1">
        <f t="array" ref="Q72">IF(ISNUMBER(_xll.qwDV01($A$1,F72)*G72*_xll.qwMVFactor($A$1,F72)*_xll.qwFXRate($A$1,F72)),_xll.qwDV01($A$1,F72)*G72*_xll.qwMVFactor($A$1,F72)*_xll.qwFXRate($A$1,F72),0)</f>
        <v>35332.584148949303</v>
      </c>
      <c r="R72" s="7" cm="1">
        <f t="array" ref="R72">IF(ISNUMBER(_xll.qwDV01($A$1,F72)*J72*_xll.qwMVFactor($A$1,F72)*_xll.qwFXRate($A$1,F72)),_xll.qwDV01($A$1,F72)*J72*_xll.qwMVFactor($A$1,F72)*_xll.qwFXRate($A$1,F72),0)</f>
        <v>0</v>
      </c>
      <c r="S72" s="7" cm="1">
        <f t="array" ref="S72">IF(ISNUMBER(_xll.qwDV01($A$1,F72)*J72*_xll.qwMVFactor($A$1,F72)*_xll.qwFXRate($A$1,F72)),_xll.qwDV01($A$1,F72)*J72*_xll.qwMVFactor($A$1,F72)*_xll.qwFXRate($A$1,F72),0)</f>
        <v>0</v>
      </c>
      <c r="T72" s="7" cm="1">
        <f t="array" ref="T72">_xll.qwFXRate($A$1,F72)*J72*(_xll.qwPrice($A$1,F72)-M72)*_xll.qwMVFactor($A$1,F72)</f>
        <v>0</v>
      </c>
      <c r="U72" s="9" cm="1">
        <f t="array" ref="U72">_xll.qwYield($A$1,F72)</f>
        <v>3.4362373809599382E-2</v>
      </c>
      <c r="V72" s="9" cm="1">
        <f t="array" ref="V72">100*(_xll.qwYield($A$4,F72)-U72)</f>
        <v>0.10191634542026165</v>
      </c>
      <c r="W72" s="7">
        <f>IF(ISNA(G72*INDEX(_xll.qwTblData(_xll.qwCurveScenariosPerSecurity($A$1,F72,"Crv210")),2,2)),0,(G72*INDEX(_xll.qwTblData(_xll.qwCurveScenariosPerSecurity($A$1,F72,"Crv210")),2,2)))</f>
        <v>-109391.63615960789</v>
      </c>
      <c r="X72" s="7" cm="1">
        <f t="array" ref="X72">ABS(Q72/_xll.qwMV01($A$1,"CT10"))</f>
        <v>47.85233244556175</v>
      </c>
      <c r="Y72" s="7" cm="1">
        <f t="array" ref="Y72">IF(N72="BondFuture",-(_xll.qwCurveYield($A$1,_xll.qwSecVal($A$1,AA72,"CreditCurveName()"),AA72)-_xll.qwCurveYield($A$4,_xll.qwSecVal($A$4,AA72,"CreditCurveName()"),AA72))*P72*10000,IF(N72="Bond",-(_xll.qwCurveYield($A$1,_xll.qwSecVal($A$1,F72,"CreditCurveName()"),F72)-_xll.qwCurveYield($A$4,_xll.qwSecVal($A$4,F72,"CreditCurveName()"),F72))*P72*10000,O72))</f>
        <v>361087.07643958245</v>
      </c>
      <c r="Z72" s="7" cm="1">
        <f t="array" ref="Z72">IF(OR(N72="BondFuture",N72="Bond"),P72*(_xll.qwCurveZSpread($A$4,_xll.qwSecVal($A$1,AA72,"CreditCurveName()"),AA72)-_xll.qwCurveZSpread($A$1,_xll.qwSecVal($A$1,AA72,"CreditCurveName()"),AA72)),0)</f>
        <v>0</v>
      </c>
      <c r="AA72" s="10" cm="1">
        <f t="array" ref="AA72">IF(_xll.qwSecType(F72)="Bond",F72,IF(_xll.qwSecType(F72)="BondFuture",_xll.qwFutCTD($A$1,F72),0))</f>
        <v>0</v>
      </c>
      <c r="AB72" s="7" cm="1">
        <f t="array" ref="AB72">IF(_xll.qwSecType(F72)="BondFuture",(I72*_xll.qwDelta($A$4,F72)*_xll.qwMVFactor($A$1,F72)/_xll.qwMVFactor($A$1,_xll.qwFutCTD($A$1,F72)))*(_xll.qwFXRate($A$1,F72)*_xll.qwMVFactor($A$1,_xll.qwFutCTD($A$1,F72))*(_xll.qwIncome($A$4,_xll.qwFutCTD($A$4,F72),_xll.qwBondSettle($A$4,_xll.qwFutCTD($A$4,F72)),_xll.qwBondSettle($A$1,_xll.qwFutCTD($A$1,F72)))+(_xll.qwBondDirtyPrice($A$1,_xll.qwFutCTD($A$1,F72))-_xll.qwBondDirtyPrice($A$4,_xll.qwFutCTD($A$4,F72)))-_xll.qwBondRepoFromTo($A$1,_xll.qwFutCTD($A$1,F72),_xll.qwBondSettle($A$4,_xll.qwFutCTD($A$4,F72)),_xll.qwBondSettle($A$1,_xll.qwFutCTD($A$1,F72)))))-O72,0)</f>
        <v>0</v>
      </c>
    </row>
    <row r="73" spans="2:36" s="8" customFormat="1" hidden="1" x14ac:dyDescent="0.35">
      <c r="B73" s="8" t="str">
        <v>pzhao</v>
      </c>
      <c r="C73" s="8" t="str">
        <v>PPA</v>
      </c>
      <c r="D73" s="8" t="str">
        <v>pzhao|PPA|RV_RATES_EUR_SWAPS-CURVE|237223606</v>
      </c>
      <c r="E73" s="8" t="str">
        <v>RV_RATES_EUR_SWAPS-CURVE</v>
      </c>
      <c r="F73" s="8" t="str">
        <v>237223606</v>
      </c>
      <c r="G73" s="8">
        <v>15.552</v>
      </c>
      <c r="H73" s="8">
        <v>0</v>
      </c>
      <c r="I73" s="8">
        <v>15.552</v>
      </c>
      <c r="J73" s="8">
        <v>0</v>
      </c>
      <c r="K73" s="8">
        <v>0</v>
      </c>
      <c r="L73" s="8">
        <v>0</v>
      </c>
      <c r="M73" s="8">
        <v>0</v>
      </c>
      <c r="N73" s="8" t="str">
        <v>SwapTrade</v>
      </c>
      <c r="O73" s="7" cm="1">
        <f t="array" ref="O73">(_xll.qwPrice($A$1,F73)-_xll.qwPrice($A$4,F73))*_xll.qwMVFactor($A$1,F73)*I73*_xll.qwFXRate($A$1,F73)</f>
        <v>-349555.29296439694</v>
      </c>
      <c r="P73" s="7" cm="1">
        <f t="array" ref="P73">IF(ISNUMBER(_xll.qwDV01($A$1,F73)*I73*_xll.qwMVFactor($A$1,F73)*_xll.qwFXRate($A$1,F73)),_xll.qwDV01($A$1,F73)*I73*_xll.qwMVFactor($A$1,F73)*_xll.qwFXRate($A$1,F73),0)</f>
        <v>-36095.105043822965</v>
      </c>
      <c r="Q73" s="7" cm="1">
        <f t="array" ref="Q73">IF(ISNUMBER(_xll.qwDV01($A$1,F73)*G73*_xll.qwMVFactor($A$1,F73)*_xll.qwFXRate($A$1,F73)),_xll.qwDV01($A$1,F73)*G73*_xll.qwMVFactor($A$1,F73)*_xll.qwFXRate($A$1,F73),0)</f>
        <v>-36095.105043822965</v>
      </c>
      <c r="R73" s="7" cm="1">
        <f t="array" ref="R73">IF(ISNUMBER(_xll.qwDV01($A$1,F73)*J73*_xll.qwMVFactor($A$1,F73)*_xll.qwFXRate($A$1,F73)),_xll.qwDV01($A$1,F73)*J73*_xll.qwMVFactor($A$1,F73)*_xll.qwFXRate($A$1,F73),0)</f>
        <v>0</v>
      </c>
      <c r="S73" s="7" cm="1">
        <f t="array" ref="S73">IF(ISNUMBER(_xll.qwDV01($A$1,F73)*J73*_xll.qwMVFactor($A$1,F73)*_xll.qwFXRate($A$1,F73)),_xll.qwDV01($A$1,F73)*J73*_xll.qwMVFactor($A$1,F73)*_xll.qwFXRate($A$1,F73),0)</f>
        <v>0</v>
      </c>
      <c r="T73" s="7" cm="1">
        <f t="array" ref="T73">_xll.qwFXRate($A$1,F73)*J73*(_xll.qwPrice($A$1,F73)-M73)*_xll.qwMVFactor($A$1,F73)</f>
        <v>0</v>
      </c>
      <c r="U73" s="9" cm="1">
        <f t="array" ref="U73">_xll.qwYield($A$1,F73)</f>
        <v>3.2539792572015586E-2</v>
      </c>
      <c r="V73" s="9" cm="1">
        <f t="array" ref="V73">100*(_xll.qwYield($A$4,F73)-U73)</f>
        <v>9.7455754595306837E-2</v>
      </c>
      <c r="W73" s="7">
        <f>IF(ISNA(G73*INDEX(_xll.qwTblData(_xll.qwCurveScenariosPerSecurity($A$1,F73,"Crv210")),2,2)),0,(G73*INDEX(_xll.qwTblData(_xll.qwCurveScenariosPerSecurity($A$1,F73,"Crv210")),2,2)))</f>
        <v>160110.27531678276</v>
      </c>
      <c r="X73" s="7" cm="1">
        <f t="array" ref="X73">ABS(Q73/_xll.qwMV01($A$1,"CT10"))</f>
        <v>48.885045003589205</v>
      </c>
      <c r="Y73" s="7" cm="1">
        <f t="array" ref="Y73">IF(N73="BondFuture",-(_xll.qwCurveYield($A$1,_xll.qwSecVal($A$1,AA73,"CreditCurveName()"),AA73)-_xll.qwCurveYield($A$4,_xll.qwSecVal($A$4,AA73,"CreditCurveName()"),AA73))*P73*10000,IF(N73="Bond",-(_xll.qwCurveYield($A$1,_xll.qwSecVal($A$1,F73,"CreditCurveName()"),F73)-_xll.qwCurveYield($A$4,_xll.qwSecVal($A$4,F73,"CreditCurveName()"),F73))*P73*10000,O73))</f>
        <v>-349555.29296439694</v>
      </c>
      <c r="Z73" s="7" cm="1">
        <f t="array" ref="Z73">IF(OR(N73="BondFuture",N73="Bond"),P73*(_xll.qwCurveZSpread($A$4,_xll.qwSecVal($A$1,AA73,"CreditCurveName()"),AA73)-_xll.qwCurveZSpread($A$1,_xll.qwSecVal($A$1,AA73,"CreditCurveName()"),AA73)),0)</f>
        <v>0</v>
      </c>
      <c r="AA73" s="10" cm="1">
        <f t="array" ref="AA73">IF(_xll.qwSecType(F73)="Bond",F73,IF(_xll.qwSecType(F73)="BondFuture",_xll.qwFutCTD($A$1,F73),0))</f>
        <v>0</v>
      </c>
      <c r="AB73" s="7" cm="1">
        <f t="array" ref="AB73">IF(_xll.qwSecType(F73)="BondFuture",(I73*_xll.qwDelta($A$4,F73)*_xll.qwMVFactor($A$1,F73)/_xll.qwMVFactor($A$1,_xll.qwFutCTD($A$1,F73)))*(_xll.qwFXRate($A$1,F73)*_xll.qwMVFactor($A$1,_xll.qwFutCTD($A$1,F73))*(_xll.qwIncome($A$4,_xll.qwFutCTD($A$4,F73),_xll.qwBondSettle($A$4,_xll.qwFutCTD($A$4,F73)),_xll.qwBondSettle($A$1,_xll.qwFutCTD($A$1,F73)))+(_xll.qwBondDirtyPrice($A$1,_xll.qwFutCTD($A$1,F73))-_xll.qwBondDirtyPrice($A$4,_xll.qwFutCTD($A$4,F73)))-_xll.qwBondRepoFromTo($A$1,_xll.qwFutCTD($A$1,F73),_xll.qwBondSettle($A$4,_xll.qwFutCTD($A$4,F73)),_xll.qwBondSettle($A$1,_xll.qwFutCTD($A$1,F73)))))-O73,0)</f>
        <v>0</v>
      </c>
    </row>
    <row r="74" spans="2:36" s="8" customFormat="1" hidden="1" x14ac:dyDescent="0.35">
      <c r="B74" s="8" t="str">
        <v>pzhao</v>
      </c>
      <c r="C74" s="8" t="str">
        <v>PPA</v>
      </c>
      <c r="D74" s="8" t="str">
        <v>pzhao|PPA|RV_RATES_EUR_SWAPS-CURVE|237223607</v>
      </c>
      <c r="E74" s="8" t="str">
        <v>RV_RATES_EUR_SWAPS-CURVE</v>
      </c>
      <c r="F74" s="8" t="str">
        <v>237223607</v>
      </c>
      <c r="G74" s="8">
        <v>18.251999999999999</v>
      </c>
      <c r="H74" s="8">
        <v>0</v>
      </c>
      <c r="I74" s="8">
        <v>18.251999999999999</v>
      </c>
      <c r="J74" s="8">
        <v>0</v>
      </c>
      <c r="K74" s="8">
        <v>0</v>
      </c>
      <c r="L74" s="8">
        <v>0</v>
      </c>
      <c r="M74" s="8">
        <v>0</v>
      </c>
      <c r="N74" s="8" t="str">
        <v>SwapTrade</v>
      </c>
      <c r="O74" s="7" cm="1">
        <f t="array" ref="O74">(_xll.qwPrice($A$1,F74)-_xll.qwPrice($A$4,F74))*_xll.qwMVFactor($A$1,F74)*I74*_xll.qwFXRate($A$1,F74)</f>
        <v>361094.51874306944</v>
      </c>
      <c r="P74" s="7" cm="1">
        <f t="array" ref="P74">IF(ISNUMBER(_xll.qwDV01($A$1,F74)*I74*_xll.qwMVFactor($A$1,F74)*_xll.qwFXRate($A$1,F74)),_xll.qwDV01($A$1,F74)*I74*_xll.qwMVFactor($A$1,F74)*_xll.qwFXRate($A$1,F74),0)</f>
        <v>35333.34985520655</v>
      </c>
      <c r="Q74" s="7" cm="1">
        <f t="array" ref="Q74">IF(ISNUMBER(_xll.qwDV01($A$1,F74)*G74*_xll.qwMVFactor($A$1,F74)*_xll.qwFXRate($A$1,F74)),_xll.qwDV01($A$1,F74)*G74*_xll.qwMVFactor($A$1,F74)*_xll.qwFXRate($A$1,F74),0)</f>
        <v>35333.34985520655</v>
      </c>
      <c r="R74" s="7" cm="1">
        <f t="array" ref="R74">IF(ISNUMBER(_xll.qwDV01($A$1,F74)*J74*_xll.qwMVFactor($A$1,F74)*_xll.qwFXRate($A$1,F74)),_xll.qwDV01($A$1,F74)*J74*_xll.qwMVFactor($A$1,F74)*_xll.qwFXRate($A$1,F74),0)</f>
        <v>0</v>
      </c>
      <c r="S74" s="7" cm="1">
        <f t="array" ref="S74">IF(ISNUMBER(_xll.qwDV01($A$1,F74)*J74*_xll.qwMVFactor($A$1,F74)*_xll.qwFXRate($A$1,F74)),_xll.qwDV01($A$1,F74)*J74*_xll.qwMVFactor($A$1,F74)*_xll.qwFXRate($A$1,F74),0)</f>
        <v>0</v>
      </c>
      <c r="T74" s="7" cm="1">
        <f t="array" ref="T74">_xll.qwFXRate($A$1,F74)*J74*(_xll.qwPrice($A$1,F74)-M74)*_xll.qwMVFactor($A$1,F74)</f>
        <v>0</v>
      </c>
      <c r="U74" s="9" cm="1">
        <f t="array" ref="U74">_xll.qwYield($A$1,F74)</f>
        <v>3.4362373809599382E-2</v>
      </c>
      <c r="V74" s="9" cm="1">
        <f t="array" ref="V74">100*(_xll.qwYield($A$4,F74)-U74)</f>
        <v>0.10191634542026165</v>
      </c>
      <c r="W74" s="7">
        <f>IF(ISNA(G74*INDEX(_xll.qwTblData(_xll.qwCurveScenariosPerSecurity($A$1,F74,"Crv210")),2,2)),0,(G74*INDEX(_xll.qwTblData(_xll.qwCurveScenariosPerSecurity($A$1,F74,"Crv210")),2,2)))</f>
        <v>-109612.27655659855</v>
      </c>
      <c r="X74" s="7" cm="1">
        <f t="array" ref="X74">ABS(Q74/_xll.qwMV01($A$1,"CT10"))</f>
        <v>47.853369472183495</v>
      </c>
      <c r="Y74" s="7" cm="1">
        <f t="array" ref="Y74">IF(N74="BondFuture",-(_xll.qwCurveYield($A$1,_xll.qwSecVal($A$1,AA74,"CreditCurveName()"),AA74)-_xll.qwCurveYield($A$4,_xll.qwSecVal($A$4,AA74,"CreditCurveName()"),AA74))*P74*10000,IF(N74="Bond",-(_xll.qwCurveYield($A$1,_xll.qwSecVal($A$1,F74,"CreditCurveName()"),F74)-_xll.qwCurveYield($A$4,_xll.qwSecVal($A$4,F74,"CreditCurveName()"),F74))*P74*10000,O74))</f>
        <v>361094.51874306944</v>
      </c>
      <c r="Z74" s="7" cm="1">
        <f t="array" ref="Z74">IF(OR(N74="BondFuture",N74="Bond"),P74*(_xll.qwCurveZSpread($A$4,_xll.qwSecVal($A$1,AA74,"CreditCurveName()"),AA74)-_xll.qwCurveZSpread($A$1,_xll.qwSecVal($A$1,AA74,"CreditCurveName()"),AA74)),0)</f>
        <v>0</v>
      </c>
      <c r="AA74" s="10" cm="1">
        <f t="array" ref="AA74">IF(_xll.qwSecType(F74)="Bond",F74,IF(_xll.qwSecType(F74)="BondFuture",_xll.qwFutCTD($A$1,F74),0))</f>
        <v>0</v>
      </c>
      <c r="AB74" s="7" cm="1">
        <f t="array" ref="AB74">IF(_xll.qwSecType(F74)="BondFuture",(I74*_xll.qwDelta($A$4,F74)*_xll.qwMVFactor($A$1,F74)/_xll.qwMVFactor($A$1,_xll.qwFutCTD($A$1,F74)))*(_xll.qwFXRate($A$1,F74)*_xll.qwMVFactor($A$1,_xll.qwFutCTD($A$1,F74))*(_xll.qwIncome($A$4,_xll.qwFutCTD($A$4,F74),_xll.qwBondSettle($A$4,_xll.qwFutCTD($A$4,F74)),_xll.qwBondSettle($A$1,_xll.qwFutCTD($A$1,F74)))+(_xll.qwBondDirtyPrice($A$1,_xll.qwFutCTD($A$1,F74))-_xll.qwBondDirtyPrice($A$4,_xll.qwFutCTD($A$4,F74)))-_xll.qwBondRepoFromTo($A$1,_xll.qwFutCTD($A$1,F74),_xll.qwBondSettle($A$4,_xll.qwFutCTD($A$4,F74)),_xll.qwBondSettle($A$1,_xll.qwFutCTD($A$1,F74)))))-O74,0)</f>
        <v>0</v>
      </c>
      <c r="AG74" s="19"/>
      <c r="AH74" s="19"/>
      <c r="AI74" s="19"/>
      <c r="AJ74" s="19"/>
    </row>
    <row r="75" spans="2:36" s="8" customFormat="1" hidden="1" x14ac:dyDescent="0.35">
      <c r="B75" s="8" t="str">
        <v>pzhao</v>
      </c>
      <c r="C75" s="8" t="str">
        <v>PPA</v>
      </c>
      <c r="D75" s="8" t="str">
        <v>pzhao|PPA|RV_RATES_EUR_SWAPS-CURVE|238774634</v>
      </c>
      <c r="E75" s="8" t="str">
        <v>RV_RATES_EUR_SWAPS-CURVE</v>
      </c>
      <c r="F75" s="8" t="str">
        <v>238774634</v>
      </c>
      <c r="G75" s="8">
        <v>11.412000000000001</v>
      </c>
      <c r="H75" s="8">
        <v>0</v>
      </c>
      <c r="I75" s="8">
        <v>11.412000000000001</v>
      </c>
      <c r="J75" s="8">
        <v>0</v>
      </c>
      <c r="K75" s="8">
        <v>0</v>
      </c>
      <c r="L75" s="8">
        <v>0</v>
      </c>
      <c r="M75" s="8">
        <v>0</v>
      </c>
      <c r="N75" s="8" t="str">
        <v>SwapTrade</v>
      </c>
      <c r="O75" s="7" cm="1">
        <f t="array" ref="O75">(_xll.qwPrice($A$1,F75)-_xll.qwPrice($A$4,F75))*_xll.qwMVFactor($A$1,F75)*I75*_xll.qwFXRate($A$1,F75)</f>
        <v>-250723.5322553346</v>
      </c>
      <c r="P75" s="7" cm="1">
        <f t="array" ref="P75">IF(ISNUMBER(_xll.qwDV01($A$1,F75)*I75*_xll.qwMVFactor($A$1,F75)*_xll.qwFXRate($A$1,F75)),_xll.qwDV01($A$1,F75)*I75*_xll.qwMVFactor($A$1,F75)*_xll.qwFXRate($A$1,F75),0)</f>
        <v>-25780.436709993788</v>
      </c>
      <c r="Q75" s="7" cm="1">
        <f t="array" ref="Q75">IF(ISNUMBER(_xll.qwDV01($A$1,F75)*G75*_xll.qwMVFactor($A$1,F75)*_xll.qwFXRate($A$1,F75)),_xll.qwDV01($A$1,F75)*G75*_xll.qwMVFactor($A$1,F75)*_xll.qwFXRate($A$1,F75),0)</f>
        <v>-25780.436709993788</v>
      </c>
      <c r="R75" s="7" cm="1">
        <f t="array" ref="R75">IF(ISNUMBER(_xll.qwDV01($A$1,F75)*J75*_xll.qwMVFactor($A$1,F75)*_xll.qwFXRate($A$1,F75)),_xll.qwDV01($A$1,F75)*J75*_xll.qwMVFactor($A$1,F75)*_xll.qwFXRate($A$1,F75),0)</f>
        <v>0</v>
      </c>
      <c r="S75" s="7" cm="1">
        <f t="array" ref="S75">IF(ISNUMBER(_xll.qwDV01($A$1,F75)*J75*_xll.qwMVFactor($A$1,F75)*_xll.qwFXRate($A$1,F75)),_xll.qwDV01($A$1,F75)*J75*_xll.qwMVFactor($A$1,F75)*_xll.qwFXRate($A$1,F75),0)</f>
        <v>0</v>
      </c>
      <c r="T75" s="7" cm="1">
        <f t="array" ref="T75">_xll.qwFXRate($A$1,F75)*J75*(_xll.qwPrice($A$1,F75)-M75)*_xll.qwMVFactor($A$1,F75)</f>
        <v>0</v>
      </c>
      <c r="U75" s="9" cm="1">
        <f t="array" ref="U75">_xll.qwYield($A$1,F75)</f>
        <v>3.2519341446506339E-2</v>
      </c>
      <c r="V75" s="9" cm="1">
        <f t="array" ref="V75">100*(_xll.qwYield($A$4,F75)-U75)</f>
        <v>9.7456693734712663E-2</v>
      </c>
      <c r="W75" s="7">
        <f>IF(ISNA(G75*INDEX(_xll.qwTblData(_xll.qwCurveScenariosPerSecurity($A$1,F75,"Crv210")),2,2)),0,(G75*INDEX(_xll.qwTblData(_xll.qwCurveScenariosPerSecurity($A$1,F75,"Crv210")),2,2)))</f>
        <v>115895.77080152264</v>
      </c>
      <c r="X75" s="7" cm="1">
        <f t="array" ref="X75">ABS(Q75/_xll.qwMV01($A$1,"CT10"))</f>
        <v>34.915476967032781</v>
      </c>
      <c r="Y75" s="7" cm="1">
        <f t="array" ref="Y75">IF(N75="BondFuture",-(_xll.qwCurveYield($A$1,_xll.qwSecVal($A$1,AA75,"CreditCurveName()"),AA75)-_xll.qwCurveYield($A$4,_xll.qwSecVal($A$4,AA75,"CreditCurveName()"),AA75))*P75*10000,IF(N75="Bond",-(_xll.qwCurveYield($A$1,_xll.qwSecVal($A$1,F75,"CreditCurveName()"),F75)-_xll.qwCurveYield($A$4,_xll.qwSecVal($A$4,F75,"CreditCurveName()"),F75))*P75*10000,O75))</f>
        <v>-250723.5322553346</v>
      </c>
      <c r="Z75" s="7" cm="1">
        <f t="array" ref="Z75">IF(OR(N75="BondFuture",N75="Bond"),P75*(_xll.qwCurveZSpread($A$4,_xll.qwSecVal($A$1,AA75,"CreditCurveName()"),AA75)-_xll.qwCurveZSpread($A$1,_xll.qwSecVal($A$1,AA75,"CreditCurveName()"),AA75)),0)</f>
        <v>0</v>
      </c>
      <c r="AA75" s="10" cm="1">
        <f t="array" ref="AA75">IF(_xll.qwSecType(F75)="Bond",F75,IF(_xll.qwSecType(F75)="BondFuture",_xll.qwFutCTD($A$1,F75),0))</f>
        <v>0</v>
      </c>
      <c r="AB75" s="7" cm="1">
        <f t="array" ref="AB75">IF(_xll.qwSecType(F75)="BondFuture",(I75*_xll.qwDelta($A$4,F75)*_xll.qwMVFactor($A$1,F75)/_xll.qwMVFactor($A$1,_xll.qwFutCTD($A$1,F75)))*(_xll.qwFXRate($A$1,F75)*_xll.qwMVFactor($A$1,_xll.qwFutCTD($A$1,F75))*(_xll.qwIncome($A$4,_xll.qwFutCTD($A$4,F75),_xll.qwBondSettle($A$4,_xll.qwFutCTD($A$4,F75)),_xll.qwBondSettle($A$1,_xll.qwFutCTD($A$1,F75)))+(_xll.qwBondDirtyPrice($A$1,_xll.qwFutCTD($A$1,F75))-_xll.qwBondDirtyPrice($A$4,_xll.qwFutCTD($A$4,F75)))-_xll.qwBondRepoFromTo($A$1,_xll.qwFutCTD($A$1,F75),_xll.qwBondSettle($A$4,_xll.qwFutCTD($A$4,F75)),_xll.qwBondSettle($A$1,_xll.qwFutCTD($A$1,F75)))))-O75,0)</f>
        <v>0</v>
      </c>
    </row>
    <row r="76" spans="2:36" s="8" customFormat="1" hidden="1" x14ac:dyDescent="0.35">
      <c r="B76" s="8" t="str">
        <v>pzhao</v>
      </c>
      <c r="C76" s="8" t="str">
        <v>PPA</v>
      </c>
      <c r="D76" s="8" t="str">
        <v>pzhao|PPA|RV_RATES_EUR_SWAPS-CURVE|238778170</v>
      </c>
      <c r="E76" s="8" t="str">
        <v>RV_RATES_EUR_SWAPS-CURVE</v>
      </c>
      <c r="F76" s="8" t="str">
        <v>238778170</v>
      </c>
      <c r="G76" s="8">
        <v>11.412000000000001</v>
      </c>
      <c r="H76" s="8">
        <v>0</v>
      </c>
      <c r="I76" s="8">
        <v>11.412000000000001</v>
      </c>
      <c r="J76" s="8">
        <v>0</v>
      </c>
      <c r="K76" s="8">
        <v>0</v>
      </c>
      <c r="L76" s="8">
        <v>0</v>
      </c>
      <c r="M76" s="8">
        <v>0</v>
      </c>
      <c r="N76" s="8" t="str">
        <v>SwapTrade</v>
      </c>
      <c r="O76" s="7" cm="1">
        <f t="array" ref="O76">(_xll.qwPrice($A$1,F76)-_xll.qwPrice($A$4,F76))*_xll.qwMVFactor($A$1,F76)*I76*_xll.qwFXRate($A$1,F76)</f>
        <v>-250643.6630743315</v>
      </c>
      <c r="P76" s="7" cm="1">
        <f t="array" ref="P76">IF(ISNUMBER(_xll.qwDV01($A$1,F76)*I76*_xll.qwMVFactor($A$1,F76)*_xll.qwFXRate($A$1,F76)),_xll.qwDV01($A$1,F76)*I76*_xll.qwMVFactor($A$1,F76)*_xll.qwFXRate($A$1,F76),0)</f>
        <v>-25772.436288220579</v>
      </c>
      <c r="Q76" s="7" cm="1">
        <f t="array" ref="Q76">IF(ISNUMBER(_xll.qwDV01($A$1,F76)*G76*_xll.qwMVFactor($A$1,F76)*_xll.qwFXRate($A$1,F76)),_xll.qwDV01($A$1,F76)*G76*_xll.qwMVFactor($A$1,F76)*_xll.qwFXRate($A$1,F76),0)</f>
        <v>-25772.436288220579</v>
      </c>
      <c r="R76" s="7" cm="1">
        <f t="array" ref="R76">IF(ISNUMBER(_xll.qwDV01($A$1,F76)*J76*_xll.qwMVFactor($A$1,F76)*_xll.qwFXRate($A$1,F76)),_xll.qwDV01($A$1,F76)*J76*_xll.qwMVFactor($A$1,F76)*_xll.qwFXRate($A$1,F76),0)</f>
        <v>0</v>
      </c>
      <c r="S76" s="7" cm="1">
        <f t="array" ref="S76">IF(ISNUMBER(_xll.qwDV01($A$1,F76)*J76*_xll.qwMVFactor($A$1,F76)*_xll.qwFXRate($A$1,F76)),_xll.qwDV01($A$1,F76)*J76*_xll.qwMVFactor($A$1,F76)*_xll.qwFXRate($A$1,F76),0)</f>
        <v>0</v>
      </c>
      <c r="T76" s="7" cm="1">
        <f t="array" ref="T76">_xll.qwFXRate($A$1,F76)*J76*(_xll.qwPrice($A$1,F76)-M76)*_xll.qwMVFactor($A$1,F76)</f>
        <v>0</v>
      </c>
      <c r="U76" s="9" cm="1">
        <f t="array" ref="U76">_xll.qwYield($A$1,F76)</f>
        <v>3.2519341446506339E-2</v>
      </c>
      <c r="V76" s="9" cm="1">
        <f t="array" ref="V76">100*(_xll.qwYield($A$4,F76)-U76)</f>
        <v>9.7456693734712663E-2</v>
      </c>
      <c r="W76" s="7">
        <f>IF(ISNA(G76*INDEX(_xll.qwTblData(_xll.qwCurveScenariosPerSecurity($A$1,F76,"Crv210")),2,2)),0,(G76*INDEX(_xll.qwTblData(_xll.qwCurveScenariosPerSecurity($A$1,F76,"Crv210")),2,2)))</f>
        <v>115872.24350180822</v>
      </c>
      <c r="X76" s="7" cm="1">
        <f t="array" ref="X76">ABS(Q76/_xll.qwMV01($A$1,"CT10"))</f>
        <v>34.904641675711254</v>
      </c>
      <c r="Y76" s="7" cm="1">
        <f t="array" ref="Y76">IF(N76="BondFuture",-(_xll.qwCurveYield($A$1,_xll.qwSecVal($A$1,AA76,"CreditCurveName()"),AA76)-_xll.qwCurveYield($A$4,_xll.qwSecVal($A$4,AA76,"CreditCurveName()"),AA76))*P76*10000,IF(N76="Bond",-(_xll.qwCurveYield($A$1,_xll.qwSecVal($A$1,F76,"CreditCurveName()"),F76)-_xll.qwCurveYield($A$4,_xll.qwSecVal($A$4,F76,"CreditCurveName()"),F76))*P76*10000,O76))</f>
        <v>-250643.6630743315</v>
      </c>
      <c r="Z76" s="7" cm="1">
        <f t="array" ref="Z76">IF(OR(N76="BondFuture",N76="Bond"),P76*(_xll.qwCurveZSpread($A$4,_xll.qwSecVal($A$1,AA76,"CreditCurveName()"),AA76)-_xll.qwCurveZSpread($A$1,_xll.qwSecVal($A$1,AA76,"CreditCurveName()"),AA76)),0)</f>
        <v>0</v>
      </c>
      <c r="AA76" s="10" cm="1">
        <f t="array" ref="AA76">IF(_xll.qwSecType(F76)="Bond",F76,IF(_xll.qwSecType(F76)="BondFuture",_xll.qwFutCTD($A$1,F76),0))</f>
        <v>0</v>
      </c>
      <c r="AB76" s="7" cm="1">
        <f t="array" ref="AB76">IF(_xll.qwSecType(F76)="BondFuture",(I76*_xll.qwDelta($A$4,F76)*_xll.qwMVFactor($A$1,F76)/_xll.qwMVFactor($A$1,_xll.qwFutCTD($A$1,F76)))*(_xll.qwFXRate($A$1,F76)*_xll.qwMVFactor($A$1,_xll.qwFutCTD($A$1,F76))*(_xll.qwIncome($A$4,_xll.qwFutCTD($A$4,F76),_xll.qwBondSettle($A$4,_xll.qwFutCTD($A$4,F76)),_xll.qwBondSettle($A$1,_xll.qwFutCTD($A$1,F76)))+(_xll.qwBondDirtyPrice($A$1,_xll.qwFutCTD($A$1,F76))-_xll.qwBondDirtyPrice($A$4,_xll.qwFutCTD($A$4,F76)))-_xll.qwBondRepoFromTo($A$1,_xll.qwFutCTD($A$1,F76),_xll.qwBondSettle($A$4,_xll.qwFutCTD($A$4,F76)),_xll.qwBondSettle($A$1,_xll.qwFutCTD($A$1,F76)))))-O76,0)</f>
        <v>0</v>
      </c>
    </row>
    <row r="77" spans="2:36" s="8" customFormat="1" hidden="1" x14ac:dyDescent="0.35">
      <c r="B77" s="8" t="str">
        <v>pzhao</v>
      </c>
      <c r="C77" s="8" t="str">
        <v>PPA</v>
      </c>
      <c r="D77" s="8" t="str">
        <v>pzhao|PPA|RV_RATES_EUR_SWAPS-CURVE|254291240</v>
      </c>
      <c r="E77" s="8" t="str">
        <v>RV_RATES_EUR_SWAPS-CURVE</v>
      </c>
      <c r="F77" s="8" t="str">
        <v>254291240</v>
      </c>
      <c r="G77" s="8">
        <v>25.308</v>
      </c>
      <c r="H77" s="8">
        <v>0</v>
      </c>
      <c r="I77" s="8">
        <v>25.308</v>
      </c>
      <c r="J77" s="8">
        <v>0</v>
      </c>
      <c r="K77" s="8">
        <v>0</v>
      </c>
      <c r="L77" s="8">
        <v>0</v>
      </c>
      <c r="M77" s="8">
        <v>0</v>
      </c>
      <c r="N77" s="8" t="str">
        <v>SwapTrade</v>
      </c>
      <c r="O77" s="7" cm="1">
        <f t="array" ref="O77">(_xll.qwPrice($A$1,F77)-_xll.qwPrice($A$4,F77))*_xll.qwMVFactor($A$1,F77)*I77*_xll.qwFXRate($A$1,F77)</f>
        <v>-512637.38992083765</v>
      </c>
      <c r="P77" s="7" cm="1">
        <f t="array" ref="P77">IF(ISNUMBER(_xll.qwDV01($A$1,F77)*I77*_xll.qwMVFactor($A$1,F77)*_xll.qwFXRate($A$1,F77)),_xll.qwDV01($A$1,F77)*I77*_xll.qwMVFactor($A$1,F77)*_xll.qwFXRate($A$1,F77),0)</f>
        <v>-52831.138548036477</v>
      </c>
      <c r="Q77" s="7" cm="1">
        <f t="array" ref="Q77">IF(ISNUMBER(_xll.qwDV01($A$1,F77)*G77*_xll.qwMVFactor($A$1,F77)*_xll.qwFXRate($A$1,F77)),_xll.qwDV01($A$1,F77)*G77*_xll.qwMVFactor($A$1,F77)*_xll.qwFXRate($A$1,F77),0)</f>
        <v>-52831.138548036477</v>
      </c>
      <c r="R77" s="7" cm="1">
        <f t="array" ref="R77">IF(ISNUMBER(_xll.qwDV01($A$1,F77)*J77*_xll.qwMVFactor($A$1,F77)*_xll.qwFXRate($A$1,F77)),_xll.qwDV01($A$1,F77)*J77*_xll.qwMVFactor($A$1,F77)*_xll.qwFXRate($A$1,F77),0)</f>
        <v>0</v>
      </c>
      <c r="S77" s="7" cm="1">
        <f t="array" ref="S77">IF(ISNUMBER(_xll.qwDV01($A$1,F77)*J77*_xll.qwMVFactor($A$1,F77)*_xll.qwFXRate($A$1,F77)),_xll.qwDV01($A$1,F77)*J77*_xll.qwMVFactor($A$1,F77)*_xll.qwFXRate($A$1,F77),0)</f>
        <v>0</v>
      </c>
      <c r="T77" s="7" cm="1">
        <f t="array" ref="T77">_xll.qwFXRate($A$1,F77)*J77*(_xll.qwPrice($A$1,F77)-M77)*_xll.qwMVFactor($A$1,F77)</f>
        <v>0</v>
      </c>
      <c r="U77" s="9" cm="1">
        <f t="array" ref="U77">_xll.qwYield($A$1,F77)</f>
        <v>3.4280238835449416E-2</v>
      </c>
      <c r="V77" s="9" cm="1">
        <f t="array" ref="V77">100*(_xll.qwYield($A$4,F77)-U77)</f>
        <v>9.8385972194153098E-2</v>
      </c>
      <c r="W77" s="7">
        <f>IF(ISNA(G77*INDEX(_xll.qwTblData(_xll.qwCurveScenariosPerSecurity($A$1,F77,"Crv210")),2,2)),0,(G77*INDEX(_xll.qwTblData(_xll.qwCurveScenariosPerSecurity($A$1,F77,"Crv210")),2,2)))</f>
        <v>162384.95135239771</v>
      </c>
      <c r="X77" s="7" cm="1">
        <f t="array" ref="X77">ABS(Q77/_xll.qwMV01($A$1,"CT10"))</f>
        <v>71.551324823020423</v>
      </c>
      <c r="Y77" s="7" cm="1">
        <f t="array" ref="Y77">IF(N77="BondFuture",-(_xll.qwCurveYield($A$1,_xll.qwSecVal($A$1,AA77,"CreditCurveName()"),AA77)-_xll.qwCurveYield($A$4,_xll.qwSecVal($A$4,AA77,"CreditCurveName()"),AA77))*P77*10000,IF(N77="Bond",-(_xll.qwCurveYield($A$1,_xll.qwSecVal($A$1,F77,"CreditCurveName()"),F77)-_xll.qwCurveYield($A$4,_xll.qwSecVal($A$4,F77,"CreditCurveName()"),F77))*P77*10000,O77))</f>
        <v>-512637.38992083765</v>
      </c>
      <c r="Z77" s="7" cm="1">
        <f t="array" ref="Z77">IF(OR(N77="BondFuture",N77="Bond"),P77*(_xll.qwCurveZSpread($A$4,_xll.qwSecVal($A$1,AA77,"CreditCurveName()"),AA77)-_xll.qwCurveZSpread($A$1,_xll.qwSecVal($A$1,AA77,"CreditCurveName()"),AA77)),0)</f>
        <v>0</v>
      </c>
      <c r="AA77" s="10" cm="1">
        <f t="array" ref="AA77">IF(_xll.qwSecType(F77)="Bond",F77,IF(_xll.qwSecType(F77)="BondFuture",_xll.qwFutCTD($A$1,F77),0))</f>
        <v>0</v>
      </c>
      <c r="AB77" s="7" cm="1">
        <f t="array" ref="AB77">IF(_xll.qwSecType(F77)="BondFuture",(I77*_xll.qwDelta($A$4,F77)*_xll.qwMVFactor($A$1,F77)/_xll.qwMVFactor($A$1,_xll.qwFutCTD($A$1,F77)))*(_xll.qwFXRate($A$1,F77)*_xll.qwMVFactor($A$1,_xll.qwFutCTD($A$1,F77))*(_xll.qwIncome($A$4,_xll.qwFutCTD($A$4,F77),_xll.qwBondSettle($A$4,_xll.qwFutCTD($A$4,F77)),_xll.qwBondSettle($A$1,_xll.qwFutCTD($A$1,F77)))+(_xll.qwBondDirtyPrice($A$1,_xll.qwFutCTD($A$1,F77))-_xll.qwBondDirtyPrice($A$4,_xll.qwFutCTD($A$4,F77)))-_xll.qwBondRepoFromTo($A$1,_xll.qwFutCTD($A$1,F77),_xll.qwBondSettle($A$4,_xll.qwFutCTD($A$4,F77)),_xll.qwBondSettle($A$1,_xll.qwFutCTD($A$1,F77)))))-O77,0)</f>
        <v>0</v>
      </c>
    </row>
    <row r="78" spans="2:36" s="8" customFormat="1" hidden="1" x14ac:dyDescent="0.35">
      <c r="B78" s="8" t="str">
        <v>pzhao</v>
      </c>
      <c r="C78" s="8" t="str">
        <v>PPA</v>
      </c>
      <c r="D78" s="8" t="str">
        <v>pzhao|PPA|RV_RATES_EUR_SWAPS-CURVE|254291245</v>
      </c>
      <c r="E78" s="8" t="str">
        <v>RV_RATES_EUR_SWAPS-CURVE</v>
      </c>
      <c r="F78" s="8" t="str">
        <v>254291245</v>
      </c>
      <c r="G78" s="8">
        <v>21.6</v>
      </c>
      <c r="H78" s="8">
        <v>0</v>
      </c>
      <c r="I78" s="8">
        <v>21.6</v>
      </c>
      <c r="J78" s="8">
        <v>0</v>
      </c>
      <c r="K78" s="8">
        <v>0</v>
      </c>
      <c r="L78" s="8">
        <v>0</v>
      </c>
      <c r="M78" s="8">
        <v>0</v>
      </c>
      <c r="N78" s="8" t="str">
        <v>SwapTrade</v>
      </c>
      <c r="O78" s="7" cm="1">
        <f t="array" ref="O78">(_xll.qwPrice($A$1,F78)-_xll.qwPrice($A$4,F78))*_xll.qwMVFactor($A$1,F78)*I78*_xll.qwFXRate($A$1,F78)</f>
        <v>497526.8992306561</v>
      </c>
      <c r="P78" s="7" cm="1">
        <f t="array" ref="P78">IF(ISNUMBER(_xll.qwDV01($A$1,F78)*I78*_xll.qwMVFactor($A$1,F78)*_xll.qwFXRate($A$1,F78)),_xll.qwDV01($A$1,F78)*I78*_xll.qwMVFactor($A$1,F78)*_xll.qwFXRate($A$1,F78),0)</f>
        <v>53330.538552571714</v>
      </c>
      <c r="Q78" s="7" cm="1">
        <f t="array" ref="Q78">IF(ISNUMBER(_xll.qwDV01($A$1,F78)*G78*_xll.qwMVFactor($A$1,F78)*_xll.qwFXRate($A$1,F78)),_xll.qwDV01($A$1,F78)*G78*_xll.qwMVFactor($A$1,F78)*_xll.qwFXRate($A$1,F78),0)</f>
        <v>53330.538552571714</v>
      </c>
      <c r="R78" s="7" cm="1">
        <f t="array" ref="R78">IF(ISNUMBER(_xll.qwDV01($A$1,F78)*J78*_xll.qwMVFactor($A$1,F78)*_xll.qwFXRate($A$1,F78)),_xll.qwDV01($A$1,F78)*J78*_xll.qwMVFactor($A$1,F78)*_xll.qwFXRate($A$1,F78),0)</f>
        <v>0</v>
      </c>
      <c r="S78" s="7" cm="1">
        <f t="array" ref="S78">IF(ISNUMBER(_xll.qwDV01($A$1,F78)*J78*_xll.qwMVFactor($A$1,F78)*_xll.qwFXRate($A$1,F78)),_xll.qwDV01($A$1,F78)*J78*_xll.qwMVFactor($A$1,F78)*_xll.qwFXRate($A$1,F78),0)</f>
        <v>0</v>
      </c>
      <c r="T78" s="7" cm="1">
        <f t="array" ref="T78">_xll.qwFXRate($A$1,F78)*J78*(_xll.qwPrice($A$1,F78)-M78)*_xll.qwMVFactor($A$1,F78)</f>
        <v>0</v>
      </c>
      <c r="U78" s="9" cm="1">
        <f t="array" ref="U78">_xll.qwYield($A$1,F78)</f>
        <v>3.244298913596539E-2</v>
      </c>
      <c r="V78" s="9" cm="1">
        <f t="array" ref="V78">100*(_xll.qwYield($A$4,F78)-U78)</f>
        <v>9.4841922462408218E-2</v>
      </c>
      <c r="W78" s="7">
        <f>IF(ISNA(G78*INDEX(_xll.qwTblData(_xll.qwCurveScenariosPerSecurity($A$1,F78,"Crv210")),2,2)),0,(G78*INDEX(_xll.qwTblData(_xll.qwCurveScenariosPerSecurity($A$1,F78,"Crv210")),2,2)))</f>
        <v>-234503.1559158903</v>
      </c>
      <c r="X78" s="7" cm="1">
        <f t="array" ref="X78">ABS(Q78/_xll.qwMV01($A$1,"CT10"))</f>
        <v>72.227682231230133</v>
      </c>
      <c r="Y78" s="7" cm="1">
        <f t="array" ref="Y78">IF(N78="BondFuture",-(_xll.qwCurveYield($A$1,_xll.qwSecVal($A$1,AA78,"CreditCurveName()"),AA78)-_xll.qwCurveYield($A$4,_xll.qwSecVal($A$4,AA78,"CreditCurveName()"),AA78))*P78*10000,IF(N78="Bond",-(_xll.qwCurveYield($A$1,_xll.qwSecVal($A$1,F78,"CreditCurveName()"),F78)-_xll.qwCurveYield($A$4,_xll.qwSecVal($A$4,F78,"CreditCurveName()"),F78))*P78*10000,O78))</f>
        <v>497526.8992306561</v>
      </c>
      <c r="Z78" s="7" cm="1">
        <f t="array" ref="Z78">IF(OR(N78="BondFuture",N78="Bond"),P78*(_xll.qwCurveZSpread($A$4,_xll.qwSecVal($A$1,AA78,"CreditCurveName()"),AA78)-_xll.qwCurveZSpread($A$1,_xll.qwSecVal($A$1,AA78,"CreditCurveName()"),AA78)),0)</f>
        <v>0</v>
      </c>
      <c r="AA78" s="10" cm="1">
        <f t="array" ref="AA78">IF(_xll.qwSecType(F78)="Bond",F78,IF(_xll.qwSecType(F78)="BondFuture",_xll.qwFutCTD($A$1,F78),0))</f>
        <v>0</v>
      </c>
      <c r="AB78" s="7" cm="1">
        <f t="array" ref="AB78">IF(_xll.qwSecType(F78)="BondFuture",(I78*_xll.qwDelta($A$4,F78)*_xll.qwMVFactor($A$1,F78)/_xll.qwMVFactor($A$1,_xll.qwFutCTD($A$1,F78)))*(_xll.qwFXRate($A$1,F78)*_xll.qwMVFactor($A$1,_xll.qwFutCTD($A$1,F78))*(_xll.qwIncome($A$4,_xll.qwFutCTD($A$4,F78),_xll.qwBondSettle($A$4,_xll.qwFutCTD($A$4,F78)),_xll.qwBondSettle($A$1,_xll.qwFutCTD($A$1,F78)))+(_xll.qwBondDirtyPrice($A$1,_xll.qwFutCTD($A$1,F78))-_xll.qwBondDirtyPrice($A$4,_xll.qwFutCTD($A$4,F78)))-_xll.qwBondRepoFromTo($A$1,_xll.qwFutCTD($A$1,F78),_xll.qwBondSettle($A$4,_xll.qwFutCTD($A$4,F78)),_xll.qwBondSettle($A$1,_xll.qwFutCTD($A$1,F78)))))-O78,0)</f>
        <v>0</v>
      </c>
    </row>
    <row r="79" spans="2:36" s="8" customFormat="1" hidden="1" x14ac:dyDescent="0.35">
      <c r="B79" s="8" t="str">
        <v>pzhao</v>
      </c>
      <c r="C79" s="8" t="str">
        <v>PPA</v>
      </c>
      <c r="D79" s="8" t="str">
        <v>pzhao|PPA|RV_RATES_EUR_SWAPS-CURVE|254291749</v>
      </c>
      <c r="E79" s="8" t="str">
        <v>RV_RATES_EUR_SWAPS-CURVE</v>
      </c>
      <c r="F79" s="8" t="str">
        <v>254291749</v>
      </c>
      <c r="G79" s="8">
        <v>21.6</v>
      </c>
      <c r="H79" s="8">
        <v>0</v>
      </c>
      <c r="I79" s="8">
        <v>21.6</v>
      </c>
      <c r="J79" s="8">
        <v>0</v>
      </c>
      <c r="K79" s="8">
        <v>0</v>
      </c>
      <c r="L79" s="8">
        <v>0</v>
      </c>
      <c r="M79" s="8">
        <v>0</v>
      </c>
      <c r="N79" s="8" t="str">
        <v>SwapTrade</v>
      </c>
      <c r="O79" s="7" cm="1">
        <f t="array" ref="O79">(_xll.qwPrice($A$1,F79)-_xll.qwPrice($A$4,F79))*_xll.qwMVFactor($A$1,F79)*I79*_xll.qwFXRate($A$1,F79)</f>
        <v>-437903.3374631232</v>
      </c>
      <c r="P79" s="7" cm="1">
        <f t="array" ref="P79">IF(ISNUMBER(_xll.qwDV01($A$1,F79)*I79*_xll.qwMVFactor($A$1,F79)*_xll.qwFXRate($A$1,F79)),_xll.qwDV01($A$1,F79)*I79*_xll.qwMVFactor($A$1,F79)*_xll.qwFXRate($A$1,F79),0)</f>
        <v>-45129.020068459446</v>
      </c>
      <c r="Q79" s="7" cm="1">
        <f t="array" ref="Q79">IF(ISNUMBER(_xll.qwDV01($A$1,F79)*G79*_xll.qwMVFactor($A$1,F79)*_xll.qwFXRate($A$1,F79)),_xll.qwDV01($A$1,F79)*G79*_xll.qwMVFactor($A$1,F79)*_xll.qwFXRate($A$1,F79),0)</f>
        <v>-45129.020068459446</v>
      </c>
      <c r="R79" s="7" cm="1">
        <f t="array" ref="R79">IF(ISNUMBER(_xll.qwDV01($A$1,F79)*J79*_xll.qwMVFactor($A$1,F79)*_xll.qwFXRate($A$1,F79)),_xll.qwDV01($A$1,F79)*J79*_xll.qwMVFactor($A$1,F79)*_xll.qwFXRate($A$1,F79),0)</f>
        <v>0</v>
      </c>
      <c r="S79" s="7" cm="1">
        <f t="array" ref="S79">IF(ISNUMBER(_xll.qwDV01($A$1,F79)*J79*_xll.qwMVFactor($A$1,F79)*_xll.qwFXRate($A$1,F79)),_xll.qwDV01($A$1,F79)*J79*_xll.qwMVFactor($A$1,F79)*_xll.qwFXRate($A$1,F79),0)</f>
        <v>0</v>
      </c>
      <c r="T79" s="7" cm="1">
        <f t="array" ref="T79">_xll.qwFXRate($A$1,F79)*J79*(_xll.qwPrice($A$1,F79)-M79)*_xll.qwMVFactor($A$1,F79)</f>
        <v>0</v>
      </c>
      <c r="U79" s="9" cm="1">
        <f t="array" ref="U79">_xll.qwYield($A$1,F79)</f>
        <v>3.4280238835449416E-2</v>
      </c>
      <c r="V79" s="9" cm="1">
        <f t="array" ref="V79">100*(_xll.qwYield($A$4,F79)-U79)</f>
        <v>9.8385972194153098E-2</v>
      </c>
      <c r="W79" s="7">
        <f>IF(ISNA(G79*INDEX(_xll.qwTblData(_xll.qwCurveScenariosPerSecurity($A$1,F79,"Crv210")),2,2)),0,(G79*INDEX(_xll.qwTblData(_xll.qwCurveScenariosPerSecurity($A$1,F79,"Crv210")),2,2)))</f>
        <v>138667.3005736639</v>
      </c>
      <c r="X79" s="7" cm="1">
        <f t="array" ref="X79">ABS(Q79/_xll.qwMV01($A$1,"CT10"))</f>
        <v>61.120037587813059</v>
      </c>
      <c r="Y79" s="7" cm="1">
        <f t="array" ref="Y79">IF(N79="BondFuture",-(_xll.qwCurveYield($A$1,_xll.qwSecVal($A$1,AA79,"CreditCurveName()"),AA79)-_xll.qwCurveYield($A$4,_xll.qwSecVal($A$4,AA79,"CreditCurveName()"),AA79))*P79*10000,IF(N79="Bond",-(_xll.qwCurveYield($A$1,_xll.qwSecVal($A$1,F79,"CreditCurveName()"),F79)-_xll.qwCurveYield($A$4,_xll.qwSecVal($A$4,F79,"CreditCurveName()"),F79))*P79*10000,O79))</f>
        <v>-437903.3374631232</v>
      </c>
      <c r="Z79" s="7" cm="1">
        <f t="array" ref="Z79">IF(OR(N79="BondFuture",N79="Bond"),P79*(_xll.qwCurveZSpread($A$4,_xll.qwSecVal($A$1,AA79,"CreditCurveName()"),AA79)-_xll.qwCurveZSpread($A$1,_xll.qwSecVal($A$1,AA79,"CreditCurveName()"),AA79)),0)</f>
        <v>0</v>
      </c>
      <c r="AA79" s="10" cm="1">
        <f t="array" ref="AA79">IF(_xll.qwSecType(F79)="Bond",F79,IF(_xll.qwSecType(F79)="BondFuture",_xll.qwFutCTD($A$1,F79),0))</f>
        <v>0</v>
      </c>
      <c r="AB79" s="7" cm="1">
        <f t="array" ref="AB79">IF(_xll.qwSecType(F79)="BondFuture",(I79*_xll.qwDelta($A$4,F79)*_xll.qwMVFactor($A$1,F79)/_xll.qwMVFactor($A$1,_xll.qwFutCTD($A$1,F79)))*(_xll.qwFXRate($A$1,F79)*_xll.qwMVFactor($A$1,_xll.qwFutCTD($A$1,F79))*(_xll.qwIncome($A$4,_xll.qwFutCTD($A$4,F79),_xll.qwBondSettle($A$4,_xll.qwFutCTD($A$4,F79)),_xll.qwBondSettle($A$1,_xll.qwFutCTD($A$1,F79)))+(_xll.qwBondDirtyPrice($A$1,_xll.qwFutCTD($A$1,F79))-_xll.qwBondDirtyPrice($A$4,_xll.qwFutCTD($A$4,F79)))-_xll.qwBondRepoFromTo($A$1,_xll.qwFutCTD($A$1,F79),_xll.qwBondSettle($A$4,_xll.qwFutCTD($A$4,F79)),_xll.qwBondSettle($A$1,_xll.qwFutCTD($A$1,F79)))))-O79,0)</f>
        <v>0</v>
      </c>
    </row>
    <row r="80" spans="2:36" s="8" customFormat="1" hidden="1" x14ac:dyDescent="0.35">
      <c r="B80" s="8" t="str">
        <v>pzhao</v>
      </c>
      <c r="C80" s="8" t="str">
        <v>PPA</v>
      </c>
      <c r="D80" s="8" t="str">
        <v>pzhao|PPA|RV_RATES_EUR_SWAPS-CURVE|254397246</v>
      </c>
      <c r="E80" s="8" t="str">
        <v>RV_RATES_EUR_SWAPS-CURVE</v>
      </c>
      <c r="F80" s="8" t="str">
        <v>254397246</v>
      </c>
      <c r="G80" s="8">
        <v>16.991999999999994</v>
      </c>
      <c r="H80" s="8">
        <v>0</v>
      </c>
      <c r="I80" s="8">
        <v>0</v>
      </c>
      <c r="J80" s="8">
        <v>16.991999999999994</v>
      </c>
      <c r="K80" s="8">
        <v>0</v>
      </c>
      <c r="L80" s="8">
        <v>0</v>
      </c>
      <c r="M80" s="8">
        <v>0</v>
      </c>
      <c r="N80" s="8" t="str">
        <v>SwapTrade</v>
      </c>
      <c r="O80" s="7" cm="1">
        <f t="array" ref="O80">(_xll.qwPrice($A$1,F80)-_xll.qwPrice($A$4,F80))*_xll.qwMVFactor($A$1,F80)*I80*_xll.qwFXRate($A$1,F80)</f>
        <v>0</v>
      </c>
      <c r="P80" s="7" cm="1">
        <f t="array" ref="P80">IF(ISNUMBER(_xll.qwDV01($A$1,F80)*I80*_xll.qwMVFactor($A$1,F80)*_xll.qwFXRate($A$1,F80)),_xll.qwDV01($A$1,F80)*I80*_xll.qwMVFactor($A$1,F80)*_xll.qwFXRate($A$1,F80),0)</f>
        <v>0</v>
      </c>
      <c r="Q80" s="7" cm="1">
        <f t="array" ref="Q80">IF(ISNUMBER(_xll.qwDV01($A$1,F80)*G80*_xll.qwMVFactor($A$1,F80)*_xll.qwFXRate($A$1,F80)),_xll.qwDV01($A$1,F80)*G80*_xll.qwMVFactor($A$1,F80)*_xll.qwFXRate($A$1,F80),0)</f>
        <v>-34908.504407362838</v>
      </c>
      <c r="R80" s="7" cm="1">
        <f t="array" ref="R80">IF(ISNUMBER(_xll.qwDV01($A$1,F80)*J80*_xll.qwMVFactor($A$1,F80)*_xll.qwFXRate($A$1,F80)),_xll.qwDV01($A$1,F80)*J80*_xll.qwMVFactor($A$1,F80)*_xll.qwFXRate($A$1,F80),0)</f>
        <v>-34908.504407362838</v>
      </c>
      <c r="S80" s="7" cm="1">
        <f t="array" ref="S80">IF(ISNUMBER(_xll.qwDV01($A$1,F80)*J80*_xll.qwMVFactor($A$1,F80)*_xll.qwFXRate($A$1,F80)),_xll.qwDV01($A$1,F80)*J80*_xll.qwMVFactor($A$1,F80)*_xll.qwFXRate($A$1,F80),0)</f>
        <v>-34908.504407362838</v>
      </c>
      <c r="T80" s="7" cm="1">
        <f t="array" ref="T80">_xll.qwFXRate($A$1,F80)*J80*(_xll.qwPrice($A$1,F80)-M80)*_xll.qwMVFactor($A$1,F80)</f>
        <v>148969.02352449135</v>
      </c>
      <c r="U80" s="9" cm="1">
        <f t="array" ref="U80">_xll.qwYield($A$1,F80)</f>
        <v>3.4280271208443416E-2</v>
      </c>
      <c r="V80" s="9" cm="1">
        <f t="array" ref="V80">100*(_xll.qwYield($A$4,F80)-U80)</f>
        <v>9.8494849451047362E-2</v>
      </c>
      <c r="W80" s="7">
        <f>IF(ISNA(G80*INDEX(_xll.qwTblData(_xll.qwCurveScenariosPerSecurity($A$1,F80,"Crv210")),2,2)),0,(G80*INDEX(_xll.qwTblData(_xll.qwCurveScenariosPerSecurity($A$1,F80,"Crv210")),2,2)))</f>
        <v>107931.84744134841</v>
      </c>
      <c r="X80" s="7" cm="1">
        <f t="array" ref="X80">ABS(Q80/_xll.qwMV01($A$1,"CT10"))</f>
        <v>47.277984283189177</v>
      </c>
      <c r="Y80" s="7" cm="1">
        <f t="array" ref="Y80">IF(N80="BondFuture",-(_xll.qwCurveYield($A$1,_xll.qwSecVal($A$1,AA80,"CreditCurveName()"),AA80)-_xll.qwCurveYield($A$4,_xll.qwSecVal($A$4,AA80,"CreditCurveName()"),AA80))*P80*10000,IF(N80="Bond",-(_xll.qwCurveYield($A$1,_xll.qwSecVal($A$1,F80,"CreditCurveName()"),F80)-_xll.qwCurveYield($A$4,_xll.qwSecVal($A$4,F80,"CreditCurveName()"),F80))*P80*10000,O80))</f>
        <v>0</v>
      </c>
      <c r="Z80" s="7" cm="1">
        <f t="array" ref="Z80">IF(OR(N80="BondFuture",N80="Bond"),P80*(_xll.qwCurveZSpread($A$4,_xll.qwSecVal($A$1,AA80,"CreditCurveName()"),AA80)-_xll.qwCurveZSpread($A$1,_xll.qwSecVal($A$1,AA80,"CreditCurveName()"),AA80)),0)</f>
        <v>0</v>
      </c>
      <c r="AA80" s="10" cm="1">
        <f t="array" ref="AA80">IF(_xll.qwSecType(F80)="Bond",F80,IF(_xll.qwSecType(F80)="BondFuture",_xll.qwFutCTD($A$1,F80),0))</f>
        <v>0</v>
      </c>
      <c r="AB80" s="7" cm="1">
        <f t="array" ref="AB80">IF(_xll.qwSecType(F80)="BondFuture",(I80*_xll.qwDelta($A$4,F80)*_xll.qwMVFactor($A$1,F80)/_xll.qwMVFactor($A$1,_xll.qwFutCTD($A$1,F80)))*(_xll.qwFXRate($A$1,F80)*_xll.qwMVFactor($A$1,_xll.qwFutCTD($A$1,F80))*(_xll.qwIncome($A$4,_xll.qwFutCTD($A$4,F80),_xll.qwBondSettle($A$4,_xll.qwFutCTD($A$4,F80)),_xll.qwBondSettle($A$1,_xll.qwFutCTD($A$1,F80)))+(_xll.qwBondDirtyPrice($A$1,_xll.qwFutCTD($A$1,F80))-_xll.qwBondDirtyPrice($A$4,_xll.qwFutCTD($A$4,F80)))-_xll.qwBondRepoFromTo($A$1,_xll.qwFutCTD($A$1,F80),_xll.qwBondSettle($A$4,_xll.qwFutCTD($A$4,F80)),_xll.qwBondSettle($A$1,_xll.qwFutCTD($A$1,F80)))))-O80,0)</f>
        <v>0</v>
      </c>
    </row>
    <row r="81" spans="2:28" s="8" customFormat="1" hidden="1" x14ac:dyDescent="0.35">
      <c r="B81" s="8" t="str">
        <v>pzhao</v>
      </c>
      <c r="C81" s="8" t="str">
        <v>PPA</v>
      </c>
      <c r="D81" s="8" t="str">
        <v>pzhao|PPA|RV_RATES_EUR_SWAPS-CURVE|254397250</v>
      </c>
      <c r="E81" s="8" t="str">
        <v>RV_RATES_EUR_SWAPS-CURVE</v>
      </c>
      <c r="F81" s="8" t="str">
        <v>254397250</v>
      </c>
      <c r="G81" s="8">
        <v>14.4</v>
      </c>
      <c r="H81" s="8">
        <v>0</v>
      </c>
      <c r="I81" s="8">
        <v>0</v>
      </c>
      <c r="J81" s="8">
        <v>14.4</v>
      </c>
      <c r="K81" s="8">
        <v>0</v>
      </c>
      <c r="L81" s="8">
        <v>0</v>
      </c>
      <c r="M81" s="8">
        <v>0</v>
      </c>
      <c r="N81" s="8" t="str">
        <v>SwapTrade</v>
      </c>
      <c r="O81" s="7" cm="1">
        <f t="array" ref="O81">(_xll.qwPrice($A$1,F81)-_xll.qwPrice($A$4,F81))*_xll.qwMVFactor($A$1,F81)*I81*_xll.qwFXRate($A$1,F81)</f>
        <v>0</v>
      </c>
      <c r="P81" s="7" cm="1">
        <f t="array" ref="P81">IF(ISNUMBER(_xll.qwDV01($A$1,F81)*I81*_xll.qwMVFactor($A$1,F81)*_xll.qwFXRate($A$1,F81)),_xll.qwDV01($A$1,F81)*I81*_xll.qwMVFactor($A$1,F81)*_xll.qwFXRate($A$1,F81),0)</f>
        <v>0</v>
      </c>
      <c r="Q81" s="7" cm="1">
        <f t="array" ref="Q81">IF(ISNUMBER(_xll.qwDV01($A$1,F81)*G81*_xll.qwMVFactor($A$1,F81)*_xll.qwFXRate($A$1,F81)),_xll.qwDV01($A$1,F81)*G81*_xll.qwMVFactor($A$1,F81)*_xll.qwFXRate($A$1,F81),0)</f>
        <v>34838.143787745925</v>
      </c>
      <c r="R81" s="7" cm="1">
        <f t="array" ref="R81">IF(ISNUMBER(_xll.qwDV01($A$1,F81)*J81*_xll.qwMVFactor($A$1,F81)*_xll.qwFXRate($A$1,F81)),_xll.qwDV01($A$1,F81)*J81*_xll.qwMVFactor($A$1,F81)*_xll.qwFXRate($A$1,F81),0)</f>
        <v>34838.143787745925</v>
      </c>
      <c r="S81" s="7" cm="1">
        <f t="array" ref="S81">IF(ISNUMBER(_xll.qwDV01($A$1,F81)*J81*_xll.qwMVFactor($A$1,F81)*_xll.qwFXRate($A$1,F81)),_xll.qwDV01($A$1,F81)*J81*_xll.qwMVFactor($A$1,F81)*_xll.qwFXRate($A$1,F81),0)</f>
        <v>34838.143787745925</v>
      </c>
      <c r="T81" s="7" cm="1">
        <f t="array" ref="T81">_xll.qwFXRate($A$1,F81)*J81*(_xll.qwPrice($A$1,F81)-M81)*_xll.qwMVFactor($A$1,F81)</f>
        <v>-174320.80763138086</v>
      </c>
      <c r="U81" s="9" cm="1">
        <f t="array" ref="U81">_xll.qwYield($A$1,F81)</f>
        <v>3.2442690694704734E-2</v>
      </c>
      <c r="V81" s="9" cm="1">
        <f t="array" ref="V81">100*(_xll.qwYield($A$4,F81)-U81)</f>
        <v>9.4935378059158443E-2</v>
      </c>
      <c r="W81" s="7">
        <f>IF(ISNA(G81*INDEX(_xll.qwTblData(_xll.qwCurveScenariosPerSecurity($A$1,F81,"Crv210")),2,2)),0,(G81*INDEX(_xll.qwTblData(_xll.qwCurveScenariosPerSecurity($A$1,F81,"Crv210")),2,2)))</f>
        <v>-154215.1097336979</v>
      </c>
      <c r="X81" s="7" cm="1">
        <f t="array" ref="X81">ABS(Q81/_xll.qwMV01($A$1,"CT10"))</f>
        <v>47.182692080762358</v>
      </c>
      <c r="Y81" s="7" cm="1">
        <f t="array" ref="Y81">IF(N81="BondFuture",-(_xll.qwCurveYield($A$1,_xll.qwSecVal($A$1,AA81,"CreditCurveName()"),AA81)-_xll.qwCurveYield($A$4,_xll.qwSecVal($A$4,AA81,"CreditCurveName()"),AA81))*P81*10000,IF(N81="Bond",-(_xll.qwCurveYield($A$1,_xll.qwSecVal($A$1,F81,"CreditCurveName()"),F81)-_xll.qwCurveYield($A$4,_xll.qwSecVal($A$4,F81,"CreditCurveName()"),F81))*P81*10000,O81))</f>
        <v>0</v>
      </c>
      <c r="Z81" s="7" cm="1">
        <f t="array" ref="Z81">IF(OR(N81="BondFuture",N81="Bond"),P81*(_xll.qwCurveZSpread($A$4,_xll.qwSecVal($A$1,AA81,"CreditCurveName()"),AA81)-_xll.qwCurveZSpread($A$1,_xll.qwSecVal($A$1,AA81,"CreditCurveName()"),AA81)),0)</f>
        <v>0</v>
      </c>
      <c r="AA81" s="10" cm="1">
        <f t="array" ref="AA81">IF(_xll.qwSecType(F81)="Bond",F81,IF(_xll.qwSecType(F81)="BondFuture",_xll.qwFutCTD($A$1,F81),0))</f>
        <v>0</v>
      </c>
      <c r="AB81" s="7" cm="1">
        <f t="array" ref="AB81">IF(_xll.qwSecType(F81)="BondFuture",(I81*_xll.qwDelta($A$4,F81)*_xll.qwMVFactor($A$1,F81)/_xll.qwMVFactor($A$1,_xll.qwFutCTD($A$1,F81)))*(_xll.qwFXRate($A$1,F81)*_xll.qwMVFactor($A$1,_xll.qwFutCTD($A$1,F81))*(_xll.qwIncome($A$4,_xll.qwFutCTD($A$4,F81),_xll.qwBondSettle($A$4,_xll.qwFutCTD($A$4,F81)),_xll.qwBondSettle($A$1,_xll.qwFutCTD($A$1,F81)))+(_xll.qwBondDirtyPrice($A$1,_xll.qwFutCTD($A$1,F81))-_xll.qwBondDirtyPrice($A$4,_xll.qwFutCTD($A$4,F81)))-_xll.qwBondRepoFromTo($A$1,_xll.qwFutCTD($A$1,F81),_xll.qwBondSettle($A$4,_xll.qwFutCTD($A$4,F81)),_xll.qwBondSettle($A$1,_xll.qwFutCTD($A$1,F81)))))-O81,0)</f>
        <v>0</v>
      </c>
    </row>
    <row r="82" spans="2:28" s="8" customFormat="1" hidden="1" x14ac:dyDescent="0.35">
      <c r="B82" s="8" t="str">
        <v>pzhao</v>
      </c>
      <c r="C82" s="8" t="str">
        <v>PPA</v>
      </c>
      <c r="D82" s="8" t="str">
        <v>pzhao|PPA|RV_RATES_EUR_TAIL-PUTS|ESZ6</v>
      </c>
      <c r="E82" s="8" t="str">
        <v>RV_RATES_EUR_TAIL-PUTS</v>
      </c>
      <c r="F82" s="8" t="str">
        <v>ESZ6</v>
      </c>
      <c r="G82" s="8">
        <v>-20</v>
      </c>
      <c r="H82" s="8">
        <v>0</v>
      </c>
      <c r="I82" s="8">
        <v>-20</v>
      </c>
      <c r="J82" s="8">
        <v>0</v>
      </c>
      <c r="K82" s="8">
        <v>0</v>
      </c>
      <c r="L82" s="8">
        <v>0</v>
      </c>
      <c r="M82" s="8">
        <v>0</v>
      </c>
      <c r="N82" s="8" t="str">
        <v>IndexFuture</v>
      </c>
      <c r="O82" s="7" t="e" cm="1">
        <f t="array" ref="O82">(_xll.qwPrice($A$1,F82)-_xll.qwPrice($A$4,F82))*_xll.qwMVFactor($A$1,F82)*I82*_xll.qwFXRate($A$1,F82)</f>
        <v>#NUM!</v>
      </c>
      <c r="P82" s="7" cm="1">
        <f t="array" ref="P82">IF(ISNUMBER(_xll.qwDV01($A$1,F82)*I82*_xll.qwMVFactor($A$1,F82)*_xll.qwFXRate($A$1,F82)),_xll.qwDV01($A$1,F82)*I82*_xll.qwMVFactor($A$1,F82)*_xll.qwFXRate($A$1,F82),0)</f>
        <v>0</v>
      </c>
      <c r="Q82" s="7" cm="1">
        <f t="array" ref="Q82">IF(ISNUMBER(_xll.qwDV01($A$1,F82)*G82*_xll.qwMVFactor($A$1,F82)*_xll.qwFXRate($A$1,F82)),_xll.qwDV01($A$1,F82)*G82*_xll.qwMVFactor($A$1,F82)*_xll.qwFXRate($A$1,F82),0)</f>
        <v>0</v>
      </c>
      <c r="R82" s="7" cm="1">
        <f t="array" ref="R82">IF(ISNUMBER(_xll.qwDV01($A$1,F82)*J82*_xll.qwMVFactor($A$1,F82)*_xll.qwFXRate($A$1,F82)),_xll.qwDV01($A$1,F82)*J82*_xll.qwMVFactor($A$1,F82)*_xll.qwFXRate($A$1,F82),0)</f>
        <v>0</v>
      </c>
      <c r="S82" s="7" cm="1">
        <f t="array" ref="S82">IF(ISNUMBER(_xll.qwDV01($A$1,F82)*J82*_xll.qwMVFactor($A$1,F82)*_xll.qwFXRate($A$1,F82)),_xll.qwDV01($A$1,F82)*J82*_xll.qwMVFactor($A$1,F82)*_xll.qwFXRate($A$1,F82),0)</f>
        <v>0</v>
      </c>
      <c r="T82" s="7" t="e" cm="1">
        <f t="array" ref="T82">_xll.qwFXRate($A$1,F82)*J82*(_xll.qwPrice($A$1,F82)-M82)*_xll.qwMVFactor($A$1,F82)</f>
        <v>#NUM!</v>
      </c>
      <c r="U82" s="9" t="e" cm="1">
        <f t="array" ref="U82">_xll.qwYield($A$1,F82)</f>
        <v>#NUM!</v>
      </c>
      <c r="V82" s="9" t="e" cm="1">
        <f t="array" ref="V82">100*(_xll.qwYield($A$4,F82)-U82)</f>
        <v>#NUM!</v>
      </c>
      <c r="W82" s="7">
        <f>IF(ISNA(G82*INDEX(_xll.qwTblData(_xll.qwCurveScenariosPerSecurity($A$1,F82,"Crv210")),2,2)),0,(G82*INDEX(_xll.qwTblData(_xll.qwCurveScenariosPerSecurity($A$1,F82,"Crv210")),2,2)))</f>
        <v>0</v>
      </c>
      <c r="X82" s="7" cm="1">
        <f t="array" ref="X82">ABS(Q82/_xll.qwMV01($A$1,"CT10"))</f>
        <v>0</v>
      </c>
      <c r="Y82" s="7" t="e" cm="1">
        <f t="array" ref="Y82">IF(N82="BondFuture",-(_xll.qwCurveYield($A$1,_xll.qwSecVal($A$1,AA82,"CreditCurveName()"),AA82)-_xll.qwCurveYield($A$4,_xll.qwSecVal($A$4,AA82,"CreditCurveName()"),AA82))*P82*10000,IF(N82="Bond",-(_xll.qwCurveYield($A$1,_xll.qwSecVal($A$1,F82,"CreditCurveName()"),F82)-_xll.qwCurveYield($A$4,_xll.qwSecVal($A$4,F82,"CreditCurveName()"),F82))*P82*10000,O82))</f>
        <v>#NUM!</v>
      </c>
      <c r="Z82" s="7" cm="1">
        <f t="array" ref="Z82">IF(OR(N82="BondFuture",N82="Bond"),P82*(_xll.qwCurveZSpread($A$4,_xll.qwSecVal($A$1,AA82,"CreditCurveName()"),AA82)-_xll.qwCurveZSpread($A$1,_xll.qwSecVal($A$1,AA82,"CreditCurveName()"),AA82)),0)</f>
        <v>0</v>
      </c>
      <c r="AA82" s="10" cm="1">
        <f t="array" ref="AA82">IF(_xll.qwSecType(F82)="Bond",F82,IF(_xll.qwSecType(F82)="BondFuture",_xll.qwFutCTD($A$1,F82),0))</f>
        <v>0</v>
      </c>
      <c r="AB82" s="7" cm="1">
        <f t="array" ref="AB82">IF(_xll.qwSecType(F82)="BondFuture",(I82*_xll.qwDelta($A$4,F82)*_xll.qwMVFactor($A$1,F82)/_xll.qwMVFactor($A$1,_xll.qwFutCTD($A$1,F82)))*(_xll.qwFXRate($A$1,F82)*_xll.qwMVFactor($A$1,_xll.qwFutCTD($A$1,F82))*(_xll.qwIncome($A$4,_xll.qwFutCTD($A$4,F82),_xll.qwBondSettle($A$4,_xll.qwFutCTD($A$4,F82)),_xll.qwBondSettle($A$1,_xll.qwFutCTD($A$1,F82)))+(_xll.qwBondDirtyPrice($A$1,_xll.qwFutCTD($A$1,F82))-_xll.qwBondDirtyPrice($A$4,_xll.qwFutCTD($A$4,F82)))-_xll.qwBondRepoFromTo($A$1,_xll.qwFutCTD($A$1,F82),_xll.qwBondSettle($A$4,_xll.qwFutCTD($A$4,F82)),_xll.qwBondSettle($A$1,_xll.qwFutCTD($A$1,F82)))))-O82,0)</f>
        <v>0</v>
      </c>
    </row>
    <row r="83" spans="2:28" s="8" customFormat="1" x14ac:dyDescent="0.35">
      <c r="B83" s="8" t="str">
        <v>pzhao</v>
      </c>
      <c r="C83" s="8" t="str">
        <v>PPA</v>
      </c>
      <c r="D83" s="8" t="str">
        <v>pzhao|PPA|RV_RATES_EUR_TAIL-PUTS|OEZ6</v>
      </c>
      <c r="E83" s="8" t="str">
        <v>RV_RATES_EUR_TAIL-PUTS</v>
      </c>
      <c r="F83" s="8" t="str">
        <v>OEZ6</v>
      </c>
      <c r="G83" s="8">
        <v>-108</v>
      </c>
      <c r="H83" s="8">
        <v>0</v>
      </c>
      <c r="I83" s="8">
        <v>-108</v>
      </c>
      <c r="J83" s="8">
        <v>0</v>
      </c>
      <c r="K83" s="8">
        <v>0</v>
      </c>
      <c r="L83" s="8">
        <v>0</v>
      </c>
      <c r="M83" s="8">
        <v>0</v>
      </c>
      <c r="N83" s="8" t="str">
        <v>BondFuture</v>
      </c>
      <c r="O83" s="7" cm="1">
        <f t="array" ref="O83">(_xll.qwPrice($A$1,F83)-_xll.qwPrice($A$4,F83))*_xll.qwMVFactor($A$1,F83)*I83*_xll.qwFXRate($A$1,F83)</f>
        <v>-34066.872000000134</v>
      </c>
      <c r="P83" s="7" cm="1">
        <f t="array" ref="P83">IF(ISNUMBER(_xll.qwDV01($A$1,F83)*I83*_xll.qwMVFactor($A$1,F83)*_xll.qwFXRate($A$1,F83)),_xll.qwDV01($A$1,F83)*I83*_xll.qwMVFactor($A$1,F83)*_xll.qwFXRate($A$1,F83),0)</f>
        <v>-6329.4796550348592</v>
      </c>
      <c r="Q83" s="7" cm="1">
        <f t="array" ref="Q83">IF(ISNUMBER(_xll.qwDV01($A$1,F83)*G83*_xll.qwMVFactor($A$1,F83)*_xll.qwFXRate($A$1,F83)),_xll.qwDV01($A$1,F83)*G83*_xll.qwMVFactor($A$1,F83)*_xll.qwFXRate($A$1,F83),0)</f>
        <v>-6329.4796550348592</v>
      </c>
      <c r="R83" s="7" cm="1">
        <f t="array" ref="R83">IF(ISNUMBER(_xll.qwDV01($A$1,F83)*J83*_xll.qwMVFactor($A$1,F83)*_xll.qwFXRate($A$1,F83)),_xll.qwDV01($A$1,F83)*J83*_xll.qwMVFactor($A$1,F83)*_xll.qwFXRate($A$1,F83),0)</f>
        <v>0</v>
      </c>
      <c r="S83" s="7" cm="1">
        <f t="array" ref="S83">IF(ISNUMBER(_xll.qwDV01($A$1,F83)*J83*_xll.qwMVFactor($A$1,F83)*_xll.qwFXRate($A$1,F83)),_xll.qwDV01($A$1,F83)*J83*_xll.qwMVFactor($A$1,F83)*_xll.qwFXRate($A$1,F83),0)</f>
        <v>0</v>
      </c>
      <c r="T83" s="7" cm="1">
        <f t="array" ref="T83">_xll.qwFXRate($A$1,F83)*J83*(_xll.qwPrice($A$1,F83)-M83)*_xll.qwMVFactor($A$1,F83)</f>
        <v>0</v>
      </c>
      <c r="U83" s="9" cm="1">
        <f t="array" ref="U83">_xll.qwYield($A$1,F83)</f>
        <v>3.2197471767515654E-2</v>
      </c>
      <c r="V83" s="9" cm="1">
        <f t="array" ref="V83">100*(_xll.qwYield($A$4,F83)-U83)</f>
        <v>5.3502639976571453E-2</v>
      </c>
      <c r="W83" s="7">
        <f>IF(ISNA(G83*INDEX(_xll.qwTblData(_xll.qwCurveScenariosPerSecurity($A$1,F83,"Crv210")),2,2)),0,(G83*INDEX(_xll.qwTblData(_xll.qwCurveScenariosPerSecurity($A$1,F83,"Crv210")),2,2)))</f>
        <v>-781.05853816240096</v>
      </c>
      <c r="X83" s="7" cm="1">
        <f t="array" ref="X83">ABS(Q83/_xll.qwMV01($A$1,"CT10"))</f>
        <v>8.5722675529000174</v>
      </c>
      <c r="Y83" s="7" cm="1">
        <f t="array" ref="Y83">IF(N83="BondFuture",-(_xll.qwCurveYield($A$1,_xll.qwSecVal($A$1,AA83,"CreditCurveName()"),AA83)-_xll.qwCurveYield($A$4,_xll.qwSecVal($A$4,AA83,"CreditCurveName()"),AA83))*P83*10000,IF(N83="Bond",-(_xll.qwCurveYield($A$1,_xll.qwSecVal($A$1,F83,"CreditCurveName()"),F83)-_xll.qwCurveYield($A$4,_xll.qwSecVal($A$4,F83,"CreditCurveName()"),F83))*P83*10000,O83))</f>
        <v>-32275.637920796024</v>
      </c>
      <c r="Z83" s="7" cm="1">
        <f t="array" ref="Z83">IF(OR(N83="BondFuture",N83="Bond"),P83*(_xll.qwCurveZSpread($A$4,_xll.qwSecVal($A$1,AA83,"CreditCurveName()"),AA83)-_xll.qwCurveZSpread($A$1,_xll.qwSecVal($A$1,AA83,"CreditCurveName()"),AA83)),0)</f>
        <v>-1278.0054183424688</v>
      </c>
      <c r="AA83" s="10" t="str" cm="1">
        <f t="array" ref="AA83">IF(_xll.qwSecType(F83)="Bond",F83,IF(_xll.qwSecType(F83)="BondFuture",_xll.qwFutCTD($A$1,F83),0))</f>
        <v>DE000BU25075</v>
      </c>
      <c r="AB83" s="7" cm="1">
        <f t="array" ref="AB83">IF(_xll.qwSecType(F83)="BondFuture",-(I83*_xll.qwDelta($A$4,F83)*_xll.qwMVFactor($A$1,F83)/_xll.qwMVFactor($A$1,_xll.qwFutCTD($A$1,F83)))*(_xll.qwFXRate($A$1,F83)*_xll.qwMVFactor($A$1,_xll.qwFutCTD($A$1,F83))*(_xll.qwIncome($A$4,_xll.qwFutCTD($A$4,F83),_xll.qwBondSettle($A$4,_xll.qwFutCTD($A$4,F83)),_xll.qwBondSettle($A$1,_xll.qwFutCTD($A$1,F83)))+(_xll.qwSecVal($A$1,AA83,"Price")-_xll.qwSecVal($A$4,AA83,"Price"))-_xll.qwBondRepoFromTo($A$1,AA83,_xll.qwBondSettle($A$4,AA83),_xll.qwBondSettle($A$1,AA83))*_xll.qwSecVal($A$1,AA83,"Price")*(_xll.qwBondSettle($A$1,AA83)-_xll.qwBondSettle($A$4,AA83))/360))+O83,0)</f>
        <v>-315.61068080319092</v>
      </c>
    </row>
    <row r="84" spans="2:28" s="8" customFormat="1" x14ac:dyDescent="0.35">
      <c r="B84" s="8" t="str">
        <v>pzhao</v>
      </c>
      <c r="C84" s="8" t="str">
        <v>PPA</v>
      </c>
      <c r="D84" s="8" t="str">
        <v>pzhao|PPA|RV_RATES_EUR_TAIL-PUTS|RXZ6</v>
      </c>
      <c r="E84" s="8" t="str">
        <v>RV_RATES_EUR_TAIL-PUTS</v>
      </c>
      <c r="F84" s="8" t="str">
        <v>RXZ6</v>
      </c>
      <c r="G84" s="8">
        <v>8</v>
      </c>
      <c r="H84" s="8">
        <v>0</v>
      </c>
      <c r="I84" s="8">
        <v>8</v>
      </c>
      <c r="J84" s="8">
        <v>0</v>
      </c>
      <c r="K84" s="8">
        <v>0</v>
      </c>
      <c r="L84" s="8">
        <v>0</v>
      </c>
      <c r="M84" s="8">
        <v>0</v>
      </c>
      <c r="N84" s="8" t="str">
        <v>BondFuture</v>
      </c>
      <c r="O84" s="7" cm="1">
        <f t="array" ref="O84">(_xll.qwPrice($A$1,F84)-_xll.qwPrice($A$4,F84))*_xll.qwMVFactor($A$1,F84)*I84*_xll.qwFXRate($A$1,F84)</f>
        <v>6398.804000000071</v>
      </c>
      <c r="P84" s="7" cm="1">
        <f t="array" ref="P84">IF(ISNUMBER(_xll.qwDV01($A$1,F84)*I84*_xll.qwMVFactor($A$1,F84)*_xll.qwFXRate($A$1,F84)),_xll.qwDV01($A$1,F84)*I84*_xll.qwMVFactor($A$1,F84)*_xll.qwFXRate($A$1,F84),0)</f>
        <v>847.84353542933025</v>
      </c>
      <c r="Q84" s="7" cm="1">
        <f t="array" ref="Q84">IF(ISNUMBER(_xll.qwDV01($A$1,F84)*G84*_xll.qwMVFactor($A$1,F84)*_xll.qwFXRate($A$1,F84)),_xll.qwDV01($A$1,F84)*G84*_xll.qwMVFactor($A$1,F84)*_xll.qwFXRate($A$1,F84),0)</f>
        <v>847.84353542933025</v>
      </c>
      <c r="R84" s="7" cm="1">
        <f t="array" ref="R84">IF(ISNUMBER(_xll.qwDV01($A$1,F84)*J84*_xll.qwMVFactor($A$1,F84)*_xll.qwFXRate($A$1,F84)),_xll.qwDV01($A$1,F84)*J84*_xll.qwMVFactor($A$1,F84)*_xll.qwFXRate($A$1,F84),0)</f>
        <v>0</v>
      </c>
      <c r="S84" s="7" cm="1">
        <f t="array" ref="S84">IF(ISNUMBER(_xll.qwDV01($A$1,F84)*J84*_xll.qwMVFactor($A$1,F84)*_xll.qwFXRate($A$1,F84)),_xll.qwDV01($A$1,F84)*J84*_xll.qwMVFactor($A$1,F84)*_xll.qwFXRate($A$1,F84),0)</f>
        <v>0</v>
      </c>
      <c r="T84" s="7" cm="1">
        <f t="array" ref="T84">_xll.qwFXRate($A$1,F84)*J84*(_xll.qwPrice($A$1,F84)-M84)*_xll.qwMVFactor($A$1,F84)</f>
        <v>0</v>
      </c>
      <c r="U84" s="9" cm="1">
        <f t="array" ref="U84">_xll.qwYield($A$1,F84)</f>
        <v>3.4171779472362815E-2</v>
      </c>
      <c r="V84" s="9" cm="1">
        <f t="array" ref="V84">100*(_xll.qwYield($A$4,F84)-U84)</f>
        <v>7.5443181855398139E-2</v>
      </c>
      <c r="W84" s="7">
        <f>IF(ISNA(G84*INDEX(_xll.qwTblData(_xll.qwCurveScenariosPerSecurity($A$1,F84,"Crv210")),2,2)),0,(G84*INDEX(_xll.qwTblData(_xll.qwCurveScenariosPerSecurity($A$1,F84,"Crv210")),2,2)))</f>
        <v>-320.23404000575738</v>
      </c>
      <c r="X84" s="7" cm="1">
        <f t="array" ref="X84">ABS(Q84/_xll.qwMV01($A$1,"CT10"))</f>
        <v>1.1482684240742467</v>
      </c>
      <c r="Y84" s="7" cm="1">
        <f t="array" ref="Y84">IF(N84="BondFuture",-(_xll.qwCurveYield($A$1,_xll.qwSecVal($A$1,AA84,"CreditCurveName()"),AA84)-_xll.qwCurveYield($A$4,_xll.qwSecVal($A$4,AA84,"CreditCurveName()"),AA84))*P84*10000,IF(N84="Bond",-(_xll.qwCurveYield($A$1,_xll.qwSecVal($A$1,F84,"CreditCurveName()"),F84)-_xll.qwCurveYield($A$4,_xll.qwSecVal($A$4,F84,"CreditCurveName()"),F84))*P84*10000,O84))</f>
        <v>6327.4596862472908</v>
      </c>
      <c r="Z84" s="7" cm="1">
        <f t="array" ref="Z84">IF(OR(N84="BondFuture",N84="Bond"),P84*(_xll.qwCurveZSpread($A$4,_xll.qwSecVal($A$1,AA84,"CreditCurveName()"),AA84)-_xll.qwCurveZSpread($A$1,_xll.qwSecVal($A$1,AA84,"CreditCurveName()"),AA84)),0)</f>
        <v>124.04973687606012</v>
      </c>
      <c r="AA84" s="10" t="str" cm="1">
        <f t="array" ref="AA84">IF(_xll.qwSecType(F84)="Bond",F84,IF(_xll.qwSecType(F84)="BondFuture",_xll.qwFutCTD($A$1,F84),0))</f>
        <v>DE000BU2Z056</v>
      </c>
      <c r="AB84" s="7" cm="1">
        <f t="array" ref="AB84">IF(_xll.qwSecType(F84)="BondFuture",-(I84*_xll.qwDelta($A$4,F84)*_xll.qwMVFactor($A$1,F84)/_xll.qwMVFactor($A$1,_xll.qwFutCTD($A$1,F84)))*(_xll.qwFXRate($A$1,F84)*_xll.qwMVFactor($A$1,_xll.qwFutCTD($A$1,F84))*(_xll.qwIncome($A$4,_xll.qwFutCTD($A$4,F84),_xll.qwBondSettle($A$4,_xll.qwFutCTD($A$4,F84)),_xll.qwBondSettle($A$1,_xll.qwFutCTD($A$1,F84)))+(_xll.qwSecVal($A$1,AA84,"Price")-_xll.qwSecVal($A$4,AA84,"Price"))-_xll.qwBondRepoFromTo($A$1,AA84,_xll.qwBondSettle($A$4,AA84),_xll.qwBondSettle($A$1,AA84))*_xll.qwSecVal($A$1,AA84,"Price")*(_xll.qwBondSettle($A$1,AA84)-_xll.qwBondSettle($A$4,AA84))/360))+O84,0)</f>
        <v>-55.980195895325778</v>
      </c>
    </row>
    <row r="85" spans="2:28" s="8" customFormat="1" x14ac:dyDescent="0.35">
      <c r="B85" s="8" t="str">
        <v>pzhao</v>
      </c>
      <c r="C85" s="8" t="str">
        <v>PPA</v>
      </c>
      <c r="D85" s="8" t="str">
        <v>pzhao|PPA|RV_RATES_GBP_UKT-FLY|G Z6</v>
      </c>
      <c r="E85" s="8" t="str">
        <v>RV_RATES_GBP_UKT-FLY</v>
      </c>
      <c r="F85" s="8" t="str">
        <v>G Z6</v>
      </c>
      <c r="G85" s="8">
        <v>-207</v>
      </c>
      <c r="H85" s="8">
        <v>0</v>
      </c>
      <c r="I85" s="8">
        <v>-296</v>
      </c>
      <c r="J85" s="8">
        <v>89</v>
      </c>
      <c r="K85" s="8">
        <v>84.6</v>
      </c>
      <c r="L85" s="8">
        <v>0</v>
      </c>
      <c r="M85" s="8">
        <v>84.6</v>
      </c>
      <c r="N85" s="8" t="str">
        <v>BondFuture</v>
      </c>
      <c r="O85" s="7" cm="1">
        <f t="array" ref="O85">(_xll.qwPrice($A$1,F85)-_xll.qwPrice($A$4,F85))*_xll.qwMVFactor($A$1,F85)*I85*_xll.qwFXRate($A$1,F85)</f>
        <v>-274218.84000000107</v>
      </c>
      <c r="P85" s="7" cm="1">
        <f t="array" ref="P85">IF(ISNUMBER(_xll.qwDV01($A$1,F85)*I85*_xll.qwMVFactor($A$1,F85)*_xll.qwFXRate($A$1,F85)),_xll.qwDV01($A$1,F85)*I85*_xll.qwMVFactor($A$1,F85)*_xll.qwFXRate($A$1,F85),0)</f>
        <v>-36442.997576724229</v>
      </c>
      <c r="Q85" s="7" cm="1">
        <f t="array" ref="Q85">IF(ISNUMBER(_xll.qwDV01($A$1,F85)*G85*_xll.qwMVFactor($A$1,F85)*_xll.qwFXRate($A$1,F85)),_xll.qwDV01($A$1,F85)*G85*_xll.qwMVFactor($A$1,F85)*_xll.qwFXRate($A$1,F85),0)</f>
        <v>-25485.47465669566</v>
      </c>
      <c r="R85" s="7" cm="1">
        <f t="array" ref="R85">IF(ISNUMBER(_xll.qwDV01($A$1,F85)*J85*_xll.qwMVFactor($A$1,F85)*_xll.qwFXRate($A$1,F85)),_xll.qwDV01($A$1,F85)*J85*_xll.qwMVFactor($A$1,F85)*_xll.qwFXRate($A$1,F85),0)</f>
        <v>10957.52292002857</v>
      </c>
      <c r="S85" s="7" cm="1">
        <f t="array" ref="S85">IF(ISNUMBER(_xll.qwDV01($A$1,F85)*J85*_xll.qwMVFactor($A$1,F85)*_xll.qwFXRate($A$1,F85)),_xll.qwDV01($A$1,F85)*J85*_xll.qwMVFactor($A$1,F85)*_xll.qwFXRate($A$1,F85),0)</f>
        <v>10957.52292002857</v>
      </c>
      <c r="T85" s="7" cm="1">
        <f t="array" ref="T85">_xll.qwFXRate($A$1,F85)*J85*(_xll.qwPrice($A$1,F85)-M85)*_xll.qwMVFactor($A$1,F85)</f>
        <v>-14134.445999998859</v>
      </c>
      <c r="U85" s="9" cm="1">
        <f t="array" ref="U85">_xll.qwYield($A$1,F85)</f>
        <v>5.5394444696192244E-2</v>
      </c>
      <c r="V85" s="9" cm="1">
        <f t="array" ref="V85">100*(_xll.qwYield($A$4,F85)-U85)</f>
        <v>7.4453306262749902E-2</v>
      </c>
      <c r="W85" s="7">
        <f>IF(ISNA(G85*INDEX(_xll.qwTblData(_xll.qwCurveScenariosPerSecurity($A$1,F85,"Crv210")),2,2)),0,(G85*INDEX(_xll.qwTblData(_xll.qwCurveScenariosPerSecurity($A$1,F85,"Crv210")),2,2)))</f>
        <v>24322.081073418965</v>
      </c>
      <c r="X85" s="7" cm="1">
        <f t="array" ref="X85">ABS(Q85/_xll.qwMV01($A$1,"CT10"))</f>
        <v>34.515998056185353</v>
      </c>
      <c r="Y85" s="7" cm="1">
        <f t="array" ref="Y85">IF(N85="BondFuture",-(_xll.qwCurveYield($A$1,_xll.qwSecVal($A$1,AA85,"CreditCurveName()"),AA85)-_xll.qwCurveYield($A$4,_xll.qwSecVal($A$4,AA85,"CreditCurveName()"),AA85))*P85*10000,IF(N85="Bond",-(_xll.qwCurveYield($A$1,_xll.qwSecVal($A$1,F85,"CreditCurveName()"),F85)-_xll.qwCurveYield($A$4,_xll.qwSecVal($A$4,F85,"CreditCurveName()"),F85))*P85*10000,O85))</f>
        <v>-264035.46334277652</v>
      </c>
      <c r="Z85" s="7" cm="1">
        <f t="array" ref="Z85">IF(OR(N85="BondFuture",N85="Bond"),P85*(_xll.qwCurveZSpread($A$4,_xll.qwSecVal($A$1,AA85,"CreditCurveName()"),AA85)-_xll.qwCurveZSpread($A$1,_xll.qwSecVal($A$1,AA85,"CreditCurveName()"),AA85)),0)</f>
        <v>8187.2281567948976</v>
      </c>
      <c r="AA85" s="10" t="str" cm="1">
        <f t="array" ref="AA85">IF(_xll.qwSecType(F85)="Bond",F85,IF(_xll.qwSecType(F85)="BondFuture",_xll.qwFutCTD($A$1,F85),0))</f>
        <v>GB00BLPK7334</v>
      </c>
      <c r="AB85" s="7" cm="1">
        <f t="array" ref="AB85">IF(_xll.qwSecType(F85)="BondFuture",-(I85*_xll.qwDelta($A$4,F85)*_xll.qwMVFactor($A$1,F85)/_xll.qwMVFactor($A$1,_xll.qwFutCTD($A$1,F85)))*(_xll.qwFXRate($A$1,F85)*_xll.qwMVFactor($A$1,_xll.qwFutCTD($A$1,F85))*(_xll.qwIncome($A$4,_xll.qwFutCTD($A$4,F85),_xll.qwBondSettle($A$4,_xll.qwFutCTD($A$4,F85)),_xll.qwBondSettle($A$1,_xll.qwFutCTD($A$1,F85)))+(_xll.qwSecVal($A$1,AA85,"Price")-_xll.qwSecVal($A$4,AA85,"Price"))-_xll.qwBondRepoFromTo($A$1,AA85,_xll.qwBondSettle($A$4,AA85),_xll.qwBondSettle($A$1,AA85))*_xll.qwSecVal($A$1,AA85,"Price")*(_xll.qwBondSettle($A$1,AA85)-_xll.qwBondSettle($A$4,AA85))/360))+O85,0)</f>
        <v>-14905.968130683439</v>
      </c>
    </row>
    <row r="86" spans="2:28" s="8" customFormat="1" hidden="1" x14ac:dyDescent="0.35">
      <c r="B86" s="8" t="str">
        <v>pzhao</v>
      </c>
      <c r="C86" s="8" t="str">
        <v>PPA</v>
      </c>
      <c r="D86" s="8" t="str">
        <v>pzhao|PPA|RV_RATES_GBP_UKT-FLY|GB00BLBDX619</v>
      </c>
      <c r="E86" s="8" t="str">
        <v>RV_RATES_GBP_UKT-FLY</v>
      </c>
      <c r="F86" s="8" t="str">
        <v>GB00BLBDX619</v>
      </c>
      <c r="G86" s="8">
        <v>-16.253</v>
      </c>
      <c r="H86" s="8">
        <v>0</v>
      </c>
      <c r="I86" s="8">
        <v>-16.253</v>
      </c>
      <c r="J86" s="8">
        <v>0</v>
      </c>
      <c r="K86" s="8">
        <v>0</v>
      </c>
      <c r="L86" s="8">
        <v>0</v>
      </c>
      <c r="M86" s="8">
        <v>0</v>
      </c>
      <c r="N86" s="8" t="str">
        <v>Bond</v>
      </c>
      <c r="O86" s="7" cm="1">
        <f t="array" ref="O86">(_xll.qwPrice($A$1,F86)-_xll.qwPrice($A$4,F86))*_xll.qwMVFactor($A$1,F86)*I86*_xll.qwFXRate($A$1,F86)</f>
        <v>-104462.50658453534</v>
      </c>
      <c r="P86" s="7" cm="1">
        <f t="array" ref="P86">IF(ISNUMBER(_xll.qwDV01($A$1,F86)*I86*_xll.qwMVFactor($A$1,F86)*_xll.qwFXRate($A$1,F86)),_xll.qwDV01($A$1,F86)*I86*_xll.qwMVFactor($A$1,F86)*_xll.qwFXRate($A$1,F86),0)</f>
        <v>-14543.378598540074</v>
      </c>
      <c r="Q86" s="7" cm="1">
        <f t="array" ref="Q86">IF(ISNUMBER(_xll.qwDV01($A$1,F86)*G86*_xll.qwMVFactor($A$1,F86)*_xll.qwFXRate($A$1,F86)),_xll.qwDV01($A$1,F86)*G86*_xll.qwMVFactor($A$1,F86)*_xll.qwFXRate($A$1,F86),0)</f>
        <v>-14543.378598540074</v>
      </c>
      <c r="R86" s="7" cm="1">
        <f t="array" ref="R86">IF(ISNUMBER(_xll.qwDV01($A$1,F86)*J86*_xll.qwMVFactor($A$1,F86)*_xll.qwFXRate($A$1,F86)),_xll.qwDV01($A$1,F86)*J86*_xll.qwMVFactor($A$1,F86)*_xll.qwFXRate($A$1,F86),0)</f>
        <v>0</v>
      </c>
      <c r="S86" s="7" cm="1">
        <f t="array" ref="S86">IF(ISNUMBER(_xll.qwDV01($A$1,F86)*J86*_xll.qwMVFactor($A$1,F86)*_xll.qwFXRate($A$1,F86)),_xll.qwDV01($A$1,F86)*J86*_xll.qwMVFactor($A$1,F86)*_xll.qwFXRate($A$1,F86),0)</f>
        <v>0</v>
      </c>
      <c r="T86" s="7" cm="1">
        <f t="array" ref="T86">_xll.qwFXRate($A$1,F86)*J86*(_xll.qwPrice($A$1,F86)-M86)*_xll.qwMVFactor($A$1,F86)</f>
        <v>0</v>
      </c>
      <c r="U86" s="9" cm="1">
        <f t="array" ref="U86">_xll.qwYield($A$1,F86)</f>
        <v>5.2933978703092889E-2</v>
      </c>
      <c r="V86" s="9" cm="1">
        <f t="array" ref="V86">100*(_xll.qwYield($A$4,F86)-U86)</f>
        <v>7.2353033588280768E-2</v>
      </c>
      <c r="W86" s="7">
        <f>IF(ISNA(G86*INDEX(_xll.qwTblData(_xll.qwCurveScenariosPerSecurity($A$1,F86,"Crv210")),2,2)),0,(G86*INDEX(_xll.qwTblData(_xll.qwCurveScenariosPerSecurity($A$1,F86,"Crv210")),2,2)))</f>
        <v>102211.53200008775</v>
      </c>
      <c r="X86" s="7" cm="1">
        <f t="array" ref="X86">ABS(Q86/_xll.qwMV01($A$1,"CT10"))</f>
        <v>19.696679547841757</v>
      </c>
      <c r="Y86" s="7" cm="1">
        <f t="array" ref="Y86">IF(N86="BondFuture",-(_xll.qwCurveYield($A$1,_xll.qwSecVal($A$1,AA86,"CreditCurveName()"),AA86)-_xll.qwCurveYield($A$4,_xll.qwSecVal($A$4,AA86,"CreditCurveName()"),AA86))*P86*10000,IF(N86="Bond",-(_xll.qwCurveYield($A$1,_xll.qwSecVal($A$1,F86,"CreditCurveName()"),F86)-_xll.qwCurveYield($A$4,_xll.qwSecVal($A$4,F86,"CreditCurveName()"),F86))*P86*10000,O86))</f>
        <v>-119166.05122440746</v>
      </c>
      <c r="Z86" s="7" cm="1">
        <f t="array" ref="Z86">IF(OR(N86="BondFuture",N86="Bond"),P86*(_xll.qwCurveZSpread($A$4,_xll.qwSecVal($A$1,AA86,"CreditCurveName()"),AA86)-_xll.qwCurveZSpread($A$1,_xll.qwSecVal($A$1,AA86,"CreditCurveName()"),AA86)),0)</f>
        <v>13940.295201682113</v>
      </c>
      <c r="AA86" s="10" t="str" cm="1">
        <f t="array" ref="AA86">IF(_xll.qwSecType(F86)="Bond",F86,IF(_xll.qwSecType(F86)="BondFuture",_xll.qwFutCTD($A$1,F86),0))</f>
        <v>GB00BLBDX619</v>
      </c>
      <c r="AB86" s="7" cm="1">
        <f t="array" ref="AB86">IF(_xll.qwSecType(F86)="BondFuture",(I86*_xll.qwDelta($A$4,F86)*_xll.qwMVFactor($A$1,F86)/_xll.qwMVFactor($A$1,_xll.qwFutCTD($A$1,F86)))*(_xll.qwFXRate($A$1,F86)*_xll.qwMVFactor($A$1,_xll.qwFutCTD($A$1,F86))*(_xll.qwIncome($A$4,_xll.qwFutCTD($A$4,F86),_xll.qwBondSettle($A$4,_xll.qwFutCTD($A$4,F86)),_xll.qwBondSettle($A$1,_xll.qwFutCTD($A$1,F86)))+(_xll.qwBondDirtyPrice($A$1,_xll.qwFutCTD($A$1,F86))-_xll.qwBondDirtyPrice($A$4,_xll.qwFutCTD($A$4,F86)))-_xll.qwBondRepoFromTo($A$1,_xll.qwFutCTD($A$1,F86),_xll.qwBondSettle($A$4,_xll.qwFutCTD($A$4,F86)),_xll.qwBondSettle($A$1,_xll.qwFutCTD($A$1,F86)))))-O86,0)</f>
        <v>0</v>
      </c>
    </row>
    <row r="87" spans="2:28" s="8" customFormat="1" hidden="1" x14ac:dyDescent="0.35">
      <c r="B87" s="8" t="str">
        <v>pzhao</v>
      </c>
      <c r="C87" s="8" t="str">
        <v>PPA</v>
      </c>
      <c r="D87" s="8" t="str">
        <v>pzhao|PPA|RV_RATES_GBP_UKT-FLY|GB00BPSNBB36</v>
      </c>
      <c r="E87" s="8" t="str">
        <v>RV_RATES_GBP_UKT-FLY</v>
      </c>
      <c r="F87" s="8" t="str">
        <v>GB00BPSNBB36</v>
      </c>
      <c r="G87" s="8">
        <v>31.99</v>
      </c>
      <c r="H87" s="8">
        <v>0</v>
      </c>
      <c r="I87" s="8">
        <v>39.19</v>
      </c>
      <c r="J87" s="8">
        <v>-7.2</v>
      </c>
      <c r="K87" s="8">
        <v>79.16</v>
      </c>
      <c r="L87" s="8">
        <v>0</v>
      </c>
      <c r="M87" s="8">
        <v>79.16</v>
      </c>
      <c r="N87" s="8" t="str">
        <v>Bond</v>
      </c>
      <c r="O87" s="7" cm="1">
        <f t="array" ref="O87">(_xll.qwPrice($A$1,F87)-_xll.qwPrice($A$4,F87))*_xll.qwMVFactor($A$1,F87)*I87*_xll.qwFXRate($A$1,F87)</f>
        <v>507227.49073767092</v>
      </c>
      <c r="P87" s="7" cm="1">
        <f t="array" ref="P87">IF(ISNUMBER(_xll.qwDV01($A$1,F87)*I87*_xll.qwMVFactor($A$1,F87)*_xll.qwFXRate($A$1,F87)),_xll.qwDV01($A$1,F87)*I87*_xll.qwMVFactor($A$1,F87)*_xll.qwFXRate($A$1,F87),0)</f>
        <v>59352.684730729721</v>
      </c>
      <c r="Q87" s="7" cm="1">
        <f t="array" ref="Q87">IF(ISNUMBER(_xll.qwDV01($A$1,F87)*G87*_xll.qwMVFactor($A$1,F87)*_xll.qwFXRate($A$1,F87)),_xll.qwDV01($A$1,F87)*G87*_xll.qwMVFactor($A$1,F87)*_xll.qwFXRate($A$1,F87),0)</f>
        <v>48448.389500792131</v>
      </c>
      <c r="R87" s="7" cm="1">
        <f t="array" ref="R87">IF(ISNUMBER(_xll.qwDV01($A$1,F87)*J87*_xll.qwMVFactor($A$1,F87)*_xll.qwFXRate($A$1,F87)),_xll.qwDV01($A$1,F87)*J87*_xll.qwMVFactor($A$1,F87)*_xll.qwFXRate($A$1,F87),0)</f>
        <v>-10904.295229937587</v>
      </c>
      <c r="S87" s="7" cm="1">
        <f t="array" ref="S87">IF(ISNUMBER(_xll.qwDV01($A$1,F87)*J87*_xll.qwMVFactor($A$1,F87)*_xll.qwFXRate($A$1,F87)),_xll.qwDV01($A$1,F87)*J87*_xll.qwMVFactor($A$1,F87)*_xll.qwFXRate($A$1,F87),0)</f>
        <v>-10904.295229937587</v>
      </c>
      <c r="T87" s="7" cm="1">
        <f t="array" ref="T87">_xll.qwFXRate($A$1,F87)*J87*(_xll.qwPrice($A$1,F87)-M87)*_xll.qwMVFactor($A$1,F87)</f>
        <v>-2464.3962450191807</v>
      </c>
      <c r="U87" s="9" cm="1">
        <f t="array" ref="U87">_xll.qwYield($A$1,F87)</f>
        <v>5.9075500329370881E-2</v>
      </c>
      <c r="V87" s="9" cm="1">
        <f t="array" ref="V87">100*(_xll.qwYield($A$4,F87)-U87)</f>
        <v>8.6039229695211716E-2</v>
      </c>
      <c r="W87" s="7">
        <f>IF(ISNA(G87*INDEX(_xll.qwTblData(_xll.qwCurveScenariosPerSecurity($A$1,F87,"Crv210")),2,2)),0,(G87*INDEX(_xll.qwTblData(_xll.qwCurveScenariosPerSecurity($A$1,F87,"Crv210")),2,2)))</f>
        <v>-140873.89731302566</v>
      </c>
      <c r="X87" s="7" cm="1">
        <f t="array" ref="X87">ABS(Q87/_xll.qwMV01($A$1,"CT10"))</f>
        <v>65.615592425127232</v>
      </c>
      <c r="Y87" s="7" cm="1">
        <f t="array" ref="Y87">IF(N87="BondFuture",-(_xll.qwCurveYield($A$1,_xll.qwSecVal($A$1,AA87,"CreditCurveName()"),AA87)-_xll.qwCurveYield($A$4,_xll.qwSecVal($A$4,AA87,"CreditCurveName()"),AA87))*P87*10000,IF(N87="Bond",-(_xll.qwCurveYield($A$1,_xll.qwSecVal($A$1,F87,"CreditCurveName()"),F87)-_xll.qwCurveYield($A$4,_xll.qwSecVal($A$4,F87,"CreditCurveName()"),F87))*P87*10000,O87))</f>
        <v>504565.68439818954</v>
      </c>
      <c r="Z87" s="7" cm="1">
        <f t="array" ref="Z87">IF(OR(N87="BondFuture",N87="Bond"),P87*(_xll.qwCurveZSpread($A$4,_xll.qwSecVal($A$1,AA87,"CreditCurveName()"),AA87)-_xll.qwCurveZSpread($A$1,_xll.qwSecVal($A$1,AA87,"CreditCurveName()"),AA87)),0)</f>
        <v>6100.2430592844667</v>
      </c>
      <c r="AA87" s="10" t="str" cm="1">
        <f t="array" ref="AA87">IF(_xll.qwSecType(F87)="Bond",F87,IF(_xll.qwSecType(F87)="BondFuture",_xll.qwFutCTD($A$1,F87),0))</f>
        <v>GB00BPSNBB36</v>
      </c>
      <c r="AB87" s="7" cm="1">
        <f t="array" ref="AB87">IF(_xll.qwSecType(F87)="BondFuture",-(I87*_xll.qwDelta($A$4,F87)*_xll.qwMVFactor($A$1,F87)/_xll.qwMVFactor($A$1,_xll.qwFutCTD($A$1,F87)))*(_xll.qwFXRate($A$1,F87)*_xll.qwMVFactor($A$1,_xll.qwFutCTD($A$1,F87))*(_xll.qwIncome($A$4,_xll.qwFutCTD($A$4,F87),_xll.qwBondSettle($A$4,_xll.qwFutCTD($A$4,F87)),_xll.qwBondSettle($A$1,_xll.qwFutCTD($A$1,F87)))+(_xll.qwSecVal($A$1,AA87,"Price")-_xll.qwSecVal($A$4,AA87,"Price"))-_xll.qwBondRepoFromTo($A$1,AA87,_xll.qwBondSettle($A$4,AA87),_xll.qwBondSettle($A$1,AA87))*_xll.qwSecVal($A$1,AA87,"Price")*(_xll.qwBondSettle($A$1,AA87)-_xll.qwBondSettle($A$4,AA87))/360))+O87,0)</f>
        <v>0</v>
      </c>
    </row>
    <row r="88" spans="2:28" s="8" customFormat="1" hidden="1" x14ac:dyDescent="0.35">
      <c r="B88" s="8" t="str">
        <v>pzhao</v>
      </c>
      <c r="C88" s="8" t="str">
        <v>PPA</v>
      </c>
      <c r="D88" s="8" t="str">
        <v>pzhao|PPA|RV_RATES_GBP_UKT-FLY|GB00BT7J0241</v>
      </c>
      <c r="E88" s="8" t="str">
        <v>RV_RATES_GBP_UKT-FLY</v>
      </c>
      <c r="F88" s="8" t="str">
        <v>GB00BT7J0241</v>
      </c>
      <c r="G88" s="8">
        <v>-1.226</v>
      </c>
      <c r="H88" s="8">
        <v>0</v>
      </c>
      <c r="I88" s="8">
        <v>-1.226</v>
      </c>
      <c r="J88" s="8">
        <v>0</v>
      </c>
      <c r="K88" s="8">
        <v>0</v>
      </c>
      <c r="L88" s="8">
        <v>0</v>
      </c>
      <c r="M88" s="8">
        <v>0</v>
      </c>
      <c r="N88" s="8" t="str">
        <v>Bond</v>
      </c>
      <c r="O88" s="7" cm="1">
        <f t="array" ref="O88">(_xll.qwPrice($A$1,F88)-_xll.qwPrice($A$4,F88))*_xll.qwMVFactor($A$1,F88)*I88*_xll.qwFXRate($A$1,F88)</f>
        <v>-18093.019253704206</v>
      </c>
      <c r="P88" s="7" cm="1">
        <f t="array" ref="P88">IF(ISNUMBER(_xll.qwDV01($A$1,F88)*I88*_xll.qwMVFactor($A$1,F88)*_xll.qwFXRate($A$1,F88)),_xll.qwDV01($A$1,F88)*I88*_xll.qwMVFactor($A$1,F88)*_xll.qwFXRate($A$1,F88),0)</f>
        <v>-2133.4271518891082</v>
      </c>
      <c r="Q88" s="7" cm="1">
        <f t="array" ref="Q88">IF(ISNUMBER(_xll.qwDV01($A$1,F88)*G88*_xll.qwMVFactor($A$1,F88)*_xll.qwFXRate($A$1,F88)),_xll.qwDV01($A$1,F88)*G88*_xll.qwMVFactor($A$1,F88)*_xll.qwFXRate($A$1,F88),0)</f>
        <v>-2133.4271518891082</v>
      </c>
      <c r="R88" s="7" cm="1">
        <f t="array" ref="R88">IF(ISNUMBER(_xll.qwDV01($A$1,F88)*J88*_xll.qwMVFactor($A$1,F88)*_xll.qwFXRate($A$1,F88)),_xll.qwDV01($A$1,F88)*J88*_xll.qwMVFactor($A$1,F88)*_xll.qwFXRate($A$1,F88),0)</f>
        <v>0</v>
      </c>
      <c r="S88" s="7" cm="1">
        <f t="array" ref="S88">IF(ISNUMBER(_xll.qwDV01($A$1,F88)*J88*_xll.qwMVFactor($A$1,F88)*_xll.qwFXRate($A$1,F88)),_xll.qwDV01($A$1,F88)*J88*_xll.qwMVFactor($A$1,F88)*_xll.qwFXRate($A$1,F88),0)</f>
        <v>0</v>
      </c>
      <c r="T88" s="7" cm="1">
        <f t="array" ref="T88">_xll.qwFXRate($A$1,F88)*J88*(_xll.qwPrice($A$1,F88)-M88)*_xll.qwMVFactor($A$1,F88)</f>
        <v>0</v>
      </c>
      <c r="U88" s="9" cm="1">
        <f t="array" ref="U88">_xll.qwYield($A$1,F88)</f>
        <v>5.8814215043829624E-2</v>
      </c>
      <c r="V88" s="9" cm="1">
        <f t="array" ref="V88">100*(_xll.qwYield($A$4,F88)-U88)</f>
        <v>8.5539557265767313E-2</v>
      </c>
      <c r="W88" s="7">
        <f>IF(ISNA(G88*INDEX(_xll.qwTblData(_xll.qwCurveScenariosPerSecurity($A$1,F88,"Crv210")),2,2)),0,(G88*INDEX(_xll.qwTblData(_xll.qwCurveScenariosPerSecurity($A$1,F88,"Crv210")),2,2)))</f>
        <v>6333.4526239254883</v>
      </c>
      <c r="X88" s="7" cm="1">
        <f t="array" ref="X88">ABS(Q88/_xll.qwMV01($A$1,"CT10"))</f>
        <v>2.8893857548095996</v>
      </c>
      <c r="Y88" s="7" cm="1">
        <f t="array" ref="Y88">IF(N88="BondFuture",-(_xll.qwCurveYield($A$1,_xll.qwSecVal($A$1,AA88,"CreditCurveName()"),AA88)-_xll.qwCurveYield($A$4,_xll.qwSecVal($A$4,AA88,"CreditCurveName()"),AA88))*P88*10000,IF(N88="Bond",-(_xll.qwCurveYield($A$1,_xll.qwSecVal($A$1,F88,"CreditCurveName()"),F88)-_xll.qwCurveYield($A$4,_xll.qwSecVal($A$4,F88,"CreditCurveName()"),F88))*P88*10000,O88))</f>
        <v>-17666.935450881261</v>
      </c>
      <c r="Z88" s="7" cm="1">
        <f t="array" ref="Z88">IF(OR(N88="BondFuture",N88="Bond"),P88*(_xll.qwCurveZSpread($A$4,_xll.qwSecVal($A$1,AA88,"CreditCurveName()"),AA88)-_xll.qwCurveZSpread($A$1,_xll.qwSecVal($A$1,AA88,"CreditCurveName()"),AA88)),0)</f>
        <v>-582.30595225486388</v>
      </c>
      <c r="AA88" s="10" t="str" cm="1">
        <f t="array" ref="AA88">IF(_xll.qwSecType(F88)="Bond",F88,IF(_xll.qwSecType(F88)="BondFuture",_xll.qwFutCTD($A$1,F88),0))</f>
        <v>GB00BT7J0241</v>
      </c>
      <c r="AB88" s="7" cm="1">
        <f t="array" ref="AB88">IF(_xll.qwSecType(F88)="BondFuture",(I88*_xll.qwDelta($A$4,F88)*_xll.qwMVFactor($A$1,F88)/_xll.qwMVFactor($A$1,_xll.qwFutCTD($A$1,F88)))*(_xll.qwFXRate($A$1,F88)*_xll.qwMVFactor($A$1,_xll.qwFutCTD($A$1,F88))*(_xll.qwIncome($A$4,_xll.qwFutCTD($A$4,F88),_xll.qwBondSettle($A$4,_xll.qwFutCTD($A$4,F88)),_xll.qwBondSettle($A$1,_xll.qwFutCTD($A$1,F88)))+(_xll.qwBondDirtyPrice($A$1,_xll.qwFutCTD($A$1,F88))-_xll.qwBondDirtyPrice($A$4,_xll.qwFutCTD($A$4,F88)))-_xll.qwBondRepoFromTo($A$1,_xll.qwFutCTD($A$1,F88),_xll.qwBondSettle($A$4,_xll.qwFutCTD($A$4,F88)),_xll.qwBondSettle($A$1,_xll.qwFutCTD($A$1,F88)))))-O88,0)</f>
        <v>0</v>
      </c>
    </row>
    <row r="89" spans="2:28" s="8" customFormat="1" hidden="1" x14ac:dyDescent="0.35">
      <c r="B89" s="8" t="str">
        <v>pzhao</v>
      </c>
      <c r="C89" s="8" t="str">
        <v>PPA</v>
      </c>
      <c r="D89" s="8" t="str">
        <v>pzhao|PPA|RV_RATES_GBP_UKT-FLY|GB00BVP99897</v>
      </c>
      <c r="E89" s="8" t="str">
        <v>RV_RATES_GBP_UKT-FLY</v>
      </c>
      <c r="F89" s="8" t="str">
        <v>GB00BVP99897</v>
      </c>
      <c r="G89" s="8">
        <v>9.423</v>
      </c>
      <c r="H89" s="8">
        <v>0</v>
      </c>
      <c r="I89" s="8">
        <v>9.423</v>
      </c>
      <c r="J89" s="8">
        <v>0</v>
      </c>
      <c r="K89" s="8">
        <v>0</v>
      </c>
      <c r="L89" s="8">
        <v>0</v>
      </c>
      <c r="M89" s="8">
        <v>0</v>
      </c>
      <c r="N89" s="8" t="str">
        <v>Bond</v>
      </c>
      <c r="O89" s="7" cm="1">
        <f t="array" ref="O89">(_xll.qwPrice($A$1,F89)-_xll.qwPrice($A$4,F89))*_xll.qwMVFactor($A$1,F89)*I89*_xll.qwFXRate($A$1,F89)</f>
        <v>82391.043117252819</v>
      </c>
      <c r="P89" s="7" cm="1">
        <f t="array" ref="P89">IF(ISNUMBER(_xll.qwDV01($A$1,F89)*I89*_xll.qwMVFactor($A$1,F89)*_xll.qwFXRate($A$1,F89)),_xll.qwDV01($A$1,F89)*I89*_xll.qwMVFactor($A$1,F89)*_xll.qwFXRate($A$1,F89),0)</f>
        <v>11821.267739091103</v>
      </c>
      <c r="Q89" s="7" cm="1">
        <f t="array" ref="Q89">IF(ISNUMBER(_xll.qwDV01($A$1,F89)*G89*_xll.qwMVFactor($A$1,F89)*_xll.qwFXRate($A$1,F89)),_xll.qwDV01($A$1,F89)*G89*_xll.qwMVFactor($A$1,F89)*_xll.qwFXRate($A$1,F89),0)</f>
        <v>11821.267739091103</v>
      </c>
      <c r="R89" s="7" cm="1">
        <f t="array" ref="R89">IF(ISNUMBER(_xll.qwDV01($A$1,F89)*J89*_xll.qwMVFactor($A$1,F89)*_xll.qwFXRate($A$1,F89)),_xll.qwDV01($A$1,F89)*J89*_xll.qwMVFactor($A$1,F89)*_xll.qwFXRate($A$1,F89),0)</f>
        <v>0</v>
      </c>
      <c r="S89" s="7" cm="1">
        <f t="array" ref="S89">IF(ISNUMBER(_xll.qwDV01($A$1,F89)*J89*_xll.qwMVFactor($A$1,F89)*_xll.qwFXRate($A$1,F89)),_xll.qwDV01($A$1,F89)*J89*_xll.qwMVFactor($A$1,F89)*_xll.qwFXRate($A$1,F89),0)</f>
        <v>0</v>
      </c>
      <c r="T89" s="7" cm="1">
        <f t="array" ref="T89">_xll.qwFXRate($A$1,F89)*J89*(_xll.qwPrice($A$1,F89)-M89)*_xll.qwMVFactor($A$1,F89)</f>
        <v>0</v>
      </c>
      <c r="U89" s="9" cm="1">
        <f t="array" ref="U89">_xll.qwYield($A$1,F89)</f>
        <v>5.655968264347401E-2</v>
      </c>
      <c r="V89" s="9" cm="1">
        <f t="array" ref="V89">100*(_xll.qwYield($A$4,F89)-U89)</f>
        <v>6.9844699140619165E-2</v>
      </c>
      <c r="W89" s="7">
        <f>IF(ISNA(G89*INDEX(_xll.qwTblData(_xll.qwCurveScenariosPerSecurity($A$1,F89,"Crv210")),2,2)),0,(G89*INDEX(_xll.qwTblData(_xll.qwCurveScenariosPerSecurity($A$1,F89,"Crv210")),2,2)))</f>
        <v>-12486.944102625037</v>
      </c>
      <c r="X89" s="7" cm="1">
        <f t="array" ref="X89">ABS(Q89/_xll.qwMV01($A$1,"CT10"))</f>
        <v>16.010015893383311</v>
      </c>
      <c r="Y89" s="7" cm="1">
        <f t="array" ref="Y89">IF(N89="BondFuture",-(_xll.qwCurveYield($A$1,_xll.qwSecVal($A$1,AA89,"CreditCurveName()"),AA89)-_xll.qwCurveYield($A$4,_xll.qwSecVal($A$4,AA89,"CreditCurveName()"),AA89))*P89*10000,IF(N89="Bond",-(_xll.qwCurveYield($A$1,_xll.qwSecVal($A$1,F89,"CreditCurveName()"),F89)-_xll.qwCurveYield($A$4,_xll.qwSecVal($A$4,F89,"CreditCurveName()"),F89))*P89*10000,O89))</f>
        <v>83023.758339780703</v>
      </c>
      <c r="Z89" s="7" cm="1">
        <f t="array" ref="Z89">IF(OR(N89="BondFuture",N89="Bond"),P89*(_xll.qwCurveZSpread($A$4,_xll.qwSecVal($A$1,AA89,"CreditCurveName()"),AA89)-_xll.qwCurveZSpread($A$1,_xll.qwSecVal($A$1,AA89,"CreditCurveName()"),AA89)),0)</f>
        <v>-458.46947002816836</v>
      </c>
      <c r="AA89" s="10" t="str" cm="1">
        <f t="array" ref="AA89">IF(_xll.qwSecType(F89)="Bond",F89,IF(_xll.qwSecType(F89)="BondFuture",_xll.qwFutCTD($A$1,F89),0))</f>
        <v>GB00BVP99897</v>
      </c>
      <c r="AB89" s="7" cm="1">
        <f t="array" ref="AB89">IF(_xll.qwSecType(F89)="BondFuture",(I89*_xll.qwDelta($A$4,F89)*_xll.qwMVFactor($A$1,F89)/_xll.qwMVFactor($A$1,_xll.qwFutCTD($A$1,F89)))*(_xll.qwFXRate($A$1,F89)*_xll.qwMVFactor($A$1,_xll.qwFutCTD($A$1,F89))*(_xll.qwIncome($A$4,_xll.qwFutCTD($A$4,F89),_xll.qwBondSettle($A$4,_xll.qwFutCTD($A$4,F89)),_xll.qwBondSettle($A$1,_xll.qwFutCTD($A$1,F89)))+(_xll.qwBondDirtyPrice($A$1,_xll.qwFutCTD($A$1,F89))-_xll.qwBondDirtyPrice($A$4,_xll.qwFutCTD($A$4,F89)))-_xll.qwBondRepoFromTo($A$1,_xll.qwFutCTD($A$1,F89),_xll.qwBondSettle($A$4,_xll.qwFutCTD($A$4,F89)),_xll.qwBondSettle($A$1,_xll.qwFutCTD($A$1,F89)))))-O89,0)</f>
        <v>0</v>
      </c>
    </row>
    <row r="90" spans="2:28" s="8" customFormat="1" x14ac:dyDescent="0.35">
      <c r="O90" s="7"/>
      <c r="P90" s="7"/>
      <c r="Q90" s="7"/>
      <c r="R90" s="7"/>
      <c r="S90" s="7"/>
      <c r="T90" s="7"/>
      <c r="U90" s="9"/>
      <c r="V90" s="9"/>
      <c r="W90" s="7"/>
      <c r="X90" s="7"/>
      <c r="Y90" s="7"/>
      <c r="Z90" s="7"/>
      <c r="AA90" s="10"/>
      <c r="AB90" s="7"/>
    </row>
    <row r="91" spans="2:28" s="8" customFormat="1" x14ac:dyDescent="0.35">
      <c r="O91" s="7"/>
      <c r="P91" s="7"/>
      <c r="Q91" s="7"/>
      <c r="R91" s="7"/>
      <c r="S91" s="7"/>
      <c r="T91" s="7"/>
      <c r="U91" s="9"/>
      <c r="V91" s="9"/>
      <c r="W91" s="7"/>
      <c r="X91" s="7"/>
      <c r="Y91" s="7"/>
      <c r="Z91" s="7"/>
      <c r="AA91" s="10"/>
      <c r="AB91" s="7"/>
    </row>
    <row r="92" spans="2:28" s="8" customFormat="1" x14ac:dyDescent="0.35">
      <c r="O92" s="7"/>
      <c r="P92" s="7"/>
      <c r="Q92" s="7"/>
      <c r="R92" s="7"/>
      <c r="S92" s="7"/>
      <c r="T92" s="7"/>
      <c r="U92" s="9"/>
      <c r="V92" s="9"/>
      <c r="W92" s="7"/>
      <c r="X92" s="7"/>
      <c r="Y92" s="7"/>
      <c r="Z92" s="7"/>
      <c r="AA92" s="10"/>
      <c r="AB92" s="7"/>
    </row>
    <row r="93" spans="2:28" s="8" customFormat="1" x14ac:dyDescent="0.35">
      <c r="O93" s="7"/>
      <c r="P93" s="7"/>
      <c r="Q93" s="7"/>
      <c r="R93" s="7"/>
      <c r="S93" s="7"/>
      <c r="T93" s="7"/>
      <c r="U93" s="9"/>
      <c r="V93" s="9"/>
      <c r="W93" s="7"/>
      <c r="X93" s="7"/>
      <c r="Y93" s="7"/>
      <c r="Z93" s="7"/>
      <c r="AA93" s="10"/>
      <c r="AB93" s="7"/>
    </row>
    <row r="94" spans="2:28" s="8" customFormat="1" x14ac:dyDescent="0.35">
      <c r="O94" s="7"/>
      <c r="P94" s="7"/>
      <c r="Q94" s="7"/>
      <c r="R94" s="7"/>
      <c r="S94" s="7"/>
      <c r="T94" s="7"/>
      <c r="U94" s="9"/>
      <c r="V94" s="9"/>
      <c r="W94" s="7"/>
      <c r="X94" s="7"/>
      <c r="Y94" s="7"/>
      <c r="Z94" s="7"/>
      <c r="AA94" s="10"/>
      <c r="AB94" s="7"/>
    </row>
    <row r="95" spans="2:28" s="8" customFormat="1" x14ac:dyDescent="0.35">
      <c r="O95" s="7"/>
      <c r="P95" s="7"/>
      <c r="Q95" s="7"/>
      <c r="R95" s="7"/>
      <c r="S95" s="7"/>
      <c r="T95" s="7"/>
      <c r="U95" s="9"/>
      <c r="V95" s="9"/>
      <c r="W95" s="7"/>
      <c r="X95" s="7"/>
      <c r="Y95" s="7"/>
      <c r="Z95" s="7"/>
      <c r="AA95" s="10"/>
      <c r="AB95" s="7"/>
    </row>
    <row r="96" spans="2:28" s="8" customFormat="1" x14ac:dyDescent="0.35">
      <c r="O96" s="7"/>
      <c r="P96" s="7"/>
      <c r="Q96" s="7"/>
      <c r="R96" s="7"/>
      <c r="S96" s="7"/>
      <c r="T96" s="7"/>
      <c r="U96" s="9"/>
      <c r="V96" s="9"/>
      <c r="W96" s="7"/>
      <c r="X96" s="7"/>
      <c r="Y96" s="7"/>
      <c r="Z96" s="7"/>
      <c r="AA96" s="10"/>
      <c r="AB96" s="7"/>
    </row>
    <row r="97" spans="15:28" s="8" customFormat="1" x14ac:dyDescent="0.35">
      <c r="O97" s="7"/>
      <c r="P97" s="7"/>
      <c r="Q97" s="7"/>
      <c r="R97" s="7"/>
      <c r="S97" s="7"/>
      <c r="T97" s="7"/>
      <c r="U97" s="9"/>
      <c r="V97" s="9"/>
      <c r="W97" s="7"/>
      <c r="X97" s="7"/>
      <c r="Y97" s="7"/>
      <c r="Z97" s="7"/>
      <c r="AA97" s="10"/>
      <c r="AB97" s="7"/>
    </row>
    <row r="98" spans="15:28" s="8" customFormat="1" x14ac:dyDescent="0.35">
      <c r="O98" s="7"/>
      <c r="P98" s="7"/>
      <c r="Q98" s="7"/>
      <c r="R98" s="7"/>
      <c r="S98" s="7"/>
      <c r="T98" s="7"/>
      <c r="U98" s="9"/>
      <c r="V98" s="9"/>
      <c r="W98" s="7"/>
      <c r="X98" s="7"/>
      <c r="Y98" s="7"/>
      <c r="Z98" s="7"/>
      <c r="AA98" s="10"/>
      <c r="AB98" s="7"/>
    </row>
    <row r="99" spans="15:28" s="8" customFormat="1" x14ac:dyDescent="0.35">
      <c r="O99" s="7"/>
      <c r="P99" s="7"/>
      <c r="Q99" s="7"/>
      <c r="R99" s="7"/>
      <c r="S99" s="7"/>
      <c r="T99" s="7"/>
      <c r="U99" s="9"/>
      <c r="V99" s="9"/>
      <c r="W99" s="7"/>
      <c r="X99" s="7"/>
      <c r="Y99" s="7"/>
      <c r="Z99" s="7"/>
      <c r="AA99" s="10"/>
      <c r="AB99" s="7"/>
    </row>
    <row r="100" spans="15:28" s="8" customFormat="1" x14ac:dyDescent="0.35">
      <c r="O100" s="7"/>
      <c r="P100" s="7"/>
      <c r="Q100" s="7"/>
      <c r="R100" s="7"/>
      <c r="S100" s="7"/>
      <c r="T100" s="7"/>
      <c r="U100" s="9"/>
      <c r="V100" s="9"/>
      <c r="W100" s="7"/>
      <c r="X100" s="7"/>
      <c r="Y100" s="7"/>
      <c r="Z100" s="7"/>
      <c r="AA100" s="10"/>
      <c r="AB100" s="7"/>
    </row>
    <row r="101" spans="15:28" s="8" customFormat="1" x14ac:dyDescent="0.35">
      <c r="O101" s="7"/>
      <c r="P101" s="7"/>
      <c r="Q101" s="7"/>
      <c r="R101" s="7"/>
      <c r="S101" s="7"/>
      <c r="T101" s="7"/>
      <c r="U101" s="9"/>
      <c r="V101" s="9"/>
      <c r="W101" s="7"/>
      <c r="X101" s="7"/>
      <c r="Y101" s="7"/>
      <c r="Z101" s="7"/>
      <c r="AA101" s="10"/>
      <c r="AB101" s="7"/>
    </row>
    <row r="102" spans="15:28" s="8" customFormat="1" x14ac:dyDescent="0.35">
      <c r="O102" s="7"/>
      <c r="P102" s="7"/>
      <c r="Q102" s="7"/>
      <c r="R102" s="7"/>
      <c r="S102" s="7"/>
      <c r="T102" s="7"/>
      <c r="U102" s="9"/>
      <c r="V102" s="9"/>
      <c r="W102" s="7"/>
      <c r="X102" s="7"/>
      <c r="Y102" s="7"/>
      <c r="Z102" s="7"/>
      <c r="AA102" s="10"/>
      <c r="AB102" s="7"/>
    </row>
    <row r="103" spans="15:28" s="8" customFormat="1" x14ac:dyDescent="0.35">
      <c r="O103" s="7"/>
      <c r="P103" s="7"/>
      <c r="Q103" s="7"/>
      <c r="R103" s="7"/>
      <c r="S103" s="7"/>
      <c r="T103" s="7"/>
      <c r="U103" s="9"/>
      <c r="V103" s="9"/>
      <c r="W103" s="7"/>
      <c r="X103" s="7"/>
      <c r="Y103" s="7"/>
      <c r="Z103" s="7"/>
      <c r="AA103" s="10"/>
      <c r="AB103" s="7"/>
    </row>
    <row r="104" spans="15:28" s="8" customFormat="1" x14ac:dyDescent="0.35">
      <c r="O104" s="7"/>
      <c r="P104" s="7"/>
      <c r="Q104" s="7"/>
      <c r="R104" s="7"/>
      <c r="S104" s="7"/>
      <c r="T104" s="7"/>
      <c r="U104" s="9"/>
      <c r="V104" s="9"/>
      <c r="W104" s="7"/>
      <c r="X104" s="7"/>
      <c r="Y104" s="7"/>
      <c r="Z104" s="7"/>
      <c r="AA104" s="10"/>
      <c r="AB104" s="7"/>
    </row>
    <row r="105" spans="15:28" s="8" customFormat="1" x14ac:dyDescent="0.35">
      <c r="O105" s="7"/>
      <c r="P105" s="7"/>
      <c r="Q105" s="7"/>
      <c r="R105" s="7"/>
      <c r="S105" s="7"/>
      <c r="T105" s="7"/>
      <c r="U105" s="9"/>
      <c r="V105" s="9"/>
      <c r="W105" s="7"/>
      <c r="X105" s="7"/>
      <c r="Y105" s="7"/>
      <c r="Z105" s="7"/>
      <c r="AA105" s="10"/>
      <c r="AB105" s="7"/>
    </row>
    <row r="106" spans="15:28" s="8" customFormat="1" x14ac:dyDescent="0.35">
      <c r="O106" s="7"/>
      <c r="P106" s="7"/>
      <c r="Q106" s="7"/>
      <c r="R106" s="7"/>
      <c r="S106" s="7"/>
      <c r="T106" s="7"/>
      <c r="U106" s="9"/>
      <c r="V106" s="9"/>
      <c r="W106" s="7"/>
      <c r="X106" s="7"/>
      <c r="Y106" s="7"/>
      <c r="Z106" s="7"/>
      <c r="AA106" s="10"/>
      <c r="AB106" s="7"/>
    </row>
    <row r="107" spans="15:28" s="8" customFormat="1" x14ac:dyDescent="0.35">
      <c r="O107" s="7"/>
      <c r="P107" s="7"/>
      <c r="Q107" s="7"/>
      <c r="R107" s="7"/>
      <c r="S107" s="7"/>
      <c r="T107" s="7"/>
      <c r="U107" s="9"/>
      <c r="V107" s="9"/>
      <c r="W107" s="7"/>
      <c r="X107" s="7"/>
      <c r="Y107" s="7"/>
      <c r="Z107" s="7"/>
      <c r="AA107" s="10"/>
      <c r="AB107" s="7"/>
    </row>
    <row r="108" spans="15:28" s="8" customFormat="1" x14ac:dyDescent="0.35">
      <c r="O108" s="7"/>
      <c r="P108" s="7"/>
      <c r="Q108" s="7"/>
      <c r="R108" s="7"/>
      <c r="S108" s="7"/>
      <c r="T108" s="7"/>
      <c r="U108" s="9"/>
      <c r="V108" s="9"/>
      <c r="W108" s="7"/>
      <c r="X108" s="7"/>
      <c r="Y108" s="7"/>
      <c r="Z108" s="7"/>
      <c r="AA108" s="10"/>
      <c r="AB108" s="7"/>
    </row>
    <row r="109" spans="15:28" s="8" customFormat="1" x14ac:dyDescent="0.35">
      <c r="O109" s="7"/>
      <c r="P109" s="7"/>
      <c r="Q109" s="7"/>
      <c r="R109" s="7"/>
      <c r="S109" s="7"/>
      <c r="T109" s="7"/>
      <c r="U109" s="9"/>
      <c r="V109" s="9"/>
      <c r="W109" s="7"/>
      <c r="X109" s="7"/>
      <c r="Y109" s="7"/>
      <c r="Z109" s="7"/>
      <c r="AA109" s="10"/>
      <c r="AB109" s="7"/>
    </row>
    <row r="110" spans="15:28" s="8" customFormat="1" x14ac:dyDescent="0.35">
      <c r="O110" s="7"/>
      <c r="P110" s="7"/>
      <c r="Q110" s="7"/>
      <c r="R110" s="7"/>
      <c r="S110" s="7"/>
      <c r="T110" s="7"/>
      <c r="U110" s="9"/>
      <c r="V110" s="9"/>
      <c r="W110" s="7"/>
      <c r="X110" s="7"/>
      <c r="Y110" s="7"/>
      <c r="Z110" s="7"/>
      <c r="AA110" s="10"/>
      <c r="AB110" s="7"/>
    </row>
    <row r="111" spans="15:28" s="8" customFormat="1" x14ac:dyDescent="0.35">
      <c r="O111" s="7"/>
      <c r="P111" s="7"/>
      <c r="Q111" s="7"/>
      <c r="R111" s="7"/>
      <c r="S111" s="7"/>
      <c r="T111" s="7"/>
      <c r="U111" s="9"/>
      <c r="V111" s="9"/>
      <c r="W111" s="7"/>
      <c r="X111" s="7"/>
      <c r="Y111" s="7"/>
      <c r="Z111" s="7"/>
      <c r="AA111" s="10"/>
      <c r="AB111" s="7"/>
    </row>
    <row r="112" spans="15:28" s="8" customFormat="1" x14ac:dyDescent="0.35">
      <c r="O112" s="7"/>
      <c r="P112" s="7"/>
      <c r="Q112" s="7"/>
      <c r="R112" s="7"/>
      <c r="S112" s="7"/>
      <c r="T112" s="7"/>
      <c r="U112" s="9"/>
      <c r="V112" s="9"/>
      <c r="W112" s="7"/>
      <c r="X112" s="7"/>
      <c r="Y112" s="7"/>
      <c r="Z112" s="7"/>
      <c r="AA112" s="10"/>
      <c r="AB112" s="7"/>
    </row>
    <row r="113" spans="15:28" s="8" customFormat="1" x14ac:dyDescent="0.35">
      <c r="O113" s="7"/>
      <c r="P113" s="7"/>
      <c r="Q113" s="7"/>
      <c r="R113" s="7"/>
      <c r="S113" s="7"/>
      <c r="T113" s="7"/>
      <c r="U113" s="9"/>
      <c r="V113" s="9"/>
      <c r="W113" s="7"/>
      <c r="X113" s="7"/>
      <c r="Y113" s="7"/>
      <c r="Z113" s="7"/>
      <c r="AA113" s="10"/>
      <c r="AB113" s="7"/>
    </row>
    <row r="114" spans="15:28" s="8" customFormat="1" x14ac:dyDescent="0.35">
      <c r="O114" s="7"/>
      <c r="P114" s="7"/>
      <c r="Q114" s="7"/>
      <c r="R114" s="7"/>
      <c r="S114" s="7"/>
      <c r="T114" s="7"/>
      <c r="U114" s="9"/>
      <c r="V114" s="9"/>
      <c r="W114" s="7"/>
      <c r="X114" s="7"/>
      <c r="Y114" s="7"/>
      <c r="Z114" s="7"/>
      <c r="AA114" s="10"/>
      <c r="AB114" s="7"/>
    </row>
    <row r="115" spans="15:28" s="8" customFormat="1" x14ac:dyDescent="0.35">
      <c r="O115" s="7"/>
      <c r="P115" s="7"/>
      <c r="Q115" s="7"/>
      <c r="R115" s="7"/>
      <c r="S115" s="7"/>
      <c r="T115" s="7"/>
      <c r="U115" s="9"/>
      <c r="V115" s="9"/>
      <c r="W115" s="7"/>
      <c r="X115" s="7"/>
      <c r="Y115" s="7"/>
      <c r="Z115" s="7"/>
      <c r="AA115" s="10"/>
      <c r="AB115" s="7"/>
    </row>
    <row r="116" spans="15:28" s="8" customFormat="1" x14ac:dyDescent="0.35">
      <c r="O116" s="7"/>
      <c r="P116" s="7"/>
      <c r="Q116" s="7"/>
      <c r="R116" s="7"/>
      <c r="S116" s="7"/>
      <c r="T116" s="7"/>
      <c r="U116" s="9"/>
      <c r="V116" s="9"/>
      <c r="W116" s="7"/>
      <c r="X116" s="7"/>
      <c r="Y116" s="7"/>
      <c r="Z116" s="7"/>
      <c r="AA116" s="10"/>
      <c r="AB116" s="7"/>
    </row>
    <row r="117" spans="15:28" s="8" customFormat="1" x14ac:dyDescent="0.35">
      <c r="O117" s="7"/>
      <c r="P117" s="7"/>
      <c r="Q117" s="7"/>
      <c r="R117" s="7"/>
      <c r="S117" s="7"/>
      <c r="T117" s="7"/>
      <c r="U117" s="9"/>
      <c r="V117" s="9"/>
      <c r="W117" s="7"/>
      <c r="X117" s="7"/>
      <c r="Y117" s="7"/>
      <c r="Z117" s="7"/>
      <c r="AA117" s="10"/>
      <c r="AB117" s="7"/>
    </row>
    <row r="118" spans="15:28" s="8" customFormat="1" x14ac:dyDescent="0.35">
      <c r="O118" s="7"/>
      <c r="P118" s="7"/>
      <c r="Q118" s="7"/>
      <c r="R118" s="7"/>
      <c r="S118" s="7"/>
      <c r="T118" s="7"/>
      <c r="U118" s="9"/>
      <c r="V118" s="9"/>
      <c r="W118" s="7"/>
      <c r="X118" s="7"/>
      <c r="Y118" s="7"/>
      <c r="Z118" s="7"/>
      <c r="AA118" s="10"/>
      <c r="AB118" s="7"/>
    </row>
    <row r="119" spans="15:28" s="8" customFormat="1" x14ac:dyDescent="0.35">
      <c r="O119" s="7"/>
      <c r="P119" s="7"/>
      <c r="Q119" s="7"/>
      <c r="R119" s="7"/>
      <c r="S119" s="7"/>
      <c r="T119" s="7"/>
      <c r="U119" s="9"/>
      <c r="V119" s="9"/>
      <c r="W119" s="7"/>
      <c r="X119" s="7"/>
      <c r="Y119" s="7"/>
      <c r="Z119" s="7"/>
      <c r="AA119" s="10"/>
      <c r="AB119" s="7"/>
    </row>
    <row r="120" spans="15:28" s="8" customFormat="1" x14ac:dyDescent="0.35">
      <c r="O120" s="7"/>
      <c r="P120" s="7"/>
      <c r="Q120" s="7"/>
      <c r="R120" s="7"/>
      <c r="S120" s="7"/>
      <c r="T120" s="7"/>
      <c r="U120" s="9"/>
      <c r="V120" s="9"/>
      <c r="W120" s="7"/>
      <c r="X120" s="7"/>
      <c r="Y120" s="7"/>
      <c r="Z120" s="7"/>
      <c r="AA120" s="10"/>
      <c r="AB120" s="7"/>
    </row>
    <row r="121" spans="15:28" s="8" customFormat="1" x14ac:dyDescent="0.35">
      <c r="O121" s="7"/>
      <c r="P121" s="7"/>
      <c r="Q121" s="7"/>
      <c r="R121" s="7"/>
      <c r="S121" s="7"/>
      <c r="T121" s="7"/>
      <c r="U121" s="9"/>
      <c r="V121" s="9"/>
      <c r="W121" s="7"/>
      <c r="X121" s="7"/>
      <c r="Y121" s="7"/>
      <c r="Z121" s="7"/>
      <c r="AA121" s="10"/>
      <c r="AB121" s="7"/>
    </row>
    <row r="122" spans="15:28" s="8" customFormat="1" x14ac:dyDescent="0.35">
      <c r="O122" s="7"/>
      <c r="P122" s="7"/>
      <c r="Q122" s="7"/>
      <c r="R122" s="7"/>
      <c r="S122" s="7"/>
      <c r="T122" s="7"/>
      <c r="U122" s="9"/>
      <c r="V122" s="9"/>
      <c r="W122" s="7"/>
      <c r="X122" s="7"/>
      <c r="Y122" s="7"/>
      <c r="Z122" s="7"/>
      <c r="AA122" s="10"/>
      <c r="AB122" s="7"/>
    </row>
    <row r="123" spans="15:28" s="8" customFormat="1" x14ac:dyDescent="0.35">
      <c r="O123" s="7"/>
      <c r="P123" s="7"/>
      <c r="Q123" s="7"/>
      <c r="R123" s="7"/>
      <c r="S123" s="7"/>
      <c r="T123" s="7"/>
      <c r="U123" s="9"/>
      <c r="V123" s="9"/>
      <c r="W123" s="7"/>
      <c r="X123" s="7"/>
      <c r="Y123" s="7"/>
      <c r="Z123" s="7"/>
      <c r="AA123" s="10"/>
      <c r="AB123" s="7"/>
    </row>
    <row r="124" spans="15:28" s="8" customFormat="1" x14ac:dyDescent="0.35">
      <c r="O124" s="7"/>
      <c r="P124" s="7"/>
      <c r="Q124" s="7"/>
      <c r="R124" s="7"/>
      <c r="S124" s="7"/>
      <c r="T124" s="7"/>
      <c r="U124" s="9"/>
      <c r="V124" s="9"/>
      <c r="W124" s="7"/>
      <c r="X124" s="7"/>
      <c r="Y124" s="7"/>
      <c r="Z124" s="7"/>
      <c r="AA124" s="10"/>
      <c r="AB124" s="7"/>
    </row>
    <row r="125" spans="15:28" s="8" customFormat="1" x14ac:dyDescent="0.35">
      <c r="O125" s="7"/>
      <c r="P125" s="7"/>
      <c r="Q125" s="7"/>
      <c r="R125" s="7"/>
      <c r="S125" s="7"/>
      <c r="T125" s="7"/>
      <c r="U125" s="9"/>
      <c r="V125" s="9"/>
      <c r="W125" s="7"/>
      <c r="X125" s="7"/>
      <c r="Y125" s="7"/>
      <c r="Z125" s="7"/>
      <c r="AA125" s="10"/>
      <c r="AB125" s="7"/>
    </row>
    <row r="126" spans="15:28" s="8" customFormat="1" x14ac:dyDescent="0.35">
      <c r="O126" s="7"/>
      <c r="P126" s="7"/>
      <c r="Q126" s="7"/>
      <c r="R126" s="7"/>
      <c r="S126" s="7"/>
      <c r="T126" s="7"/>
      <c r="U126" s="9"/>
      <c r="V126" s="9"/>
      <c r="W126" s="7"/>
      <c r="X126" s="7"/>
      <c r="Y126" s="7"/>
      <c r="Z126" s="7"/>
      <c r="AA126" s="10"/>
      <c r="AB126" s="7"/>
    </row>
    <row r="127" spans="15:28" s="8" customFormat="1" x14ac:dyDescent="0.35">
      <c r="O127" s="7"/>
      <c r="P127" s="7"/>
      <c r="Q127" s="7"/>
      <c r="R127" s="7"/>
      <c r="S127" s="7"/>
      <c r="T127" s="7"/>
      <c r="U127" s="9"/>
      <c r="V127" s="9"/>
      <c r="W127" s="7"/>
      <c r="X127" s="7"/>
      <c r="Y127" s="7"/>
      <c r="Z127" s="7"/>
      <c r="AA127" s="10"/>
      <c r="AB127" s="7"/>
    </row>
    <row r="128" spans="15:28" s="8" customFormat="1" x14ac:dyDescent="0.35">
      <c r="O128" s="7"/>
      <c r="P128" s="7"/>
      <c r="Q128" s="7"/>
      <c r="R128" s="7"/>
      <c r="S128" s="7"/>
      <c r="T128" s="7"/>
      <c r="U128" s="9"/>
      <c r="V128" s="9"/>
      <c r="W128" s="7"/>
      <c r="X128" s="7"/>
      <c r="Y128" s="7"/>
      <c r="Z128" s="7"/>
      <c r="AA128" s="10"/>
      <c r="AB128" s="7"/>
    </row>
    <row r="129" spans="15:28" s="8" customFormat="1" x14ac:dyDescent="0.35">
      <c r="O129" s="7"/>
      <c r="P129" s="7"/>
      <c r="Q129" s="7"/>
      <c r="R129" s="7"/>
      <c r="S129" s="7"/>
      <c r="T129" s="7"/>
      <c r="U129" s="9"/>
      <c r="V129" s="9"/>
      <c r="W129" s="7"/>
      <c r="X129" s="7"/>
      <c r="Y129" s="7"/>
      <c r="Z129" s="7"/>
      <c r="AA129" s="10"/>
      <c r="AB129" s="7"/>
    </row>
    <row r="130" spans="15:28" s="8" customFormat="1" x14ac:dyDescent="0.35">
      <c r="O130" s="7"/>
      <c r="P130" s="7"/>
      <c r="Q130" s="7"/>
      <c r="R130" s="7"/>
      <c r="S130" s="7"/>
      <c r="T130" s="7"/>
      <c r="U130" s="9"/>
      <c r="V130" s="9"/>
      <c r="W130" s="7"/>
      <c r="X130" s="7"/>
      <c r="Y130" s="7"/>
      <c r="Z130" s="7"/>
      <c r="AA130" s="10"/>
      <c r="AB130" s="7"/>
    </row>
    <row r="131" spans="15:28" s="8" customFormat="1" x14ac:dyDescent="0.35">
      <c r="O131" s="7"/>
      <c r="P131" s="7"/>
      <c r="Q131" s="7"/>
      <c r="R131" s="7"/>
      <c r="S131" s="7"/>
      <c r="T131" s="7"/>
      <c r="U131" s="9"/>
      <c r="V131" s="9"/>
      <c r="W131" s="7"/>
      <c r="X131" s="7"/>
      <c r="Y131" s="7"/>
      <c r="Z131" s="7"/>
      <c r="AA131" s="10"/>
      <c r="AB131" s="7"/>
    </row>
    <row r="132" spans="15:28" s="8" customFormat="1" x14ac:dyDescent="0.35">
      <c r="O132" s="7"/>
      <c r="P132" s="7"/>
      <c r="Q132" s="7"/>
      <c r="R132" s="7"/>
      <c r="S132" s="7"/>
      <c r="T132" s="7"/>
      <c r="U132" s="9"/>
      <c r="V132" s="9"/>
      <c r="W132" s="7"/>
      <c r="X132" s="7"/>
      <c r="Y132" s="7"/>
      <c r="Z132" s="7"/>
      <c r="AA132" s="10"/>
      <c r="AB132" s="7"/>
    </row>
    <row r="133" spans="15:28" s="8" customFormat="1" x14ac:dyDescent="0.35">
      <c r="O133" s="7"/>
      <c r="P133" s="7"/>
      <c r="Q133" s="7"/>
      <c r="R133" s="7"/>
      <c r="S133" s="7"/>
      <c r="T133" s="7"/>
      <c r="U133" s="9"/>
      <c r="V133" s="9"/>
      <c r="W133" s="7"/>
      <c r="X133" s="7"/>
      <c r="Y133" s="7"/>
      <c r="Z133" s="7"/>
      <c r="AA133" s="10"/>
      <c r="AB133" s="7"/>
    </row>
    <row r="134" spans="15:28" s="8" customFormat="1" x14ac:dyDescent="0.35">
      <c r="O134" s="7"/>
      <c r="P134" s="7"/>
      <c r="Q134" s="7"/>
      <c r="R134" s="7"/>
      <c r="S134" s="7"/>
      <c r="T134" s="7"/>
      <c r="U134" s="9"/>
      <c r="V134" s="9"/>
      <c r="W134" s="7"/>
      <c r="X134" s="7"/>
      <c r="Y134" s="7"/>
      <c r="Z134" s="7"/>
      <c r="AA134" s="10"/>
      <c r="AB134" s="7"/>
    </row>
    <row r="135" spans="15:28" s="8" customFormat="1" x14ac:dyDescent="0.35">
      <c r="O135" s="7"/>
      <c r="P135" s="7"/>
      <c r="Q135" s="7"/>
      <c r="R135" s="7"/>
      <c r="S135" s="7"/>
      <c r="T135" s="7"/>
      <c r="U135" s="9"/>
      <c r="V135" s="9"/>
      <c r="W135" s="7"/>
      <c r="X135" s="7"/>
      <c r="Y135" s="7"/>
      <c r="Z135" s="7"/>
      <c r="AA135" s="10"/>
      <c r="AB135" s="7"/>
    </row>
    <row r="136" spans="15:28" s="8" customFormat="1" x14ac:dyDescent="0.35">
      <c r="O136" s="7"/>
      <c r="P136" s="7"/>
      <c r="Q136" s="7"/>
      <c r="R136" s="7"/>
      <c r="S136" s="7"/>
      <c r="T136" s="7"/>
      <c r="U136" s="9"/>
      <c r="V136" s="9"/>
      <c r="W136" s="7"/>
      <c r="X136" s="7"/>
      <c r="Y136" s="7"/>
      <c r="Z136" s="7"/>
      <c r="AA136" s="10"/>
      <c r="AB136" s="7"/>
    </row>
    <row r="137" spans="15:28" s="8" customFormat="1" x14ac:dyDescent="0.35">
      <c r="O137" s="7"/>
      <c r="P137" s="7"/>
      <c r="Q137" s="7"/>
      <c r="R137" s="7"/>
      <c r="S137" s="7"/>
      <c r="T137" s="7"/>
      <c r="U137" s="9"/>
      <c r="V137" s="9"/>
      <c r="W137" s="7"/>
      <c r="X137" s="7"/>
      <c r="Y137" s="7"/>
      <c r="Z137" s="7"/>
      <c r="AA137" s="10"/>
      <c r="AB137" s="7"/>
    </row>
    <row r="138" spans="15:28" s="8" customFormat="1" x14ac:dyDescent="0.35">
      <c r="O138" s="7"/>
      <c r="P138" s="7"/>
      <c r="Q138" s="7"/>
      <c r="R138" s="7"/>
      <c r="S138" s="7"/>
      <c r="T138" s="7"/>
      <c r="U138" s="9"/>
      <c r="V138" s="9"/>
      <c r="W138" s="7"/>
      <c r="X138" s="7"/>
      <c r="Y138" s="7"/>
      <c r="Z138" s="7"/>
      <c r="AA138" s="10"/>
      <c r="AB138" s="7"/>
    </row>
    <row r="139" spans="15:28" s="8" customFormat="1" x14ac:dyDescent="0.35">
      <c r="O139" s="7"/>
      <c r="P139" s="7"/>
      <c r="Q139" s="7"/>
      <c r="R139" s="7"/>
      <c r="S139" s="7"/>
      <c r="T139" s="7"/>
      <c r="U139" s="9"/>
      <c r="V139" s="9"/>
      <c r="W139" s="7"/>
      <c r="X139" s="7"/>
      <c r="Y139" s="7"/>
      <c r="Z139" s="7"/>
      <c r="AA139" s="10"/>
      <c r="AB139" s="7"/>
    </row>
    <row r="140" spans="15:28" s="8" customFormat="1" x14ac:dyDescent="0.35">
      <c r="O140" s="7"/>
      <c r="P140" s="7"/>
      <c r="Q140" s="7"/>
      <c r="R140" s="7"/>
      <c r="S140" s="7"/>
      <c r="T140" s="7"/>
      <c r="U140" s="9"/>
      <c r="V140" s="9"/>
      <c r="W140" s="7"/>
      <c r="X140" s="7"/>
      <c r="Y140" s="7"/>
      <c r="Z140" s="7"/>
      <c r="AA140" s="10"/>
      <c r="AB140" s="7"/>
    </row>
    <row r="141" spans="15:28" s="8" customFormat="1" x14ac:dyDescent="0.35">
      <c r="O141" s="7"/>
      <c r="P141" s="7"/>
      <c r="Q141" s="7"/>
      <c r="R141" s="7"/>
      <c r="S141" s="7"/>
      <c r="T141" s="7"/>
      <c r="U141" s="9"/>
      <c r="V141" s="9"/>
      <c r="W141" s="7"/>
      <c r="X141" s="7"/>
      <c r="Y141" s="7"/>
      <c r="Z141" s="7"/>
      <c r="AA141" s="10"/>
      <c r="AB141" s="7"/>
    </row>
    <row r="142" spans="15:28" s="8" customFormat="1" x14ac:dyDescent="0.35">
      <c r="O142" s="7"/>
      <c r="P142" s="7"/>
      <c r="Q142" s="7"/>
      <c r="R142" s="7"/>
      <c r="S142" s="7"/>
      <c r="T142" s="7"/>
      <c r="U142" s="9"/>
      <c r="V142" s="9"/>
      <c r="W142" s="7"/>
      <c r="X142" s="7"/>
      <c r="Y142" s="7"/>
      <c r="Z142" s="7"/>
      <c r="AA142" s="10"/>
      <c r="AB142" s="7"/>
    </row>
    <row r="143" spans="15:28" s="8" customFormat="1" x14ac:dyDescent="0.35">
      <c r="O143" s="7"/>
      <c r="P143" s="7"/>
      <c r="Q143" s="7"/>
      <c r="R143" s="7"/>
      <c r="S143" s="7"/>
      <c r="T143" s="7"/>
      <c r="U143" s="9"/>
      <c r="V143" s="9"/>
      <c r="W143" s="7"/>
      <c r="X143" s="7"/>
      <c r="Y143" s="7"/>
      <c r="Z143" s="7"/>
      <c r="AA143" s="10"/>
      <c r="AB143" s="7"/>
    </row>
    <row r="144" spans="15:28" s="8" customFormat="1" x14ac:dyDescent="0.35">
      <c r="O144" s="7"/>
      <c r="P144" s="7"/>
      <c r="Q144" s="7"/>
      <c r="R144" s="7"/>
      <c r="S144" s="7"/>
      <c r="T144" s="7"/>
      <c r="U144" s="9"/>
      <c r="V144" s="9"/>
      <c r="W144" s="7"/>
      <c r="X144" s="7"/>
      <c r="Y144" s="7"/>
      <c r="Z144" s="7"/>
      <c r="AA144" s="10"/>
      <c r="AB144" s="7"/>
    </row>
    <row r="145" spans="15:28" s="8" customFormat="1" x14ac:dyDescent="0.35">
      <c r="O145" s="7"/>
      <c r="P145" s="7"/>
      <c r="Q145" s="7"/>
      <c r="R145" s="7"/>
      <c r="S145" s="7"/>
      <c r="T145" s="7"/>
      <c r="U145" s="9"/>
      <c r="V145" s="9"/>
      <c r="W145" s="7"/>
      <c r="X145" s="7"/>
      <c r="Y145" s="7"/>
      <c r="Z145" s="7"/>
      <c r="AA145" s="10"/>
      <c r="AB145" s="7"/>
    </row>
    <row r="146" spans="15:28" s="8" customFormat="1" x14ac:dyDescent="0.35">
      <c r="O146" s="7"/>
      <c r="P146" s="7"/>
      <c r="Q146" s="7"/>
      <c r="R146" s="7"/>
      <c r="S146" s="7"/>
      <c r="T146" s="7"/>
      <c r="U146" s="9"/>
      <c r="V146" s="9"/>
      <c r="W146" s="7"/>
      <c r="X146" s="7"/>
      <c r="Y146" s="7"/>
      <c r="Z146" s="7"/>
      <c r="AA146" s="10"/>
      <c r="AB146" s="7"/>
    </row>
    <row r="147" spans="15:28" s="8" customFormat="1" x14ac:dyDescent="0.35">
      <c r="O147" s="7"/>
      <c r="P147" s="7"/>
      <c r="Q147" s="7"/>
      <c r="R147" s="7"/>
      <c r="S147" s="7"/>
      <c r="T147" s="7"/>
      <c r="U147" s="9"/>
      <c r="V147" s="9"/>
      <c r="W147" s="7"/>
      <c r="X147" s="7"/>
      <c r="Y147" s="7"/>
      <c r="Z147" s="7"/>
      <c r="AA147" s="10"/>
      <c r="AB147" s="7"/>
    </row>
    <row r="148" spans="15:28" s="8" customFormat="1" x14ac:dyDescent="0.35">
      <c r="O148" s="7"/>
      <c r="P148" s="7"/>
      <c r="Q148" s="7"/>
      <c r="R148" s="7"/>
      <c r="S148" s="7"/>
      <c r="T148" s="7"/>
      <c r="U148" s="9"/>
      <c r="V148" s="9"/>
      <c r="W148" s="7"/>
      <c r="X148" s="7"/>
      <c r="Y148" s="7"/>
      <c r="Z148" s="7"/>
      <c r="AA148" s="10"/>
      <c r="AB148" s="7"/>
    </row>
    <row r="149" spans="15:28" s="8" customFormat="1" x14ac:dyDescent="0.35">
      <c r="O149" s="7"/>
      <c r="P149" s="7"/>
      <c r="Q149" s="7"/>
      <c r="R149" s="7"/>
      <c r="S149" s="7"/>
      <c r="T149" s="7"/>
      <c r="U149" s="9"/>
      <c r="V149" s="9"/>
      <c r="W149" s="7"/>
      <c r="X149" s="7"/>
      <c r="Y149" s="7"/>
      <c r="Z149" s="7"/>
      <c r="AA149" s="10"/>
      <c r="AB149" s="7"/>
    </row>
    <row r="150" spans="15:28" s="8" customFormat="1" x14ac:dyDescent="0.35">
      <c r="O150" s="7"/>
      <c r="P150" s="7"/>
      <c r="Q150" s="7"/>
      <c r="R150" s="7"/>
      <c r="S150" s="7"/>
      <c r="T150" s="7"/>
      <c r="U150" s="9"/>
      <c r="V150" s="9"/>
      <c r="W150" s="7"/>
      <c r="X150" s="7"/>
      <c r="Y150" s="7"/>
      <c r="Z150" s="7"/>
      <c r="AA150" s="10"/>
      <c r="AB150" s="7"/>
    </row>
    <row r="151" spans="15:28" s="8" customFormat="1" x14ac:dyDescent="0.35">
      <c r="O151" s="7"/>
      <c r="P151" s="7"/>
      <c r="Q151" s="7"/>
      <c r="R151" s="7"/>
      <c r="S151" s="7"/>
      <c r="T151" s="7"/>
      <c r="U151" s="9"/>
      <c r="V151" s="9"/>
      <c r="W151" s="7"/>
      <c r="X151" s="7"/>
      <c r="Y151" s="7"/>
      <c r="Z151" s="7"/>
      <c r="AA151" s="10"/>
      <c r="AB151" s="7"/>
    </row>
    <row r="152" spans="15:28" s="8" customFormat="1" x14ac:dyDescent="0.35">
      <c r="O152" s="7"/>
      <c r="P152" s="7"/>
      <c r="Q152" s="7"/>
      <c r="R152" s="7"/>
      <c r="S152" s="7"/>
      <c r="T152" s="7"/>
      <c r="U152" s="9"/>
      <c r="V152" s="9"/>
      <c r="W152" s="7"/>
      <c r="X152" s="7"/>
      <c r="Y152" s="7"/>
      <c r="Z152" s="7"/>
      <c r="AA152" s="10"/>
      <c r="AB152" s="7"/>
    </row>
    <row r="153" spans="15:28" s="8" customFormat="1" x14ac:dyDescent="0.35">
      <c r="O153" s="7"/>
      <c r="P153" s="7"/>
      <c r="Q153" s="7"/>
      <c r="R153" s="7"/>
      <c r="S153" s="7"/>
      <c r="T153" s="7"/>
      <c r="U153" s="9"/>
      <c r="V153" s="9"/>
      <c r="W153" s="7"/>
      <c r="X153" s="7"/>
      <c r="Y153" s="7"/>
      <c r="Z153" s="7"/>
      <c r="AA153" s="10"/>
      <c r="AB153" s="7"/>
    </row>
    <row r="154" spans="15:28" s="8" customFormat="1" x14ac:dyDescent="0.35">
      <c r="O154" s="7"/>
      <c r="P154" s="7"/>
      <c r="Q154" s="7"/>
      <c r="R154" s="7"/>
      <c r="S154" s="7"/>
      <c r="T154" s="7"/>
      <c r="U154" s="9"/>
      <c r="V154" s="9"/>
      <c r="W154" s="7"/>
      <c r="X154" s="7"/>
      <c r="Y154" s="7"/>
      <c r="Z154" s="7"/>
      <c r="AA154" s="10"/>
      <c r="AB154" s="7"/>
    </row>
    <row r="155" spans="15:28" s="8" customFormat="1" x14ac:dyDescent="0.35">
      <c r="O155" s="7"/>
      <c r="P155" s="7"/>
      <c r="Q155" s="7"/>
      <c r="R155" s="7"/>
      <c r="S155" s="7"/>
      <c r="T155" s="7"/>
      <c r="U155" s="9"/>
      <c r="V155" s="9"/>
      <c r="W155" s="7"/>
      <c r="X155" s="7"/>
      <c r="Y155" s="7"/>
      <c r="Z155" s="7"/>
      <c r="AA155" s="10"/>
      <c r="AB155" s="7"/>
    </row>
    <row r="156" spans="15:28" s="8" customFormat="1" x14ac:dyDescent="0.35">
      <c r="O156" s="7"/>
      <c r="P156" s="7"/>
      <c r="Q156" s="7"/>
      <c r="R156" s="7"/>
      <c r="S156" s="7"/>
      <c r="T156" s="7"/>
      <c r="U156" s="9"/>
      <c r="V156" s="9"/>
      <c r="W156" s="7"/>
      <c r="X156" s="7"/>
      <c r="Y156" s="7"/>
      <c r="Z156" s="7"/>
      <c r="AA156" s="10"/>
      <c r="AB156" s="7"/>
    </row>
    <row r="157" spans="15:28" s="8" customFormat="1" x14ac:dyDescent="0.35">
      <c r="O157" s="7"/>
      <c r="P157" s="7"/>
      <c r="Q157" s="7"/>
      <c r="R157" s="7"/>
      <c r="S157" s="7"/>
      <c r="T157" s="7"/>
      <c r="U157" s="9"/>
      <c r="V157" s="9"/>
      <c r="W157" s="7"/>
      <c r="X157" s="7"/>
      <c r="Y157" s="7"/>
      <c r="Z157" s="7"/>
      <c r="AA157" s="10"/>
      <c r="AB157" s="7"/>
    </row>
    <row r="158" spans="15:28" s="8" customFormat="1" x14ac:dyDescent="0.35">
      <c r="O158" s="7"/>
      <c r="P158" s="7"/>
      <c r="Q158" s="7"/>
      <c r="R158" s="7"/>
      <c r="S158" s="7"/>
      <c r="T158" s="7"/>
      <c r="U158" s="9"/>
      <c r="V158" s="9"/>
      <c r="W158" s="7"/>
      <c r="X158" s="7"/>
      <c r="Y158" s="7"/>
      <c r="Z158" s="7"/>
      <c r="AA158" s="10"/>
      <c r="AB158" s="7"/>
    </row>
    <row r="159" spans="15:28" s="8" customFormat="1" x14ac:dyDescent="0.35">
      <c r="O159" s="7"/>
      <c r="P159" s="7"/>
      <c r="Q159" s="7"/>
      <c r="R159" s="7"/>
      <c r="S159" s="7"/>
      <c r="T159" s="7"/>
      <c r="U159" s="9"/>
      <c r="V159" s="9"/>
      <c r="W159" s="7"/>
      <c r="X159" s="7"/>
      <c r="Y159" s="7"/>
      <c r="Z159" s="7"/>
      <c r="AA159" s="10"/>
      <c r="AB159" s="7"/>
    </row>
    <row r="160" spans="15:28" s="8" customFormat="1" x14ac:dyDescent="0.35">
      <c r="O160" s="7"/>
      <c r="P160" s="7"/>
      <c r="Q160" s="7"/>
      <c r="R160" s="7"/>
      <c r="S160" s="7"/>
      <c r="T160" s="7"/>
      <c r="U160" s="9"/>
      <c r="V160" s="9"/>
      <c r="W160" s="7"/>
      <c r="X160" s="7"/>
      <c r="Y160" s="7"/>
      <c r="Z160" s="7"/>
      <c r="AA160" s="10"/>
      <c r="AB160" s="7"/>
    </row>
    <row r="161" spans="15:28" s="8" customFormat="1" x14ac:dyDescent="0.35">
      <c r="O161" s="7"/>
      <c r="P161" s="7"/>
      <c r="Q161" s="7"/>
      <c r="R161" s="7"/>
      <c r="S161" s="7"/>
      <c r="T161" s="7"/>
      <c r="U161" s="9"/>
      <c r="V161" s="9"/>
      <c r="W161" s="7"/>
      <c r="X161" s="7"/>
      <c r="Y161" s="7"/>
      <c r="Z161" s="7"/>
      <c r="AA161" s="10"/>
      <c r="AB161" s="7"/>
    </row>
    <row r="162" spans="15:28" s="8" customFormat="1" x14ac:dyDescent="0.35">
      <c r="O162" s="7"/>
      <c r="P162" s="7"/>
      <c r="Q162" s="7"/>
      <c r="R162" s="7"/>
      <c r="S162" s="7"/>
      <c r="T162" s="7"/>
      <c r="U162" s="9"/>
      <c r="V162" s="9"/>
      <c r="W162" s="7"/>
      <c r="X162" s="7"/>
      <c r="Y162" s="7"/>
      <c r="Z162" s="7"/>
      <c r="AA162" s="10"/>
      <c r="AB162" s="7"/>
    </row>
    <row r="163" spans="15:28" s="8" customFormat="1" x14ac:dyDescent="0.35">
      <c r="O163" s="7"/>
      <c r="P163" s="7"/>
      <c r="Q163" s="7"/>
      <c r="R163" s="7"/>
      <c r="S163" s="7"/>
      <c r="T163" s="7"/>
      <c r="U163" s="9"/>
      <c r="V163" s="9"/>
      <c r="W163" s="7"/>
      <c r="X163" s="7"/>
      <c r="Y163" s="7"/>
      <c r="Z163" s="7"/>
      <c r="AA163" s="10"/>
      <c r="AB163" s="7"/>
    </row>
    <row r="164" spans="15:28" s="8" customFormat="1" x14ac:dyDescent="0.35">
      <c r="O164" s="7"/>
      <c r="P164" s="7"/>
      <c r="Q164" s="7"/>
      <c r="R164" s="7"/>
      <c r="S164" s="7"/>
      <c r="T164" s="7"/>
      <c r="U164" s="9"/>
      <c r="V164" s="9"/>
      <c r="W164" s="7"/>
      <c r="X164" s="7"/>
      <c r="Y164" s="7"/>
      <c r="Z164" s="7"/>
      <c r="AA164" s="10"/>
      <c r="AB164" s="7"/>
    </row>
    <row r="165" spans="15:28" s="8" customFormat="1" x14ac:dyDescent="0.35">
      <c r="O165" s="7"/>
      <c r="P165" s="7"/>
      <c r="Q165" s="7"/>
      <c r="R165" s="7"/>
      <c r="S165" s="7"/>
      <c r="T165" s="7"/>
      <c r="U165" s="9"/>
      <c r="V165" s="9"/>
      <c r="W165" s="7"/>
      <c r="X165" s="7"/>
      <c r="Y165" s="7"/>
      <c r="Z165" s="7"/>
      <c r="AA165" s="10"/>
      <c r="AB165" s="7"/>
    </row>
    <row r="166" spans="15:28" s="8" customFormat="1" x14ac:dyDescent="0.35">
      <c r="O166" s="7"/>
      <c r="P166" s="7"/>
      <c r="Q166" s="7"/>
      <c r="R166" s="7"/>
      <c r="S166" s="7"/>
      <c r="T166" s="7"/>
      <c r="U166" s="9"/>
      <c r="V166" s="9"/>
      <c r="W166" s="7"/>
      <c r="X166" s="7"/>
      <c r="Y166" s="7"/>
      <c r="Z166" s="7"/>
      <c r="AA166" s="10"/>
      <c r="AB166" s="7"/>
    </row>
    <row r="167" spans="15:28" s="8" customFormat="1" x14ac:dyDescent="0.35">
      <c r="O167" s="7"/>
      <c r="P167" s="7"/>
      <c r="Q167" s="7"/>
      <c r="R167" s="7"/>
      <c r="S167" s="7"/>
      <c r="T167" s="7"/>
      <c r="U167" s="9"/>
      <c r="V167" s="9"/>
      <c r="W167" s="7"/>
      <c r="X167" s="7"/>
      <c r="Y167" s="7"/>
      <c r="Z167" s="7"/>
      <c r="AA167" s="10"/>
      <c r="AB167" s="7"/>
    </row>
    <row r="168" spans="15:28" s="8" customFormat="1" x14ac:dyDescent="0.35">
      <c r="O168" s="7"/>
      <c r="P168" s="7"/>
      <c r="Q168" s="7"/>
      <c r="R168" s="7"/>
      <c r="S168" s="7"/>
      <c r="T168" s="7"/>
      <c r="U168" s="9"/>
      <c r="V168" s="9"/>
      <c r="W168" s="7"/>
      <c r="X168" s="7"/>
      <c r="Y168" s="7"/>
      <c r="Z168" s="7"/>
      <c r="AA168" s="10"/>
      <c r="AB168" s="7"/>
    </row>
    <row r="169" spans="15:28" s="8" customFormat="1" x14ac:dyDescent="0.35">
      <c r="O169" s="7"/>
      <c r="P169" s="7"/>
      <c r="Q169" s="7"/>
      <c r="R169" s="7"/>
      <c r="S169" s="7"/>
      <c r="T169" s="7"/>
      <c r="U169" s="9"/>
      <c r="V169" s="9"/>
      <c r="W169" s="7"/>
      <c r="X169" s="7"/>
      <c r="Y169" s="7"/>
      <c r="Z169" s="7"/>
      <c r="AA169" s="10"/>
      <c r="AB169" s="7"/>
    </row>
    <row r="170" spans="15:28" s="8" customFormat="1" x14ac:dyDescent="0.35">
      <c r="O170" s="7"/>
      <c r="P170" s="7"/>
      <c r="Q170" s="7"/>
      <c r="R170" s="7"/>
      <c r="S170" s="7"/>
      <c r="T170" s="7"/>
      <c r="U170" s="9"/>
      <c r="V170" s="9"/>
      <c r="W170" s="7"/>
      <c r="X170" s="7"/>
      <c r="Y170" s="7"/>
      <c r="Z170" s="7"/>
      <c r="AA170" s="10"/>
      <c r="AB170" s="7"/>
    </row>
    <row r="171" spans="15:28" s="8" customFormat="1" x14ac:dyDescent="0.35">
      <c r="O171" s="7"/>
      <c r="P171" s="7"/>
      <c r="Q171" s="7"/>
      <c r="R171" s="7"/>
      <c r="S171" s="7"/>
      <c r="T171" s="7"/>
      <c r="U171" s="9"/>
      <c r="V171" s="9"/>
      <c r="W171" s="7"/>
      <c r="X171" s="7"/>
      <c r="Y171" s="7"/>
      <c r="Z171" s="7"/>
      <c r="AA171" s="10"/>
      <c r="AB171" s="7"/>
    </row>
    <row r="172" spans="15:28" s="8" customFormat="1" x14ac:dyDescent="0.35">
      <c r="O172" s="7"/>
      <c r="P172" s="7"/>
      <c r="Q172" s="7"/>
      <c r="R172" s="7"/>
      <c r="S172" s="7"/>
      <c r="T172" s="7"/>
      <c r="U172" s="9"/>
      <c r="V172" s="9"/>
      <c r="W172" s="7"/>
      <c r="X172" s="7"/>
      <c r="Y172" s="7"/>
      <c r="Z172" s="7"/>
      <c r="AA172" s="10"/>
      <c r="AB172" s="7"/>
    </row>
    <row r="173" spans="15:28" s="8" customFormat="1" x14ac:dyDescent="0.35">
      <c r="O173" s="7"/>
      <c r="P173" s="7"/>
      <c r="Q173" s="7"/>
      <c r="R173" s="7"/>
      <c r="S173" s="7"/>
      <c r="T173" s="7"/>
      <c r="U173" s="9"/>
      <c r="V173" s="9"/>
      <c r="W173" s="7"/>
      <c r="X173" s="7"/>
      <c r="Y173" s="7"/>
      <c r="Z173" s="7"/>
      <c r="AA173" s="10"/>
      <c r="AB173" s="7"/>
    </row>
    <row r="174" spans="15:28" s="8" customFormat="1" x14ac:dyDescent="0.35">
      <c r="O174" s="7"/>
      <c r="P174" s="7"/>
      <c r="Q174" s="7"/>
      <c r="R174" s="7"/>
      <c r="S174" s="7"/>
      <c r="T174" s="7"/>
      <c r="U174" s="9"/>
      <c r="V174" s="9"/>
      <c r="W174" s="7"/>
      <c r="X174" s="7"/>
      <c r="Y174" s="7"/>
      <c r="Z174" s="7"/>
      <c r="AA174" s="10"/>
      <c r="AB174" s="7"/>
    </row>
    <row r="175" spans="15:28" s="8" customFormat="1" x14ac:dyDescent="0.35">
      <c r="O175" s="7"/>
      <c r="P175" s="7"/>
      <c r="Q175" s="7"/>
      <c r="R175" s="7"/>
      <c r="S175" s="7"/>
      <c r="T175" s="7"/>
      <c r="U175" s="9"/>
      <c r="V175" s="9"/>
      <c r="W175" s="7"/>
      <c r="X175" s="7"/>
      <c r="Y175" s="7"/>
      <c r="Z175" s="7"/>
      <c r="AA175" s="10"/>
      <c r="AB175" s="7"/>
    </row>
    <row r="176" spans="15:28" s="8" customFormat="1" x14ac:dyDescent="0.35">
      <c r="O176" s="7"/>
      <c r="P176" s="7"/>
      <c r="Q176" s="7"/>
      <c r="R176" s="7"/>
      <c r="S176" s="7"/>
      <c r="T176" s="7"/>
      <c r="U176" s="9"/>
      <c r="V176" s="9"/>
      <c r="W176" s="7"/>
      <c r="X176" s="7"/>
      <c r="Y176" s="7"/>
      <c r="Z176" s="7"/>
      <c r="AA176" s="10"/>
      <c r="AB176" s="7"/>
    </row>
    <row r="177" spans="3:28" s="8" customFormat="1" x14ac:dyDescent="0.35">
      <c r="O177" s="7"/>
      <c r="P177" s="7"/>
      <c r="Q177" s="7"/>
      <c r="R177" s="7"/>
      <c r="S177" s="7"/>
      <c r="T177" s="7"/>
      <c r="U177" s="9"/>
      <c r="V177" s="9"/>
      <c r="W177" s="7"/>
      <c r="X177" s="7"/>
      <c r="Y177" s="7"/>
      <c r="Z177" s="7"/>
      <c r="AA177" s="10"/>
      <c r="AB177" s="7"/>
    </row>
    <row r="178" spans="3:28" s="8" customFormat="1" x14ac:dyDescent="0.35">
      <c r="O178" s="7"/>
      <c r="P178" s="7"/>
      <c r="Q178" s="7"/>
      <c r="R178" s="7"/>
      <c r="S178" s="7"/>
      <c r="T178" s="7"/>
      <c r="U178" s="9"/>
      <c r="V178" s="9"/>
      <c r="W178" s="7"/>
      <c r="X178" s="7"/>
      <c r="Y178" s="7"/>
      <c r="Z178" s="7"/>
      <c r="AA178" s="10"/>
      <c r="AB178" s="7"/>
    </row>
    <row r="179" spans="3:28" s="8" customFormat="1" x14ac:dyDescent="0.35">
      <c r="O179" s="7"/>
      <c r="P179" s="7"/>
      <c r="Q179" s="7"/>
      <c r="R179" s="7"/>
      <c r="S179" s="7"/>
      <c r="T179" s="7"/>
      <c r="U179" s="9"/>
      <c r="V179" s="9"/>
      <c r="W179" s="7"/>
      <c r="X179" s="7"/>
      <c r="Y179" s="7"/>
      <c r="Z179" s="7"/>
      <c r="AA179" s="10"/>
      <c r="AB179" s="7"/>
    </row>
    <row r="180" spans="3:28" s="8" customFormat="1" x14ac:dyDescent="0.35">
      <c r="O180" s="7"/>
      <c r="P180" s="7"/>
      <c r="Q180" s="7"/>
      <c r="R180" s="7"/>
      <c r="S180" s="7"/>
      <c r="T180" s="7"/>
      <c r="U180" s="9"/>
      <c r="V180" s="9"/>
      <c r="W180" s="7"/>
      <c r="X180" s="7"/>
      <c r="Y180" s="7"/>
      <c r="Z180" s="7"/>
      <c r="AA180" s="10"/>
      <c r="AB180" s="7"/>
    </row>
    <row r="181" spans="3:28" s="8" customFormat="1" x14ac:dyDescent="0.35">
      <c r="O181" s="7"/>
      <c r="P181" s="7"/>
      <c r="Q181" s="7"/>
      <c r="R181" s="7"/>
      <c r="S181" s="7"/>
      <c r="T181" s="7"/>
      <c r="U181" s="9"/>
      <c r="V181" s="9"/>
      <c r="W181" s="7"/>
      <c r="X181" s="7"/>
      <c r="Y181" s="7"/>
      <c r="Z181" s="7"/>
      <c r="AA181" s="10"/>
      <c r="AB181" s="7"/>
    </row>
    <row r="182" spans="3:28" s="8" customFormat="1" x14ac:dyDescent="0.35">
      <c r="O182" s="7"/>
      <c r="P182" s="7"/>
      <c r="Q182" s="7"/>
      <c r="R182" s="7"/>
      <c r="S182" s="7"/>
      <c r="T182" s="7"/>
      <c r="U182" s="9"/>
      <c r="V182" s="9"/>
      <c r="W182" s="7"/>
      <c r="X182" s="7"/>
      <c r="Y182" s="7"/>
      <c r="Z182" s="7"/>
      <c r="AA182" s="10"/>
      <c r="AB182" s="7"/>
    </row>
    <row r="183" spans="3:28" s="8" customFormat="1" x14ac:dyDescent="0.35">
      <c r="O183" s="7"/>
      <c r="P183" s="7"/>
      <c r="Q183" s="7"/>
      <c r="R183" s="7"/>
      <c r="S183" s="7"/>
      <c r="T183" s="7"/>
      <c r="U183" s="9"/>
      <c r="V183" s="9"/>
      <c r="W183" s="7"/>
      <c r="X183" s="7"/>
      <c r="Y183" s="7"/>
      <c r="Z183" s="7"/>
      <c r="AA183" s="10"/>
      <c r="AB183" s="7"/>
    </row>
    <row r="184" spans="3:28" s="8" customFormat="1" x14ac:dyDescent="0.35">
      <c r="O184" s="7"/>
      <c r="P184" s="7"/>
      <c r="Q184" s="7"/>
      <c r="R184" s="7"/>
      <c r="S184" s="7"/>
      <c r="T184" s="7"/>
      <c r="U184" s="9"/>
      <c r="V184" s="9"/>
      <c r="W184" s="7"/>
      <c r="X184" s="7"/>
      <c r="Y184" s="7"/>
      <c r="Z184" s="7"/>
      <c r="AA184" s="10"/>
      <c r="AB184" s="7"/>
    </row>
    <row r="185" spans="3:28" s="8" customFormat="1" x14ac:dyDescent="0.35">
      <c r="O185" s="7"/>
      <c r="P185" s="7"/>
      <c r="Q185" s="7"/>
      <c r="R185" s="7"/>
      <c r="S185" s="7"/>
      <c r="T185" s="7"/>
      <c r="U185" s="9"/>
      <c r="V185" s="9"/>
      <c r="W185" s="7"/>
      <c r="X185" s="7"/>
      <c r="Y185" s="7"/>
      <c r="Z185" s="7"/>
      <c r="AA185" s="10"/>
      <c r="AB185" s="7"/>
    </row>
    <row r="186" spans="3:28" s="8" customFormat="1" x14ac:dyDescent="0.35">
      <c r="O186" s="7"/>
      <c r="P186" s="7"/>
      <c r="Q186" s="7"/>
      <c r="R186" s="7"/>
      <c r="S186" s="7"/>
      <c r="T186" s="7"/>
      <c r="U186" s="9"/>
      <c r="V186" s="9"/>
      <c r="W186" s="7"/>
      <c r="X186" s="7"/>
      <c r="Y186" s="7"/>
      <c r="Z186" s="7"/>
      <c r="AA186" s="10"/>
      <c r="AB186" s="7"/>
    </row>
    <row r="187" spans="3:28" s="8" customFormat="1" x14ac:dyDescent="0.35">
      <c r="O187" s="7"/>
      <c r="P187" s="7"/>
      <c r="Q187" s="7"/>
      <c r="R187" s="7"/>
      <c r="S187" s="7"/>
      <c r="T187" s="7"/>
      <c r="U187" s="9"/>
      <c r="V187" s="9"/>
      <c r="W187" s="7"/>
      <c r="X187" s="7"/>
      <c r="Y187" s="7"/>
      <c r="Z187" s="7"/>
      <c r="AA187" s="10"/>
      <c r="AB187" s="7"/>
    </row>
    <row r="188" spans="3:28" s="8" customFormat="1" x14ac:dyDescent="0.35">
      <c r="C188" s="20"/>
      <c r="D188" s="20"/>
      <c r="E188" s="20"/>
      <c r="F188" s="20"/>
      <c r="G188" s="20"/>
      <c r="O188" s="7"/>
      <c r="P188" s="7"/>
      <c r="Q188" s="7"/>
      <c r="R188" s="7"/>
      <c r="S188" s="7"/>
      <c r="T188" s="7"/>
      <c r="U188" s="9"/>
      <c r="V188" s="9"/>
      <c r="W188" s="7"/>
      <c r="X188" s="7"/>
      <c r="Y188" s="7"/>
      <c r="Z188" s="7"/>
      <c r="AA188" s="10"/>
      <c r="AB188" s="7"/>
    </row>
    <row r="189" spans="3:28" s="8" customFormat="1" x14ac:dyDescent="0.35">
      <c r="O189" s="7"/>
      <c r="P189" s="7"/>
      <c r="Q189" s="7"/>
      <c r="R189" s="7"/>
      <c r="S189" s="7"/>
      <c r="T189" s="7"/>
      <c r="U189" s="9"/>
      <c r="V189" s="9"/>
      <c r="W189" s="7"/>
      <c r="X189" s="7"/>
      <c r="Y189" s="7"/>
      <c r="Z189" s="7"/>
      <c r="AA189" s="10"/>
      <c r="AB189" s="7"/>
    </row>
    <row r="190" spans="3:28" s="21" customFormat="1" x14ac:dyDescent="0.35">
      <c r="O190" s="22"/>
      <c r="P190" s="22"/>
      <c r="Q190" s="22"/>
      <c r="R190" s="22"/>
      <c r="S190" s="22"/>
      <c r="T190" s="22"/>
      <c r="U190" s="23"/>
      <c r="V190" s="23"/>
      <c r="W190" s="22"/>
      <c r="X190" s="22"/>
      <c r="Y190" s="22"/>
      <c r="Z190" s="24"/>
      <c r="AA190" s="24"/>
      <c r="AB190" s="22"/>
    </row>
    <row r="191" spans="3:28" s="21" customFormat="1" x14ac:dyDescent="0.35">
      <c r="O191" s="22"/>
      <c r="P191" s="22"/>
      <c r="Q191" s="22"/>
      <c r="R191" s="22"/>
      <c r="S191" s="22"/>
      <c r="T191" s="22"/>
      <c r="U191" s="23"/>
      <c r="V191" s="23"/>
      <c r="W191" s="22"/>
      <c r="X191" s="22"/>
      <c r="Y191" s="22"/>
      <c r="Z191" s="24"/>
      <c r="AA191" s="24"/>
      <c r="AB191" s="22"/>
    </row>
    <row r="192" spans="3:28" s="21" customFormat="1" x14ac:dyDescent="0.35">
      <c r="O192" s="22"/>
      <c r="P192" s="22"/>
      <c r="Q192" s="22"/>
      <c r="R192" s="22"/>
      <c r="S192" s="22"/>
      <c r="T192" s="22"/>
      <c r="U192" s="23"/>
      <c r="V192" s="23"/>
      <c r="W192" s="22"/>
      <c r="X192" s="22"/>
      <c r="Y192" s="22"/>
      <c r="Z192" s="22"/>
      <c r="AA192" s="24"/>
      <c r="AB192" s="7"/>
    </row>
    <row r="193" spans="15:28" s="21" customFormat="1" x14ac:dyDescent="0.35">
      <c r="O193" s="22"/>
      <c r="P193" s="22"/>
      <c r="Q193" s="22"/>
      <c r="R193" s="22"/>
      <c r="S193" s="22"/>
      <c r="T193" s="22"/>
      <c r="U193" s="23"/>
      <c r="V193" s="23"/>
      <c r="W193" s="22"/>
      <c r="X193" s="22"/>
      <c r="Y193" s="22"/>
      <c r="Z193" s="22"/>
      <c r="AA193" s="24"/>
      <c r="AB193" s="7"/>
    </row>
    <row r="194" spans="15:28" s="21" customFormat="1" x14ac:dyDescent="0.35">
      <c r="O194" s="22"/>
      <c r="P194" s="22"/>
      <c r="Q194" s="22"/>
      <c r="R194" s="22"/>
      <c r="S194" s="22"/>
      <c r="T194" s="22"/>
      <c r="U194" s="23"/>
      <c r="V194" s="23"/>
      <c r="W194" s="22"/>
      <c r="X194" s="22"/>
      <c r="Y194" s="22"/>
      <c r="Z194" s="22"/>
      <c r="AA194" s="24"/>
      <c r="AB194" s="22"/>
    </row>
    <row r="195" spans="15:28" s="21" customFormat="1" x14ac:dyDescent="0.35">
      <c r="O195" s="22"/>
      <c r="P195" s="22"/>
      <c r="Q195" s="22"/>
      <c r="R195" s="22"/>
      <c r="S195" s="22"/>
      <c r="T195" s="22"/>
      <c r="U195" s="23"/>
      <c r="V195" s="23"/>
      <c r="W195" s="22"/>
      <c r="X195" s="22"/>
      <c r="Y195" s="22"/>
      <c r="Z195" s="22"/>
      <c r="AA195" s="24"/>
      <c r="AB195" s="22"/>
    </row>
    <row r="196" spans="15:28" s="21" customFormat="1" x14ac:dyDescent="0.35">
      <c r="O196" s="22"/>
      <c r="P196" s="22"/>
      <c r="Q196" s="22"/>
      <c r="R196" s="22"/>
      <c r="S196" s="22"/>
      <c r="T196" s="22"/>
      <c r="U196" s="23"/>
      <c r="V196" s="23"/>
      <c r="W196" s="22"/>
      <c r="X196" s="22"/>
      <c r="Y196" s="22"/>
      <c r="Z196" s="22"/>
      <c r="AA196" s="24"/>
      <c r="AB196" s="7"/>
    </row>
    <row r="197" spans="15:28" s="21" customFormat="1" x14ac:dyDescent="0.35">
      <c r="O197" s="22"/>
      <c r="P197" s="22"/>
      <c r="Q197" s="22"/>
      <c r="R197" s="22"/>
      <c r="S197" s="22"/>
      <c r="T197" s="22"/>
      <c r="U197" s="23"/>
      <c r="V197" s="23"/>
      <c r="W197" s="22"/>
      <c r="X197" s="22"/>
      <c r="Y197" s="22"/>
      <c r="Z197" s="22"/>
      <c r="AA197" s="24"/>
      <c r="AB197" s="7"/>
    </row>
    <row r="198" spans="15:28" s="21" customFormat="1" x14ac:dyDescent="0.35">
      <c r="O198" s="22"/>
      <c r="P198" s="22"/>
      <c r="Q198" s="22"/>
      <c r="R198" s="22"/>
      <c r="S198" s="22"/>
      <c r="T198" s="22"/>
      <c r="U198" s="23"/>
      <c r="V198" s="23"/>
      <c r="W198" s="22"/>
      <c r="X198" s="22"/>
      <c r="Y198" s="22"/>
      <c r="Z198" s="22"/>
      <c r="AA198" s="24"/>
      <c r="AB198" s="22"/>
    </row>
    <row r="199" spans="15:28" s="21" customFormat="1" x14ac:dyDescent="0.35">
      <c r="O199" s="22"/>
      <c r="P199" s="22"/>
      <c r="Q199" s="22"/>
      <c r="R199" s="22"/>
      <c r="S199" s="22"/>
      <c r="T199" s="22"/>
      <c r="U199" s="23"/>
      <c r="V199" s="23"/>
      <c r="W199" s="22"/>
      <c r="X199" s="22"/>
      <c r="Y199" s="22"/>
      <c r="Z199" s="22"/>
      <c r="AA199" s="24"/>
      <c r="AB199" s="22"/>
    </row>
    <row r="200" spans="15:28" s="21" customFormat="1" x14ac:dyDescent="0.35">
      <c r="O200" s="22"/>
      <c r="P200" s="22"/>
      <c r="Q200" s="22"/>
      <c r="R200" s="22"/>
      <c r="S200" s="22"/>
      <c r="T200" s="22"/>
      <c r="U200" s="23"/>
      <c r="V200" s="23"/>
      <c r="W200" s="22"/>
      <c r="X200" s="22"/>
      <c r="Y200" s="22"/>
      <c r="Z200" s="22"/>
      <c r="AA200" s="24"/>
      <c r="AB200" s="22"/>
    </row>
    <row r="201" spans="15:28" s="21" customFormat="1" x14ac:dyDescent="0.35">
      <c r="O201" s="22"/>
      <c r="P201" s="22"/>
      <c r="Q201" s="22"/>
      <c r="R201" s="22"/>
      <c r="S201" s="22"/>
      <c r="T201" s="22"/>
      <c r="U201" s="23"/>
      <c r="V201" s="23"/>
      <c r="W201" s="22"/>
      <c r="X201" s="22"/>
      <c r="Y201" s="22"/>
      <c r="Z201" s="22"/>
      <c r="AA201" s="24"/>
      <c r="AB201" s="22"/>
    </row>
    <row r="202" spans="15:28" s="21" customFormat="1" x14ac:dyDescent="0.35">
      <c r="O202" s="22"/>
      <c r="P202" s="22"/>
      <c r="Q202" s="22"/>
      <c r="R202" s="22"/>
      <c r="S202" s="22"/>
      <c r="T202" s="22"/>
      <c r="U202" s="23"/>
      <c r="V202" s="23"/>
      <c r="W202" s="22"/>
      <c r="X202" s="22"/>
      <c r="Y202" s="22"/>
      <c r="Z202" s="22"/>
      <c r="AA202" s="24"/>
      <c r="AB202" s="22"/>
    </row>
    <row r="203" spans="15:28" s="21" customFormat="1" x14ac:dyDescent="0.35">
      <c r="O203" s="22"/>
      <c r="P203" s="22"/>
      <c r="Q203" s="22"/>
      <c r="R203" s="22"/>
      <c r="S203" s="22"/>
      <c r="T203" s="22"/>
      <c r="U203" s="23"/>
      <c r="V203" s="23"/>
      <c r="W203" s="22"/>
      <c r="X203" s="22"/>
      <c r="Y203" s="22"/>
      <c r="Z203" s="22"/>
      <c r="AA203" s="24"/>
      <c r="AB203" s="22"/>
    </row>
    <row r="204" spans="15:28" s="21" customFormat="1" x14ac:dyDescent="0.35">
      <c r="O204" s="22"/>
      <c r="P204" s="22"/>
      <c r="Q204" s="22"/>
      <c r="R204" s="22"/>
      <c r="S204" s="22"/>
      <c r="T204" s="22"/>
      <c r="U204" s="23"/>
      <c r="V204" s="23"/>
      <c r="W204" s="22"/>
      <c r="X204" s="22"/>
      <c r="Y204" s="22"/>
      <c r="Z204" s="22"/>
      <c r="AA204" s="24"/>
      <c r="AB204" s="22"/>
    </row>
    <row r="205" spans="15:28" s="21" customFormat="1" x14ac:dyDescent="0.35">
      <c r="O205" s="22"/>
      <c r="P205" s="22"/>
      <c r="Q205" s="22"/>
      <c r="R205" s="22"/>
      <c r="S205" s="22"/>
      <c r="T205" s="22"/>
      <c r="U205" s="23"/>
      <c r="V205" s="23"/>
      <c r="W205" s="22"/>
      <c r="X205" s="22"/>
      <c r="Y205" s="22"/>
      <c r="Z205" s="22"/>
      <c r="AA205" s="24"/>
      <c r="AB205" s="22"/>
    </row>
    <row r="206" spans="15:28" s="21" customFormat="1" x14ac:dyDescent="0.35">
      <c r="O206" s="22"/>
      <c r="P206" s="22"/>
      <c r="Q206" s="22"/>
      <c r="R206" s="22"/>
      <c r="S206" s="22"/>
      <c r="T206" s="22"/>
      <c r="U206" s="23"/>
      <c r="V206" s="23"/>
      <c r="W206" s="22"/>
      <c r="X206" s="22"/>
      <c r="Y206" s="22"/>
      <c r="Z206" s="22"/>
      <c r="AA206" s="24"/>
      <c r="AB206" s="22"/>
    </row>
    <row r="207" spans="15:28" s="21" customFormat="1" x14ac:dyDescent="0.35">
      <c r="O207" s="22"/>
      <c r="P207" s="22"/>
      <c r="Q207" s="22"/>
      <c r="R207" s="22"/>
      <c r="S207" s="22"/>
      <c r="T207" s="22"/>
      <c r="U207" s="23"/>
      <c r="V207" s="23"/>
      <c r="W207" s="22"/>
      <c r="X207" s="22"/>
      <c r="Y207" s="22"/>
      <c r="Z207" s="22"/>
      <c r="AA207" s="24"/>
      <c r="AB207" s="22"/>
    </row>
    <row r="208" spans="15:28" s="21" customFormat="1" x14ac:dyDescent="0.35">
      <c r="O208" s="22"/>
      <c r="P208" s="22"/>
      <c r="Q208" s="22"/>
      <c r="R208" s="22"/>
      <c r="S208" s="22"/>
      <c r="T208" s="22"/>
      <c r="U208" s="23"/>
      <c r="V208" s="23"/>
      <c r="W208" s="22"/>
      <c r="X208" s="22"/>
      <c r="Y208" s="22"/>
      <c r="Z208" s="22"/>
      <c r="AA208" s="24"/>
      <c r="AB208" s="22"/>
    </row>
    <row r="209" spans="15:28" s="21" customFormat="1" x14ac:dyDescent="0.35">
      <c r="O209" s="22"/>
      <c r="P209" s="22"/>
      <c r="Q209" s="22"/>
      <c r="R209" s="22"/>
      <c r="S209" s="22"/>
      <c r="T209" s="22"/>
      <c r="U209" s="23"/>
      <c r="V209" s="23"/>
      <c r="W209" s="22"/>
      <c r="X209" s="22"/>
      <c r="Y209" s="22"/>
      <c r="Z209" s="22"/>
      <c r="AA209" s="24"/>
      <c r="AB209" s="22"/>
    </row>
    <row r="210" spans="15:28" s="21" customFormat="1" x14ac:dyDescent="0.35">
      <c r="O210" s="22"/>
      <c r="P210" s="22"/>
      <c r="Q210" s="22"/>
      <c r="R210" s="22"/>
      <c r="S210" s="22"/>
      <c r="T210" s="22"/>
      <c r="U210" s="23"/>
      <c r="V210" s="23"/>
      <c r="W210" s="22"/>
      <c r="X210" s="22"/>
      <c r="Y210" s="22"/>
      <c r="Z210" s="22"/>
      <c r="AA210" s="24"/>
      <c r="AB210" s="22"/>
    </row>
    <row r="211" spans="15:28" s="21" customFormat="1" x14ac:dyDescent="0.35">
      <c r="O211" s="22"/>
      <c r="P211" s="22"/>
      <c r="Q211" s="22"/>
      <c r="R211" s="22"/>
      <c r="S211" s="22"/>
      <c r="T211" s="22"/>
      <c r="U211" s="23"/>
      <c r="V211" s="23"/>
      <c r="W211" s="22"/>
      <c r="X211" s="22"/>
      <c r="Y211" s="22"/>
      <c r="Z211" s="22"/>
      <c r="AA211" s="24"/>
      <c r="AB211" s="22"/>
    </row>
    <row r="212" spans="15:28" s="21" customFormat="1" x14ac:dyDescent="0.35">
      <c r="O212" s="22"/>
      <c r="P212" s="22"/>
      <c r="Q212" s="22"/>
      <c r="R212" s="22"/>
      <c r="S212" s="22"/>
      <c r="T212" s="22"/>
      <c r="U212" s="23"/>
      <c r="V212" s="23"/>
      <c r="W212" s="22"/>
      <c r="X212" s="22"/>
      <c r="Y212" s="22"/>
      <c r="Z212" s="22"/>
      <c r="AA212" s="24"/>
      <c r="AB212" s="22"/>
    </row>
    <row r="213" spans="15:28" s="21" customFormat="1" x14ac:dyDescent="0.35">
      <c r="O213" s="22"/>
      <c r="P213" s="22"/>
      <c r="Q213" s="22"/>
      <c r="R213" s="22"/>
      <c r="S213" s="22"/>
      <c r="T213" s="22"/>
      <c r="U213" s="23"/>
      <c r="V213" s="23"/>
      <c r="W213" s="22"/>
      <c r="X213" s="22"/>
      <c r="Y213" s="22"/>
      <c r="Z213" s="22"/>
      <c r="AA213" s="24"/>
      <c r="AB213" s="22"/>
    </row>
    <row r="214" spans="15:28" s="21" customFormat="1" x14ac:dyDescent="0.35">
      <c r="O214" s="22"/>
      <c r="P214" s="22"/>
      <c r="Q214" s="22"/>
      <c r="R214" s="22"/>
      <c r="S214" s="22"/>
      <c r="T214" s="22"/>
      <c r="U214" s="23"/>
      <c r="V214" s="23"/>
      <c r="W214" s="22"/>
      <c r="X214" s="22"/>
      <c r="Y214" s="22"/>
      <c r="Z214" s="22"/>
      <c r="AA214" s="24"/>
      <c r="AB214" s="22"/>
    </row>
    <row r="215" spans="15:28" s="21" customFormat="1" x14ac:dyDescent="0.35">
      <c r="O215" s="22"/>
      <c r="P215" s="22"/>
      <c r="Q215" s="22"/>
      <c r="R215" s="22"/>
      <c r="S215" s="22"/>
      <c r="T215" s="22"/>
      <c r="U215" s="23"/>
      <c r="V215" s="23"/>
      <c r="W215" s="22"/>
      <c r="X215" s="22"/>
      <c r="Y215" s="22"/>
      <c r="Z215" s="22"/>
      <c r="AA215" s="24"/>
      <c r="AB215" s="22"/>
    </row>
    <row r="216" spans="15:28" s="21" customFormat="1" x14ac:dyDescent="0.35">
      <c r="O216" s="22"/>
      <c r="P216" s="22"/>
      <c r="Q216" s="22"/>
      <c r="R216" s="22"/>
      <c r="S216" s="22"/>
      <c r="T216" s="22"/>
      <c r="U216" s="23"/>
      <c r="V216" s="23"/>
      <c r="W216" s="22"/>
      <c r="X216" s="22"/>
      <c r="Y216" s="22"/>
      <c r="Z216" s="22"/>
      <c r="AA216" s="24"/>
      <c r="AB216" s="22"/>
    </row>
    <row r="217" spans="15:28" s="21" customFormat="1" x14ac:dyDescent="0.35">
      <c r="O217" s="22"/>
      <c r="P217" s="22"/>
      <c r="Q217" s="22"/>
      <c r="R217" s="22"/>
      <c r="S217" s="22"/>
      <c r="T217" s="22"/>
      <c r="U217" s="23"/>
      <c r="V217" s="23"/>
      <c r="W217" s="22"/>
      <c r="X217" s="22"/>
      <c r="Y217" s="22"/>
      <c r="Z217" s="22"/>
      <c r="AA217" s="24"/>
      <c r="AB217" s="22"/>
    </row>
    <row r="218" spans="15:28" s="21" customFormat="1" x14ac:dyDescent="0.35">
      <c r="O218" s="22"/>
      <c r="P218" s="22"/>
      <c r="Q218" s="22"/>
      <c r="R218" s="22"/>
      <c r="S218" s="22"/>
      <c r="T218" s="22"/>
      <c r="U218" s="23"/>
      <c r="V218" s="23"/>
      <c r="W218" s="22"/>
      <c r="X218" s="22"/>
      <c r="Y218" s="22"/>
      <c r="Z218" s="22"/>
      <c r="AA218" s="24"/>
      <c r="AB218" s="22"/>
    </row>
    <row r="219" spans="15:28" s="21" customFormat="1" x14ac:dyDescent="0.35">
      <c r="O219" s="22"/>
      <c r="P219" s="22"/>
      <c r="Q219" s="22"/>
      <c r="R219" s="22"/>
      <c r="S219" s="22"/>
      <c r="T219" s="22"/>
      <c r="U219" s="23"/>
      <c r="V219" s="23"/>
      <c r="W219" s="22"/>
      <c r="X219" s="22"/>
      <c r="Y219" s="22"/>
      <c r="Z219" s="22"/>
      <c r="AA219" s="24"/>
      <c r="AB219" s="22"/>
    </row>
    <row r="220" spans="15:28" s="21" customFormat="1" x14ac:dyDescent="0.35">
      <c r="O220" s="22"/>
      <c r="P220" s="22"/>
      <c r="Q220" s="22"/>
      <c r="R220" s="22"/>
      <c r="S220" s="22"/>
      <c r="T220" s="22"/>
      <c r="U220" s="23"/>
      <c r="V220" s="23"/>
      <c r="W220" s="22"/>
      <c r="X220" s="22"/>
      <c r="Y220" s="22"/>
      <c r="Z220" s="22"/>
      <c r="AA220" s="24"/>
      <c r="AB220" s="22"/>
    </row>
    <row r="221" spans="15:28" s="21" customFormat="1" x14ac:dyDescent="0.35">
      <c r="O221" s="22"/>
      <c r="P221" s="22"/>
      <c r="Q221" s="22"/>
      <c r="R221" s="22"/>
      <c r="S221" s="22"/>
      <c r="T221" s="22"/>
      <c r="U221" s="23"/>
      <c r="V221" s="23"/>
      <c r="W221" s="22"/>
      <c r="X221" s="22"/>
      <c r="Y221" s="22"/>
      <c r="Z221" s="22"/>
      <c r="AA221" s="24"/>
      <c r="AB221" s="22"/>
    </row>
    <row r="222" spans="15:28" s="21" customFormat="1" x14ac:dyDescent="0.35">
      <c r="O222" s="22"/>
      <c r="P222" s="22"/>
      <c r="Q222" s="22"/>
      <c r="R222" s="22"/>
      <c r="S222" s="22"/>
      <c r="T222" s="22"/>
      <c r="U222" s="23"/>
      <c r="V222" s="23"/>
      <c r="W222" s="22"/>
      <c r="X222" s="22"/>
      <c r="Y222" s="22"/>
      <c r="Z222" s="22"/>
      <c r="AA222" s="24"/>
      <c r="AB222" s="22"/>
    </row>
    <row r="223" spans="15:28" s="21" customFormat="1" x14ac:dyDescent="0.35">
      <c r="O223" s="22"/>
      <c r="P223" s="22"/>
      <c r="Q223" s="22"/>
      <c r="R223" s="22"/>
      <c r="S223" s="22"/>
      <c r="T223" s="22"/>
      <c r="U223" s="23"/>
      <c r="V223" s="23"/>
      <c r="W223" s="22"/>
      <c r="X223" s="22"/>
      <c r="Y223" s="22"/>
      <c r="Z223" s="22"/>
      <c r="AA223" s="24"/>
      <c r="AB223" s="22"/>
    </row>
    <row r="224" spans="15:28" s="21" customFormat="1" x14ac:dyDescent="0.35">
      <c r="O224" s="22"/>
      <c r="P224" s="22"/>
      <c r="Q224" s="22"/>
      <c r="R224" s="22"/>
      <c r="S224" s="22"/>
      <c r="T224" s="22"/>
      <c r="U224" s="23"/>
      <c r="V224" s="23"/>
      <c r="W224" s="22"/>
      <c r="X224" s="22"/>
      <c r="Y224" s="22"/>
      <c r="Z224" s="22"/>
      <c r="AA224" s="24"/>
      <c r="AB224" s="22"/>
    </row>
    <row r="225" spans="15:28" s="21" customFormat="1" x14ac:dyDescent="0.35">
      <c r="O225" s="22"/>
      <c r="P225" s="22"/>
      <c r="Q225" s="22"/>
      <c r="R225" s="22"/>
      <c r="S225" s="22"/>
      <c r="T225" s="22"/>
      <c r="U225" s="23"/>
      <c r="V225" s="23"/>
      <c r="W225" s="22"/>
      <c r="X225" s="22"/>
      <c r="Y225" s="22"/>
      <c r="Z225" s="22"/>
      <c r="AA225" s="24"/>
      <c r="AB225" s="22"/>
    </row>
    <row r="226" spans="15:28" s="21" customFormat="1" x14ac:dyDescent="0.35">
      <c r="O226" s="22"/>
      <c r="P226" s="22"/>
      <c r="Q226" s="22"/>
      <c r="R226" s="22"/>
      <c r="S226" s="22"/>
      <c r="T226" s="22"/>
      <c r="U226" s="23"/>
      <c r="V226" s="23"/>
      <c r="W226" s="22"/>
      <c r="X226" s="22"/>
      <c r="Y226" s="22"/>
      <c r="Z226" s="22"/>
      <c r="AA226" s="24"/>
      <c r="AB226" s="22"/>
    </row>
    <row r="227" spans="15:28" s="21" customFormat="1" x14ac:dyDescent="0.35">
      <c r="O227" s="22"/>
      <c r="P227" s="22"/>
      <c r="Q227" s="22"/>
      <c r="R227" s="22"/>
      <c r="S227" s="22"/>
      <c r="T227" s="22"/>
      <c r="U227" s="23"/>
      <c r="V227" s="23"/>
      <c r="W227" s="22"/>
      <c r="X227" s="22"/>
      <c r="Y227" s="22"/>
      <c r="Z227" s="22"/>
      <c r="AA227" s="24"/>
      <c r="AB227" s="22"/>
    </row>
    <row r="228" spans="15:28" s="21" customFormat="1" x14ac:dyDescent="0.35">
      <c r="O228" s="22"/>
      <c r="P228" s="22"/>
      <c r="Q228" s="22"/>
      <c r="R228" s="22"/>
      <c r="S228" s="22"/>
      <c r="T228" s="22"/>
      <c r="U228" s="23"/>
      <c r="V228" s="23"/>
      <c r="W228" s="22"/>
      <c r="X228" s="22"/>
      <c r="Y228" s="22"/>
      <c r="Z228" s="22"/>
      <c r="AA228" s="24"/>
      <c r="AB228" s="22"/>
    </row>
    <row r="229" spans="15:28" s="21" customFormat="1" x14ac:dyDescent="0.35">
      <c r="O229" s="22"/>
      <c r="P229" s="22"/>
      <c r="Q229" s="22"/>
      <c r="R229" s="22"/>
      <c r="S229" s="22"/>
      <c r="T229" s="22"/>
      <c r="U229" s="23"/>
      <c r="V229" s="23"/>
      <c r="W229" s="22"/>
      <c r="X229" s="22"/>
      <c r="Y229" s="22"/>
      <c r="Z229" s="22"/>
      <c r="AA229" s="24"/>
      <c r="AB229" s="22"/>
    </row>
    <row r="230" spans="15:28" s="21" customFormat="1" x14ac:dyDescent="0.35">
      <c r="O230" s="22"/>
      <c r="P230" s="22"/>
      <c r="Q230" s="22"/>
      <c r="R230" s="22"/>
      <c r="S230" s="22"/>
      <c r="T230" s="22"/>
      <c r="U230" s="23"/>
      <c r="V230" s="23"/>
      <c r="W230" s="22"/>
      <c r="X230" s="22"/>
      <c r="Y230" s="22"/>
      <c r="Z230" s="22"/>
      <c r="AA230" s="24"/>
      <c r="AB230" s="22"/>
    </row>
    <row r="231" spans="15:28" s="21" customFormat="1" x14ac:dyDescent="0.35">
      <c r="O231" s="22"/>
      <c r="P231" s="22"/>
      <c r="Q231" s="22"/>
      <c r="R231" s="22"/>
      <c r="S231" s="22"/>
      <c r="T231" s="22"/>
      <c r="U231" s="23"/>
      <c r="V231" s="23"/>
      <c r="W231" s="22"/>
      <c r="X231" s="22"/>
      <c r="Y231" s="22"/>
      <c r="Z231" s="22"/>
      <c r="AA231" s="24"/>
      <c r="AB231" s="22"/>
    </row>
    <row r="232" spans="15:28" s="21" customFormat="1" x14ac:dyDescent="0.35">
      <c r="O232" s="22"/>
      <c r="P232" s="22"/>
      <c r="Q232" s="22"/>
      <c r="R232" s="22"/>
      <c r="S232" s="22"/>
      <c r="T232" s="22"/>
      <c r="U232" s="23"/>
      <c r="V232" s="23"/>
      <c r="W232" s="22"/>
      <c r="X232" s="22"/>
      <c r="Y232" s="22"/>
      <c r="Z232" s="22"/>
      <c r="AA232" s="24"/>
      <c r="AB232" s="22"/>
    </row>
    <row r="233" spans="15:28" s="21" customFormat="1" x14ac:dyDescent="0.35">
      <c r="O233" s="22"/>
      <c r="P233" s="22"/>
      <c r="Q233" s="22"/>
      <c r="R233" s="22"/>
      <c r="S233" s="22"/>
      <c r="T233" s="22"/>
      <c r="U233" s="23"/>
      <c r="V233" s="23"/>
      <c r="W233" s="22"/>
      <c r="X233" s="22"/>
      <c r="Y233" s="22"/>
      <c r="Z233" s="22"/>
      <c r="AA233" s="24"/>
      <c r="AB233" s="22"/>
    </row>
    <row r="234" spans="15:28" s="21" customFormat="1" x14ac:dyDescent="0.35">
      <c r="O234" s="22"/>
      <c r="P234" s="22"/>
      <c r="Q234" s="22"/>
      <c r="R234" s="22"/>
      <c r="S234" s="22"/>
      <c r="T234" s="22"/>
      <c r="U234" s="23"/>
      <c r="V234" s="23"/>
      <c r="W234" s="22"/>
      <c r="X234" s="22"/>
      <c r="Y234" s="22"/>
      <c r="Z234" s="22"/>
      <c r="AA234" s="24"/>
      <c r="AB234" s="22"/>
    </row>
    <row r="235" spans="15:28" s="21" customFormat="1" x14ac:dyDescent="0.35">
      <c r="O235" s="22"/>
      <c r="P235" s="22"/>
      <c r="Q235" s="22"/>
      <c r="R235" s="22"/>
      <c r="S235" s="22"/>
      <c r="T235" s="22"/>
      <c r="U235" s="23"/>
      <c r="V235" s="23"/>
      <c r="W235" s="22"/>
      <c r="X235" s="22"/>
      <c r="Y235" s="22"/>
      <c r="Z235" s="22"/>
      <c r="AA235" s="24"/>
      <c r="AB235" s="22"/>
    </row>
    <row r="236" spans="15:28" s="21" customFormat="1" x14ac:dyDescent="0.35">
      <c r="O236" s="22"/>
      <c r="P236" s="22"/>
      <c r="Q236" s="22"/>
      <c r="R236" s="22"/>
      <c r="S236" s="22"/>
      <c r="T236" s="22"/>
      <c r="U236" s="23"/>
      <c r="V236" s="23"/>
      <c r="W236" s="22"/>
      <c r="X236" s="22"/>
      <c r="Y236" s="22"/>
      <c r="Z236" s="22"/>
      <c r="AA236" s="24"/>
      <c r="AB236" s="22"/>
    </row>
    <row r="237" spans="15:28" s="21" customFormat="1" x14ac:dyDescent="0.35">
      <c r="O237" s="22"/>
      <c r="P237" s="22"/>
      <c r="Q237" s="22"/>
      <c r="R237" s="22"/>
      <c r="S237" s="22"/>
      <c r="T237" s="22"/>
      <c r="U237" s="23"/>
      <c r="V237" s="23"/>
      <c r="W237" s="22"/>
      <c r="X237" s="22"/>
      <c r="Y237" s="22"/>
      <c r="Z237" s="22"/>
      <c r="AA237" s="24"/>
      <c r="AB237" s="22"/>
    </row>
    <row r="238" spans="15:28" s="21" customFormat="1" x14ac:dyDescent="0.35">
      <c r="O238" s="22"/>
      <c r="P238" s="22"/>
      <c r="Q238" s="22"/>
      <c r="R238" s="22"/>
      <c r="S238" s="22"/>
      <c r="T238" s="22"/>
      <c r="U238" s="23"/>
      <c r="V238" s="23"/>
      <c r="W238" s="22"/>
      <c r="X238" s="22"/>
      <c r="Y238" s="22"/>
      <c r="Z238" s="22"/>
      <c r="AA238" s="24"/>
      <c r="AB238" s="22"/>
    </row>
    <row r="239" spans="15:28" s="21" customFormat="1" x14ac:dyDescent="0.35">
      <c r="O239" s="22"/>
      <c r="P239" s="22"/>
      <c r="Q239" s="22"/>
      <c r="R239" s="22"/>
      <c r="S239" s="22"/>
      <c r="T239" s="22"/>
      <c r="U239" s="23"/>
      <c r="V239" s="23"/>
      <c r="W239" s="22"/>
      <c r="X239" s="22"/>
      <c r="Y239" s="22"/>
      <c r="Z239" s="22"/>
      <c r="AA239" s="24"/>
      <c r="AB239" s="22"/>
    </row>
    <row r="240" spans="15:28" s="21" customFormat="1" x14ac:dyDescent="0.35">
      <c r="O240" s="22"/>
      <c r="P240" s="22"/>
      <c r="Q240" s="22"/>
      <c r="R240" s="22"/>
      <c r="S240" s="22"/>
      <c r="T240" s="22"/>
      <c r="U240" s="23"/>
      <c r="V240" s="23"/>
      <c r="W240" s="22"/>
      <c r="X240" s="22"/>
      <c r="Y240" s="22"/>
      <c r="Z240" s="22"/>
      <c r="AA240" s="24"/>
      <c r="AB240" s="22"/>
    </row>
    <row r="241" spans="15:28" s="21" customFormat="1" x14ac:dyDescent="0.35">
      <c r="O241" s="22"/>
      <c r="P241" s="22"/>
      <c r="Q241" s="22"/>
      <c r="R241" s="22"/>
      <c r="S241" s="22"/>
      <c r="T241" s="22"/>
      <c r="U241" s="23"/>
      <c r="V241" s="23"/>
      <c r="W241" s="22"/>
      <c r="X241" s="22"/>
      <c r="Y241" s="22"/>
      <c r="Z241" s="22"/>
      <c r="AA241" s="24"/>
      <c r="AB241" s="22"/>
    </row>
    <row r="242" spans="15:28" s="21" customFormat="1" x14ac:dyDescent="0.35">
      <c r="O242" s="22"/>
      <c r="P242" s="22"/>
      <c r="Q242" s="22"/>
      <c r="R242" s="22"/>
      <c r="S242" s="22"/>
      <c r="T242" s="22"/>
      <c r="U242" s="23"/>
      <c r="V242" s="23"/>
      <c r="W242" s="22"/>
      <c r="X242" s="22"/>
      <c r="Y242" s="22"/>
      <c r="Z242" s="22"/>
      <c r="AA242" s="24"/>
      <c r="AB242" s="22"/>
    </row>
    <row r="243" spans="15:28" s="21" customFormat="1" x14ac:dyDescent="0.35">
      <c r="O243" s="22"/>
      <c r="P243" s="22"/>
      <c r="Q243" s="22"/>
      <c r="R243" s="22"/>
      <c r="S243" s="22"/>
      <c r="T243" s="22"/>
      <c r="U243" s="23"/>
      <c r="V243" s="23"/>
      <c r="W243" s="22"/>
      <c r="X243" s="22"/>
      <c r="Y243" s="22"/>
      <c r="Z243" s="22"/>
      <c r="AA243" s="24"/>
      <c r="AB243" s="22"/>
    </row>
    <row r="244" spans="15:28" s="21" customFormat="1" x14ac:dyDescent="0.35">
      <c r="O244" s="22"/>
      <c r="P244" s="22"/>
      <c r="Q244" s="22"/>
      <c r="R244" s="22"/>
      <c r="S244" s="22"/>
      <c r="T244" s="22"/>
      <c r="U244" s="23"/>
      <c r="V244" s="23"/>
      <c r="W244" s="22"/>
      <c r="X244" s="22"/>
      <c r="Y244" s="22"/>
      <c r="Z244" s="22"/>
      <c r="AA244" s="24"/>
      <c r="AB244" s="22"/>
    </row>
    <row r="245" spans="15:28" s="21" customFormat="1" x14ac:dyDescent="0.35">
      <c r="O245" s="22"/>
      <c r="P245" s="22"/>
      <c r="Q245" s="22"/>
      <c r="R245" s="22"/>
      <c r="S245" s="22"/>
      <c r="T245" s="22"/>
      <c r="U245" s="23"/>
      <c r="V245" s="23"/>
      <c r="W245" s="22"/>
      <c r="X245" s="22"/>
      <c r="Y245" s="22"/>
      <c r="Z245" s="22"/>
      <c r="AA245" s="24"/>
      <c r="AB245" s="22"/>
    </row>
    <row r="246" spans="15:28" s="21" customFormat="1" x14ac:dyDescent="0.35">
      <c r="O246" s="22"/>
      <c r="P246" s="22"/>
      <c r="Q246" s="22"/>
      <c r="R246" s="22"/>
      <c r="S246" s="22"/>
      <c r="T246" s="22"/>
      <c r="U246" s="23"/>
      <c r="V246" s="23"/>
      <c r="W246" s="22"/>
      <c r="X246" s="22"/>
      <c r="Y246" s="22"/>
      <c r="Z246" s="22"/>
      <c r="AA246" s="24"/>
      <c r="AB246" s="22"/>
    </row>
    <row r="247" spans="15:28" s="21" customFormat="1" x14ac:dyDescent="0.35">
      <c r="O247" s="22"/>
      <c r="P247" s="22"/>
      <c r="Q247" s="22"/>
      <c r="R247" s="22"/>
      <c r="S247" s="22"/>
      <c r="T247" s="22"/>
      <c r="U247" s="23"/>
      <c r="V247" s="23"/>
      <c r="W247" s="22"/>
      <c r="X247" s="22"/>
      <c r="Y247" s="22"/>
      <c r="Z247" s="22"/>
      <c r="AA247" s="24"/>
      <c r="AB247" s="22"/>
    </row>
    <row r="248" spans="15:28" s="21" customFormat="1" x14ac:dyDescent="0.35">
      <c r="O248" s="22"/>
      <c r="P248" s="22"/>
      <c r="Q248" s="22"/>
      <c r="R248" s="22"/>
      <c r="S248" s="22"/>
      <c r="T248" s="22"/>
      <c r="U248" s="23"/>
      <c r="V248" s="23"/>
      <c r="W248" s="22"/>
      <c r="X248" s="22"/>
      <c r="Y248" s="22"/>
      <c r="Z248" s="22"/>
      <c r="AA248" s="24"/>
      <c r="AB248" s="22"/>
    </row>
    <row r="249" spans="15:28" s="21" customFormat="1" x14ac:dyDescent="0.35">
      <c r="O249" s="22"/>
      <c r="P249" s="22"/>
      <c r="Q249" s="22"/>
      <c r="R249" s="22"/>
      <c r="S249" s="22"/>
      <c r="T249" s="22"/>
      <c r="U249" s="23"/>
      <c r="V249" s="23"/>
      <c r="W249" s="22"/>
      <c r="X249" s="22"/>
      <c r="Y249" s="22"/>
      <c r="Z249" s="22"/>
      <c r="AA249" s="24"/>
      <c r="AB249" s="22"/>
    </row>
    <row r="250" spans="15:28" s="21" customFormat="1" x14ac:dyDescent="0.35">
      <c r="O250" s="22"/>
      <c r="P250" s="22"/>
      <c r="Q250" s="22"/>
      <c r="R250" s="22"/>
      <c r="S250" s="22"/>
      <c r="T250" s="22"/>
      <c r="U250" s="23"/>
      <c r="V250" s="23"/>
      <c r="W250" s="22"/>
      <c r="X250" s="22"/>
      <c r="Y250" s="22"/>
      <c r="Z250" s="22"/>
      <c r="AA250" s="24"/>
      <c r="AB250" s="22"/>
    </row>
    <row r="251" spans="15:28" s="21" customFormat="1" x14ac:dyDescent="0.35">
      <c r="O251" s="22"/>
      <c r="P251" s="22"/>
      <c r="Q251" s="22"/>
      <c r="R251" s="22"/>
      <c r="S251" s="22"/>
      <c r="T251" s="22"/>
      <c r="U251" s="23"/>
      <c r="V251" s="23"/>
      <c r="W251" s="22"/>
      <c r="X251" s="22"/>
      <c r="Y251" s="22"/>
      <c r="Z251" s="22"/>
      <c r="AA251" s="24"/>
      <c r="AB251" s="22"/>
    </row>
    <row r="252" spans="15:28" s="21" customFormat="1" x14ac:dyDescent="0.35">
      <c r="O252" s="22"/>
      <c r="P252" s="22"/>
      <c r="Q252" s="22"/>
      <c r="R252" s="22"/>
      <c r="S252" s="22"/>
      <c r="T252" s="22"/>
      <c r="U252" s="23"/>
      <c r="V252" s="23"/>
      <c r="W252" s="22"/>
      <c r="X252" s="22"/>
      <c r="Y252" s="22"/>
      <c r="Z252" s="22"/>
      <c r="AA252" s="24"/>
      <c r="AB252" s="22"/>
    </row>
    <row r="253" spans="15:28" s="21" customFormat="1" x14ac:dyDescent="0.35">
      <c r="O253" s="22"/>
      <c r="P253" s="22"/>
      <c r="Q253" s="22"/>
      <c r="R253" s="22"/>
      <c r="S253" s="22"/>
      <c r="T253" s="22"/>
      <c r="U253" s="23"/>
      <c r="V253" s="23"/>
      <c r="W253" s="22"/>
      <c r="X253" s="22"/>
      <c r="Y253" s="22"/>
      <c r="Z253" s="22"/>
      <c r="AA253" s="24"/>
      <c r="AB253" s="22"/>
    </row>
    <row r="254" spans="15:28" s="21" customFormat="1" x14ac:dyDescent="0.35">
      <c r="O254" s="22"/>
      <c r="P254" s="22"/>
      <c r="Q254" s="22"/>
      <c r="R254" s="22"/>
      <c r="S254" s="22"/>
      <c r="T254" s="22"/>
      <c r="U254" s="23"/>
      <c r="V254" s="23"/>
      <c r="W254" s="22"/>
      <c r="X254" s="22"/>
      <c r="Y254" s="22"/>
      <c r="Z254" s="22"/>
      <c r="AA254" s="24"/>
      <c r="AB254" s="22"/>
    </row>
    <row r="255" spans="15:28" s="21" customFormat="1" x14ac:dyDescent="0.35">
      <c r="O255" s="22"/>
      <c r="P255" s="22"/>
      <c r="Q255" s="22"/>
      <c r="R255" s="22"/>
      <c r="S255" s="22"/>
      <c r="T255" s="22"/>
      <c r="U255" s="23"/>
      <c r="V255" s="23"/>
      <c r="W255" s="22"/>
      <c r="X255" s="22"/>
      <c r="Y255" s="22"/>
      <c r="Z255" s="22"/>
      <c r="AA255" s="24"/>
      <c r="AB255" s="22"/>
    </row>
    <row r="256" spans="15:28" s="21" customFormat="1" x14ac:dyDescent="0.35">
      <c r="O256" s="22"/>
      <c r="P256" s="22"/>
      <c r="Q256" s="22"/>
      <c r="R256" s="22"/>
      <c r="S256" s="22"/>
      <c r="T256" s="22"/>
      <c r="U256" s="23"/>
      <c r="V256" s="23"/>
      <c r="W256" s="22"/>
      <c r="X256" s="22"/>
      <c r="Y256" s="22"/>
      <c r="Z256" s="22"/>
      <c r="AA256" s="24"/>
      <c r="AB256" s="22"/>
    </row>
    <row r="257" spans="15:28" s="21" customFormat="1" x14ac:dyDescent="0.35">
      <c r="O257" s="22"/>
      <c r="P257" s="22"/>
      <c r="Q257" s="22"/>
      <c r="R257" s="22"/>
      <c r="S257" s="22"/>
      <c r="T257" s="22"/>
      <c r="U257" s="23"/>
      <c r="V257" s="23"/>
      <c r="W257" s="22"/>
      <c r="X257" s="22"/>
      <c r="Y257" s="22"/>
      <c r="Z257" s="22"/>
      <c r="AA257" s="24"/>
      <c r="AB257" s="22"/>
    </row>
    <row r="258" spans="15:28" s="21" customFormat="1" x14ac:dyDescent="0.35">
      <c r="O258" s="22"/>
      <c r="P258" s="22"/>
      <c r="Q258" s="22"/>
      <c r="R258" s="22"/>
      <c r="S258" s="22"/>
      <c r="T258" s="22"/>
      <c r="U258" s="23"/>
      <c r="V258" s="23"/>
      <c r="W258" s="22"/>
      <c r="X258" s="22"/>
      <c r="Y258" s="22"/>
      <c r="Z258" s="22"/>
      <c r="AA258" s="24"/>
      <c r="AB258" s="22"/>
    </row>
    <row r="259" spans="15:28" s="21" customFormat="1" x14ac:dyDescent="0.35">
      <c r="O259" s="22"/>
      <c r="P259" s="22"/>
      <c r="Q259" s="22"/>
      <c r="R259" s="22"/>
      <c r="S259" s="22"/>
      <c r="T259" s="22"/>
      <c r="U259" s="23"/>
      <c r="V259" s="23"/>
      <c r="W259" s="22"/>
      <c r="X259" s="22"/>
      <c r="Y259" s="22"/>
      <c r="Z259" s="22"/>
      <c r="AA259" s="24"/>
      <c r="AB259" s="22"/>
    </row>
    <row r="260" spans="15:28" s="21" customFormat="1" x14ac:dyDescent="0.35">
      <c r="O260" s="22"/>
      <c r="P260" s="22"/>
      <c r="Q260" s="22"/>
      <c r="R260" s="22"/>
      <c r="S260" s="22"/>
      <c r="T260" s="22"/>
      <c r="U260" s="23"/>
      <c r="V260" s="23"/>
      <c r="W260" s="22"/>
      <c r="X260" s="22"/>
      <c r="Y260" s="22"/>
      <c r="Z260" s="22"/>
      <c r="AA260" s="24"/>
      <c r="AB260" s="22"/>
    </row>
    <row r="261" spans="15:28" s="21" customFormat="1" x14ac:dyDescent="0.35">
      <c r="O261" s="22"/>
      <c r="P261" s="22"/>
      <c r="Q261" s="22"/>
      <c r="R261" s="22"/>
      <c r="S261" s="22"/>
      <c r="T261" s="22"/>
      <c r="U261" s="23"/>
      <c r="V261" s="23"/>
      <c r="W261" s="22"/>
      <c r="X261" s="22"/>
      <c r="Y261" s="22"/>
      <c r="Z261" s="22"/>
      <c r="AA261" s="24"/>
      <c r="AB261" s="22"/>
    </row>
    <row r="262" spans="15:28" s="21" customFormat="1" x14ac:dyDescent="0.35">
      <c r="O262" s="22"/>
      <c r="P262" s="22"/>
      <c r="Q262" s="22"/>
      <c r="R262" s="22"/>
      <c r="S262" s="22"/>
      <c r="T262" s="22"/>
      <c r="U262" s="23"/>
      <c r="V262" s="23"/>
      <c r="W262" s="22"/>
      <c r="X262" s="22"/>
      <c r="Y262" s="22"/>
      <c r="Z262" s="22"/>
      <c r="AA262" s="24"/>
      <c r="AB262" s="22"/>
    </row>
    <row r="263" spans="15:28" s="21" customFormat="1" x14ac:dyDescent="0.35">
      <c r="O263" s="22"/>
      <c r="P263" s="22"/>
      <c r="Q263" s="22"/>
      <c r="R263" s="22"/>
      <c r="S263" s="22"/>
      <c r="T263" s="22"/>
      <c r="U263" s="23"/>
      <c r="V263" s="23"/>
      <c r="W263" s="22"/>
      <c r="X263" s="22"/>
      <c r="Y263" s="22"/>
      <c r="Z263" s="22"/>
      <c r="AA263" s="24"/>
      <c r="AB263" s="22"/>
    </row>
    <row r="264" spans="15:28" s="21" customFormat="1" x14ac:dyDescent="0.35">
      <c r="O264" s="22"/>
      <c r="P264" s="22"/>
      <c r="Q264" s="22"/>
      <c r="R264" s="22"/>
      <c r="S264" s="22"/>
      <c r="T264" s="22"/>
      <c r="U264" s="23"/>
      <c r="V264" s="23"/>
      <c r="W264" s="22"/>
      <c r="X264" s="22"/>
      <c r="Y264" s="22"/>
      <c r="Z264" s="22"/>
      <c r="AA264" s="24"/>
      <c r="AB264" s="7"/>
    </row>
    <row r="265" spans="15:28" s="21" customFormat="1" x14ac:dyDescent="0.35">
      <c r="O265" s="22"/>
      <c r="P265" s="22"/>
      <c r="Q265" s="22"/>
      <c r="R265" s="22"/>
      <c r="S265" s="22"/>
      <c r="T265" s="22"/>
      <c r="U265" s="23"/>
      <c r="V265" s="23"/>
      <c r="W265" s="22"/>
      <c r="X265" s="22"/>
      <c r="Y265" s="22"/>
      <c r="Z265" s="22"/>
      <c r="AA265" s="24"/>
      <c r="AB265" s="22"/>
    </row>
    <row r="266" spans="15:28" s="21" customFormat="1" x14ac:dyDescent="0.35">
      <c r="O266" s="22"/>
      <c r="P266" s="22"/>
      <c r="Q266" s="22"/>
      <c r="R266" s="22"/>
      <c r="S266" s="22"/>
      <c r="T266" s="22"/>
      <c r="U266" s="23"/>
      <c r="V266" s="23"/>
      <c r="W266" s="22"/>
      <c r="X266" s="22"/>
      <c r="Y266" s="22"/>
      <c r="Z266" s="22"/>
      <c r="AA266" s="24"/>
      <c r="AB266" s="22"/>
    </row>
    <row r="267" spans="15:28" s="21" customFormat="1" x14ac:dyDescent="0.35">
      <c r="O267" s="22"/>
      <c r="P267" s="22"/>
      <c r="Q267" s="22"/>
      <c r="R267" s="22"/>
      <c r="S267" s="22"/>
      <c r="T267" s="22"/>
      <c r="U267" s="23"/>
      <c r="V267" s="23"/>
      <c r="W267" s="22"/>
      <c r="X267" s="22"/>
      <c r="Y267" s="22"/>
      <c r="Z267" s="22"/>
      <c r="AA267" s="24"/>
      <c r="AB267" s="22"/>
    </row>
    <row r="268" spans="15:28" s="21" customFormat="1" x14ac:dyDescent="0.35">
      <c r="O268" s="22"/>
      <c r="P268" s="22"/>
      <c r="Q268" s="22"/>
      <c r="R268" s="22"/>
      <c r="S268" s="22"/>
      <c r="T268" s="22"/>
      <c r="U268" s="23"/>
      <c r="V268" s="23"/>
      <c r="W268" s="22"/>
      <c r="X268" s="22"/>
      <c r="Y268" s="22"/>
      <c r="Z268" s="22"/>
      <c r="AA268" s="24"/>
      <c r="AB268" s="22"/>
    </row>
    <row r="269" spans="15:28" s="21" customFormat="1" x14ac:dyDescent="0.35">
      <c r="O269" s="22"/>
      <c r="P269" s="22"/>
      <c r="Q269" s="22"/>
      <c r="R269" s="22"/>
      <c r="S269" s="22"/>
      <c r="T269" s="22"/>
      <c r="U269" s="23"/>
      <c r="V269" s="23"/>
      <c r="W269" s="22"/>
      <c r="X269" s="22"/>
      <c r="Y269" s="22"/>
      <c r="Z269" s="22"/>
      <c r="AA269" s="24"/>
      <c r="AB269" s="22"/>
    </row>
    <row r="270" spans="15:28" s="21" customFormat="1" x14ac:dyDescent="0.35">
      <c r="O270" s="22"/>
      <c r="P270" s="22"/>
      <c r="Q270" s="22"/>
      <c r="R270" s="22"/>
      <c r="S270" s="22"/>
      <c r="T270" s="22"/>
      <c r="U270" s="23"/>
      <c r="V270" s="23"/>
      <c r="W270" s="22"/>
      <c r="X270" s="22"/>
      <c r="Y270" s="22"/>
      <c r="Z270" s="22"/>
      <c r="AA270" s="24"/>
      <c r="AB270" s="22"/>
    </row>
    <row r="271" spans="15:28" s="21" customFormat="1" x14ac:dyDescent="0.35">
      <c r="O271" s="22"/>
      <c r="P271" s="22"/>
      <c r="Q271" s="22"/>
      <c r="R271" s="22"/>
      <c r="S271" s="22"/>
      <c r="T271" s="22"/>
      <c r="U271" s="23"/>
      <c r="V271" s="23"/>
      <c r="W271" s="22"/>
      <c r="X271" s="22"/>
      <c r="Y271" s="22"/>
      <c r="Z271" s="22"/>
      <c r="AA271" s="24"/>
      <c r="AB271" s="22"/>
    </row>
    <row r="272" spans="15:28" s="21" customFormat="1" x14ac:dyDescent="0.35">
      <c r="O272" s="22"/>
      <c r="P272" s="22"/>
      <c r="Q272" s="22"/>
      <c r="R272" s="22"/>
      <c r="S272" s="22"/>
      <c r="T272" s="22"/>
      <c r="U272" s="23"/>
      <c r="V272" s="23"/>
      <c r="W272" s="22"/>
      <c r="X272" s="22"/>
      <c r="Y272" s="22"/>
      <c r="Z272" s="22"/>
      <c r="AA272" s="24"/>
      <c r="AB272" s="22"/>
    </row>
    <row r="273" spans="15:28" s="21" customFormat="1" x14ac:dyDescent="0.35">
      <c r="O273" s="22"/>
      <c r="P273" s="22"/>
      <c r="Q273" s="22"/>
      <c r="R273" s="22"/>
      <c r="S273" s="22"/>
      <c r="T273" s="22"/>
      <c r="U273" s="23"/>
      <c r="V273" s="23"/>
      <c r="W273" s="22"/>
      <c r="X273" s="22"/>
      <c r="Y273" s="22"/>
      <c r="Z273" s="22"/>
      <c r="AA273" s="24"/>
      <c r="AB273" s="22"/>
    </row>
    <row r="274" spans="15:28" s="21" customFormat="1" x14ac:dyDescent="0.35">
      <c r="O274" s="22"/>
      <c r="P274" s="22"/>
      <c r="Q274" s="22"/>
      <c r="R274" s="22"/>
      <c r="S274" s="22"/>
      <c r="T274" s="22"/>
      <c r="U274" s="23"/>
      <c r="V274" s="23"/>
      <c r="W274" s="22"/>
      <c r="X274" s="22"/>
      <c r="Y274" s="22"/>
      <c r="Z274" s="22"/>
      <c r="AA274" s="24"/>
      <c r="AB274" s="22"/>
    </row>
    <row r="275" spans="15:28" s="21" customFormat="1" x14ac:dyDescent="0.35">
      <c r="O275" s="22"/>
      <c r="P275" s="22"/>
      <c r="Q275" s="22"/>
      <c r="R275" s="22"/>
      <c r="S275" s="22"/>
      <c r="T275" s="22"/>
      <c r="U275" s="23"/>
      <c r="V275" s="23"/>
      <c r="W275" s="22"/>
      <c r="X275" s="22"/>
      <c r="Y275" s="22"/>
      <c r="Z275" s="22"/>
      <c r="AA275" s="24"/>
      <c r="AB275" s="22"/>
    </row>
    <row r="276" spans="15:28" s="21" customFormat="1" x14ac:dyDescent="0.35">
      <c r="O276" s="22"/>
      <c r="P276" s="22"/>
      <c r="Q276" s="22"/>
      <c r="R276" s="22"/>
      <c r="S276" s="22"/>
      <c r="T276" s="22"/>
      <c r="U276" s="23"/>
      <c r="V276" s="23"/>
      <c r="W276" s="22"/>
      <c r="X276" s="22"/>
      <c r="Y276" s="22"/>
      <c r="Z276" s="22"/>
      <c r="AA276" s="24"/>
      <c r="AB276" s="22"/>
    </row>
    <row r="277" spans="15:28" s="21" customFormat="1" x14ac:dyDescent="0.35">
      <c r="O277" s="22"/>
      <c r="P277" s="22"/>
      <c r="Q277" s="22"/>
      <c r="R277" s="22"/>
      <c r="S277" s="22"/>
      <c r="T277" s="22"/>
      <c r="U277" s="23"/>
      <c r="V277" s="23"/>
      <c r="W277" s="22"/>
      <c r="X277" s="22"/>
      <c r="Y277" s="22"/>
      <c r="Z277" s="22"/>
      <c r="AA277" s="24"/>
      <c r="AB277" s="22"/>
    </row>
    <row r="278" spans="15:28" s="21" customFormat="1" x14ac:dyDescent="0.35">
      <c r="O278" s="22"/>
      <c r="P278" s="22"/>
      <c r="Q278" s="22"/>
      <c r="R278" s="22"/>
      <c r="S278" s="22"/>
      <c r="T278" s="22"/>
      <c r="U278" s="23"/>
      <c r="V278" s="23"/>
      <c r="W278" s="22"/>
      <c r="X278" s="22"/>
      <c r="Y278" s="22"/>
      <c r="Z278" s="22"/>
      <c r="AA278" s="24"/>
      <c r="AB278" s="22"/>
    </row>
    <row r="279" spans="15:28" s="21" customFormat="1" x14ac:dyDescent="0.35">
      <c r="O279" s="22"/>
      <c r="P279" s="22"/>
      <c r="Q279" s="22"/>
      <c r="R279" s="22"/>
      <c r="S279" s="22"/>
      <c r="T279" s="22"/>
      <c r="U279" s="23"/>
      <c r="V279" s="23"/>
      <c r="W279" s="22"/>
      <c r="X279" s="22"/>
      <c r="Y279" s="22"/>
      <c r="Z279" s="22"/>
      <c r="AA279" s="24"/>
      <c r="AB279" s="22"/>
    </row>
    <row r="280" spans="15:28" s="21" customFormat="1" x14ac:dyDescent="0.35">
      <c r="O280" s="22"/>
      <c r="P280" s="22"/>
      <c r="Q280" s="22"/>
      <c r="R280" s="22"/>
      <c r="S280" s="22"/>
      <c r="T280" s="22"/>
      <c r="U280" s="23"/>
      <c r="V280" s="23"/>
      <c r="W280" s="22"/>
      <c r="X280" s="22"/>
      <c r="Y280" s="22"/>
      <c r="Z280" s="22"/>
      <c r="AA280" s="24"/>
      <c r="AB280" s="22"/>
    </row>
    <row r="281" spans="15:28" s="21" customFormat="1" x14ac:dyDescent="0.35">
      <c r="O281" s="22"/>
      <c r="P281" s="22"/>
      <c r="Q281" s="22"/>
      <c r="R281" s="22"/>
      <c r="S281" s="22"/>
      <c r="T281" s="22"/>
      <c r="U281" s="23"/>
      <c r="V281" s="23"/>
      <c r="W281" s="22"/>
      <c r="X281" s="22"/>
      <c r="Y281" s="22"/>
      <c r="Z281" s="22"/>
      <c r="AA281" s="24"/>
      <c r="AB281" s="22"/>
    </row>
    <row r="282" spans="15:28" s="21" customFormat="1" x14ac:dyDescent="0.35">
      <c r="O282" s="22"/>
      <c r="P282" s="22"/>
      <c r="Q282" s="22"/>
      <c r="R282" s="22"/>
      <c r="S282" s="22"/>
      <c r="T282" s="22"/>
      <c r="U282" s="23"/>
      <c r="V282" s="23"/>
      <c r="W282" s="22"/>
      <c r="X282" s="22"/>
      <c r="Y282" s="22"/>
      <c r="Z282" s="22"/>
      <c r="AA282" s="24"/>
      <c r="AB282" s="22"/>
    </row>
    <row r="283" spans="15:28" s="21" customFormat="1" x14ac:dyDescent="0.35">
      <c r="O283" s="22"/>
      <c r="P283" s="22"/>
      <c r="Q283" s="22"/>
      <c r="R283" s="22"/>
      <c r="S283" s="22"/>
      <c r="T283" s="22"/>
      <c r="U283" s="23"/>
      <c r="V283" s="23"/>
      <c r="W283" s="22"/>
      <c r="X283" s="22"/>
      <c r="Y283" s="22"/>
      <c r="Z283" s="22"/>
      <c r="AA283" s="24"/>
      <c r="AB283" s="7"/>
    </row>
    <row r="284" spans="15:28" s="21" customFormat="1" x14ac:dyDescent="0.35">
      <c r="O284" s="22"/>
      <c r="P284" s="22"/>
      <c r="Q284" s="22"/>
      <c r="R284" s="22"/>
      <c r="S284" s="22"/>
      <c r="T284" s="22"/>
      <c r="U284" s="23"/>
      <c r="V284" s="23"/>
      <c r="W284" s="22"/>
      <c r="X284" s="22"/>
      <c r="Y284" s="22"/>
      <c r="Z284" s="22"/>
      <c r="AA284" s="24"/>
      <c r="AB284" s="22"/>
    </row>
    <row r="285" spans="15:28" s="21" customFormat="1" x14ac:dyDescent="0.35">
      <c r="O285" s="22"/>
      <c r="P285" s="22"/>
      <c r="Q285" s="22"/>
      <c r="R285" s="22"/>
      <c r="S285" s="22"/>
      <c r="T285" s="22"/>
      <c r="U285" s="23"/>
      <c r="V285" s="23"/>
      <c r="W285" s="22"/>
      <c r="X285" s="22"/>
      <c r="Y285" s="22"/>
      <c r="Z285" s="22"/>
      <c r="AA285" s="24"/>
      <c r="AB285" s="22"/>
    </row>
    <row r="286" spans="15:28" s="21" customFormat="1" x14ac:dyDescent="0.35">
      <c r="O286" s="22"/>
      <c r="P286" s="22"/>
      <c r="Q286" s="22"/>
      <c r="R286" s="22"/>
      <c r="S286" s="22"/>
      <c r="T286" s="22"/>
      <c r="U286" s="23"/>
      <c r="V286" s="23"/>
      <c r="W286" s="22"/>
      <c r="X286" s="22"/>
      <c r="Y286" s="22"/>
      <c r="Z286" s="22"/>
      <c r="AA286" s="24"/>
      <c r="AB286" s="22"/>
    </row>
    <row r="287" spans="15:28" s="21" customFormat="1" x14ac:dyDescent="0.35">
      <c r="O287" s="22"/>
      <c r="P287" s="22"/>
      <c r="Q287" s="22"/>
      <c r="R287" s="22"/>
      <c r="S287" s="22"/>
      <c r="T287" s="22"/>
      <c r="U287" s="23"/>
      <c r="V287" s="23"/>
      <c r="W287" s="22"/>
      <c r="X287" s="22"/>
      <c r="Y287" s="22"/>
      <c r="Z287" s="22"/>
      <c r="AA287" s="24"/>
      <c r="AB287" s="22"/>
    </row>
    <row r="288" spans="15:28" s="21" customFormat="1" x14ac:dyDescent="0.35">
      <c r="O288" s="22"/>
      <c r="P288" s="22"/>
      <c r="Q288" s="22"/>
      <c r="R288" s="22"/>
      <c r="S288" s="22"/>
      <c r="T288" s="22"/>
      <c r="U288" s="23"/>
      <c r="V288" s="23"/>
      <c r="W288" s="22"/>
      <c r="X288" s="22"/>
      <c r="Y288" s="22"/>
      <c r="Z288" s="22"/>
      <c r="AA288" s="24"/>
      <c r="AB288" s="22"/>
    </row>
    <row r="289" spans="15:28" s="21" customFormat="1" x14ac:dyDescent="0.35">
      <c r="O289" s="22"/>
      <c r="P289" s="22"/>
      <c r="Q289" s="22"/>
      <c r="R289" s="22"/>
      <c r="S289" s="22"/>
      <c r="T289" s="22"/>
      <c r="U289" s="23"/>
      <c r="V289" s="23"/>
      <c r="W289" s="22"/>
      <c r="X289" s="22"/>
      <c r="Y289" s="22"/>
      <c r="Z289" s="22"/>
      <c r="AA289" s="24"/>
      <c r="AB289" s="22"/>
    </row>
    <row r="290" spans="15:28" s="21" customFormat="1" x14ac:dyDescent="0.35">
      <c r="O290" s="22"/>
      <c r="P290" s="22"/>
      <c r="Q290" s="22"/>
      <c r="R290" s="22"/>
      <c r="S290" s="22"/>
      <c r="T290" s="22"/>
      <c r="U290" s="23"/>
      <c r="V290" s="23"/>
      <c r="W290" s="22"/>
      <c r="X290" s="22"/>
      <c r="Y290" s="22"/>
      <c r="Z290" s="22"/>
      <c r="AA290" s="24"/>
      <c r="AB290" s="22"/>
    </row>
    <row r="291" spans="15:28" s="21" customFormat="1" x14ac:dyDescent="0.35">
      <c r="O291" s="22"/>
      <c r="P291" s="22"/>
      <c r="Q291" s="22"/>
      <c r="R291" s="22"/>
      <c r="S291" s="22"/>
      <c r="T291" s="22"/>
      <c r="U291" s="23"/>
      <c r="V291" s="23"/>
      <c r="W291" s="22"/>
      <c r="X291" s="22"/>
      <c r="Y291" s="22"/>
      <c r="Z291" s="22"/>
      <c r="AA291" s="24"/>
      <c r="AB291" s="22"/>
    </row>
    <row r="292" spans="15:28" s="21" customFormat="1" x14ac:dyDescent="0.35">
      <c r="O292" s="22"/>
      <c r="P292" s="22"/>
      <c r="Q292" s="22"/>
      <c r="R292" s="22"/>
      <c r="S292" s="22"/>
      <c r="T292" s="22"/>
      <c r="U292" s="23"/>
      <c r="V292" s="23"/>
      <c r="W292" s="22"/>
      <c r="X292" s="22"/>
      <c r="Y292" s="22"/>
      <c r="Z292" s="22"/>
      <c r="AA292" s="24"/>
      <c r="AB292" s="22"/>
    </row>
    <row r="293" spans="15:28" s="21" customFormat="1" x14ac:dyDescent="0.35">
      <c r="O293" s="22"/>
      <c r="P293" s="22"/>
      <c r="Q293" s="22"/>
      <c r="R293" s="22"/>
      <c r="S293" s="22"/>
      <c r="T293" s="22"/>
      <c r="U293" s="23"/>
      <c r="V293" s="23"/>
      <c r="W293" s="22"/>
      <c r="X293" s="22"/>
      <c r="Y293" s="22"/>
      <c r="Z293" s="22"/>
      <c r="AA293" s="24"/>
      <c r="AB293" s="22"/>
    </row>
    <row r="294" spans="15:28" s="21" customFormat="1" x14ac:dyDescent="0.35">
      <c r="O294" s="22"/>
      <c r="P294" s="22"/>
      <c r="Q294" s="22"/>
      <c r="R294" s="22"/>
      <c r="S294" s="22"/>
      <c r="T294" s="22"/>
      <c r="U294" s="23"/>
      <c r="V294" s="23"/>
      <c r="W294" s="22"/>
      <c r="X294" s="22"/>
      <c r="Y294" s="22"/>
      <c r="Z294" s="22"/>
      <c r="AA294" s="24"/>
      <c r="AB294" s="22"/>
    </row>
    <row r="295" spans="15:28" s="21" customFormat="1" x14ac:dyDescent="0.35">
      <c r="O295" s="22"/>
      <c r="P295" s="22"/>
      <c r="Q295" s="22"/>
      <c r="R295" s="22"/>
      <c r="S295" s="22"/>
      <c r="T295" s="22"/>
      <c r="U295" s="23"/>
      <c r="V295" s="23"/>
      <c r="W295" s="22"/>
      <c r="X295" s="22"/>
      <c r="Y295" s="22"/>
      <c r="Z295" s="22"/>
      <c r="AA295" s="24"/>
      <c r="AB295" s="22"/>
    </row>
    <row r="296" spans="15:28" s="21" customFormat="1" x14ac:dyDescent="0.35">
      <c r="O296" s="22"/>
      <c r="P296" s="22"/>
      <c r="Q296" s="22"/>
      <c r="R296" s="22"/>
      <c r="S296" s="22"/>
      <c r="T296" s="22"/>
      <c r="U296" s="23"/>
      <c r="V296" s="23"/>
      <c r="W296" s="22"/>
      <c r="X296" s="22"/>
      <c r="Y296" s="22"/>
      <c r="Z296" s="22"/>
      <c r="AA296" s="24"/>
      <c r="AB296" s="22"/>
    </row>
    <row r="297" spans="15:28" s="21" customFormat="1" x14ac:dyDescent="0.35">
      <c r="O297" s="22"/>
      <c r="P297" s="22"/>
      <c r="Q297" s="22"/>
      <c r="R297" s="22"/>
      <c r="S297" s="22"/>
      <c r="T297" s="22"/>
      <c r="U297" s="23"/>
      <c r="V297" s="23"/>
      <c r="W297" s="22"/>
      <c r="X297" s="22"/>
      <c r="Y297" s="22"/>
      <c r="Z297" s="22"/>
      <c r="AA297" s="24"/>
      <c r="AB297" s="22"/>
    </row>
    <row r="298" spans="15:28" s="21" customFormat="1" x14ac:dyDescent="0.35">
      <c r="O298" s="22"/>
      <c r="P298" s="22"/>
      <c r="Q298" s="22"/>
      <c r="R298" s="22"/>
      <c r="S298" s="22"/>
      <c r="T298" s="22"/>
      <c r="U298" s="23"/>
      <c r="V298" s="23"/>
      <c r="W298" s="22"/>
      <c r="X298" s="22"/>
      <c r="Y298" s="22"/>
      <c r="Z298" s="22"/>
      <c r="AA298" s="24"/>
      <c r="AB298" s="22"/>
    </row>
    <row r="299" spans="15:28" s="21" customFormat="1" x14ac:dyDescent="0.35">
      <c r="O299" s="22"/>
      <c r="P299" s="22"/>
      <c r="Q299" s="22"/>
      <c r="R299" s="22"/>
      <c r="S299" s="22"/>
      <c r="T299" s="22"/>
      <c r="U299" s="23"/>
      <c r="V299" s="23"/>
      <c r="W299" s="22"/>
      <c r="X299" s="22"/>
      <c r="Y299" s="22"/>
      <c r="Z299" s="22"/>
      <c r="AA299" s="24"/>
      <c r="AB299" s="22"/>
    </row>
    <row r="300" spans="15:28" s="21" customFormat="1" x14ac:dyDescent="0.35">
      <c r="O300" s="22"/>
      <c r="P300" s="22"/>
      <c r="Q300" s="22"/>
      <c r="R300" s="22"/>
      <c r="S300" s="22"/>
      <c r="T300" s="22"/>
      <c r="U300" s="23"/>
      <c r="V300" s="23"/>
      <c r="W300" s="22"/>
      <c r="X300" s="22"/>
      <c r="Y300" s="22"/>
      <c r="Z300" s="22"/>
      <c r="AA300" s="24"/>
      <c r="AB300" s="22"/>
    </row>
    <row r="301" spans="15:28" s="21" customFormat="1" x14ac:dyDescent="0.35">
      <c r="O301" s="22"/>
      <c r="P301" s="22"/>
      <c r="Q301" s="22"/>
      <c r="R301" s="22"/>
      <c r="S301" s="22"/>
      <c r="T301" s="22"/>
      <c r="U301" s="23"/>
      <c r="V301" s="23"/>
      <c r="W301" s="22"/>
      <c r="X301" s="22"/>
      <c r="Y301" s="22"/>
      <c r="Z301" s="22"/>
      <c r="AA301" s="24"/>
      <c r="AB301" s="22"/>
    </row>
    <row r="302" spans="15:28" s="21" customFormat="1" x14ac:dyDescent="0.35">
      <c r="O302" s="22"/>
      <c r="P302" s="22"/>
      <c r="Q302" s="22"/>
      <c r="R302" s="22"/>
      <c r="S302" s="22"/>
      <c r="T302" s="22"/>
      <c r="U302" s="23"/>
      <c r="V302" s="23"/>
      <c r="W302" s="22"/>
      <c r="X302" s="22"/>
      <c r="Y302" s="22"/>
      <c r="Z302" s="22"/>
      <c r="AA302" s="24"/>
      <c r="AB302" s="22"/>
    </row>
    <row r="303" spans="15:28" s="21" customFormat="1" x14ac:dyDescent="0.35">
      <c r="O303" s="22"/>
      <c r="P303" s="22"/>
      <c r="Q303" s="22"/>
      <c r="R303" s="22"/>
      <c r="S303" s="22"/>
      <c r="T303" s="22"/>
      <c r="U303" s="23"/>
      <c r="V303" s="23"/>
      <c r="W303" s="22"/>
      <c r="X303" s="22"/>
      <c r="Y303" s="22"/>
      <c r="Z303" s="22"/>
      <c r="AA303" s="24"/>
      <c r="AB303" s="22"/>
    </row>
    <row r="304" spans="15:28" s="21" customFormat="1" x14ac:dyDescent="0.35">
      <c r="O304" s="22"/>
      <c r="P304" s="22"/>
      <c r="Q304" s="22"/>
      <c r="R304" s="22"/>
      <c r="S304" s="22"/>
      <c r="T304" s="22"/>
      <c r="U304" s="23"/>
      <c r="V304" s="23"/>
      <c r="W304" s="22"/>
      <c r="X304" s="22"/>
      <c r="Y304" s="22"/>
      <c r="Z304" s="22"/>
      <c r="AA304" s="24"/>
      <c r="AB304" s="22"/>
    </row>
    <row r="305" spans="15:28" s="21" customFormat="1" x14ac:dyDescent="0.35">
      <c r="O305" s="22"/>
      <c r="P305" s="22"/>
      <c r="Q305" s="22"/>
      <c r="R305" s="22"/>
      <c r="S305" s="22"/>
      <c r="T305" s="22"/>
      <c r="U305" s="23"/>
      <c r="V305" s="23"/>
      <c r="W305" s="22"/>
      <c r="X305" s="22"/>
      <c r="Y305" s="22"/>
      <c r="Z305" s="22"/>
      <c r="AA305" s="24"/>
      <c r="AB305" s="22"/>
    </row>
    <row r="306" spans="15:28" s="21" customFormat="1" x14ac:dyDescent="0.35">
      <c r="O306" s="22"/>
      <c r="P306" s="22"/>
      <c r="Q306" s="22"/>
      <c r="R306" s="22"/>
      <c r="S306" s="22"/>
      <c r="T306" s="22"/>
      <c r="U306" s="23"/>
      <c r="V306" s="23"/>
      <c r="W306" s="22"/>
      <c r="X306" s="22"/>
      <c r="Y306" s="22"/>
      <c r="Z306" s="22"/>
      <c r="AA306" s="24"/>
      <c r="AB306" s="22"/>
    </row>
    <row r="307" spans="15:28" s="21" customFormat="1" x14ac:dyDescent="0.35">
      <c r="O307" s="22"/>
      <c r="P307" s="22"/>
      <c r="Q307" s="22"/>
      <c r="R307" s="22"/>
      <c r="S307" s="22"/>
      <c r="T307" s="22"/>
      <c r="U307" s="23"/>
      <c r="V307" s="23"/>
      <c r="W307" s="22"/>
      <c r="X307" s="22"/>
      <c r="Y307" s="22"/>
      <c r="Z307" s="22"/>
      <c r="AA307" s="24"/>
      <c r="AB307" s="22"/>
    </row>
    <row r="308" spans="15:28" s="21" customFormat="1" x14ac:dyDescent="0.35">
      <c r="O308" s="22"/>
      <c r="P308" s="22"/>
      <c r="Q308" s="22"/>
      <c r="R308" s="22"/>
      <c r="S308" s="22"/>
      <c r="T308" s="22"/>
      <c r="U308" s="23"/>
      <c r="V308" s="23"/>
      <c r="W308" s="22"/>
      <c r="X308" s="22"/>
      <c r="Y308" s="22"/>
      <c r="Z308" s="22"/>
      <c r="AA308" s="24"/>
      <c r="AB308" s="22"/>
    </row>
    <row r="309" spans="15:28" s="21" customFormat="1" x14ac:dyDescent="0.35">
      <c r="O309" s="22"/>
      <c r="P309" s="22"/>
      <c r="Q309" s="22"/>
      <c r="R309" s="22"/>
      <c r="S309" s="22"/>
      <c r="T309" s="22"/>
      <c r="U309" s="23"/>
      <c r="V309" s="23"/>
      <c r="W309" s="22"/>
      <c r="X309" s="22"/>
      <c r="Y309" s="22"/>
      <c r="Z309" s="22"/>
      <c r="AA309" s="24"/>
      <c r="AB309" s="22"/>
    </row>
    <row r="310" spans="15:28" s="21" customFormat="1" x14ac:dyDescent="0.35">
      <c r="O310" s="22"/>
      <c r="P310" s="22"/>
      <c r="Q310" s="22"/>
      <c r="R310" s="22"/>
      <c r="S310" s="22"/>
      <c r="T310" s="22"/>
      <c r="U310" s="23"/>
      <c r="V310" s="23"/>
      <c r="W310" s="22"/>
      <c r="X310" s="22"/>
      <c r="Y310" s="22"/>
      <c r="Z310" s="22"/>
      <c r="AA310" s="24"/>
      <c r="AB310" s="22"/>
    </row>
    <row r="311" spans="15:28" s="21" customFormat="1" x14ac:dyDescent="0.35">
      <c r="O311" s="22"/>
      <c r="P311" s="22"/>
      <c r="Q311" s="22"/>
      <c r="R311" s="22"/>
      <c r="S311" s="22"/>
      <c r="T311" s="22"/>
      <c r="U311" s="23"/>
      <c r="V311" s="23"/>
      <c r="W311" s="22"/>
      <c r="X311" s="22"/>
      <c r="Y311" s="22"/>
      <c r="Z311" s="22"/>
      <c r="AA311" s="24"/>
      <c r="AB311" s="22"/>
    </row>
    <row r="312" spans="15:28" s="21" customFormat="1" x14ac:dyDescent="0.35">
      <c r="O312" s="22"/>
      <c r="P312" s="22"/>
      <c r="Q312" s="22"/>
      <c r="R312" s="22"/>
      <c r="S312" s="22"/>
      <c r="T312" s="22"/>
      <c r="U312" s="23"/>
      <c r="V312" s="23"/>
      <c r="W312" s="22"/>
      <c r="X312" s="22"/>
      <c r="Y312" s="22"/>
      <c r="Z312" s="22"/>
      <c r="AA312" s="24"/>
      <c r="AB312" s="22"/>
    </row>
    <row r="313" spans="15:28" s="21" customFormat="1" x14ac:dyDescent="0.35">
      <c r="O313" s="22"/>
      <c r="P313" s="22"/>
      <c r="Q313" s="22"/>
      <c r="R313" s="22"/>
      <c r="S313" s="22"/>
      <c r="T313" s="22"/>
      <c r="U313" s="23"/>
      <c r="V313" s="23"/>
      <c r="W313" s="22"/>
      <c r="X313" s="22"/>
      <c r="Y313" s="22"/>
      <c r="Z313" s="22"/>
      <c r="AA313" s="24"/>
      <c r="AB313" s="22"/>
    </row>
    <row r="314" spans="15:28" s="21" customFormat="1" x14ac:dyDescent="0.35">
      <c r="O314" s="22"/>
      <c r="P314" s="22"/>
      <c r="Q314" s="22"/>
      <c r="R314" s="22"/>
      <c r="S314" s="22"/>
      <c r="T314" s="22"/>
      <c r="U314" s="23"/>
      <c r="V314" s="23"/>
      <c r="W314" s="22"/>
      <c r="X314" s="22"/>
      <c r="Y314" s="22"/>
      <c r="Z314" s="22"/>
      <c r="AA314" s="24"/>
      <c r="AB314" s="22"/>
    </row>
    <row r="315" spans="15:28" s="21" customFormat="1" x14ac:dyDescent="0.35">
      <c r="O315" s="22"/>
      <c r="P315" s="22"/>
      <c r="Q315" s="22"/>
      <c r="R315" s="22"/>
      <c r="S315" s="22"/>
      <c r="T315" s="22"/>
      <c r="U315" s="23"/>
      <c r="V315" s="23"/>
      <c r="W315" s="22"/>
      <c r="X315" s="22"/>
      <c r="Y315" s="22"/>
      <c r="Z315" s="22"/>
      <c r="AA315" s="24"/>
      <c r="AB315" s="22"/>
    </row>
    <row r="316" spans="15:28" s="21" customFormat="1" x14ac:dyDescent="0.35">
      <c r="O316" s="22"/>
      <c r="P316" s="22"/>
      <c r="Q316" s="22"/>
      <c r="R316" s="22"/>
      <c r="S316" s="22"/>
      <c r="T316" s="22"/>
      <c r="U316" s="23"/>
      <c r="V316" s="23"/>
      <c r="W316" s="22"/>
      <c r="X316" s="22"/>
      <c r="Y316" s="22"/>
      <c r="Z316" s="22"/>
      <c r="AA316" s="24"/>
      <c r="AB316" s="22"/>
    </row>
    <row r="317" spans="15:28" s="21" customFormat="1" x14ac:dyDescent="0.35">
      <c r="O317" s="22"/>
      <c r="P317" s="22"/>
      <c r="Q317" s="22"/>
      <c r="R317" s="22"/>
      <c r="S317" s="22"/>
      <c r="T317" s="22"/>
      <c r="U317" s="23"/>
      <c r="V317" s="23"/>
      <c r="W317" s="22"/>
      <c r="X317" s="22"/>
      <c r="Y317" s="22"/>
      <c r="Z317" s="22"/>
      <c r="AA317" s="24"/>
      <c r="AB317" s="22"/>
    </row>
    <row r="318" spans="15:28" s="21" customFormat="1" x14ac:dyDescent="0.35">
      <c r="O318" s="22"/>
      <c r="P318" s="22"/>
      <c r="Q318" s="22"/>
      <c r="R318" s="22"/>
      <c r="S318" s="22"/>
      <c r="T318" s="22"/>
      <c r="U318" s="23"/>
      <c r="V318" s="23"/>
      <c r="W318" s="22"/>
      <c r="X318" s="22"/>
      <c r="Y318" s="22"/>
      <c r="Z318" s="22"/>
      <c r="AA318" s="24"/>
      <c r="AB318" s="22"/>
    </row>
    <row r="319" spans="15:28" s="21" customFormat="1" x14ac:dyDescent="0.35">
      <c r="O319" s="22"/>
      <c r="P319" s="22"/>
      <c r="Q319" s="22"/>
      <c r="R319" s="22"/>
      <c r="S319" s="22"/>
      <c r="T319" s="22"/>
      <c r="U319" s="23"/>
      <c r="V319" s="23"/>
      <c r="W319" s="22"/>
      <c r="X319" s="22"/>
      <c r="Y319" s="22"/>
      <c r="Z319" s="22"/>
      <c r="AA319" s="24"/>
      <c r="AB319" s="22"/>
    </row>
    <row r="320" spans="15:28" s="21" customFormat="1" x14ac:dyDescent="0.35">
      <c r="O320" s="22"/>
      <c r="P320" s="22"/>
      <c r="Q320" s="22"/>
      <c r="R320" s="22"/>
      <c r="S320" s="22"/>
      <c r="T320" s="22"/>
      <c r="U320" s="23"/>
      <c r="V320" s="23"/>
      <c r="W320" s="22"/>
      <c r="X320" s="22"/>
      <c r="Y320" s="22"/>
      <c r="Z320" s="22"/>
      <c r="AA320" s="24"/>
      <c r="AB320" s="22"/>
    </row>
    <row r="321" spans="15:28" s="21" customFormat="1" x14ac:dyDescent="0.35">
      <c r="O321" s="22"/>
      <c r="P321" s="22"/>
      <c r="Q321" s="22"/>
      <c r="R321" s="22"/>
      <c r="S321" s="22"/>
      <c r="T321" s="22"/>
      <c r="U321" s="23"/>
      <c r="V321" s="23"/>
      <c r="W321" s="22"/>
      <c r="X321" s="22"/>
      <c r="Y321" s="22"/>
      <c r="Z321" s="22"/>
      <c r="AA321" s="24"/>
      <c r="AB321" s="22"/>
    </row>
    <row r="322" spans="15:28" s="21" customFormat="1" x14ac:dyDescent="0.35">
      <c r="O322" s="22"/>
      <c r="P322" s="22"/>
      <c r="Q322" s="22"/>
      <c r="R322" s="22"/>
      <c r="S322" s="22"/>
      <c r="T322" s="22"/>
      <c r="U322" s="23"/>
      <c r="V322" s="23"/>
      <c r="W322" s="22"/>
      <c r="X322" s="22"/>
      <c r="Y322" s="22"/>
      <c r="Z322" s="22"/>
      <c r="AA322" s="24"/>
      <c r="AB322" s="22"/>
    </row>
    <row r="323" spans="15:28" s="21" customFormat="1" x14ac:dyDescent="0.35">
      <c r="O323" s="22"/>
      <c r="P323" s="22"/>
      <c r="Q323" s="22"/>
      <c r="R323" s="22"/>
      <c r="S323" s="22"/>
      <c r="T323" s="22"/>
      <c r="U323" s="23"/>
      <c r="V323" s="23"/>
      <c r="W323" s="22"/>
      <c r="X323" s="22"/>
      <c r="Y323" s="22"/>
      <c r="Z323" s="22"/>
      <c r="AA323" s="24"/>
      <c r="AB323" s="22"/>
    </row>
    <row r="324" spans="15:28" s="21" customFormat="1" x14ac:dyDescent="0.35">
      <c r="O324" s="22"/>
      <c r="P324" s="22"/>
      <c r="Q324" s="22"/>
      <c r="R324" s="22"/>
      <c r="S324" s="22"/>
      <c r="T324" s="22"/>
      <c r="U324" s="23"/>
      <c r="V324" s="23"/>
      <c r="W324" s="22"/>
      <c r="X324" s="22"/>
      <c r="Y324" s="22"/>
      <c r="Z324" s="22"/>
      <c r="AA324" s="24"/>
      <c r="AB324" s="22"/>
    </row>
    <row r="325" spans="15:28" s="21" customFormat="1" x14ac:dyDescent="0.35">
      <c r="O325" s="22"/>
      <c r="P325" s="22"/>
      <c r="Q325" s="22"/>
      <c r="R325" s="22"/>
      <c r="S325" s="22"/>
      <c r="T325" s="22"/>
      <c r="U325" s="23"/>
      <c r="V325" s="23"/>
      <c r="W325" s="22"/>
      <c r="X325" s="22"/>
      <c r="Y325" s="22"/>
      <c r="Z325" s="22"/>
      <c r="AA325" s="24"/>
      <c r="AB325" s="22"/>
    </row>
    <row r="326" spans="15:28" s="21" customFormat="1" x14ac:dyDescent="0.35">
      <c r="O326" s="22"/>
      <c r="P326" s="22"/>
      <c r="Q326" s="22"/>
      <c r="R326" s="22"/>
      <c r="S326" s="22"/>
      <c r="T326" s="22"/>
      <c r="U326" s="23"/>
      <c r="V326" s="23"/>
      <c r="W326" s="22"/>
      <c r="X326" s="22"/>
      <c r="Y326" s="22"/>
      <c r="Z326" s="22"/>
      <c r="AA326" s="24"/>
      <c r="AB326" s="22"/>
    </row>
    <row r="327" spans="15:28" s="21" customFormat="1" x14ac:dyDescent="0.35">
      <c r="O327" s="22"/>
      <c r="P327" s="22"/>
      <c r="Q327" s="22"/>
      <c r="R327" s="22"/>
      <c r="S327" s="22"/>
      <c r="T327" s="22"/>
      <c r="U327" s="23"/>
      <c r="V327" s="23"/>
      <c r="W327" s="22"/>
      <c r="X327" s="22"/>
      <c r="Y327" s="22"/>
      <c r="Z327" s="22"/>
      <c r="AA327" s="24"/>
      <c r="AB327" s="22"/>
    </row>
    <row r="328" spans="15:28" s="21" customFormat="1" x14ac:dyDescent="0.35">
      <c r="O328" s="22"/>
      <c r="P328" s="22"/>
      <c r="Q328" s="22"/>
      <c r="R328" s="22"/>
      <c r="S328" s="22"/>
      <c r="T328" s="22"/>
      <c r="U328" s="23"/>
      <c r="V328" s="23"/>
      <c r="W328" s="22"/>
      <c r="X328" s="22"/>
      <c r="Y328" s="22"/>
      <c r="Z328" s="22"/>
      <c r="AA328" s="24"/>
      <c r="AB328" s="22"/>
    </row>
    <row r="329" spans="15:28" s="21" customFormat="1" x14ac:dyDescent="0.35">
      <c r="O329" s="22"/>
      <c r="P329" s="22"/>
      <c r="Q329" s="22"/>
      <c r="R329" s="22"/>
      <c r="S329" s="22"/>
      <c r="T329" s="22"/>
      <c r="U329" s="23"/>
      <c r="V329" s="23"/>
      <c r="W329" s="22"/>
      <c r="X329" s="22"/>
      <c r="Y329" s="22"/>
      <c r="Z329" s="22"/>
      <c r="AA329" s="24"/>
      <c r="AB329" s="22"/>
    </row>
    <row r="330" spans="15:28" s="21" customFormat="1" x14ac:dyDescent="0.35">
      <c r="O330" s="22"/>
      <c r="P330" s="22"/>
      <c r="Q330" s="22"/>
      <c r="R330" s="22"/>
      <c r="S330" s="22"/>
      <c r="T330" s="22"/>
      <c r="U330" s="23"/>
      <c r="V330" s="23"/>
      <c r="W330" s="22"/>
      <c r="X330" s="22"/>
      <c r="Y330" s="22"/>
      <c r="Z330" s="22"/>
      <c r="AA330" s="24"/>
      <c r="AB330" s="22"/>
    </row>
    <row r="331" spans="15:28" s="21" customFormat="1" x14ac:dyDescent="0.35">
      <c r="O331" s="22"/>
      <c r="P331" s="22"/>
      <c r="Q331" s="22"/>
      <c r="R331" s="22"/>
      <c r="S331" s="22"/>
      <c r="T331" s="22"/>
      <c r="U331" s="23"/>
      <c r="V331" s="23"/>
      <c r="W331" s="22"/>
      <c r="X331" s="22"/>
      <c r="Y331" s="22"/>
      <c r="Z331" s="22"/>
      <c r="AA331" s="24"/>
      <c r="AB331" s="22"/>
    </row>
    <row r="332" spans="15:28" s="21" customFormat="1" x14ac:dyDescent="0.35">
      <c r="O332" s="22"/>
      <c r="P332" s="22"/>
      <c r="Q332" s="22"/>
      <c r="R332" s="22"/>
      <c r="S332" s="22"/>
      <c r="T332" s="22"/>
      <c r="U332" s="23"/>
      <c r="V332" s="23"/>
      <c r="W332" s="22"/>
      <c r="X332" s="22"/>
      <c r="Y332" s="22"/>
      <c r="Z332" s="22"/>
      <c r="AA332" s="24"/>
      <c r="AB332" s="22"/>
    </row>
    <row r="333" spans="15:28" s="21" customFormat="1" x14ac:dyDescent="0.35">
      <c r="O333" s="22"/>
      <c r="P333" s="22"/>
      <c r="Q333" s="22"/>
      <c r="R333" s="22"/>
      <c r="S333" s="22"/>
      <c r="T333" s="22"/>
      <c r="U333" s="23"/>
      <c r="V333" s="23"/>
      <c r="W333" s="22"/>
      <c r="X333" s="22"/>
      <c r="Y333" s="22"/>
      <c r="Z333" s="22"/>
      <c r="AA333" s="24"/>
      <c r="AB333" s="22"/>
    </row>
    <row r="334" spans="15:28" s="21" customFormat="1" x14ac:dyDescent="0.35">
      <c r="O334" s="22"/>
      <c r="P334" s="22"/>
      <c r="Q334" s="22"/>
      <c r="R334" s="22"/>
      <c r="S334" s="22"/>
      <c r="T334" s="22"/>
      <c r="U334" s="23"/>
      <c r="V334" s="23"/>
      <c r="W334" s="22"/>
      <c r="X334" s="22"/>
      <c r="Y334" s="22"/>
      <c r="Z334" s="22"/>
      <c r="AA334" s="24"/>
      <c r="AB334" s="22"/>
    </row>
    <row r="335" spans="15:28" s="21" customFormat="1" x14ac:dyDescent="0.35">
      <c r="O335" s="22"/>
      <c r="P335" s="22"/>
      <c r="Q335" s="22"/>
      <c r="R335" s="22"/>
      <c r="S335" s="22"/>
      <c r="T335" s="22"/>
      <c r="U335" s="23"/>
      <c r="V335" s="23"/>
      <c r="W335" s="22"/>
      <c r="X335" s="22"/>
      <c r="Y335" s="22"/>
      <c r="Z335" s="22"/>
      <c r="AA335" s="24"/>
      <c r="AB335" s="22"/>
    </row>
    <row r="336" spans="15:28" s="21" customFormat="1" x14ac:dyDescent="0.35">
      <c r="O336" s="22"/>
      <c r="P336" s="22"/>
      <c r="Q336" s="22"/>
      <c r="R336" s="22"/>
      <c r="S336" s="22"/>
      <c r="T336" s="22"/>
      <c r="U336" s="23"/>
      <c r="V336" s="23"/>
      <c r="W336" s="22"/>
      <c r="X336" s="22"/>
      <c r="Y336" s="22"/>
      <c r="Z336" s="22"/>
      <c r="AA336" s="24"/>
      <c r="AB336" s="22"/>
    </row>
    <row r="337" spans="15:28" s="21" customFormat="1" x14ac:dyDescent="0.35">
      <c r="O337" s="22"/>
      <c r="P337" s="22"/>
      <c r="Q337" s="22"/>
      <c r="R337" s="22"/>
      <c r="S337" s="22"/>
      <c r="T337" s="22"/>
      <c r="U337" s="23"/>
      <c r="V337" s="23"/>
      <c r="W337" s="22"/>
      <c r="X337" s="22"/>
      <c r="Y337" s="22"/>
      <c r="Z337" s="22"/>
      <c r="AA337" s="24"/>
      <c r="AB337" s="22"/>
    </row>
    <row r="338" spans="15:28" s="21" customFormat="1" x14ac:dyDescent="0.35">
      <c r="O338" s="22"/>
      <c r="P338" s="22"/>
      <c r="Q338" s="22"/>
      <c r="R338" s="22"/>
      <c r="S338" s="22"/>
      <c r="T338" s="22"/>
      <c r="U338" s="23"/>
      <c r="V338" s="23"/>
      <c r="W338" s="22"/>
      <c r="X338" s="22"/>
      <c r="Y338" s="22"/>
      <c r="Z338" s="22"/>
      <c r="AA338" s="24"/>
      <c r="AB338" s="22"/>
    </row>
    <row r="339" spans="15:28" s="21" customFormat="1" x14ac:dyDescent="0.35">
      <c r="O339" s="22"/>
      <c r="P339" s="22"/>
      <c r="Q339" s="22"/>
      <c r="R339" s="22"/>
      <c r="S339" s="22"/>
      <c r="T339" s="22"/>
      <c r="U339" s="23"/>
      <c r="V339" s="23"/>
      <c r="W339" s="22"/>
      <c r="X339" s="22"/>
      <c r="Y339" s="22"/>
      <c r="Z339" s="22"/>
      <c r="AA339" s="24"/>
      <c r="AB339" s="22"/>
    </row>
    <row r="340" spans="15:28" s="21" customFormat="1" x14ac:dyDescent="0.35">
      <c r="O340" s="22"/>
      <c r="P340" s="22"/>
      <c r="Q340" s="22"/>
      <c r="R340" s="22"/>
      <c r="S340" s="22"/>
      <c r="T340" s="22"/>
      <c r="U340" s="23"/>
      <c r="V340" s="23"/>
      <c r="W340" s="22"/>
      <c r="X340" s="22"/>
      <c r="Y340" s="22"/>
      <c r="Z340" s="22"/>
      <c r="AA340" s="24"/>
      <c r="AB340" s="22"/>
    </row>
    <row r="341" spans="15:28" s="21" customFormat="1" x14ac:dyDescent="0.35">
      <c r="O341" s="22"/>
      <c r="P341" s="22"/>
      <c r="Q341" s="22"/>
      <c r="R341" s="22"/>
      <c r="S341" s="22"/>
      <c r="T341" s="22"/>
      <c r="U341" s="23"/>
      <c r="V341" s="23"/>
      <c r="W341" s="22"/>
      <c r="X341" s="22"/>
      <c r="Y341" s="22"/>
      <c r="Z341" s="22"/>
      <c r="AA341" s="24"/>
      <c r="AB341" s="22"/>
    </row>
    <row r="342" spans="15:28" s="21" customFormat="1" x14ac:dyDescent="0.35">
      <c r="O342" s="22"/>
      <c r="P342" s="22"/>
      <c r="Q342" s="22"/>
      <c r="R342" s="22"/>
      <c r="S342" s="22"/>
      <c r="T342" s="22"/>
      <c r="U342" s="23"/>
      <c r="V342" s="23"/>
      <c r="W342" s="22"/>
      <c r="X342" s="22"/>
      <c r="Y342" s="22"/>
      <c r="Z342" s="22"/>
      <c r="AA342" s="24"/>
      <c r="AB342" s="22"/>
    </row>
    <row r="343" spans="15:28" s="21" customFormat="1" x14ac:dyDescent="0.35">
      <c r="O343" s="22"/>
      <c r="P343" s="22"/>
      <c r="Q343" s="22"/>
      <c r="R343" s="22"/>
      <c r="S343" s="22"/>
      <c r="T343" s="22"/>
      <c r="U343" s="23"/>
      <c r="V343" s="23"/>
      <c r="W343" s="22"/>
      <c r="X343" s="22"/>
      <c r="Y343" s="22"/>
      <c r="Z343" s="22"/>
      <c r="AA343" s="24"/>
      <c r="AB343" s="22"/>
    </row>
    <row r="344" spans="15:28" s="21" customFormat="1" x14ac:dyDescent="0.35">
      <c r="O344" s="22"/>
      <c r="P344" s="22"/>
      <c r="Q344" s="22"/>
      <c r="R344" s="22"/>
      <c r="S344" s="22"/>
      <c r="T344" s="22"/>
      <c r="U344" s="23"/>
      <c r="V344" s="23"/>
      <c r="W344" s="22"/>
      <c r="X344" s="22"/>
      <c r="Y344" s="22"/>
      <c r="Z344" s="22"/>
      <c r="AA344" s="24"/>
      <c r="AB344" s="22"/>
    </row>
    <row r="345" spans="15:28" s="21" customFormat="1" x14ac:dyDescent="0.35">
      <c r="O345" s="22"/>
      <c r="P345" s="22"/>
      <c r="Q345" s="22"/>
      <c r="R345" s="22"/>
      <c r="S345" s="22"/>
      <c r="T345" s="22"/>
      <c r="U345" s="23"/>
      <c r="V345" s="23"/>
      <c r="W345" s="22"/>
      <c r="X345" s="22"/>
      <c r="Y345" s="22"/>
      <c r="Z345" s="22"/>
      <c r="AA345" s="24"/>
      <c r="AB345" s="22"/>
    </row>
    <row r="346" spans="15:28" s="21" customFormat="1" x14ac:dyDescent="0.35">
      <c r="O346" s="22"/>
      <c r="P346" s="22"/>
      <c r="Q346" s="22"/>
      <c r="R346" s="22"/>
      <c r="S346" s="22"/>
      <c r="T346" s="22"/>
      <c r="U346" s="23"/>
      <c r="V346" s="23"/>
      <c r="W346" s="22"/>
      <c r="X346" s="22"/>
      <c r="Y346" s="22"/>
      <c r="Z346" s="22"/>
      <c r="AA346" s="24"/>
      <c r="AB346" s="22"/>
    </row>
    <row r="347" spans="15:28" s="21" customFormat="1" x14ac:dyDescent="0.35">
      <c r="O347" s="22"/>
      <c r="P347" s="22"/>
      <c r="Q347" s="22"/>
      <c r="R347" s="22"/>
      <c r="S347" s="22"/>
      <c r="T347" s="22"/>
      <c r="U347" s="23"/>
      <c r="V347" s="23"/>
      <c r="W347" s="22"/>
      <c r="X347" s="22"/>
      <c r="Y347" s="22"/>
      <c r="Z347" s="22"/>
      <c r="AA347" s="24"/>
      <c r="AB347" s="22"/>
    </row>
    <row r="348" spans="15:28" s="21" customFormat="1" x14ac:dyDescent="0.35">
      <c r="O348" s="22"/>
      <c r="P348" s="22"/>
      <c r="Q348" s="22"/>
      <c r="R348" s="22"/>
      <c r="S348" s="22"/>
      <c r="T348" s="22"/>
      <c r="U348" s="23"/>
      <c r="V348" s="23"/>
      <c r="W348" s="22"/>
      <c r="X348" s="22"/>
      <c r="Y348" s="22"/>
      <c r="Z348" s="22"/>
      <c r="AA348" s="24"/>
      <c r="AB348" s="22"/>
    </row>
    <row r="349" spans="15:28" s="21" customFormat="1" x14ac:dyDescent="0.35">
      <c r="O349" s="22"/>
      <c r="P349" s="22"/>
      <c r="Q349" s="22"/>
      <c r="R349" s="22"/>
      <c r="S349" s="22"/>
      <c r="T349" s="22"/>
      <c r="U349" s="23"/>
      <c r="V349" s="23"/>
      <c r="W349" s="22"/>
      <c r="X349" s="22"/>
      <c r="Y349" s="22"/>
      <c r="Z349" s="22"/>
      <c r="AA349" s="24"/>
      <c r="AB349" s="22"/>
    </row>
    <row r="350" spans="15:28" s="21" customFormat="1" x14ac:dyDescent="0.35">
      <c r="O350" s="22"/>
      <c r="P350" s="22"/>
      <c r="Q350" s="22"/>
      <c r="R350" s="22"/>
      <c r="S350" s="22"/>
      <c r="T350" s="22"/>
      <c r="U350" s="23"/>
      <c r="V350" s="23"/>
      <c r="W350" s="22"/>
      <c r="X350" s="22"/>
      <c r="Y350" s="22"/>
      <c r="Z350" s="22"/>
      <c r="AA350" s="24"/>
      <c r="AB350" s="22"/>
    </row>
    <row r="351" spans="15:28" s="21" customFormat="1" x14ac:dyDescent="0.35">
      <c r="O351" s="22"/>
      <c r="P351" s="22"/>
      <c r="Q351" s="22"/>
      <c r="R351" s="22"/>
      <c r="S351" s="22"/>
      <c r="T351" s="22"/>
      <c r="U351" s="23"/>
      <c r="V351" s="23"/>
      <c r="W351" s="22"/>
      <c r="X351" s="22"/>
      <c r="Y351" s="22"/>
      <c r="Z351" s="22"/>
      <c r="AA351" s="24"/>
      <c r="AB351" s="22"/>
    </row>
    <row r="352" spans="15:28" s="21" customFormat="1" x14ac:dyDescent="0.35">
      <c r="O352" s="22"/>
      <c r="P352" s="22"/>
      <c r="Q352" s="22"/>
      <c r="R352" s="22"/>
      <c r="S352" s="22"/>
      <c r="T352" s="22"/>
      <c r="U352" s="23"/>
      <c r="V352" s="23"/>
      <c r="W352" s="22"/>
      <c r="X352" s="22"/>
      <c r="Y352" s="22"/>
      <c r="Z352" s="22"/>
      <c r="AA352" s="24"/>
      <c r="AB352" s="22"/>
    </row>
    <row r="353" spans="15:28" s="21" customFormat="1" x14ac:dyDescent="0.35">
      <c r="O353" s="22"/>
      <c r="P353" s="22"/>
      <c r="Q353" s="22"/>
      <c r="R353" s="22"/>
      <c r="S353" s="22"/>
      <c r="T353" s="22"/>
      <c r="U353" s="23"/>
      <c r="V353" s="23"/>
      <c r="W353" s="22"/>
      <c r="X353" s="22"/>
      <c r="Y353" s="22"/>
      <c r="Z353" s="22"/>
      <c r="AA353" s="24"/>
      <c r="AB353" s="22"/>
    </row>
    <row r="354" spans="15:28" s="21" customFormat="1" x14ac:dyDescent="0.35">
      <c r="O354" s="22"/>
      <c r="P354" s="22"/>
      <c r="Q354" s="22"/>
      <c r="R354" s="22"/>
      <c r="S354" s="22"/>
      <c r="T354" s="22"/>
      <c r="U354" s="23"/>
      <c r="V354" s="23"/>
      <c r="W354" s="22"/>
      <c r="X354" s="22"/>
      <c r="Y354" s="22"/>
      <c r="Z354" s="22"/>
      <c r="AA354" s="24"/>
      <c r="AB354" s="22"/>
    </row>
    <row r="355" spans="15:28" s="21" customFormat="1" x14ac:dyDescent="0.35">
      <c r="O355" s="22"/>
      <c r="P355" s="22"/>
      <c r="Q355" s="22"/>
      <c r="R355" s="22"/>
      <c r="S355" s="22"/>
      <c r="T355" s="22"/>
      <c r="U355" s="23"/>
      <c r="V355" s="23"/>
      <c r="W355" s="22"/>
      <c r="X355" s="22"/>
      <c r="Y355" s="22"/>
      <c r="Z355" s="22"/>
      <c r="AA355" s="24"/>
      <c r="AB355" s="22"/>
    </row>
    <row r="356" spans="15:28" s="21" customFormat="1" x14ac:dyDescent="0.35">
      <c r="O356" s="22"/>
      <c r="P356" s="22"/>
      <c r="Q356" s="22"/>
      <c r="R356" s="22"/>
      <c r="S356" s="22"/>
      <c r="T356" s="22"/>
      <c r="U356" s="23"/>
      <c r="V356" s="23"/>
      <c r="W356" s="22"/>
      <c r="X356" s="22"/>
      <c r="Y356" s="22"/>
      <c r="Z356" s="22"/>
      <c r="AA356" s="24"/>
      <c r="AB356" s="22"/>
    </row>
    <row r="357" spans="15:28" s="21" customFormat="1" x14ac:dyDescent="0.35">
      <c r="O357" s="22"/>
      <c r="P357" s="22"/>
      <c r="Q357" s="22"/>
      <c r="R357" s="22"/>
      <c r="S357" s="22"/>
      <c r="T357" s="22"/>
      <c r="U357" s="23"/>
      <c r="V357" s="23"/>
      <c r="W357" s="22"/>
      <c r="X357" s="22"/>
      <c r="Y357" s="22"/>
      <c r="Z357" s="22"/>
      <c r="AA357" s="24"/>
      <c r="AB357" s="22"/>
    </row>
    <row r="358" spans="15:28" s="21" customFormat="1" x14ac:dyDescent="0.35">
      <c r="O358" s="22"/>
      <c r="P358" s="22"/>
      <c r="Q358" s="22"/>
      <c r="R358" s="22"/>
      <c r="S358" s="22"/>
      <c r="T358" s="22"/>
      <c r="U358" s="23"/>
      <c r="V358" s="23"/>
      <c r="W358" s="22"/>
      <c r="X358" s="22"/>
      <c r="Y358" s="22"/>
      <c r="Z358" s="22"/>
      <c r="AA358" s="24"/>
      <c r="AB358" s="22"/>
    </row>
    <row r="359" spans="15:28" s="21" customFormat="1" x14ac:dyDescent="0.35">
      <c r="O359" s="22"/>
      <c r="P359" s="22"/>
      <c r="Q359" s="22"/>
      <c r="R359" s="22"/>
      <c r="S359" s="22"/>
      <c r="T359" s="22"/>
      <c r="U359" s="23"/>
      <c r="V359" s="23"/>
      <c r="W359" s="22"/>
      <c r="X359" s="22"/>
      <c r="Y359" s="22"/>
      <c r="Z359" s="22"/>
      <c r="AA359" s="24"/>
      <c r="AB359" s="22"/>
    </row>
    <row r="360" spans="15:28" s="21" customFormat="1" x14ac:dyDescent="0.35">
      <c r="O360" s="22"/>
      <c r="P360" s="22"/>
      <c r="Q360" s="22"/>
      <c r="R360" s="22"/>
      <c r="S360" s="22"/>
      <c r="T360" s="22"/>
      <c r="U360" s="23"/>
      <c r="V360" s="23"/>
      <c r="W360" s="22"/>
      <c r="X360" s="22"/>
      <c r="Y360" s="22"/>
      <c r="Z360" s="22"/>
      <c r="AA360" s="24"/>
      <c r="AB360" s="22"/>
    </row>
    <row r="361" spans="15:28" s="21" customFormat="1" x14ac:dyDescent="0.35">
      <c r="O361" s="22"/>
      <c r="P361" s="22"/>
      <c r="Q361" s="22"/>
      <c r="R361" s="22"/>
      <c r="S361" s="22"/>
      <c r="T361" s="22"/>
      <c r="U361" s="23"/>
      <c r="V361" s="23"/>
      <c r="W361" s="22"/>
      <c r="X361" s="22"/>
      <c r="Y361" s="22"/>
      <c r="Z361" s="22"/>
      <c r="AA361" s="24"/>
      <c r="AB361" s="22"/>
    </row>
    <row r="362" spans="15:28" s="21" customFormat="1" x14ac:dyDescent="0.35">
      <c r="O362" s="22"/>
      <c r="P362" s="22"/>
      <c r="Q362" s="22"/>
      <c r="R362" s="22"/>
      <c r="S362" s="22"/>
      <c r="T362" s="22"/>
      <c r="U362" s="23"/>
      <c r="V362" s="23"/>
      <c r="W362" s="22"/>
      <c r="X362" s="22"/>
      <c r="Y362" s="22"/>
      <c r="Z362" s="22"/>
      <c r="AA362" s="24"/>
      <c r="AB362" s="7"/>
    </row>
    <row r="363" spans="15:28" s="21" customFormat="1" x14ac:dyDescent="0.35">
      <c r="O363" s="22"/>
      <c r="P363" s="22"/>
      <c r="Q363" s="22"/>
      <c r="R363" s="22"/>
      <c r="S363" s="22"/>
      <c r="T363" s="22"/>
      <c r="U363" s="23"/>
      <c r="V363" s="23"/>
      <c r="W363" s="22"/>
      <c r="X363" s="22"/>
      <c r="Y363" s="22"/>
      <c r="Z363" s="22"/>
      <c r="AA363" s="24"/>
      <c r="AB363" s="22"/>
    </row>
    <row r="364" spans="15:28" s="21" customFormat="1" x14ac:dyDescent="0.35">
      <c r="O364" s="22"/>
      <c r="P364" s="22"/>
      <c r="Q364" s="22"/>
      <c r="R364" s="22"/>
      <c r="S364" s="22"/>
      <c r="T364" s="22"/>
      <c r="U364" s="23"/>
      <c r="V364" s="23"/>
      <c r="W364" s="22"/>
      <c r="X364" s="22"/>
      <c r="Y364" s="22"/>
      <c r="Z364" s="22"/>
      <c r="AA364" s="24"/>
      <c r="AB364" s="22"/>
    </row>
    <row r="365" spans="15:28" s="21" customFormat="1" x14ac:dyDescent="0.35">
      <c r="O365" s="22"/>
      <c r="P365" s="22"/>
      <c r="Q365" s="22"/>
      <c r="R365" s="22"/>
      <c r="S365" s="22"/>
      <c r="T365" s="22"/>
      <c r="U365" s="23"/>
      <c r="V365" s="23"/>
      <c r="W365" s="22"/>
      <c r="X365" s="22"/>
      <c r="Y365" s="22"/>
      <c r="Z365" s="22"/>
      <c r="AA365" s="24"/>
      <c r="AB365" s="22"/>
    </row>
    <row r="366" spans="15:28" s="21" customFormat="1" x14ac:dyDescent="0.35">
      <c r="O366" s="22"/>
      <c r="P366" s="22"/>
      <c r="Q366" s="22"/>
      <c r="R366" s="22"/>
      <c r="S366" s="22"/>
      <c r="T366" s="22"/>
      <c r="U366" s="23"/>
      <c r="V366" s="23"/>
      <c r="W366" s="22"/>
      <c r="X366" s="22"/>
      <c r="Y366" s="22"/>
      <c r="Z366" s="22"/>
      <c r="AA366" s="24"/>
      <c r="AB366" s="7"/>
    </row>
    <row r="367" spans="15:28" x14ac:dyDescent="0.35">
      <c r="Z367" s="22"/>
    </row>
    <row r="368" spans="15:28" x14ac:dyDescent="0.35">
      <c r="Z368" s="22"/>
    </row>
    <row r="369" spans="14:29" x14ac:dyDescent="0.35">
      <c r="Z369" s="22"/>
    </row>
    <row r="370" spans="14:29" x14ac:dyDescent="0.35">
      <c r="N370" s="4"/>
      <c r="Z370" s="22"/>
      <c r="AB370" s="25"/>
      <c r="AC370" s="27"/>
    </row>
    <row r="371" spans="14:29" x14ac:dyDescent="0.35">
      <c r="N371" s="4"/>
      <c r="Z371" s="22"/>
      <c r="AB371" s="25"/>
      <c r="AC371" s="27"/>
    </row>
    <row r="372" spans="14:29" x14ac:dyDescent="0.35">
      <c r="N372" s="4"/>
      <c r="AB372" s="25"/>
      <c r="AC372" s="26"/>
    </row>
    <row r="373" spans="14:29" x14ac:dyDescent="0.35">
      <c r="N373" s="4"/>
    </row>
    <row r="374" spans="14:29" x14ac:dyDescent="0.35">
      <c r="N374" s="4"/>
      <c r="AA374" s="1"/>
    </row>
    <row r="375" spans="14:29" x14ac:dyDescent="0.35">
      <c r="N375" s="4"/>
    </row>
    <row r="376" spans="14:29" x14ac:dyDescent="0.35">
      <c r="N376" s="4"/>
    </row>
    <row r="377" spans="14:29" x14ac:dyDescent="0.35">
      <c r="N377" s="4"/>
    </row>
    <row r="378" spans="14:29" x14ac:dyDescent="0.35">
      <c r="N378" s="4"/>
    </row>
    <row r="379" spans="14:29" x14ac:dyDescent="0.35">
      <c r="N379" s="4"/>
    </row>
    <row r="380" spans="14:29" x14ac:dyDescent="0.35">
      <c r="N380" s="4"/>
    </row>
    <row r="381" spans="14:29" x14ac:dyDescent="0.35">
      <c r="N381" s="4"/>
    </row>
    <row r="382" spans="14:29" x14ac:dyDescent="0.35">
      <c r="N382" s="4"/>
    </row>
    <row r="383" spans="14:29" x14ac:dyDescent="0.35">
      <c r="N383" s="4"/>
    </row>
    <row r="384" spans="14:29" x14ac:dyDescent="0.35">
      <c r="N384" s="4"/>
    </row>
    <row r="385" spans="14:16" x14ac:dyDescent="0.35">
      <c r="N385" s="4"/>
    </row>
    <row r="386" spans="14:16" x14ac:dyDescent="0.35">
      <c r="N386" s="4"/>
    </row>
    <row r="387" spans="14:16" x14ac:dyDescent="0.35">
      <c r="N387" s="4"/>
    </row>
    <row r="388" spans="14:16" x14ac:dyDescent="0.35">
      <c r="N388" s="4"/>
    </row>
    <row r="389" spans="14:16" x14ac:dyDescent="0.35">
      <c r="N389" s="4"/>
    </row>
    <row r="390" spans="14:16" x14ac:dyDescent="0.35">
      <c r="N390" s="4"/>
    </row>
    <row r="391" spans="14:16" x14ac:dyDescent="0.35">
      <c r="N391" s="4"/>
    </row>
    <row r="392" spans="14:16" x14ac:dyDescent="0.35">
      <c r="N392" s="4"/>
    </row>
    <row r="393" spans="14:16" x14ac:dyDescent="0.35">
      <c r="N393" s="4"/>
    </row>
    <row r="394" spans="14:16" x14ac:dyDescent="0.35">
      <c r="N394" s="4"/>
      <c r="P394" s="1" cm="1">
        <f t="array" ref="P394">IF(ISNUMBER(_xll.qwDV01($A$1,F394)*I394*_xll.qwMVFactor($A$1,F394)*_xll.qwFXRate($A$1,F394)),_xll.qwDV01($A$1,F394)*I394*_xll.qwMVFactor($A$1,F394)*_xll.qwFXRate($A$1,F394),0)</f>
        <v>0</v>
      </c>
    </row>
    <row r="395" spans="14:16" x14ac:dyDescent="0.35">
      <c r="N395" s="4"/>
      <c r="P395" s="1" cm="1">
        <f t="array" ref="P395">IF(ISNUMBER(_xll.qwDV01($A$1,F395)*I395*_xll.qwMVFactor($A$1,F395)*_xll.qwFXRate($A$1,F395)),_xll.qwDV01($A$1,F395)*I395*_xll.qwMVFactor($A$1,F395)*_xll.qwFXRate($A$1,F395),0)</f>
        <v>0</v>
      </c>
    </row>
  </sheetData>
  <autoFilter ref="B1:AB395" xr:uid="{00000000-0001-0000-0000-000000000000}">
    <filterColumn colId="26">
      <filters blank="1">
        <filter val="(1,000)"/>
        <filter val="(1,215)"/>
        <filter val="(4,160)"/>
        <filter val="(71)"/>
        <filter val="(81)"/>
        <filter val="1,611"/>
        <filter val="1,791"/>
        <filter val="19,977"/>
        <filter val="26,523"/>
        <filter val="3,184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FA8B-5562-4427-96EB-62CF88C8881A}">
  <dimension ref="A1:M323"/>
  <sheetViews>
    <sheetView topLeftCell="A174" workbookViewId="0">
      <selection activeCell="A2" sqref="A2:A189"/>
    </sheetView>
  </sheetViews>
  <sheetFormatPr defaultRowHeight="14.5" x14ac:dyDescent="0.35"/>
  <cols>
    <col min="1" max="1" width="9.81640625" bestFit="1" customWidth="1"/>
    <col min="2" max="2" width="11" bestFit="1" customWidth="1"/>
    <col min="5" max="5" width="11" bestFit="1" customWidth="1"/>
    <col min="13" max="13" width="9.81640625" bestFit="1" customWidth="1"/>
  </cols>
  <sheetData>
    <row r="1" spans="1:13" x14ac:dyDescent="0.35"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s="4" t="s">
        <v>54</v>
      </c>
      <c r="I1" s="4" t="s">
        <v>55</v>
      </c>
      <c r="J1" s="4" t="s">
        <v>56</v>
      </c>
      <c r="K1" t="s">
        <v>9</v>
      </c>
      <c r="L1" t="s">
        <v>0</v>
      </c>
    </row>
    <row r="2" spans="1:13" x14ac:dyDescent="0.35">
      <c r="A2">
        <f>M2</f>
        <v>246887501</v>
      </c>
      <c r="B2" t="s">
        <v>57</v>
      </c>
      <c r="C2">
        <v>31.62</v>
      </c>
      <c r="D2">
        <v>0</v>
      </c>
      <c r="E2">
        <v>31.62</v>
      </c>
      <c r="F2">
        <v>0</v>
      </c>
      <c r="G2">
        <v>0</v>
      </c>
      <c r="H2" s="4">
        <v>0</v>
      </c>
      <c r="I2" s="4">
        <v>0</v>
      </c>
      <c r="J2" s="4" t="s">
        <v>58</v>
      </c>
      <c r="K2">
        <v>-587184.83212639263</v>
      </c>
      <c r="L2">
        <v>-64971.954963853808</v>
      </c>
      <c r="M2">
        <f>VALUE(B2)</f>
        <v>246887501</v>
      </c>
    </row>
    <row r="3" spans="1:13" x14ac:dyDescent="0.35">
      <c r="A3">
        <f t="shared" ref="A3:A66" si="0">M3</f>
        <v>246889747</v>
      </c>
      <c r="B3" t="s">
        <v>59</v>
      </c>
      <c r="C3">
        <v>78.244</v>
      </c>
      <c r="D3">
        <v>0</v>
      </c>
      <c r="E3">
        <v>78.244</v>
      </c>
      <c r="F3">
        <v>0</v>
      </c>
      <c r="G3">
        <v>0</v>
      </c>
      <c r="H3" s="4">
        <v>0</v>
      </c>
      <c r="I3" s="4">
        <v>0</v>
      </c>
      <c r="J3" s="4" t="s">
        <v>58</v>
      </c>
      <c r="K3">
        <v>503286.33965851535</v>
      </c>
      <c r="L3">
        <v>66401.704707207537</v>
      </c>
      <c r="M3">
        <f t="shared" ref="M3:M66" si="1">VALUE(B3)</f>
        <v>246889747</v>
      </c>
    </row>
    <row r="4" spans="1:13" x14ac:dyDescent="0.35">
      <c r="A4" t="str">
        <f t="shared" si="0"/>
        <v>RXZ6</v>
      </c>
      <c r="B4" t="s">
        <v>12</v>
      </c>
      <c r="C4">
        <v>-626</v>
      </c>
      <c r="D4">
        <v>0</v>
      </c>
      <c r="E4">
        <v>-626</v>
      </c>
      <c r="F4">
        <v>0</v>
      </c>
      <c r="G4">
        <v>0</v>
      </c>
      <c r="H4" s="4">
        <v>0</v>
      </c>
      <c r="I4" s="4">
        <v>0</v>
      </c>
      <c r="J4" s="4" t="s">
        <v>60</v>
      </c>
      <c r="K4">
        <v>-500706.41300000559</v>
      </c>
      <c r="L4">
        <v>-66343.756647345086</v>
      </c>
      <c r="M4" t="s">
        <v>12</v>
      </c>
    </row>
    <row r="5" spans="1:13" x14ac:dyDescent="0.35">
      <c r="A5" t="str">
        <f t="shared" si="0"/>
        <v>UBZ6</v>
      </c>
      <c r="B5" t="s">
        <v>13</v>
      </c>
      <c r="C5">
        <v>298</v>
      </c>
      <c r="D5">
        <v>0</v>
      </c>
      <c r="E5">
        <v>298</v>
      </c>
      <c r="F5">
        <v>0</v>
      </c>
      <c r="G5">
        <v>0</v>
      </c>
      <c r="H5" s="4">
        <v>0</v>
      </c>
      <c r="I5" s="4">
        <v>0</v>
      </c>
      <c r="J5" s="4" t="s">
        <v>60</v>
      </c>
      <c r="K5">
        <v>617709.89600000111</v>
      </c>
      <c r="L5">
        <v>64223.590251739544</v>
      </c>
      <c r="M5" t="s">
        <v>13</v>
      </c>
    </row>
    <row r="6" spans="1:13" x14ac:dyDescent="0.35">
      <c r="A6">
        <f t="shared" si="0"/>
        <v>253424701</v>
      </c>
      <c r="B6" t="s">
        <v>61</v>
      </c>
      <c r="C6">
        <v>708.6</v>
      </c>
      <c r="D6">
        <v>0</v>
      </c>
      <c r="E6">
        <v>708.6</v>
      </c>
      <c r="F6">
        <v>0</v>
      </c>
      <c r="G6">
        <v>0</v>
      </c>
      <c r="H6" s="4">
        <v>0</v>
      </c>
      <c r="I6" s="4">
        <v>0</v>
      </c>
      <c r="J6" s="4" t="s">
        <v>58</v>
      </c>
      <c r="K6">
        <v>269465.56142324774</v>
      </c>
      <c r="L6">
        <v>136692.25500892714</v>
      </c>
      <c r="M6">
        <f t="shared" si="1"/>
        <v>253424701</v>
      </c>
    </row>
    <row r="7" spans="1:13" x14ac:dyDescent="0.35">
      <c r="A7">
        <f t="shared" si="0"/>
        <v>253424706</v>
      </c>
      <c r="B7" t="s">
        <v>62</v>
      </c>
      <c r="C7">
        <v>271.7</v>
      </c>
      <c r="D7">
        <v>0</v>
      </c>
      <c r="E7">
        <v>271.7</v>
      </c>
      <c r="F7">
        <v>0</v>
      </c>
      <c r="G7">
        <v>0</v>
      </c>
      <c r="H7" s="4">
        <v>0</v>
      </c>
      <c r="I7" s="4">
        <v>0</v>
      </c>
      <c r="J7" s="4" t="s">
        <v>58</v>
      </c>
      <c r="K7">
        <v>-751543.95180377224</v>
      </c>
      <c r="L7">
        <v>-136642.36321825589</v>
      </c>
      <c r="M7">
        <f t="shared" si="1"/>
        <v>253424706</v>
      </c>
    </row>
    <row r="8" spans="1:13" x14ac:dyDescent="0.35">
      <c r="A8" t="str">
        <f t="shared" si="0"/>
        <v>DUZ6</v>
      </c>
      <c r="B8" t="s">
        <v>14</v>
      </c>
      <c r="C8">
        <v>-6070</v>
      </c>
      <c r="D8">
        <v>0</v>
      </c>
      <c r="E8">
        <v>-6070</v>
      </c>
      <c r="F8">
        <v>0</v>
      </c>
      <c r="G8">
        <v>0</v>
      </c>
      <c r="H8" s="4">
        <v>0</v>
      </c>
      <c r="I8" s="4">
        <v>0</v>
      </c>
      <c r="J8" s="4" t="s">
        <v>60</v>
      </c>
      <c r="K8">
        <v>-273526.34000004275</v>
      </c>
      <c r="L8">
        <v>-134235.13460305554</v>
      </c>
      <c r="M8" t="s">
        <v>14</v>
      </c>
    </row>
    <row r="9" spans="1:13" x14ac:dyDescent="0.35">
      <c r="A9" t="str">
        <f t="shared" si="0"/>
        <v>OEZ6</v>
      </c>
      <c r="B9" t="s">
        <v>15</v>
      </c>
      <c r="C9">
        <v>2314</v>
      </c>
      <c r="D9">
        <v>0</v>
      </c>
      <c r="E9">
        <v>2314</v>
      </c>
      <c r="F9">
        <v>0</v>
      </c>
      <c r="G9">
        <v>0</v>
      </c>
      <c r="H9" s="4">
        <v>0</v>
      </c>
      <c r="I9" s="4">
        <v>0</v>
      </c>
      <c r="J9" s="4" t="s">
        <v>60</v>
      </c>
      <c r="K9">
        <v>729914.27600000298</v>
      </c>
      <c r="L9">
        <v>135614.96223843205</v>
      </c>
      <c r="M9" t="s">
        <v>15</v>
      </c>
    </row>
    <row r="10" spans="1:13" x14ac:dyDescent="0.35">
      <c r="A10">
        <f t="shared" si="0"/>
        <v>251537861</v>
      </c>
      <c r="B10" t="s">
        <v>63</v>
      </c>
      <c r="C10">
        <v>46.9</v>
      </c>
      <c r="D10">
        <v>0</v>
      </c>
      <c r="E10">
        <v>46.9</v>
      </c>
      <c r="F10">
        <v>0</v>
      </c>
      <c r="G10">
        <v>0</v>
      </c>
      <c r="H10" s="4">
        <v>0</v>
      </c>
      <c r="I10" s="4">
        <v>0</v>
      </c>
      <c r="J10" s="4" t="s">
        <v>58</v>
      </c>
      <c r="K10">
        <v>204081.69901816867</v>
      </c>
      <c r="L10">
        <v>-56555.112435678027</v>
      </c>
      <c r="M10">
        <f t="shared" si="1"/>
        <v>251537861</v>
      </c>
    </row>
    <row r="11" spans="1:13" x14ac:dyDescent="0.35">
      <c r="A11">
        <f t="shared" si="0"/>
        <v>251537871</v>
      </c>
      <c r="B11" t="s">
        <v>64</v>
      </c>
      <c r="C11">
        <v>37.799999999999997</v>
      </c>
      <c r="D11">
        <v>0</v>
      </c>
      <c r="E11">
        <v>37.799999999999997</v>
      </c>
      <c r="F11">
        <v>0</v>
      </c>
      <c r="G11">
        <v>0</v>
      </c>
      <c r="H11" s="4">
        <v>0</v>
      </c>
      <c r="I11" s="4">
        <v>0</v>
      </c>
      <c r="J11" s="4" t="s">
        <v>58</v>
      </c>
      <c r="K11">
        <v>-177844.10131206829</v>
      </c>
      <c r="L11">
        <v>55601.213846593375</v>
      </c>
      <c r="M11">
        <f t="shared" si="1"/>
        <v>251537871</v>
      </c>
    </row>
    <row r="12" spans="1:13" x14ac:dyDescent="0.35">
      <c r="A12">
        <f t="shared" si="0"/>
        <v>252972750</v>
      </c>
      <c r="B12" t="s">
        <v>65</v>
      </c>
      <c r="C12">
        <v>48.2</v>
      </c>
      <c r="D12">
        <v>0</v>
      </c>
      <c r="E12">
        <v>48.2</v>
      </c>
      <c r="F12">
        <v>0</v>
      </c>
      <c r="G12">
        <v>0</v>
      </c>
      <c r="H12" s="4">
        <v>0</v>
      </c>
      <c r="I12" s="4">
        <v>0</v>
      </c>
      <c r="J12" s="4" t="s">
        <v>58</v>
      </c>
      <c r="K12">
        <v>214347.177301505</v>
      </c>
      <c r="L12">
        <v>-59300.798809902517</v>
      </c>
      <c r="M12">
        <f t="shared" si="1"/>
        <v>252972750</v>
      </c>
    </row>
    <row r="13" spans="1:13" x14ac:dyDescent="0.35">
      <c r="A13">
        <f t="shared" si="0"/>
        <v>252973724</v>
      </c>
      <c r="B13" t="s">
        <v>66</v>
      </c>
      <c r="C13">
        <v>38.799999999999997</v>
      </c>
      <c r="D13">
        <v>0</v>
      </c>
      <c r="E13">
        <v>38.799999999999997</v>
      </c>
      <c r="F13">
        <v>0</v>
      </c>
      <c r="G13">
        <v>0</v>
      </c>
      <c r="H13" s="4">
        <v>0</v>
      </c>
      <c r="I13" s="4">
        <v>0</v>
      </c>
      <c r="J13" s="4" t="s">
        <v>58</v>
      </c>
      <c r="K13">
        <v>-186976.00616079892</v>
      </c>
      <c r="L13">
        <v>58320.985305285547</v>
      </c>
      <c r="M13">
        <f t="shared" si="1"/>
        <v>252973724</v>
      </c>
    </row>
    <row r="14" spans="1:13" x14ac:dyDescent="0.35">
      <c r="A14">
        <f t="shared" si="0"/>
        <v>253291819</v>
      </c>
      <c r="B14" t="s">
        <v>67</v>
      </c>
      <c r="C14">
        <v>48.1</v>
      </c>
      <c r="D14">
        <v>0</v>
      </c>
      <c r="E14">
        <v>48.1</v>
      </c>
      <c r="F14">
        <v>0</v>
      </c>
      <c r="G14">
        <v>0</v>
      </c>
      <c r="H14" s="4">
        <v>0</v>
      </c>
      <c r="I14" s="4">
        <v>0</v>
      </c>
      <c r="J14" s="4" t="s">
        <v>58</v>
      </c>
      <c r="K14">
        <v>212883.11001177432</v>
      </c>
      <c r="L14">
        <v>-58915.214833990547</v>
      </c>
      <c r="M14">
        <f t="shared" si="1"/>
        <v>253291819</v>
      </c>
    </row>
    <row r="15" spans="1:13" x14ac:dyDescent="0.35">
      <c r="A15">
        <f t="shared" si="0"/>
        <v>253291823</v>
      </c>
      <c r="B15" t="s">
        <v>68</v>
      </c>
      <c r="C15">
        <v>38.6</v>
      </c>
      <c r="D15">
        <v>0</v>
      </c>
      <c r="E15">
        <v>38.6</v>
      </c>
      <c r="F15">
        <v>0</v>
      </c>
      <c r="G15">
        <v>0</v>
      </c>
      <c r="H15" s="4">
        <v>0</v>
      </c>
      <c r="I15" s="4">
        <v>0</v>
      </c>
      <c r="J15" s="4" t="s">
        <v>58</v>
      </c>
      <c r="K15">
        <v>-184812.73564971125</v>
      </c>
      <c r="L15">
        <v>57680.60563131544</v>
      </c>
      <c r="M15">
        <f t="shared" si="1"/>
        <v>253291823</v>
      </c>
    </row>
    <row r="16" spans="1:13" x14ac:dyDescent="0.35">
      <c r="A16" t="str">
        <f t="shared" si="0"/>
        <v>912810UW6</v>
      </c>
      <c r="B16" t="s">
        <v>47</v>
      </c>
      <c r="C16">
        <v>-126.8</v>
      </c>
      <c r="D16">
        <v>0</v>
      </c>
      <c r="E16">
        <v>-126.8</v>
      </c>
      <c r="F16">
        <v>0</v>
      </c>
      <c r="G16">
        <v>0</v>
      </c>
      <c r="H16" s="4">
        <v>0</v>
      </c>
      <c r="I16" s="4">
        <v>0</v>
      </c>
      <c r="J16" s="4" t="s">
        <v>69</v>
      </c>
      <c r="K16">
        <v>445781.25000084692</v>
      </c>
      <c r="L16">
        <v>-172318.29286856737</v>
      </c>
      <c r="M16" t="s">
        <v>47</v>
      </c>
    </row>
    <row r="17" spans="1:13" x14ac:dyDescent="0.35">
      <c r="A17" t="str">
        <f t="shared" si="0"/>
        <v>912810UX4</v>
      </c>
      <c r="B17" t="s">
        <v>45</v>
      </c>
      <c r="C17">
        <v>154.9</v>
      </c>
      <c r="D17">
        <v>0</v>
      </c>
      <c r="E17">
        <v>154.9</v>
      </c>
      <c r="F17">
        <v>0</v>
      </c>
      <c r="G17">
        <v>0</v>
      </c>
      <c r="H17" s="4">
        <v>0</v>
      </c>
      <c r="I17" s="4">
        <v>0</v>
      </c>
      <c r="J17" s="4" t="s">
        <v>69</v>
      </c>
      <c r="K17">
        <v>-532468.74999969185</v>
      </c>
      <c r="L17">
        <v>174964.29030927629</v>
      </c>
      <c r="M17" t="s">
        <v>45</v>
      </c>
    </row>
    <row r="18" spans="1:13" x14ac:dyDescent="0.35">
      <c r="A18">
        <f t="shared" si="0"/>
        <v>221085184</v>
      </c>
      <c r="B18" t="s">
        <v>70</v>
      </c>
      <c r="C18">
        <v>1799.4</v>
      </c>
      <c r="D18">
        <v>0</v>
      </c>
      <c r="E18">
        <v>1799.4</v>
      </c>
      <c r="F18">
        <v>0</v>
      </c>
      <c r="G18">
        <v>0</v>
      </c>
      <c r="H18" s="4">
        <v>0</v>
      </c>
      <c r="I18" s="4">
        <v>0</v>
      </c>
      <c r="J18" s="4" t="s">
        <v>58</v>
      </c>
      <c r="K18">
        <v>1791268.3535609713</v>
      </c>
      <c r="L18">
        <v>-403783.93509761267</v>
      </c>
      <c r="M18">
        <f t="shared" si="1"/>
        <v>221085184</v>
      </c>
    </row>
    <row r="19" spans="1:13" x14ac:dyDescent="0.35">
      <c r="A19">
        <f t="shared" si="0"/>
        <v>221085185</v>
      </c>
      <c r="B19" t="s">
        <v>71</v>
      </c>
      <c r="C19">
        <v>1250.5999999999999</v>
      </c>
      <c r="D19">
        <v>0</v>
      </c>
      <c r="E19">
        <v>1250.5999999999999</v>
      </c>
      <c r="F19">
        <v>0</v>
      </c>
      <c r="G19">
        <v>0</v>
      </c>
      <c r="H19" s="4">
        <v>0</v>
      </c>
      <c r="I19" s="4">
        <v>0</v>
      </c>
      <c r="J19" s="4" t="s">
        <v>58</v>
      </c>
      <c r="K19">
        <v>1243508.1320571885</v>
      </c>
      <c r="L19">
        <v>-280135.92933936761</v>
      </c>
      <c r="M19">
        <f t="shared" si="1"/>
        <v>221085185</v>
      </c>
    </row>
    <row r="20" spans="1:13" x14ac:dyDescent="0.35">
      <c r="A20">
        <f t="shared" si="0"/>
        <v>221085189</v>
      </c>
      <c r="B20" t="s">
        <v>72</v>
      </c>
      <c r="C20">
        <v>696.9</v>
      </c>
      <c r="D20">
        <v>0</v>
      </c>
      <c r="E20">
        <v>696.9</v>
      </c>
      <c r="F20">
        <v>0</v>
      </c>
      <c r="G20">
        <v>0</v>
      </c>
      <c r="H20" s="4">
        <v>0</v>
      </c>
      <c r="I20" s="4">
        <v>0</v>
      </c>
      <c r="J20" s="4" t="s">
        <v>58</v>
      </c>
      <c r="K20">
        <v>693297.16598671384</v>
      </c>
      <c r="L20">
        <v>-156227.09939881548</v>
      </c>
      <c r="M20">
        <f t="shared" si="1"/>
        <v>221085189</v>
      </c>
    </row>
    <row r="21" spans="1:13" x14ac:dyDescent="0.35">
      <c r="A21">
        <f t="shared" si="0"/>
        <v>221085235</v>
      </c>
      <c r="B21" t="s">
        <v>73</v>
      </c>
      <c r="C21">
        <v>386.6</v>
      </c>
      <c r="D21">
        <v>0</v>
      </c>
      <c r="E21">
        <v>386.6</v>
      </c>
      <c r="F21">
        <v>0</v>
      </c>
      <c r="G21">
        <v>0</v>
      </c>
      <c r="H21" s="4">
        <v>0</v>
      </c>
      <c r="I21" s="4">
        <v>0</v>
      </c>
      <c r="J21" s="4" t="s">
        <v>58</v>
      </c>
      <c r="K21">
        <v>384506.00706224691</v>
      </c>
      <c r="L21">
        <v>-86632.851651055593</v>
      </c>
      <c r="M21">
        <f t="shared" si="1"/>
        <v>221085235</v>
      </c>
    </row>
    <row r="22" spans="1:13" x14ac:dyDescent="0.35">
      <c r="A22">
        <f t="shared" si="0"/>
        <v>221085245</v>
      </c>
      <c r="B22" t="s">
        <v>74</v>
      </c>
      <c r="C22">
        <v>375</v>
      </c>
      <c r="D22">
        <v>0</v>
      </c>
      <c r="E22">
        <v>375</v>
      </c>
      <c r="F22">
        <v>0</v>
      </c>
      <c r="G22">
        <v>0</v>
      </c>
      <c r="H22" s="4">
        <v>0</v>
      </c>
      <c r="I22" s="4">
        <v>0</v>
      </c>
      <c r="J22" s="4" t="s">
        <v>58</v>
      </c>
      <c r="K22">
        <v>369888.27388071798</v>
      </c>
      <c r="L22">
        <v>-82968.873992622423</v>
      </c>
      <c r="M22">
        <f t="shared" si="1"/>
        <v>221085245</v>
      </c>
    </row>
    <row r="23" spans="1:13" x14ac:dyDescent="0.35">
      <c r="A23">
        <f t="shared" si="0"/>
        <v>221085256</v>
      </c>
      <c r="B23" t="s">
        <v>75</v>
      </c>
      <c r="C23">
        <v>350.6</v>
      </c>
      <c r="D23">
        <v>0</v>
      </c>
      <c r="E23">
        <v>350.6</v>
      </c>
      <c r="F23">
        <v>0</v>
      </c>
      <c r="G23">
        <v>0</v>
      </c>
      <c r="H23" s="4">
        <v>0</v>
      </c>
      <c r="I23" s="4">
        <v>0</v>
      </c>
      <c r="J23" s="4" t="s">
        <v>58</v>
      </c>
      <c r="K23">
        <v>350080.26082610653</v>
      </c>
      <c r="L23">
        <v>-79042.272251065806</v>
      </c>
      <c r="M23">
        <f t="shared" si="1"/>
        <v>221085256</v>
      </c>
    </row>
    <row r="24" spans="1:13" x14ac:dyDescent="0.35">
      <c r="A24">
        <f t="shared" si="0"/>
        <v>221085372</v>
      </c>
      <c r="B24" t="s">
        <v>76</v>
      </c>
      <c r="C24">
        <v>236.4</v>
      </c>
      <c r="D24">
        <v>0</v>
      </c>
      <c r="E24">
        <v>236.4</v>
      </c>
      <c r="F24">
        <v>0</v>
      </c>
      <c r="G24">
        <v>0</v>
      </c>
      <c r="H24" s="4">
        <v>0</v>
      </c>
      <c r="I24" s="4">
        <v>0</v>
      </c>
      <c r="J24" s="4" t="s">
        <v>58</v>
      </c>
      <c r="K24">
        <v>235491.76302406809</v>
      </c>
      <c r="L24">
        <v>-53103.289704846706</v>
      </c>
      <c r="M24">
        <f t="shared" si="1"/>
        <v>221085372</v>
      </c>
    </row>
    <row r="25" spans="1:13" x14ac:dyDescent="0.35">
      <c r="A25">
        <f t="shared" si="0"/>
        <v>221085384</v>
      </c>
      <c r="B25" t="s">
        <v>77</v>
      </c>
      <c r="C25">
        <v>230.7</v>
      </c>
      <c r="D25">
        <v>0</v>
      </c>
      <c r="E25">
        <v>230.7</v>
      </c>
      <c r="F25">
        <v>0</v>
      </c>
      <c r="G25">
        <v>0</v>
      </c>
      <c r="H25" s="4">
        <v>0</v>
      </c>
      <c r="I25" s="4">
        <v>0</v>
      </c>
      <c r="J25" s="4" t="s">
        <v>58</v>
      </c>
      <c r="K25">
        <v>230447.16115403833</v>
      </c>
      <c r="L25">
        <v>-52041.797352733331</v>
      </c>
      <c r="M25">
        <f t="shared" si="1"/>
        <v>221085384</v>
      </c>
    </row>
    <row r="26" spans="1:13" x14ac:dyDescent="0.35">
      <c r="A26">
        <f t="shared" si="0"/>
        <v>221085417</v>
      </c>
      <c r="B26" t="s">
        <v>78</v>
      </c>
      <c r="C26">
        <v>223.5</v>
      </c>
      <c r="D26">
        <v>0</v>
      </c>
      <c r="E26">
        <v>223.5</v>
      </c>
      <c r="F26">
        <v>0</v>
      </c>
      <c r="G26">
        <v>0</v>
      </c>
      <c r="H26" s="4">
        <v>0</v>
      </c>
      <c r="I26" s="4">
        <v>0</v>
      </c>
      <c r="J26" s="4" t="s">
        <v>58</v>
      </c>
      <c r="K26">
        <v>222265.06516477553</v>
      </c>
      <c r="L26">
        <v>-50075.498324732915</v>
      </c>
      <c r="M26">
        <f t="shared" si="1"/>
        <v>221085417</v>
      </c>
    </row>
    <row r="27" spans="1:13" x14ac:dyDescent="0.35">
      <c r="A27">
        <f t="shared" si="0"/>
        <v>221136203</v>
      </c>
      <c r="B27" t="s">
        <v>79</v>
      </c>
      <c r="C27">
        <v>1204.0999999999999</v>
      </c>
      <c r="D27">
        <v>0</v>
      </c>
      <c r="E27">
        <v>1204.0999999999999</v>
      </c>
      <c r="F27">
        <v>0</v>
      </c>
      <c r="G27">
        <v>0</v>
      </c>
      <c r="H27" s="4">
        <v>0</v>
      </c>
      <c r="I27" s="4">
        <v>0</v>
      </c>
      <c r="J27" s="4" t="s">
        <v>58</v>
      </c>
      <c r="K27">
        <v>-1191315.1895320632</v>
      </c>
      <c r="L27">
        <v>267661.45123056904</v>
      </c>
      <c r="M27">
        <f t="shared" si="1"/>
        <v>221136203</v>
      </c>
    </row>
    <row r="28" spans="1:13" x14ac:dyDescent="0.35">
      <c r="A28">
        <f t="shared" si="0"/>
        <v>221136205</v>
      </c>
      <c r="B28" t="s">
        <v>80</v>
      </c>
      <c r="C28">
        <v>1205.2</v>
      </c>
      <c r="D28">
        <v>0</v>
      </c>
      <c r="E28">
        <v>1205.2</v>
      </c>
      <c r="F28">
        <v>0</v>
      </c>
      <c r="G28">
        <v>0</v>
      </c>
      <c r="H28" s="4">
        <v>0</v>
      </c>
      <c r="I28" s="4">
        <v>0</v>
      </c>
      <c r="J28" s="4" t="s">
        <v>58</v>
      </c>
      <c r="K28">
        <v>-1192779.0424663844</v>
      </c>
      <c r="L28">
        <v>268035.74406684807</v>
      </c>
      <c r="M28">
        <f t="shared" si="1"/>
        <v>221136205</v>
      </c>
    </row>
    <row r="29" spans="1:13" x14ac:dyDescent="0.35">
      <c r="A29">
        <f t="shared" si="0"/>
        <v>221136211</v>
      </c>
      <c r="B29" t="s">
        <v>81</v>
      </c>
      <c r="C29">
        <v>1564</v>
      </c>
      <c r="D29">
        <v>0</v>
      </c>
      <c r="E29">
        <v>1564</v>
      </c>
      <c r="F29">
        <v>0</v>
      </c>
      <c r="G29">
        <v>0</v>
      </c>
      <c r="H29" s="4">
        <v>0</v>
      </c>
      <c r="I29" s="4">
        <v>0</v>
      </c>
      <c r="J29" s="4" t="s">
        <v>58</v>
      </c>
      <c r="K29">
        <v>-1546353.7667977216</v>
      </c>
      <c r="L29">
        <v>347304.81305370736</v>
      </c>
      <c r="M29">
        <f t="shared" si="1"/>
        <v>221136211</v>
      </c>
    </row>
    <row r="30" spans="1:13" x14ac:dyDescent="0.35">
      <c r="A30">
        <f t="shared" si="0"/>
        <v>221136212</v>
      </c>
      <c r="B30" t="s">
        <v>82</v>
      </c>
      <c r="C30">
        <v>1650</v>
      </c>
      <c r="D30">
        <v>0</v>
      </c>
      <c r="E30">
        <v>1650</v>
      </c>
      <c r="F30">
        <v>0</v>
      </c>
      <c r="G30">
        <v>0</v>
      </c>
      <c r="H30" s="4">
        <v>0</v>
      </c>
      <c r="I30" s="4">
        <v>0</v>
      </c>
      <c r="J30" s="4" t="s">
        <v>58</v>
      </c>
      <c r="K30">
        <v>-1631568.7541489217</v>
      </c>
      <c r="L30">
        <v>366466.17182614777</v>
      </c>
      <c r="M30">
        <f t="shared" si="1"/>
        <v>221136212</v>
      </c>
    </row>
    <row r="31" spans="1:13" x14ac:dyDescent="0.35">
      <c r="A31">
        <f t="shared" si="0"/>
        <v>221582879</v>
      </c>
      <c r="B31" t="s">
        <v>83</v>
      </c>
      <c r="C31">
        <v>561.6</v>
      </c>
      <c r="D31">
        <v>0</v>
      </c>
      <c r="E31">
        <v>561.6</v>
      </c>
      <c r="F31">
        <v>0</v>
      </c>
      <c r="G31">
        <v>0</v>
      </c>
      <c r="H31" s="4">
        <v>0</v>
      </c>
      <c r="I31" s="4">
        <v>0</v>
      </c>
      <c r="J31" s="4" t="s">
        <v>58</v>
      </c>
      <c r="K31">
        <v>716085.72274787026</v>
      </c>
      <c r="L31">
        <v>-148737.81617336595</v>
      </c>
      <c r="M31">
        <f t="shared" si="1"/>
        <v>221582879</v>
      </c>
    </row>
    <row r="32" spans="1:13" x14ac:dyDescent="0.35">
      <c r="A32">
        <f t="shared" si="0"/>
        <v>227254591</v>
      </c>
      <c r="B32" t="s">
        <v>84</v>
      </c>
      <c r="C32">
        <v>170.4</v>
      </c>
      <c r="D32">
        <v>0</v>
      </c>
      <c r="E32">
        <v>170.4</v>
      </c>
      <c r="F32">
        <v>0</v>
      </c>
      <c r="G32">
        <v>0</v>
      </c>
      <c r="H32" s="4">
        <v>0</v>
      </c>
      <c r="I32" s="4">
        <v>0</v>
      </c>
      <c r="J32" s="4" t="s">
        <v>58</v>
      </c>
      <c r="K32">
        <v>300775.47025146423</v>
      </c>
      <c r="L32">
        <v>-58391.396116196942</v>
      </c>
      <c r="M32">
        <f t="shared" si="1"/>
        <v>227254591</v>
      </c>
    </row>
    <row r="33" spans="1:13" x14ac:dyDescent="0.35">
      <c r="A33">
        <f t="shared" si="0"/>
        <v>231403590</v>
      </c>
      <c r="B33" t="s">
        <v>85</v>
      </c>
      <c r="C33">
        <v>220.5</v>
      </c>
      <c r="D33">
        <v>0</v>
      </c>
      <c r="E33">
        <v>220.5</v>
      </c>
      <c r="F33">
        <v>0</v>
      </c>
      <c r="G33">
        <v>0</v>
      </c>
      <c r="H33" s="4">
        <v>0</v>
      </c>
      <c r="I33" s="4">
        <v>0</v>
      </c>
      <c r="J33" s="4" t="s">
        <v>58</v>
      </c>
      <c r="K33">
        <v>406338.5249952866</v>
      </c>
      <c r="L33">
        <v>-78494.030515852792</v>
      </c>
      <c r="M33">
        <f t="shared" si="1"/>
        <v>231403590</v>
      </c>
    </row>
    <row r="34" spans="1:13" x14ac:dyDescent="0.35">
      <c r="A34">
        <f t="shared" si="0"/>
        <v>232322772</v>
      </c>
      <c r="B34" t="s">
        <v>86</v>
      </c>
      <c r="C34">
        <v>478.2</v>
      </c>
      <c r="D34">
        <v>0</v>
      </c>
      <c r="E34">
        <v>478.2</v>
      </c>
      <c r="F34">
        <v>0</v>
      </c>
      <c r="G34">
        <v>0</v>
      </c>
      <c r="H34" s="4">
        <v>0</v>
      </c>
      <c r="I34" s="4">
        <v>0</v>
      </c>
      <c r="J34" s="4" t="s">
        <v>58</v>
      </c>
      <c r="K34">
        <v>726917.79232492833</v>
      </c>
      <c r="L34">
        <v>-145220.87584273244</v>
      </c>
      <c r="M34">
        <f t="shared" si="1"/>
        <v>232322772</v>
      </c>
    </row>
    <row r="35" spans="1:13" x14ac:dyDescent="0.35">
      <c r="A35">
        <f t="shared" si="0"/>
        <v>232348967</v>
      </c>
      <c r="B35" t="s">
        <v>87</v>
      </c>
      <c r="C35">
        <v>588.5</v>
      </c>
      <c r="D35">
        <v>0</v>
      </c>
      <c r="E35">
        <v>588.5</v>
      </c>
      <c r="F35">
        <v>0</v>
      </c>
      <c r="G35">
        <v>0</v>
      </c>
      <c r="H35" s="4">
        <v>0</v>
      </c>
      <c r="I35" s="4">
        <v>0</v>
      </c>
      <c r="J35" s="4" t="s">
        <v>58</v>
      </c>
      <c r="K35">
        <v>824352.67804612301</v>
      </c>
      <c r="L35">
        <v>-166665.11482437197</v>
      </c>
      <c r="M35">
        <f t="shared" si="1"/>
        <v>232348967</v>
      </c>
    </row>
    <row r="36" spans="1:13" x14ac:dyDescent="0.35">
      <c r="A36">
        <f t="shared" si="0"/>
        <v>232743570</v>
      </c>
      <c r="B36" t="s">
        <v>88</v>
      </c>
      <c r="C36">
        <v>139.5</v>
      </c>
      <c r="D36">
        <v>0</v>
      </c>
      <c r="E36">
        <v>139.5</v>
      </c>
      <c r="F36">
        <v>0</v>
      </c>
      <c r="G36">
        <v>0</v>
      </c>
      <c r="H36" s="4">
        <v>0</v>
      </c>
      <c r="I36" s="4">
        <v>0</v>
      </c>
      <c r="J36" s="4" t="s">
        <v>58</v>
      </c>
      <c r="K36">
        <v>256913.96915767778</v>
      </c>
      <c r="L36">
        <v>-49620.577734733444</v>
      </c>
      <c r="M36">
        <f t="shared" si="1"/>
        <v>232743570</v>
      </c>
    </row>
    <row r="37" spans="1:13" x14ac:dyDescent="0.35">
      <c r="A37">
        <f t="shared" si="0"/>
        <v>233111088</v>
      </c>
      <c r="B37" t="s">
        <v>89</v>
      </c>
      <c r="C37">
        <v>281</v>
      </c>
      <c r="D37">
        <v>0</v>
      </c>
      <c r="E37">
        <v>281</v>
      </c>
      <c r="F37">
        <v>0</v>
      </c>
      <c r="G37">
        <v>0</v>
      </c>
      <c r="H37" s="4">
        <v>0</v>
      </c>
      <c r="I37" s="4">
        <v>0</v>
      </c>
      <c r="J37" s="4" t="s">
        <v>58</v>
      </c>
      <c r="K37">
        <v>518609.80508574442</v>
      </c>
      <c r="L37">
        <v>-100221.11377167971</v>
      </c>
      <c r="M37">
        <f t="shared" si="1"/>
        <v>233111088</v>
      </c>
    </row>
    <row r="38" spans="1:13" x14ac:dyDescent="0.35">
      <c r="A38">
        <f t="shared" si="0"/>
        <v>235872386</v>
      </c>
      <c r="B38" t="s">
        <v>90</v>
      </c>
      <c r="C38">
        <v>112.5</v>
      </c>
      <c r="D38">
        <v>0</v>
      </c>
      <c r="E38">
        <v>112.5</v>
      </c>
      <c r="F38">
        <v>0</v>
      </c>
      <c r="G38">
        <v>0</v>
      </c>
      <c r="H38" s="4">
        <v>0</v>
      </c>
      <c r="I38" s="4">
        <v>0</v>
      </c>
      <c r="J38" s="4" t="s">
        <v>58</v>
      </c>
      <c r="K38">
        <v>208100.49629245952</v>
      </c>
      <c r="L38">
        <v>-40237.049339179022</v>
      </c>
      <c r="M38">
        <f t="shared" si="1"/>
        <v>235872386</v>
      </c>
    </row>
    <row r="39" spans="1:13" x14ac:dyDescent="0.35">
      <c r="A39">
        <f t="shared" si="0"/>
        <v>236998516</v>
      </c>
      <c r="B39" t="s">
        <v>91</v>
      </c>
      <c r="C39">
        <v>176.7</v>
      </c>
      <c r="D39">
        <v>0</v>
      </c>
      <c r="E39">
        <v>176.7</v>
      </c>
      <c r="F39">
        <v>0</v>
      </c>
      <c r="G39">
        <v>0</v>
      </c>
      <c r="H39" s="4">
        <v>0</v>
      </c>
      <c r="I39" s="4">
        <v>0</v>
      </c>
      <c r="J39" s="4" t="s">
        <v>58</v>
      </c>
      <c r="K39">
        <v>-248398.38901358395</v>
      </c>
      <c r="L39">
        <v>50273.891292321481</v>
      </c>
      <c r="M39">
        <f t="shared" si="1"/>
        <v>236998516</v>
      </c>
    </row>
    <row r="40" spans="1:13" x14ac:dyDescent="0.35">
      <c r="A40">
        <f t="shared" si="0"/>
        <v>237785640</v>
      </c>
      <c r="B40" t="s">
        <v>92</v>
      </c>
      <c r="C40">
        <v>145.5</v>
      </c>
      <c r="D40">
        <v>0</v>
      </c>
      <c r="E40">
        <v>145.5</v>
      </c>
      <c r="F40">
        <v>0</v>
      </c>
      <c r="G40">
        <v>0</v>
      </c>
      <c r="H40" s="4">
        <v>0</v>
      </c>
      <c r="I40" s="4">
        <v>0</v>
      </c>
      <c r="J40" s="4" t="s">
        <v>58</v>
      </c>
      <c r="K40">
        <v>-268080.36729114957</v>
      </c>
      <c r="L40">
        <v>51779.28238514765</v>
      </c>
      <c r="M40">
        <f t="shared" si="1"/>
        <v>237785640</v>
      </c>
    </row>
    <row r="41" spans="1:13" x14ac:dyDescent="0.35">
      <c r="A41">
        <f t="shared" si="0"/>
        <v>238081732</v>
      </c>
      <c r="B41" t="s">
        <v>93</v>
      </c>
      <c r="C41">
        <v>1204.7</v>
      </c>
      <c r="D41">
        <v>0</v>
      </c>
      <c r="E41">
        <v>1204.7</v>
      </c>
      <c r="F41">
        <v>0</v>
      </c>
      <c r="G41">
        <v>0</v>
      </c>
      <c r="H41" s="4">
        <v>0</v>
      </c>
      <c r="I41" s="4">
        <v>0</v>
      </c>
      <c r="J41" s="4" t="s">
        <v>58</v>
      </c>
      <c r="K41">
        <v>-2131005.9932530504</v>
      </c>
      <c r="L41">
        <v>413932.63477072894</v>
      </c>
      <c r="M41">
        <f t="shared" si="1"/>
        <v>238081732</v>
      </c>
    </row>
    <row r="42" spans="1:13" x14ac:dyDescent="0.35">
      <c r="A42">
        <f t="shared" si="0"/>
        <v>238082826</v>
      </c>
      <c r="B42" t="s">
        <v>94</v>
      </c>
      <c r="C42">
        <v>301.10000000000002</v>
      </c>
      <c r="D42">
        <v>0</v>
      </c>
      <c r="E42">
        <v>301.10000000000002</v>
      </c>
      <c r="F42">
        <v>0</v>
      </c>
      <c r="G42">
        <v>0</v>
      </c>
      <c r="H42" s="4">
        <v>0</v>
      </c>
      <c r="I42" s="4">
        <v>0</v>
      </c>
      <c r="J42" s="4" t="s">
        <v>58</v>
      </c>
      <c r="K42">
        <v>-532667.7745560403</v>
      </c>
      <c r="L42">
        <v>103469.32364723412</v>
      </c>
      <c r="M42">
        <f t="shared" si="1"/>
        <v>238082826</v>
      </c>
    </row>
    <row r="43" spans="1:13" x14ac:dyDescent="0.35">
      <c r="A43">
        <f t="shared" si="0"/>
        <v>238083003</v>
      </c>
      <c r="B43" t="s">
        <v>95</v>
      </c>
      <c r="C43">
        <v>194.2</v>
      </c>
      <c r="D43">
        <v>0</v>
      </c>
      <c r="E43">
        <v>194.2</v>
      </c>
      <c r="F43">
        <v>0</v>
      </c>
      <c r="G43">
        <v>0</v>
      </c>
      <c r="H43" s="4">
        <v>0</v>
      </c>
      <c r="I43" s="4">
        <v>0</v>
      </c>
      <c r="J43" s="4" t="s">
        <v>58</v>
      </c>
      <c r="K43">
        <v>311290.89263933193</v>
      </c>
      <c r="L43">
        <v>-61663.843207655431</v>
      </c>
      <c r="M43">
        <f t="shared" si="1"/>
        <v>238083003</v>
      </c>
    </row>
    <row r="44" spans="1:13" x14ac:dyDescent="0.35">
      <c r="A44">
        <f t="shared" si="0"/>
        <v>238084531</v>
      </c>
      <c r="B44" t="s">
        <v>96</v>
      </c>
      <c r="C44">
        <v>301.10000000000002</v>
      </c>
      <c r="D44">
        <v>0</v>
      </c>
      <c r="E44">
        <v>301.10000000000002</v>
      </c>
      <c r="F44">
        <v>0</v>
      </c>
      <c r="G44">
        <v>0</v>
      </c>
      <c r="H44" s="4">
        <v>0</v>
      </c>
      <c r="I44" s="4">
        <v>0</v>
      </c>
      <c r="J44" s="4" t="s">
        <v>58</v>
      </c>
      <c r="K44">
        <v>-532643.19991140277</v>
      </c>
      <c r="L44">
        <v>103463.33127281404</v>
      </c>
      <c r="M44">
        <f t="shared" si="1"/>
        <v>238084531</v>
      </c>
    </row>
    <row r="45" spans="1:13" x14ac:dyDescent="0.35">
      <c r="A45">
        <f t="shared" si="0"/>
        <v>238286688</v>
      </c>
      <c r="B45" t="s">
        <v>97</v>
      </c>
      <c r="C45">
        <v>1128.0999999999999</v>
      </c>
      <c r="D45">
        <v>0</v>
      </c>
      <c r="E45">
        <v>1128.0999999999999</v>
      </c>
      <c r="F45">
        <v>0</v>
      </c>
      <c r="G45">
        <v>0</v>
      </c>
      <c r="H45" s="4">
        <v>0</v>
      </c>
      <c r="I45" s="4">
        <v>0</v>
      </c>
      <c r="J45" s="4" t="s">
        <v>58</v>
      </c>
      <c r="K45">
        <v>-1992850.84037863</v>
      </c>
      <c r="L45">
        <v>386965.21504104597</v>
      </c>
      <c r="M45">
        <f t="shared" si="1"/>
        <v>238286688</v>
      </c>
    </row>
    <row r="46" spans="1:13" x14ac:dyDescent="0.35">
      <c r="A46">
        <f t="shared" si="0"/>
        <v>238396159</v>
      </c>
      <c r="B46" t="s">
        <v>98</v>
      </c>
      <c r="C46">
        <v>1208.3</v>
      </c>
      <c r="D46">
        <v>0</v>
      </c>
      <c r="E46">
        <v>1208.3</v>
      </c>
      <c r="F46">
        <v>0</v>
      </c>
      <c r="G46">
        <v>0</v>
      </c>
      <c r="H46" s="4">
        <v>0</v>
      </c>
      <c r="I46" s="4">
        <v>0</v>
      </c>
      <c r="J46" s="4" t="s">
        <v>58</v>
      </c>
      <c r="K46">
        <v>-2135339.2746193483</v>
      </c>
      <c r="L46">
        <v>414673.41582608724</v>
      </c>
      <c r="M46">
        <f t="shared" si="1"/>
        <v>238396159</v>
      </c>
    </row>
    <row r="47" spans="1:13" x14ac:dyDescent="0.35">
      <c r="A47">
        <f t="shared" si="0"/>
        <v>238569178</v>
      </c>
      <c r="B47" t="s">
        <v>99</v>
      </c>
      <c r="C47">
        <v>174.8</v>
      </c>
      <c r="D47">
        <v>0</v>
      </c>
      <c r="E47">
        <v>174.8</v>
      </c>
      <c r="F47">
        <v>0</v>
      </c>
      <c r="G47">
        <v>0</v>
      </c>
      <c r="H47" s="4">
        <v>0</v>
      </c>
      <c r="I47" s="4">
        <v>0</v>
      </c>
      <c r="J47" s="4" t="s">
        <v>58</v>
      </c>
      <c r="K47">
        <v>-321620.63827741594</v>
      </c>
      <c r="L47">
        <v>62097.784162961434</v>
      </c>
      <c r="M47">
        <f t="shared" si="1"/>
        <v>238569178</v>
      </c>
    </row>
    <row r="48" spans="1:13" x14ac:dyDescent="0.35">
      <c r="A48">
        <f t="shared" si="0"/>
        <v>239429835</v>
      </c>
      <c r="B48" t="s">
        <v>100</v>
      </c>
      <c r="C48">
        <v>469.5</v>
      </c>
      <c r="D48">
        <v>0</v>
      </c>
      <c r="E48">
        <v>469.5</v>
      </c>
      <c r="F48">
        <v>0</v>
      </c>
      <c r="G48">
        <v>0</v>
      </c>
      <c r="H48" s="4">
        <v>0</v>
      </c>
      <c r="I48" s="4">
        <v>0</v>
      </c>
      <c r="J48" s="4" t="s">
        <v>58</v>
      </c>
      <c r="K48">
        <v>-832345.46739713766</v>
      </c>
      <c r="L48">
        <v>161768.5128319411</v>
      </c>
      <c r="M48">
        <f t="shared" si="1"/>
        <v>239429835</v>
      </c>
    </row>
    <row r="49" spans="1:13" x14ac:dyDescent="0.35">
      <c r="A49">
        <f t="shared" si="0"/>
        <v>240582392</v>
      </c>
      <c r="B49" t="s">
        <v>101</v>
      </c>
      <c r="C49">
        <v>171</v>
      </c>
      <c r="D49">
        <v>0</v>
      </c>
      <c r="E49">
        <v>171</v>
      </c>
      <c r="F49">
        <v>0</v>
      </c>
      <c r="G49">
        <v>0</v>
      </c>
      <c r="H49" s="4">
        <v>0</v>
      </c>
      <c r="I49" s="4">
        <v>0</v>
      </c>
      <c r="J49" s="4" t="s">
        <v>58</v>
      </c>
      <c r="K49">
        <v>255187.49815517044</v>
      </c>
      <c r="L49">
        <v>-51254.743676096747</v>
      </c>
      <c r="M49">
        <f t="shared" si="1"/>
        <v>240582392</v>
      </c>
    </row>
    <row r="50" spans="1:13" x14ac:dyDescent="0.35">
      <c r="A50">
        <f t="shared" si="0"/>
        <v>241758424</v>
      </c>
      <c r="B50" t="s">
        <v>102</v>
      </c>
      <c r="C50">
        <v>247</v>
      </c>
      <c r="D50">
        <v>0</v>
      </c>
      <c r="E50">
        <v>247</v>
      </c>
      <c r="F50">
        <v>0</v>
      </c>
      <c r="G50">
        <v>0</v>
      </c>
      <c r="H50" s="4">
        <v>0</v>
      </c>
      <c r="I50" s="4">
        <v>0</v>
      </c>
      <c r="J50" s="4" t="s">
        <v>58</v>
      </c>
      <c r="K50">
        <v>457108.37898821494</v>
      </c>
      <c r="L50">
        <v>-88381.806932219391</v>
      </c>
      <c r="M50">
        <f t="shared" si="1"/>
        <v>241758424</v>
      </c>
    </row>
    <row r="51" spans="1:13" x14ac:dyDescent="0.35">
      <c r="A51">
        <f t="shared" si="0"/>
        <v>242795017</v>
      </c>
      <c r="B51" t="s">
        <v>103</v>
      </c>
      <c r="C51">
        <v>240.2</v>
      </c>
      <c r="D51">
        <v>0</v>
      </c>
      <c r="E51">
        <v>240.2</v>
      </c>
      <c r="F51">
        <v>0</v>
      </c>
      <c r="G51">
        <v>0</v>
      </c>
      <c r="H51" s="4">
        <v>0</v>
      </c>
      <c r="I51" s="4">
        <v>0</v>
      </c>
      <c r="J51" s="4" t="s">
        <v>58</v>
      </c>
      <c r="K51">
        <v>-427460.1941758052</v>
      </c>
      <c r="L51">
        <v>83158.452521987288</v>
      </c>
      <c r="M51">
        <f t="shared" si="1"/>
        <v>242795017</v>
      </c>
    </row>
    <row r="52" spans="1:13" x14ac:dyDescent="0.35">
      <c r="A52">
        <f t="shared" si="0"/>
        <v>244044869</v>
      </c>
      <c r="B52" t="s">
        <v>104</v>
      </c>
      <c r="C52">
        <v>99.2</v>
      </c>
      <c r="D52">
        <v>0</v>
      </c>
      <c r="E52">
        <v>99.2</v>
      </c>
      <c r="F52">
        <v>0</v>
      </c>
      <c r="G52">
        <v>0</v>
      </c>
      <c r="H52" s="4">
        <v>0</v>
      </c>
      <c r="I52" s="4">
        <v>0</v>
      </c>
      <c r="J52" s="4" t="s">
        <v>58</v>
      </c>
      <c r="K52">
        <v>205808.81111971062</v>
      </c>
      <c r="L52">
        <v>-39628.648795116555</v>
      </c>
      <c r="M52">
        <f t="shared" si="1"/>
        <v>244044869</v>
      </c>
    </row>
    <row r="53" spans="1:13" x14ac:dyDescent="0.35">
      <c r="A53">
        <f t="shared" si="0"/>
        <v>244604439</v>
      </c>
      <c r="B53" t="s">
        <v>105</v>
      </c>
      <c r="C53">
        <v>1587.3</v>
      </c>
      <c r="D53">
        <v>0</v>
      </c>
      <c r="E53">
        <v>1587.3</v>
      </c>
      <c r="F53">
        <v>0</v>
      </c>
      <c r="G53">
        <v>0</v>
      </c>
      <c r="H53" s="4">
        <v>0</v>
      </c>
      <c r="I53" s="4">
        <v>0</v>
      </c>
      <c r="J53" s="4" t="s">
        <v>58</v>
      </c>
      <c r="K53">
        <v>2840436.3727529622</v>
      </c>
      <c r="L53">
        <v>-553353.64128723252</v>
      </c>
      <c r="M53">
        <f t="shared" si="1"/>
        <v>244604439</v>
      </c>
    </row>
    <row r="54" spans="1:13" x14ac:dyDescent="0.35">
      <c r="A54">
        <f t="shared" si="0"/>
        <v>244608633</v>
      </c>
      <c r="B54" t="s">
        <v>106</v>
      </c>
      <c r="C54">
        <v>1192.3</v>
      </c>
      <c r="D54">
        <v>0</v>
      </c>
      <c r="E54">
        <v>1192.3</v>
      </c>
      <c r="F54">
        <v>0</v>
      </c>
      <c r="G54">
        <v>0</v>
      </c>
      <c r="H54" s="4">
        <v>0</v>
      </c>
      <c r="I54" s="4">
        <v>0</v>
      </c>
      <c r="J54" s="4" t="s">
        <v>58</v>
      </c>
      <c r="K54">
        <v>2135077.0676284758</v>
      </c>
      <c r="L54">
        <v>-416013.3124441416</v>
      </c>
      <c r="M54">
        <f t="shared" si="1"/>
        <v>244608633</v>
      </c>
    </row>
    <row r="55" spans="1:13" x14ac:dyDescent="0.35">
      <c r="A55">
        <f t="shared" si="0"/>
        <v>244855170</v>
      </c>
      <c r="B55" t="s">
        <v>107</v>
      </c>
      <c r="C55">
        <v>820.99199999999996</v>
      </c>
      <c r="D55">
        <v>0</v>
      </c>
      <c r="E55">
        <v>820.99199999999996</v>
      </c>
      <c r="F55">
        <v>0</v>
      </c>
      <c r="G55">
        <v>0</v>
      </c>
      <c r="H55" s="4">
        <v>0</v>
      </c>
      <c r="I55" s="4">
        <v>0</v>
      </c>
      <c r="J55" s="4" t="s">
        <v>58</v>
      </c>
      <c r="K55">
        <v>1468341.7040503183</v>
      </c>
      <c r="L55">
        <v>-286012.464371579</v>
      </c>
      <c r="M55">
        <f t="shared" si="1"/>
        <v>244855170</v>
      </c>
    </row>
    <row r="56" spans="1:13" x14ac:dyDescent="0.35">
      <c r="A56">
        <f t="shared" si="0"/>
        <v>244974233</v>
      </c>
      <c r="B56" t="s">
        <v>108</v>
      </c>
      <c r="C56">
        <v>159.1</v>
      </c>
      <c r="D56">
        <v>0</v>
      </c>
      <c r="E56">
        <v>159.1</v>
      </c>
      <c r="F56">
        <v>0</v>
      </c>
      <c r="G56">
        <v>0</v>
      </c>
      <c r="H56" s="4">
        <v>0</v>
      </c>
      <c r="I56" s="4">
        <v>0</v>
      </c>
      <c r="J56" s="4" t="s">
        <v>58</v>
      </c>
      <c r="K56">
        <v>284425.1185291225</v>
      </c>
      <c r="L56">
        <v>-55395.922297612444</v>
      </c>
      <c r="M56">
        <f t="shared" si="1"/>
        <v>244974233</v>
      </c>
    </row>
    <row r="57" spans="1:13" x14ac:dyDescent="0.35">
      <c r="A57">
        <f t="shared" si="0"/>
        <v>244975732</v>
      </c>
      <c r="B57" t="s">
        <v>109</v>
      </c>
      <c r="C57">
        <v>825.4</v>
      </c>
      <c r="D57">
        <v>0</v>
      </c>
      <c r="E57">
        <v>825.4</v>
      </c>
      <c r="F57">
        <v>0</v>
      </c>
      <c r="G57">
        <v>0</v>
      </c>
      <c r="H57" s="4">
        <v>0</v>
      </c>
      <c r="I57" s="4">
        <v>0</v>
      </c>
      <c r="J57" s="4" t="s">
        <v>58</v>
      </c>
      <c r="K57">
        <v>1475450.9700422829</v>
      </c>
      <c r="L57">
        <v>-287359.25840778439</v>
      </c>
      <c r="M57">
        <f t="shared" si="1"/>
        <v>244975732</v>
      </c>
    </row>
    <row r="58" spans="1:13" x14ac:dyDescent="0.35">
      <c r="A58">
        <f t="shared" si="0"/>
        <v>249795190</v>
      </c>
      <c r="B58" t="s">
        <v>110</v>
      </c>
      <c r="C58">
        <v>684.4</v>
      </c>
      <c r="D58">
        <v>0</v>
      </c>
      <c r="E58">
        <v>684.4</v>
      </c>
      <c r="F58">
        <v>0</v>
      </c>
      <c r="G58">
        <v>0</v>
      </c>
      <c r="H58" s="4">
        <v>0</v>
      </c>
      <c r="I58" s="4">
        <v>0</v>
      </c>
      <c r="J58" s="4" t="s">
        <v>58</v>
      </c>
      <c r="K58">
        <v>877689.95237769245</v>
      </c>
      <c r="L58">
        <v>-182660.56254018849</v>
      </c>
      <c r="M58">
        <f t="shared" si="1"/>
        <v>249795190</v>
      </c>
    </row>
    <row r="59" spans="1:13" x14ac:dyDescent="0.35">
      <c r="A59">
        <f t="shared" si="0"/>
        <v>249800651</v>
      </c>
      <c r="B59" t="s">
        <v>111</v>
      </c>
      <c r="C59">
        <v>177</v>
      </c>
      <c r="D59">
        <v>0</v>
      </c>
      <c r="E59">
        <v>177</v>
      </c>
      <c r="F59">
        <v>0</v>
      </c>
      <c r="G59">
        <v>0</v>
      </c>
      <c r="H59" s="4">
        <v>0</v>
      </c>
      <c r="I59" s="4">
        <v>0</v>
      </c>
      <c r="J59" s="4" t="s">
        <v>58</v>
      </c>
      <c r="K59">
        <v>294541.55788490328</v>
      </c>
      <c r="L59">
        <v>-58233.570106270294</v>
      </c>
      <c r="M59">
        <f t="shared" si="1"/>
        <v>249800651</v>
      </c>
    </row>
    <row r="60" spans="1:13" x14ac:dyDescent="0.35">
      <c r="A60">
        <f t="shared" si="0"/>
        <v>249800652</v>
      </c>
      <c r="B60" t="s">
        <v>112</v>
      </c>
      <c r="C60">
        <v>212</v>
      </c>
      <c r="D60">
        <v>0</v>
      </c>
      <c r="E60">
        <v>212</v>
      </c>
      <c r="F60">
        <v>0</v>
      </c>
      <c r="G60">
        <v>0</v>
      </c>
      <c r="H60" s="4">
        <v>0</v>
      </c>
      <c r="I60" s="4">
        <v>0</v>
      </c>
      <c r="J60" s="4" t="s">
        <v>58</v>
      </c>
      <c r="K60">
        <v>370442.43740800163</v>
      </c>
      <c r="L60">
        <v>-72587.905164387033</v>
      </c>
      <c r="M60">
        <f t="shared" si="1"/>
        <v>249800652</v>
      </c>
    </row>
    <row r="61" spans="1:13" x14ac:dyDescent="0.35">
      <c r="A61">
        <f t="shared" si="0"/>
        <v>249801055</v>
      </c>
      <c r="B61" t="s">
        <v>113</v>
      </c>
      <c r="C61">
        <v>440</v>
      </c>
      <c r="D61">
        <v>0</v>
      </c>
      <c r="E61">
        <v>440</v>
      </c>
      <c r="F61">
        <v>0</v>
      </c>
      <c r="G61">
        <v>0</v>
      </c>
      <c r="H61" s="4">
        <v>0</v>
      </c>
      <c r="I61" s="4">
        <v>0</v>
      </c>
      <c r="J61" s="4" t="s">
        <v>58</v>
      </c>
      <c r="K61">
        <v>983219.45001715189</v>
      </c>
      <c r="L61">
        <v>-187911.82151079815</v>
      </c>
      <c r="M61">
        <f t="shared" si="1"/>
        <v>249801055</v>
      </c>
    </row>
    <row r="62" spans="1:13" x14ac:dyDescent="0.35">
      <c r="A62">
        <f t="shared" si="0"/>
        <v>250656579</v>
      </c>
      <c r="B62" t="s">
        <v>114</v>
      </c>
      <c r="C62">
        <v>301.3</v>
      </c>
      <c r="D62">
        <v>0</v>
      </c>
      <c r="E62">
        <v>301.3</v>
      </c>
      <c r="F62">
        <v>0</v>
      </c>
      <c r="G62">
        <v>0</v>
      </c>
      <c r="H62" s="4">
        <v>0</v>
      </c>
      <c r="I62" s="4">
        <v>0</v>
      </c>
      <c r="J62" s="4" t="s">
        <v>58</v>
      </c>
      <c r="K62">
        <v>-606599.52789675689</v>
      </c>
      <c r="L62">
        <v>117105.29811468003</v>
      </c>
      <c r="M62">
        <f t="shared" si="1"/>
        <v>250656579</v>
      </c>
    </row>
    <row r="63" spans="1:13" x14ac:dyDescent="0.35">
      <c r="A63">
        <f t="shared" si="0"/>
        <v>250657548</v>
      </c>
      <c r="B63" t="s">
        <v>115</v>
      </c>
      <c r="C63">
        <v>274.39999999999998</v>
      </c>
      <c r="D63">
        <v>0</v>
      </c>
      <c r="E63">
        <v>274.39999999999998</v>
      </c>
      <c r="F63">
        <v>0</v>
      </c>
      <c r="G63">
        <v>0</v>
      </c>
      <c r="H63" s="4">
        <v>0</v>
      </c>
      <c r="I63" s="4">
        <v>0</v>
      </c>
      <c r="J63" s="4" t="s">
        <v>58</v>
      </c>
      <c r="K63">
        <v>613968.71865001868</v>
      </c>
      <c r="L63">
        <v>-117369.74051719403</v>
      </c>
      <c r="M63">
        <f t="shared" si="1"/>
        <v>250657548</v>
      </c>
    </row>
    <row r="64" spans="1:13" x14ac:dyDescent="0.35">
      <c r="A64">
        <f t="shared" si="0"/>
        <v>251360193</v>
      </c>
      <c r="B64" t="s">
        <v>116</v>
      </c>
      <c r="C64">
        <v>1437</v>
      </c>
      <c r="D64">
        <v>0</v>
      </c>
      <c r="E64">
        <v>1437</v>
      </c>
      <c r="F64">
        <v>0</v>
      </c>
      <c r="G64">
        <v>0</v>
      </c>
      <c r="H64" s="4">
        <v>0</v>
      </c>
      <c r="I64" s="4">
        <v>0</v>
      </c>
      <c r="J64" s="4" t="s">
        <v>58</v>
      </c>
      <c r="K64">
        <v>-2893013.7954798308</v>
      </c>
      <c r="L64">
        <v>558455.77504162223</v>
      </c>
      <c r="M64">
        <f t="shared" si="1"/>
        <v>251360193</v>
      </c>
    </row>
    <row r="65" spans="1:13" x14ac:dyDescent="0.35">
      <c r="A65">
        <f t="shared" si="0"/>
        <v>251365860</v>
      </c>
      <c r="B65" t="s">
        <v>117</v>
      </c>
      <c r="C65">
        <v>1134.4000000000001</v>
      </c>
      <c r="D65">
        <v>0</v>
      </c>
      <c r="E65">
        <v>1134.4000000000001</v>
      </c>
      <c r="F65">
        <v>0</v>
      </c>
      <c r="G65">
        <v>0</v>
      </c>
      <c r="H65" s="4">
        <v>0</v>
      </c>
      <c r="I65" s="4">
        <v>0</v>
      </c>
      <c r="J65" s="4" t="s">
        <v>58</v>
      </c>
      <c r="K65">
        <v>-2283013.5390879395</v>
      </c>
      <c r="L65">
        <v>440670.48236701806</v>
      </c>
      <c r="M65">
        <f t="shared" si="1"/>
        <v>251365860</v>
      </c>
    </row>
    <row r="66" spans="1:13" x14ac:dyDescent="0.35">
      <c r="A66">
        <f t="shared" si="0"/>
        <v>251443899</v>
      </c>
      <c r="B66" t="s">
        <v>118</v>
      </c>
      <c r="C66">
        <v>1160.9000000000001</v>
      </c>
      <c r="D66">
        <v>0</v>
      </c>
      <c r="E66">
        <v>1160.9000000000001</v>
      </c>
      <c r="F66">
        <v>0</v>
      </c>
      <c r="G66">
        <v>0</v>
      </c>
      <c r="H66" s="4">
        <v>0</v>
      </c>
      <c r="I66" s="4">
        <v>0</v>
      </c>
      <c r="J66" s="4" t="s">
        <v>58</v>
      </c>
      <c r="K66">
        <v>-2337298.7843090198</v>
      </c>
      <c r="L66">
        <v>451183.47085150285</v>
      </c>
      <c r="M66">
        <f t="shared" si="1"/>
        <v>251443899</v>
      </c>
    </row>
    <row r="67" spans="1:13" x14ac:dyDescent="0.35">
      <c r="A67">
        <f t="shared" ref="A67:A130" si="2">M67</f>
        <v>252372485</v>
      </c>
      <c r="B67" t="s">
        <v>119</v>
      </c>
      <c r="C67">
        <v>332.1</v>
      </c>
      <c r="D67">
        <v>0</v>
      </c>
      <c r="E67">
        <v>332.1</v>
      </c>
      <c r="F67">
        <v>0</v>
      </c>
      <c r="G67">
        <v>0</v>
      </c>
      <c r="H67" s="4">
        <v>0</v>
      </c>
      <c r="I67" s="4">
        <v>0</v>
      </c>
      <c r="J67" s="4" t="s">
        <v>58</v>
      </c>
      <c r="K67">
        <v>-436815.02268594486</v>
      </c>
      <c r="L67">
        <v>90483.968894752354</v>
      </c>
      <c r="M67">
        <f t="shared" ref="M67:M130" si="3">VALUE(B67)</f>
        <v>252372485</v>
      </c>
    </row>
    <row r="68" spans="1:13" x14ac:dyDescent="0.35">
      <c r="A68">
        <f t="shared" si="2"/>
        <v>252372486</v>
      </c>
      <c r="B68" t="s">
        <v>120</v>
      </c>
      <c r="C68">
        <v>244.2</v>
      </c>
      <c r="D68">
        <v>0</v>
      </c>
      <c r="E68">
        <v>244.2</v>
      </c>
      <c r="F68">
        <v>0</v>
      </c>
      <c r="G68">
        <v>0</v>
      </c>
      <c r="H68" s="4">
        <v>0</v>
      </c>
      <c r="I68" s="4">
        <v>0</v>
      </c>
      <c r="J68" s="4" t="s">
        <v>58</v>
      </c>
      <c r="K68">
        <v>496878.49307883589</v>
      </c>
      <c r="L68">
        <v>-91877.774305860046</v>
      </c>
      <c r="M68">
        <f t="shared" si="3"/>
        <v>252372486</v>
      </c>
    </row>
    <row r="69" spans="1:13" x14ac:dyDescent="0.35">
      <c r="A69">
        <f t="shared" si="2"/>
        <v>252981101</v>
      </c>
      <c r="B69" t="s">
        <v>121</v>
      </c>
      <c r="C69">
        <v>335.5</v>
      </c>
      <c r="D69">
        <v>0</v>
      </c>
      <c r="E69">
        <v>335.5</v>
      </c>
      <c r="F69">
        <v>0</v>
      </c>
      <c r="G69">
        <v>0</v>
      </c>
      <c r="H69" s="4">
        <v>0</v>
      </c>
      <c r="I69" s="4">
        <v>0</v>
      </c>
      <c r="J69" s="4" t="s">
        <v>58</v>
      </c>
      <c r="K69">
        <v>-442067.52717889554</v>
      </c>
      <c r="L69">
        <v>91617.506810194056</v>
      </c>
      <c r="M69">
        <f t="shared" si="3"/>
        <v>252981101</v>
      </c>
    </row>
    <row r="70" spans="1:13" x14ac:dyDescent="0.35">
      <c r="A70">
        <f t="shared" si="2"/>
        <v>252981116</v>
      </c>
      <c r="B70" t="s">
        <v>122</v>
      </c>
      <c r="C70">
        <v>212</v>
      </c>
      <c r="D70">
        <v>0</v>
      </c>
      <c r="E70">
        <v>212</v>
      </c>
      <c r="F70">
        <v>0</v>
      </c>
      <c r="G70">
        <v>0</v>
      </c>
      <c r="H70" s="4">
        <v>0</v>
      </c>
      <c r="I70" s="4">
        <v>0</v>
      </c>
      <c r="J70" s="4" t="s">
        <v>58</v>
      </c>
      <c r="K70">
        <v>479001.2263517417</v>
      </c>
      <c r="L70">
        <v>-91714.265971524917</v>
      </c>
      <c r="M70">
        <f t="shared" si="3"/>
        <v>252981116</v>
      </c>
    </row>
    <row r="71" spans="1:13" x14ac:dyDescent="0.35">
      <c r="A71">
        <f t="shared" si="2"/>
        <v>253071448</v>
      </c>
      <c r="B71" t="s">
        <v>123</v>
      </c>
      <c r="C71">
        <v>404.6</v>
      </c>
      <c r="D71">
        <v>0</v>
      </c>
      <c r="E71">
        <v>404.6</v>
      </c>
      <c r="F71">
        <v>0</v>
      </c>
      <c r="G71">
        <v>0</v>
      </c>
      <c r="H71" s="4">
        <v>0</v>
      </c>
      <c r="I71" s="4">
        <v>0</v>
      </c>
      <c r="J71" s="4" t="s">
        <v>58</v>
      </c>
      <c r="K71">
        <v>823182.30210798315</v>
      </c>
      <c r="L71">
        <v>-159209.82866136139</v>
      </c>
      <c r="M71">
        <f t="shared" si="3"/>
        <v>253071448</v>
      </c>
    </row>
    <row r="72" spans="1:13" x14ac:dyDescent="0.35">
      <c r="A72">
        <f t="shared" si="2"/>
        <v>253368726</v>
      </c>
      <c r="B72" t="s">
        <v>124</v>
      </c>
      <c r="C72">
        <v>467.4</v>
      </c>
      <c r="D72">
        <v>0</v>
      </c>
      <c r="E72">
        <v>467.4</v>
      </c>
      <c r="F72">
        <v>0</v>
      </c>
      <c r="G72">
        <v>0</v>
      </c>
      <c r="H72" s="4">
        <v>0</v>
      </c>
      <c r="I72" s="4">
        <v>0</v>
      </c>
      <c r="J72" s="4" t="s">
        <v>58</v>
      </c>
      <c r="K72">
        <v>950953.21021302021</v>
      </c>
      <c r="L72">
        <v>-183916.9968657982</v>
      </c>
      <c r="M72">
        <f t="shared" si="3"/>
        <v>253368726</v>
      </c>
    </row>
    <row r="73" spans="1:13" x14ac:dyDescent="0.35">
      <c r="A73">
        <f t="shared" si="2"/>
        <v>253368727</v>
      </c>
      <c r="B73" t="s">
        <v>125</v>
      </c>
      <c r="C73">
        <v>425.2</v>
      </c>
      <c r="D73">
        <v>0</v>
      </c>
      <c r="E73">
        <v>425.2</v>
      </c>
      <c r="F73">
        <v>0</v>
      </c>
      <c r="G73">
        <v>0</v>
      </c>
      <c r="H73" s="4">
        <v>0</v>
      </c>
      <c r="I73" s="4">
        <v>0</v>
      </c>
      <c r="J73" s="4" t="s">
        <v>58</v>
      </c>
      <c r="K73">
        <v>-961856.38006420189</v>
      </c>
      <c r="L73">
        <v>184200.2800439139</v>
      </c>
      <c r="M73">
        <f t="shared" si="3"/>
        <v>253368727</v>
      </c>
    </row>
    <row r="74" spans="1:13" x14ac:dyDescent="0.35">
      <c r="A74" t="str">
        <f t="shared" si="2"/>
        <v>91282CGQ8</v>
      </c>
      <c r="B74" t="s">
        <v>19</v>
      </c>
      <c r="C74">
        <v>378</v>
      </c>
      <c r="D74">
        <v>0</v>
      </c>
      <c r="E74">
        <v>378</v>
      </c>
      <c r="F74">
        <v>0</v>
      </c>
      <c r="G74">
        <v>0</v>
      </c>
      <c r="H74" s="4">
        <v>0</v>
      </c>
      <c r="I74" s="4">
        <v>0</v>
      </c>
      <c r="J74" s="4" t="s">
        <v>69</v>
      </c>
      <c r="K74">
        <v>-605390.62494015926</v>
      </c>
      <c r="L74">
        <v>114867.42437227804</v>
      </c>
      <c r="M74" t="s">
        <v>19</v>
      </c>
    </row>
    <row r="75" spans="1:13" x14ac:dyDescent="0.35">
      <c r="A75" t="str">
        <f t="shared" si="2"/>
        <v>91282CMA6</v>
      </c>
      <c r="B75" t="s">
        <v>18</v>
      </c>
      <c r="C75">
        <v>338.2</v>
      </c>
      <c r="D75">
        <v>0</v>
      </c>
      <c r="E75">
        <v>338.2</v>
      </c>
      <c r="F75">
        <v>0</v>
      </c>
      <c r="G75">
        <v>0</v>
      </c>
      <c r="H75" s="4">
        <v>0</v>
      </c>
      <c r="I75" s="4">
        <v>0</v>
      </c>
      <c r="J75" s="4" t="s">
        <v>69</v>
      </c>
      <c r="K75">
        <v>-488804.68749048386</v>
      </c>
      <c r="L75">
        <v>96174.60790423138</v>
      </c>
      <c r="M75" t="s">
        <v>18</v>
      </c>
    </row>
    <row r="76" spans="1:13" x14ac:dyDescent="0.35">
      <c r="A76" t="str">
        <f t="shared" si="2"/>
        <v>91282CMZ1</v>
      </c>
      <c r="B76" t="s">
        <v>20</v>
      </c>
      <c r="C76">
        <v>385.3</v>
      </c>
      <c r="D76">
        <v>0</v>
      </c>
      <c r="E76">
        <v>385.3</v>
      </c>
      <c r="F76">
        <v>0</v>
      </c>
      <c r="G76">
        <v>0</v>
      </c>
      <c r="H76" s="4">
        <v>0</v>
      </c>
      <c r="I76" s="4">
        <v>0</v>
      </c>
      <c r="J76" s="4" t="s">
        <v>69</v>
      </c>
      <c r="K76">
        <v>-632132.81226669147</v>
      </c>
      <c r="L76">
        <v>121867.79582634699</v>
      </c>
      <c r="M76" t="s">
        <v>20</v>
      </c>
    </row>
    <row r="77" spans="1:13" x14ac:dyDescent="0.35">
      <c r="A77" t="str">
        <f t="shared" si="2"/>
        <v>91282CNG2</v>
      </c>
      <c r="B77" t="s">
        <v>21</v>
      </c>
      <c r="C77">
        <v>193</v>
      </c>
      <c r="D77">
        <v>0</v>
      </c>
      <c r="E77">
        <v>193</v>
      </c>
      <c r="F77">
        <v>0</v>
      </c>
      <c r="G77">
        <v>0</v>
      </c>
      <c r="H77" s="4">
        <v>0</v>
      </c>
      <c r="I77" s="4">
        <v>0</v>
      </c>
      <c r="J77" s="4" t="s">
        <v>69</v>
      </c>
      <c r="K77">
        <v>-324179.68744177261</v>
      </c>
      <c r="L77">
        <v>62451.301374721879</v>
      </c>
      <c r="M77" t="s">
        <v>21</v>
      </c>
    </row>
    <row r="78" spans="1:13" x14ac:dyDescent="0.35">
      <c r="A78" t="str">
        <f t="shared" si="2"/>
        <v>91282CNN7</v>
      </c>
      <c r="B78" t="s">
        <v>22</v>
      </c>
      <c r="C78">
        <v>427.3</v>
      </c>
      <c r="D78">
        <v>0</v>
      </c>
      <c r="E78">
        <v>427.3</v>
      </c>
      <c r="F78">
        <v>0</v>
      </c>
      <c r="G78">
        <v>0</v>
      </c>
      <c r="H78" s="4">
        <v>0</v>
      </c>
      <c r="I78" s="4">
        <v>0</v>
      </c>
      <c r="J78" s="4" t="s">
        <v>69</v>
      </c>
      <c r="K78">
        <v>-717730.46875042503</v>
      </c>
      <c r="L78">
        <v>143516.46095178695</v>
      </c>
      <c r="M78" t="s">
        <v>22</v>
      </c>
    </row>
    <row r="79" spans="1:13" x14ac:dyDescent="0.35">
      <c r="A79" t="str">
        <f t="shared" si="2"/>
        <v>91282CNX5</v>
      </c>
      <c r="B79" t="s">
        <v>23</v>
      </c>
      <c r="C79">
        <v>-518.5</v>
      </c>
      <c r="D79">
        <v>0</v>
      </c>
      <c r="E79">
        <v>-518.5</v>
      </c>
      <c r="F79">
        <v>0</v>
      </c>
      <c r="G79">
        <v>0</v>
      </c>
      <c r="H79" s="4">
        <v>0</v>
      </c>
      <c r="I79" s="4">
        <v>0</v>
      </c>
      <c r="J79" s="4" t="s">
        <v>69</v>
      </c>
      <c r="K79">
        <v>911425.78124823165</v>
      </c>
      <c r="L79">
        <v>-176434.10224366107</v>
      </c>
      <c r="M79" t="s">
        <v>23</v>
      </c>
    </row>
    <row r="80" spans="1:13" x14ac:dyDescent="0.35">
      <c r="A80" t="str">
        <f t="shared" si="2"/>
        <v>91282CPD7</v>
      </c>
      <c r="B80" t="s">
        <v>24</v>
      </c>
      <c r="C80">
        <v>382</v>
      </c>
      <c r="D80">
        <v>0</v>
      </c>
      <c r="E80">
        <v>382</v>
      </c>
      <c r="F80">
        <v>0</v>
      </c>
      <c r="G80">
        <v>0</v>
      </c>
      <c r="H80" s="4">
        <v>0</v>
      </c>
      <c r="I80" s="4">
        <v>0</v>
      </c>
      <c r="J80" s="4" t="s">
        <v>69</v>
      </c>
      <c r="K80">
        <v>-671484.37499983713</v>
      </c>
      <c r="L80">
        <v>134830.65515629278</v>
      </c>
      <c r="M80" t="s">
        <v>24</v>
      </c>
    </row>
    <row r="81" spans="1:13" x14ac:dyDescent="0.35">
      <c r="A81" t="str">
        <f t="shared" si="2"/>
        <v>91282CQU8</v>
      </c>
      <c r="B81" t="s">
        <v>26</v>
      </c>
      <c r="C81">
        <v>336.42</v>
      </c>
      <c r="D81">
        <v>0</v>
      </c>
      <c r="E81">
        <v>336.42</v>
      </c>
      <c r="F81">
        <v>0</v>
      </c>
      <c r="G81">
        <v>0</v>
      </c>
      <c r="H81" s="4">
        <v>0</v>
      </c>
      <c r="I81" s="4">
        <v>0</v>
      </c>
      <c r="J81" s="4" t="s">
        <v>69</v>
      </c>
      <c r="K81">
        <v>-722777.34377462126</v>
      </c>
      <c r="L81">
        <v>134876.7562149078</v>
      </c>
      <c r="M81" t="s">
        <v>26</v>
      </c>
    </row>
    <row r="82" spans="1:13" x14ac:dyDescent="0.35">
      <c r="A82" t="str">
        <f t="shared" si="2"/>
        <v>91282CQX2</v>
      </c>
      <c r="B82" t="s">
        <v>27</v>
      </c>
      <c r="C82">
        <v>71.144000000000005</v>
      </c>
      <c r="D82">
        <v>0</v>
      </c>
      <c r="E82">
        <v>71.144000000000005</v>
      </c>
      <c r="F82">
        <v>0</v>
      </c>
      <c r="G82">
        <v>0</v>
      </c>
      <c r="H82" s="4">
        <v>0</v>
      </c>
      <c r="I82" s="4">
        <v>0</v>
      </c>
      <c r="J82" s="4" t="s">
        <v>69</v>
      </c>
      <c r="K82">
        <v>-144511.25000595491</v>
      </c>
      <c r="L82">
        <v>28965.274455003968</v>
      </c>
      <c r="M82" t="s">
        <v>27</v>
      </c>
    </row>
    <row r="83" spans="1:13" x14ac:dyDescent="0.35">
      <c r="A83" t="str">
        <f t="shared" si="2"/>
        <v>91282CRA1</v>
      </c>
      <c r="B83" t="s">
        <v>28</v>
      </c>
      <c r="C83">
        <v>336.20600000000002</v>
      </c>
      <c r="D83">
        <v>0</v>
      </c>
      <c r="E83">
        <v>336.20600000000002</v>
      </c>
      <c r="F83">
        <v>0</v>
      </c>
      <c r="G83">
        <v>0</v>
      </c>
      <c r="H83" s="4">
        <v>0</v>
      </c>
      <c r="I83" s="4">
        <v>0</v>
      </c>
      <c r="J83" s="4" t="s">
        <v>69</v>
      </c>
      <c r="K83">
        <v>-709184.53121388005</v>
      </c>
      <c r="L83">
        <v>139844.98536103728</v>
      </c>
      <c r="M83" t="s">
        <v>28</v>
      </c>
    </row>
    <row r="84" spans="1:13" x14ac:dyDescent="0.35">
      <c r="A84" t="str">
        <f t="shared" si="2"/>
        <v>91282CRK9</v>
      </c>
      <c r="B84" t="s">
        <v>29</v>
      </c>
      <c r="C84">
        <v>-811.3</v>
      </c>
      <c r="D84">
        <v>0</v>
      </c>
      <c r="E84">
        <v>-811.3</v>
      </c>
      <c r="F84">
        <v>0</v>
      </c>
      <c r="G84">
        <v>0</v>
      </c>
      <c r="H84" s="4">
        <v>0</v>
      </c>
      <c r="I84" s="4">
        <v>0</v>
      </c>
      <c r="J84" s="4" t="s">
        <v>69</v>
      </c>
      <c r="K84">
        <v>1806410.156158688</v>
      </c>
      <c r="L84">
        <v>-342571.28400838608</v>
      </c>
      <c r="M84" t="s">
        <v>29</v>
      </c>
    </row>
    <row r="85" spans="1:13" x14ac:dyDescent="0.35">
      <c r="A85" t="str">
        <f t="shared" si="2"/>
        <v>91282CRL7</v>
      </c>
      <c r="B85" t="s">
        <v>17</v>
      </c>
      <c r="C85">
        <v>815.5</v>
      </c>
      <c r="D85">
        <v>0</v>
      </c>
      <c r="E85">
        <v>815.5</v>
      </c>
      <c r="F85">
        <v>0</v>
      </c>
      <c r="G85">
        <v>0</v>
      </c>
      <c r="H85" s="4">
        <v>0</v>
      </c>
      <c r="I85" s="4">
        <v>0</v>
      </c>
      <c r="J85" s="4" t="s">
        <v>69</v>
      </c>
      <c r="K85">
        <v>-1146796.8749994205</v>
      </c>
      <c r="L85">
        <v>218845.88583986898</v>
      </c>
      <c r="M85" t="s">
        <v>17</v>
      </c>
    </row>
    <row r="86" spans="1:13" x14ac:dyDescent="0.35">
      <c r="A86" t="str">
        <f t="shared" si="2"/>
        <v>91282CRN3</v>
      </c>
      <c r="B86" t="s">
        <v>30</v>
      </c>
      <c r="C86">
        <v>305.7</v>
      </c>
      <c r="D86">
        <v>0</v>
      </c>
      <c r="E86">
        <v>305.7</v>
      </c>
      <c r="F86">
        <v>0</v>
      </c>
      <c r="G86">
        <v>0</v>
      </c>
      <c r="H86" s="4">
        <v>0</v>
      </c>
      <c r="I86" s="4">
        <v>0</v>
      </c>
      <c r="J86" s="4" t="s">
        <v>69</v>
      </c>
      <c r="K86">
        <v>-668718.74996507214</v>
      </c>
      <c r="L86">
        <v>133082.22555963311</v>
      </c>
      <c r="M86" t="s">
        <v>30</v>
      </c>
    </row>
    <row r="87" spans="1:13" x14ac:dyDescent="0.35">
      <c r="A87" t="str">
        <f t="shared" si="2"/>
        <v>FVZ6</v>
      </c>
      <c r="B87" t="s">
        <v>25</v>
      </c>
      <c r="C87">
        <v>-19246</v>
      </c>
      <c r="D87">
        <v>0</v>
      </c>
      <c r="E87">
        <v>-19246</v>
      </c>
      <c r="F87">
        <v>0</v>
      </c>
      <c r="G87">
        <v>0</v>
      </c>
      <c r="H87" s="4">
        <v>0</v>
      </c>
      <c r="I87" s="4">
        <v>0</v>
      </c>
      <c r="J87" s="4" t="s">
        <v>60</v>
      </c>
      <c r="K87">
        <v>4210062.5</v>
      </c>
      <c r="L87">
        <v>-805941.81334122852</v>
      </c>
      <c r="M87" t="s">
        <v>25</v>
      </c>
    </row>
    <row r="88" spans="1:13" x14ac:dyDescent="0.35">
      <c r="A88" t="str">
        <f t="shared" si="2"/>
        <v>SERU6</v>
      </c>
      <c r="B88" t="s">
        <v>126</v>
      </c>
      <c r="C88">
        <v>0</v>
      </c>
      <c r="D88">
        <v>0</v>
      </c>
      <c r="E88">
        <v>-449</v>
      </c>
      <c r="F88">
        <v>449</v>
      </c>
      <c r="G88">
        <v>96.251000000000005</v>
      </c>
      <c r="H88" s="4">
        <v>0</v>
      </c>
      <c r="I88" s="4">
        <v>96.251000000000005</v>
      </c>
      <c r="J88" s="4" t="s">
        <v>127</v>
      </c>
      <c r="K88" t="e">
        <v>#NUM!</v>
      </c>
      <c r="L88">
        <v>0</v>
      </c>
      <c r="M88" t="s">
        <v>126</v>
      </c>
    </row>
    <row r="89" spans="1:13" x14ac:dyDescent="0.35">
      <c r="A89" t="str">
        <f t="shared" si="2"/>
        <v>SERV6</v>
      </c>
      <c r="B89" t="s">
        <v>128</v>
      </c>
      <c r="C89">
        <v>-512</v>
      </c>
      <c r="D89">
        <v>0</v>
      </c>
      <c r="E89">
        <v>-512</v>
      </c>
      <c r="F89">
        <v>0</v>
      </c>
      <c r="G89">
        <v>0</v>
      </c>
      <c r="H89" s="4">
        <v>0</v>
      </c>
      <c r="I89" s="4">
        <v>0</v>
      </c>
      <c r="J89" s="4" t="s">
        <v>127</v>
      </c>
      <c r="K89">
        <v>-5333.759999995149</v>
      </c>
      <c r="L89">
        <v>-18582.131612903228</v>
      </c>
      <c r="M89" t="s">
        <v>128</v>
      </c>
    </row>
    <row r="90" spans="1:13" x14ac:dyDescent="0.35">
      <c r="A90" t="str">
        <f t="shared" si="2"/>
        <v>SERX6</v>
      </c>
      <c r="B90" t="s">
        <v>129</v>
      </c>
      <c r="C90">
        <v>-402</v>
      </c>
      <c r="D90">
        <v>0</v>
      </c>
      <c r="E90">
        <v>-402</v>
      </c>
      <c r="F90">
        <v>0</v>
      </c>
      <c r="G90">
        <v>0</v>
      </c>
      <c r="H90" s="4">
        <v>0</v>
      </c>
      <c r="I90" s="4">
        <v>0</v>
      </c>
      <c r="J90" s="4" t="s">
        <v>127</v>
      </c>
      <c r="K90">
        <v>-16751.340000008571</v>
      </c>
      <c r="L90">
        <v>-16751.34</v>
      </c>
      <c r="M90" t="s">
        <v>129</v>
      </c>
    </row>
    <row r="91" spans="1:13" x14ac:dyDescent="0.35">
      <c r="A91">
        <f t="shared" si="2"/>
        <v>253519763</v>
      </c>
      <c r="B91" t="s">
        <v>130</v>
      </c>
      <c r="C91">
        <v>2.2737367544323206E-13</v>
      </c>
      <c r="D91">
        <v>0</v>
      </c>
      <c r="E91">
        <v>787.3</v>
      </c>
      <c r="F91">
        <v>-787.29999999999973</v>
      </c>
      <c r="G91">
        <v>0.146416105677632</v>
      </c>
      <c r="H91" s="4">
        <v>0</v>
      </c>
      <c r="I91" s="4">
        <v>0.146416105677632</v>
      </c>
      <c r="J91" s="4" t="s">
        <v>58</v>
      </c>
      <c r="K91">
        <v>-604621.57480436459</v>
      </c>
      <c r="L91">
        <v>4.3050737197534002E-11</v>
      </c>
      <c r="M91">
        <f t="shared" si="3"/>
        <v>253519763</v>
      </c>
    </row>
    <row r="92" spans="1:13" x14ac:dyDescent="0.35">
      <c r="A92">
        <f t="shared" si="2"/>
        <v>253519994</v>
      </c>
      <c r="B92" t="s">
        <v>131</v>
      </c>
      <c r="C92">
        <v>0</v>
      </c>
      <c r="D92">
        <v>0</v>
      </c>
      <c r="E92">
        <v>543.79999999999995</v>
      </c>
      <c r="F92">
        <v>-543.79999999999995</v>
      </c>
      <c r="G92">
        <v>-0.105853438764252</v>
      </c>
      <c r="H92" s="4">
        <v>0</v>
      </c>
      <c r="I92" s="4">
        <v>-0.105853438764252</v>
      </c>
      <c r="J92" s="4" t="s">
        <v>58</v>
      </c>
      <c r="K92">
        <v>718592.31542664708</v>
      </c>
      <c r="L92">
        <v>0</v>
      </c>
      <c r="M92">
        <f t="shared" si="3"/>
        <v>253519994</v>
      </c>
    </row>
    <row r="93" spans="1:13" x14ac:dyDescent="0.35">
      <c r="A93">
        <f t="shared" si="2"/>
        <v>253527994</v>
      </c>
      <c r="B93" t="s">
        <v>132</v>
      </c>
      <c r="C93">
        <v>-2.2737367544323206E-13</v>
      </c>
      <c r="D93">
        <v>0</v>
      </c>
      <c r="E93">
        <v>817.7</v>
      </c>
      <c r="F93">
        <v>-817.70000000000027</v>
      </c>
      <c r="G93">
        <v>0.16781093310505096</v>
      </c>
      <c r="H93" s="4">
        <v>-4.5391468361799525E-10</v>
      </c>
      <c r="I93" s="4">
        <v>0.16781093310505096</v>
      </c>
      <c r="J93" s="4" t="s">
        <v>58</v>
      </c>
      <c r="K93">
        <v>-628041.25769824733</v>
      </c>
      <c r="L93">
        <v>-4.305774199842888E-11</v>
      </c>
      <c r="M93">
        <f t="shared" si="3"/>
        <v>253527994</v>
      </c>
    </row>
    <row r="94" spans="1:13" x14ac:dyDescent="0.35">
      <c r="A94">
        <f t="shared" si="2"/>
        <v>253527996</v>
      </c>
      <c r="B94" t="s">
        <v>133</v>
      </c>
      <c r="C94">
        <v>0</v>
      </c>
      <c r="D94">
        <v>0</v>
      </c>
      <c r="E94">
        <v>564.29999999999995</v>
      </c>
      <c r="F94">
        <v>-564.29999999999995</v>
      </c>
      <c r="G94">
        <v>-0.14025199362041496</v>
      </c>
      <c r="H94" s="4">
        <v>4.6987413959698188E-10</v>
      </c>
      <c r="I94" s="4">
        <v>-0.14025199362041496</v>
      </c>
      <c r="J94" s="4" t="s">
        <v>58</v>
      </c>
      <c r="K94">
        <v>745814.62662880507</v>
      </c>
      <c r="L94">
        <v>0</v>
      </c>
      <c r="M94">
        <f t="shared" si="3"/>
        <v>253527996</v>
      </c>
    </row>
    <row r="95" spans="1:13" x14ac:dyDescent="0.35">
      <c r="A95">
        <f t="shared" si="2"/>
        <v>253713092</v>
      </c>
      <c r="B95" t="s">
        <v>134</v>
      </c>
      <c r="C95">
        <v>-2.2737367544323206E-13</v>
      </c>
      <c r="D95">
        <v>0</v>
      </c>
      <c r="E95">
        <v>570.6</v>
      </c>
      <c r="F95">
        <v>-570.60000000000025</v>
      </c>
      <c r="G95">
        <v>-0.13950928846827901</v>
      </c>
      <c r="H95" s="4">
        <v>0</v>
      </c>
      <c r="I95" s="4">
        <v>-0.13950928846827901</v>
      </c>
      <c r="J95" s="4" t="s">
        <v>58</v>
      </c>
      <c r="K95">
        <v>438706.48478039342</v>
      </c>
      <c r="L95">
        <v>3.7400858845422568E-11</v>
      </c>
      <c r="M95">
        <f t="shared" si="3"/>
        <v>253713092</v>
      </c>
    </row>
    <row r="96" spans="1:13" x14ac:dyDescent="0.35">
      <c r="A96">
        <f t="shared" si="2"/>
        <v>253713101</v>
      </c>
      <c r="B96" t="s">
        <v>135</v>
      </c>
      <c r="C96">
        <v>0</v>
      </c>
      <c r="D96">
        <v>0</v>
      </c>
      <c r="E96">
        <v>339.3</v>
      </c>
      <c r="F96">
        <v>-339.3</v>
      </c>
      <c r="G96">
        <v>0.13854700854700899</v>
      </c>
      <c r="H96" s="4">
        <v>0</v>
      </c>
      <c r="I96" s="4">
        <v>0.13854700854700899</v>
      </c>
      <c r="J96" s="4" t="s">
        <v>58</v>
      </c>
      <c r="K96">
        <v>-448427.24722513586</v>
      </c>
      <c r="L96">
        <v>0</v>
      </c>
      <c r="M96">
        <f t="shared" si="3"/>
        <v>253713101</v>
      </c>
    </row>
    <row r="97" spans="1:13" x14ac:dyDescent="0.35">
      <c r="A97">
        <f t="shared" si="2"/>
        <v>253920187</v>
      </c>
      <c r="B97" t="s">
        <v>136</v>
      </c>
      <c r="C97">
        <v>0</v>
      </c>
      <c r="D97">
        <v>0</v>
      </c>
      <c r="E97">
        <v>570.20000000000005</v>
      </c>
      <c r="F97">
        <v>-570.20000000000005</v>
      </c>
      <c r="G97">
        <v>-0.11554314275692698</v>
      </c>
      <c r="H97" s="4">
        <v>7.9131146080158032E-11</v>
      </c>
      <c r="I97" s="4">
        <v>-0.11554314275692698</v>
      </c>
      <c r="J97" s="4" t="s">
        <v>58</v>
      </c>
      <c r="K97">
        <v>438336.00958671723</v>
      </c>
      <c r="L97">
        <v>0</v>
      </c>
      <c r="M97">
        <f t="shared" si="3"/>
        <v>253920187</v>
      </c>
    </row>
    <row r="98" spans="1:13" x14ac:dyDescent="0.35">
      <c r="A98">
        <f t="shared" si="2"/>
        <v>253921346</v>
      </c>
      <c r="B98" t="s">
        <v>137</v>
      </c>
      <c r="C98">
        <v>0</v>
      </c>
      <c r="D98">
        <v>0</v>
      </c>
      <c r="E98">
        <v>339.8</v>
      </c>
      <c r="F98">
        <v>-339.8</v>
      </c>
      <c r="G98">
        <v>0.14423690406121201</v>
      </c>
      <c r="H98" s="4">
        <v>0</v>
      </c>
      <c r="I98" s="4">
        <v>0.14423690406121201</v>
      </c>
      <c r="J98" s="4" t="s">
        <v>58</v>
      </c>
      <c r="K98">
        <v>-449090.36964508123</v>
      </c>
      <c r="L98">
        <v>0</v>
      </c>
      <c r="M98">
        <f t="shared" si="3"/>
        <v>253921346</v>
      </c>
    </row>
    <row r="99" spans="1:13" x14ac:dyDescent="0.35">
      <c r="A99">
        <f t="shared" si="2"/>
        <v>254294126</v>
      </c>
      <c r="B99" t="s">
        <v>138</v>
      </c>
      <c r="C99">
        <v>2.2737367544323206E-13</v>
      </c>
      <c r="D99">
        <v>0</v>
      </c>
      <c r="E99">
        <v>720.9</v>
      </c>
      <c r="F99">
        <v>-720.89999999999975</v>
      </c>
      <c r="G99">
        <v>3.1607990012484398E-2</v>
      </c>
      <c r="H99" s="4">
        <v>0</v>
      </c>
      <c r="I99" s="4">
        <v>3.1607990012484398E-2</v>
      </c>
      <c r="J99" s="4" t="s">
        <v>58</v>
      </c>
      <c r="K99">
        <v>553696.70589016739</v>
      </c>
      <c r="L99">
        <v>-3.7341610627284646E-11</v>
      </c>
      <c r="M99">
        <f t="shared" si="3"/>
        <v>254294126</v>
      </c>
    </row>
    <row r="100" spans="1:13" x14ac:dyDescent="0.35">
      <c r="A100">
        <f t="shared" si="2"/>
        <v>254294134</v>
      </c>
      <c r="B100" t="s">
        <v>139</v>
      </c>
      <c r="C100">
        <v>0</v>
      </c>
      <c r="D100">
        <v>0</v>
      </c>
      <c r="E100">
        <v>430.6</v>
      </c>
      <c r="F100">
        <v>-430.6</v>
      </c>
      <c r="G100">
        <v>-6.6149558755225296E-2</v>
      </c>
      <c r="H100" s="4">
        <v>0</v>
      </c>
      <c r="I100" s="4">
        <v>-6.6149558755225296E-2</v>
      </c>
      <c r="J100" s="4" t="s">
        <v>58</v>
      </c>
      <c r="K100">
        <v>-568449.84547643771</v>
      </c>
      <c r="L100">
        <v>0</v>
      </c>
      <c r="M100">
        <f t="shared" si="3"/>
        <v>254294134</v>
      </c>
    </row>
    <row r="101" spans="1:13" x14ac:dyDescent="0.35">
      <c r="A101" t="str">
        <f t="shared" si="2"/>
        <v>91282CRL7</v>
      </c>
      <c r="B101" t="s">
        <v>17</v>
      </c>
      <c r="C101">
        <v>0</v>
      </c>
      <c r="D101">
        <v>0</v>
      </c>
      <c r="E101">
        <v>43</v>
      </c>
      <c r="F101">
        <v>-43</v>
      </c>
      <c r="G101">
        <v>98.390625</v>
      </c>
      <c r="H101" s="4">
        <v>0</v>
      </c>
      <c r="I101" s="4">
        <v>98.390625</v>
      </c>
      <c r="J101" s="4" t="s">
        <v>69</v>
      </c>
      <c r="K101">
        <v>-60468.749999969448</v>
      </c>
      <c r="L101">
        <v>0</v>
      </c>
      <c r="M101" t="s">
        <v>17</v>
      </c>
    </row>
    <row r="102" spans="1:13" x14ac:dyDescent="0.35">
      <c r="A102" t="str">
        <f t="shared" si="2"/>
        <v>SERF7</v>
      </c>
      <c r="B102" t="s">
        <v>140</v>
      </c>
      <c r="C102">
        <v>0</v>
      </c>
      <c r="D102">
        <v>0</v>
      </c>
      <c r="E102">
        <v>-65</v>
      </c>
      <c r="F102">
        <v>65</v>
      </c>
      <c r="G102">
        <v>95.82</v>
      </c>
      <c r="H102" s="4">
        <v>0</v>
      </c>
      <c r="I102" s="4">
        <v>95.82</v>
      </c>
      <c r="J102" s="4" t="s">
        <v>127</v>
      </c>
      <c r="K102">
        <v>1354.2749999987682</v>
      </c>
      <c r="L102">
        <v>0</v>
      </c>
      <c r="M102" t="s">
        <v>140</v>
      </c>
    </row>
    <row r="103" spans="1:13" x14ac:dyDescent="0.35">
      <c r="A103" t="str">
        <f t="shared" si="2"/>
        <v>SERV6</v>
      </c>
      <c r="B103" t="s">
        <v>128</v>
      </c>
      <c r="C103">
        <v>0</v>
      </c>
      <c r="D103">
        <v>0</v>
      </c>
      <c r="E103">
        <v>-326</v>
      </c>
      <c r="F103">
        <v>326</v>
      </c>
      <c r="G103">
        <v>96.107500000000002</v>
      </c>
      <c r="H103" s="4">
        <v>0</v>
      </c>
      <c r="I103" s="4">
        <v>96.107500000000002</v>
      </c>
      <c r="J103" s="4" t="s">
        <v>127</v>
      </c>
      <c r="K103">
        <v>-3396.1049999969114</v>
      </c>
      <c r="L103">
        <v>0</v>
      </c>
      <c r="M103" t="s">
        <v>128</v>
      </c>
    </row>
    <row r="104" spans="1:13" x14ac:dyDescent="0.35">
      <c r="A104" t="str">
        <f t="shared" si="2"/>
        <v>SERX6</v>
      </c>
      <c r="B104" t="s">
        <v>129</v>
      </c>
      <c r="C104">
        <v>0</v>
      </c>
      <c r="D104">
        <v>0</v>
      </c>
      <c r="E104">
        <v>-329</v>
      </c>
      <c r="F104">
        <v>329</v>
      </c>
      <c r="G104">
        <v>96.054452887538005</v>
      </c>
      <c r="H104" s="4">
        <v>0</v>
      </c>
      <c r="I104" s="4">
        <v>96.054452887538005</v>
      </c>
      <c r="J104" s="4" t="s">
        <v>127</v>
      </c>
      <c r="K104">
        <v>-13709.430000007014</v>
      </c>
      <c r="L104">
        <v>0</v>
      </c>
      <c r="M104" t="s">
        <v>129</v>
      </c>
    </row>
    <row r="105" spans="1:13" x14ac:dyDescent="0.35">
      <c r="A105" t="str">
        <f t="shared" si="2"/>
        <v>SERZ6</v>
      </c>
      <c r="B105" t="s">
        <v>141</v>
      </c>
      <c r="C105">
        <v>0</v>
      </c>
      <c r="D105">
        <v>0</v>
      </c>
      <c r="E105">
        <v>-339</v>
      </c>
      <c r="F105">
        <v>339</v>
      </c>
      <c r="G105">
        <v>95.882654867256647</v>
      </c>
      <c r="H105" s="4">
        <v>0</v>
      </c>
      <c r="I105" s="4">
        <v>95.882654867256647</v>
      </c>
      <c r="J105" s="4" t="s">
        <v>127</v>
      </c>
      <c r="K105">
        <v>0</v>
      </c>
      <c r="L105">
        <v>0</v>
      </c>
      <c r="M105" t="s">
        <v>141</v>
      </c>
    </row>
    <row r="106" spans="1:13" x14ac:dyDescent="0.35">
      <c r="A106" t="str">
        <f t="shared" si="2"/>
        <v>TUZ6</v>
      </c>
      <c r="B106" t="s">
        <v>16</v>
      </c>
      <c r="C106">
        <v>0</v>
      </c>
      <c r="D106">
        <v>0</v>
      </c>
      <c r="E106">
        <v>969</v>
      </c>
      <c r="F106">
        <v>-969</v>
      </c>
      <c r="G106">
        <v>101.7421875</v>
      </c>
      <c r="H106" s="4">
        <v>0</v>
      </c>
      <c r="I106" s="4">
        <v>101.7421875</v>
      </c>
      <c r="J106" s="4" t="s">
        <v>60</v>
      </c>
      <c r="K106">
        <v>-143836.42199999877</v>
      </c>
      <c r="L106">
        <v>0</v>
      </c>
      <c r="M106" t="s">
        <v>16</v>
      </c>
    </row>
    <row r="107" spans="1:13" x14ac:dyDescent="0.35">
      <c r="A107">
        <f t="shared" si="2"/>
        <v>247850509</v>
      </c>
      <c r="B107" t="s">
        <v>142</v>
      </c>
      <c r="C107">
        <v>629.4</v>
      </c>
      <c r="D107">
        <v>0</v>
      </c>
      <c r="E107">
        <v>629.4</v>
      </c>
      <c r="F107">
        <v>0</v>
      </c>
      <c r="G107">
        <v>0</v>
      </c>
      <c r="H107" s="4">
        <v>0</v>
      </c>
      <c r="I107" s="4">
        <v>0</v>
      </c>
      <c r="J107" s="4" t="s">
        <v>58</v>
      </c>
      <c r="K107">
        <v>761933.24121124041</v>
      </c>
      <c r="L107">
        <v>-161413.77139033846</v>
      </c>
      <c r="M107">
        <f t="shared" si="3"/>
        <v>247850509</v>
      </c>
    </row>
    <row r="108" spans="1:13" x14ac:dyDescent="0.35">
      <c r="A108">
        <f t="shared" si="2"/>
        <v>247850548</v>
      </c>
      <c r="B108" t="s">
        <v>143</v>
      </c>
      <c r="C108">
        <v>344</v>
      </c>
      <c r="D108">
        <v>0</v>
      </c>
      <c r="E108">
        <v>344</v>
      </c>
      <c r="F108">
        <v>0</v>
      </c>
      <c r="G108">
        <v>0</v>
      </c>
      <c r="H108" s="4">
        <v>0</v>
      </c>
      <c r="I108" s="4">
        <v>0</v>
      </c>
      <c r="J108" s="4" t="s">
        <v>58</v>
      </c>
      <c r="K108">
        <v>741288.44037250266</v>
      </c>
      <c r="L108">
        <v>-142290.95381252797</v>
      </c>
      <c r="M108">
        <f t="shared" si="3"/>
        <v>247850548</v>
      </c>
    </row>
    <row r="109" spans="1:13" x14ac:dyDescent="0.35">
      <c r="A109">
        <f t="shared" si="2"/>
        <v>250041827</v>
      </c>
      <c r="B109" t="s">
        <v>144</v>
      </c>
      <c r="C109">
        <v>338.27199999999999</v>
      </c>
      <c r="D109">
        <v>0</v>
      </c>
      <c r="E109">
        <v>338.27199999999999</v>
      </c>
      <c r="F109">
        <v>0</v>
      </c>
      <c r="G109">
        <v>0</v>
      </c>
      <c r="H109" s="4">
        <v>0</v>
      </c>
      <c r="I109" s="4">
        <v>0</v>
      </c>
      <c r="J109" s="4" t="s">
        <v>58</v>
      </c>
      <c r="K109">
        <v>409415.09503831418</v>
      </c>
      <c r="L109">
        <v>-86695.91526694085</v>
      </c>
      <c r="M109">
        <f t="shared" si="3"/>
        <v>250041827</v>
      </c>
    </row>
    <row r="110" spans="1:13" x14ac:dyDescent="0.35">
      <c r="A110">
        <f t="shared" si="2"/>
        <v>250313700</v>
      </c>
      <c r="B110" t="s">
        <v>145</v>
      </c>
      <c r="C110">
        <v>330.70800000000003</v>
      </c>
      <c r="D110">
        <v>0</v>
      </c>
      <c r="E110">
        <v>330.70800000000003</v>
      </c>
      <c r="F110">
        <v>0</v>
      </c>
      <c r="G110">
        <v>0</v>
      </c>
      <c r="H110" s="4">
        <v>0</v>
      </c>
      <c r="I110" s="4">
        <v>0</v>
      </c>
      <c r="J110" s="4" t="s">
        <v>58</v>
      </c>
      <c r="K110">
        <v>-415909.93098769803</v>
      </c>
      <c r="L110">
        <v>87083.453107691967</v>
      </c>
      <c r="M110">
        <f t="shared" si="3"/>
        <v>250313700</v>
      </c>
    </row>
    <row r="111" spans="1:13" x14ac:dyDescent="0.35">
      <c r="A111">
        <f t="shared" si="2"/>
        <v>251007587</v>
      </c>
      <c r="B111" t="s">
        <v>146</v>
      </c>
      <c r="C111">
        <v>333.6</v>
      </c>
      <c r="D111">
        <v>0</v>
      </c>
      <c r="E111">
        <v>333.6</v>
      </c>
      <c r="F111">
        <v>0</v>
      </c>
      <c r="G111">
        <v>0</v>
      </c>
      <c r="H111" s="4">
        <v>0</v>
      </c>
      <c r="I111" s="4">
        <v>0</v>
      </c>
      <c r="J111" s="4" t="s">
        <v>58</v>
      </c>
      <c r="K111">
        <v>419619.68291562988</v>
      </c>
      <c r="L111">
        <v>-87858.350812053468</v>
      </c>
      <c r="M111">
        <f t="shared" si="3"/>
        <v>251007587</v>
      </c>
    </row>
    <row r="112" spans="1:13" x14ac:dyDescent="0.35">
      <c r="A112">
        <f t="shared" si="2"/>
        <v>252245067</v>
      </c>
      <c r="B112" t="s">
        <v>147</v>
      </c>
      <c r="C112">
        <v>116.2</v>
      </c>
      <c r="D112">
        <v>0</v>
      </c>
      <c r="E112">
        <v>116.2</v>
      </c>
      <c r="F112">
        <v>0</v>
      </c>
      <c r="G112">
        <v>0</v>
      </c>
      <c r="H112" s="4">
        <v>0</v>
      </c>
      <c r="I112" s="4">
        <v>0</v>
      </c>
      <c r="J112" s="4" t="s">
        <v>58</v>
      </c>
      <c r="K112">
        <v>-394000.43988179509</v>
      </c>
      <c r="L112">
        <v>88916.233599394589</v>
      </c>
      <c r="M112">
        <f t="shared" si="3"/>
        <v>252245067</v>
      </c>
    </row>
    <row r="113" spans="1:13" x14ac:dyDescent="0.35">
      <c r="A113">
        <f t="shared" si="2"/>
        <v>252970450</v>
      </c>
      <c r="B113" t="s">
        <v>148</v>
      </c>
      <c r="C113">
        <v>141.4</v>
      </c>
      <c r="D113">
        <v>0</v>
      </c>
      <c r="E113">
        <v>141.4</v>
      </c>
      <c r="F113">
        <v>0</v>
      </c>
      <c r="G113">
        <v>0</v>
      </c>
      <c r="H113" s="4">
        <v>0</v>
      </c>
      <c r="I113" s="4">
        <v>0</v>
      </c>
      <c r="J113" s="4" t="s">
        <v>58</v>
      </c>
      <c r="K113">
        <v>319596.33644718141</v>
      </c>
      <c r="L113">
        <v>-61196.951434449962</v>
      </c>
      <c r="M113">
        <f t="shared" si="3"/>
        <v>252970450</v>
      </c>
    </row>
    <row r="114" spans="1:13" x14ac:dyDescent="0.35">
      <c r="A114">
        <f t="shared" si="2"/>
        <v>253062033</v>
      </c>
      <c r="B114" t="s">
        <v>149</v>
      </c>
      <c r="C114">
        <v>141.5</v>
      </c>
      <c r="D114">
        <v>0</v>
      </c>
      <c r="E114">
        <v>141.5</v>
      </c>
      <c r="F114">
        <v>0</v>
      </c>
      <c r="G114">
        <v>0</v>
      </c>
      <c r="H114" s="4">
        <v>0</v>
      </c>
      <c r="I114" s="4">
        <v>0</v>
      </c>
      <c r="J114" s="4" t="s">
        <v>58</v>
      </c>
      <c r="K114">
        <v>319847.13550981908</v>
      </c>
      <c r="L114">
        <v>-61245.163467739229</v>
      </c>
      <c r="M114">
        <f t="shared" si="3"/>
        <v>253062033</v>
      </c>
    </row>
    <row r="115" spans="1:13" x14ac:dyDescent="0.35">
      <c r="A115">
        <f t="shared" si="2"/>
        <v>253606809</v>
      </c>
      <c r="B115" t="s">
        <v>150</v>
      </c>
      <c r="C115">
        <v>79.400000000000006</v>
      </c>
      <c r="D115">
        <v>0</v>
      </c>
      <c r="E115">
        <v>79.400000000000006</v>
      </c>
      <c r="F115">
        <v>0</v>
      </c>
      <c r="G115">
        <v>0</v>
      </c>
      <c r="H115" s="4">
        <v>0</v>
      </c>
      <c r="I115" s="4">
        <v>0</v>
      </c>
      <c r="J115" s="4" t="s">
        <v>58</v>
      </c>
      <c r="K115">
        <v>-274092.75499099144</v>
      </c>
      <c r="L115">
        <v>61833.734434184764</v>
      </c>
      <c r="M115">
        <f t="shared" si="3"/>
        <v>253606809</v>
      </c>
    </row>
    <row r="116" spans="1:13" x14ac:dyDescent="0.35">
      <c r="A116">
        <f t="shared" si="2"/>
        <v>254398883</v>
      </c>
      <c r="B116" t="s">
        <v>151</v>
      </c>
      <c r="C116">
        <v>83.5</v>
      </c>
      <c r="D116">
        <v>0</v>
      </c>
      <c r="E116">
        <v>0</v>
      </c>
      <c r="F116">
        <v>83.5</v>
      </c>
      <c r="G116">
        <v>0</v>
      </c>
      <c r="H116" s="4">
        <v>0</v>
      </c>
      <c r="I116" s="4">
        <v>0</v>
      </c>
      <c r="J116" s="4" t="s">
        <v>58</v>
      </c>
      <c r="K116">
        <v>0</v>
      </c>
      <c r="L116">
        <v>61812.328880973473</v>
      </c>
      <c r="M116">
        <f t="shared" si="3"/>
        <v>254398883</v>
      </c>
    </row>
    <row r="117" spans="1:13" x14ac:dyDescent="0.35">
      <c r="A117" t="str">
        <f t="shared" si="2"/>
        <v>91282CRF0</v>
      </c>
      <c r="B117" t="s">
        <v>44</v>
      </c>
      <c r="C117">
        <v>-203.5</v>
      </c>
      <c r="D117">
        <v>0</v>
      </c>
      <c r="E117">
        <v>-203.5</v>
      </c>
      <c r="F117">
        <v>0</v>
      </c>
      <c r="G117">
        <v>0</v>
      </c>
      <c r="H117" s="4">
        <v>0</v>
      </c>
      <c r="I117" s="4">
        <v>0</v>
      </c>
      <c r="J117" s="4" t="s">
        <v>69</v>
      </c>
      <c r="K117">
        <v>620039.06250153261</v>
      </c>
      <c r="L117">
        <v>-150257.57306830201</v>
      </c>
      <c r="M117" t="s">
        <v>44</v>
      </c>
    </row>
    <row r="118" spans="1:13" x14ac:dyDescent="0.35">
      <c r="A118" t="str">
        <f t="shared" si="2"/>
        <v>91282CRK9</v>
      </c>
      <c r="B118" t="s">
        <v>29</v>
      </c>
      <c r="C118">
        <v>194.1</v>
      </c>
      <c r="D118">
        <v>0</v>
      </c>
      <c r="E118">
        <v>194.1</v>
      </c>
      <c r="F118">
        <v>0</v>
      </c>
      <c r="G118">
        <v>0</v>
      </c>
      <c r="H118" s="4">
        <v>0</v>
      </c>
      <c r="I118" s="4">
        <v>0</v>
      </c>
      <c r="J118" s="4" t="s">
        <v>69</v>
      </c>
      <c r="K118">
        <v>-432175.78122815402</v>
      </c>
      <c r="L118">
        <v>81958.691268368973</v>
      </c>
      <c r="M118" t="s">
        <v>29</v>
      </c>
    </row>
    <row r="119" spans="1:13" x14ac:dyDescent="0.35">
      <c r="A119" t="str">
        <f t="shared" si="2"/>
        <v>91282CRL7</v>
      </c>
      <c r="B119" t="s">
        <v>17</v>
      </c>
      <c r="C119">
        <v>918.6</v>
      </c>
      <c r="D119">
        <v>0</v>
      </c>
      <c r="E119">
        <v>918.6</v>
      </c>
      <c r="F119">
        <v>0</v>
      </c>
      <c r="G119">
        <v>0</v>
      </c>
      <c r="H119" s="4">
        <v>0</v>
      </c>
      <c r="I119" s="4">
        <v>0</v>
      </c>
      <c r="J119" s="4" t="s">
        <v>69</v>
      </c>
      <c r="K119">
        <v>-1291781.2499993474</v>
      </c>
      <c r="L119">
        <v>246513.58765481744</v>
      </c>
      <c r="M119" t="s">
        <v>17</v>
      </c>
    </row>
    <row r="120" spans="1:13" x14ac:dyDescent="0.35">
      <c r="A120" t="str">
        <f t="shared" si="2"/>
        <v>91282CRN3</v>
      </c>
      <c r="B120" t="s">
        <v>30</v>
      </c>
      <c r="C120">
        <v>412.8</v>
      </c>
      <c r="D120">
        <v>0</v>
      </c>
      <c r="E120">
        <v>412.8</v>
      </c>
      <c r="F120">
        <v>0</v>
      </c>
      <c r="G120">
        <v>0</v>
      </c>
      <c r="H120" s="4">
        <v>0</v>
      </c>
      <c r="I120" s="4">
        <v>0</v>
      </c>
      <c r="J120" s="4" t="s">
        <v>69</v>
      </c>
      <c r="K120">
        <v>-902999.9999528355</v>
      </c>
      <c r="L120">
        <v>179706.71478906297</v>
      </c>
      <c r="M120" t="s">
        <v>30</v>
      </c>
    </row>
    <row r="121" spans="1:13" x14ac:dyDescent="0.35">
      <c r="A121" t="str">
        <f t="shared" si="2"/>
        <v>UXYZ6</v>
      </c>
      <c r="B121" t="s">
        <v>43</v>
      </c>
      <c r="C121">
        <v>-781</v>
      </c>
      <c r="D121">
        <v>0</v>
      </c>
      <c r="E121">
        <v>0</v>
      </c>
      <c r="F121">
        <v>-781</v>
      </c>
      <c r="G121">
        <v>105.453125</v>
      </c>
      <c r="H121" s="4">
        <v>0</v>
      </c>
      <c r="I121" s="4">
        <v>105.453125</v>
      </c>
      <c r="J121" s="4" t="s">
        <v>60</v>
      </c>
      <c r="K121">
        <v>0</v>
      </c>
      <c r="L121">
        <v>-63739.392575345206</v>
      </c>
      <c r="M121" t="s">
        <v>43</v>
      </c>
    </row>
    <row r="122" spans="1:13" x14ac:dyDescent="0.35">
      <c r="A122" t="str">
        <f t="shared" si="2"/>
        <v>FFU6</v>
      </c>
      <c r="B122" t="s">
        <v>152</v>
      </c>
      <c r="C122">
        <v>0</v>
      </c>
      <c r="D122">
        <v>0</v>
      </c>
      <c r="E122">
        <v>1250</v>
      </c>
      <c r="F122">
        <v>-1250</v>
      </c>
      <c r="G122">
        <v>96.253</v>
      </c>
      <c r="H122" s="4">
        <v>0</v>
      </c>
      <c r="I122" s="4">
        <v>96.253</v>
      </c>
      <c r="J122" s="4" t="s">
        <v>127</v>
      </c>
      <c r="K122" t="e">
        <v>#NUM!</v>
      </c>
      <c r="L122">
        <v>0</v>
      </c>
      <c r="M122" t="s">
        <v>152</v>
      </c>
    </row>
    <row r="123" spans="1:13" x14ac:dyDescent="0.35">
      <c r="A123" t="str">
        <f t="shared" si="2"/>
        <v>FFV6</v>
      </c>
      <c r="B123" t="s">
        <v>153</v>
      </c>
      <c r="C123">
        <v>1240</v>
      </c>
      <c r="D123">
        <v>0</v>
      </c>
      <c r="E123">
        <v>1240</v>
      </c>
      <c r="F123">
        <v>0</v>
      </c>
      <c r="G123">
        <v>0</v>
      </c>
      <c r="H123" s="4">
        <v>0</v>
      </c>
      <c r="I123" s="4">
        <v>0</v>
      </c>
      <c r="J123" s="4" t="s">
        <v>127</v>
      </c>
      <c r="K123">
        <v>25835.400000049933</v>
      </c>
      <c r="L123">
        <v>45003.600000000006</v>
      </c>
      <c r="M123" t="s">
        <v>153</v>
      </c>
    </row>
    <row r="124" spans="1:13" x14ac:dyDescent="0.35">
      <c r="A124" t="str">
        <f t="shared" si="2"/>
        <v>FFX6</v>
      </c>
      <c r="B124" t="s">
        <v>154</v>
      </c>
      <c r="C124">
        <v>1240</v>
      </c>
      <c r="D124">
        <v>0</v>
      </c>
      <c r="E124">
        <v>1240</v>
      </c>
      <c r="F124">
        <v>0</v>
      </c>
      <c r="G124">
        <v>0</v>
      </c>
      <c r="H124" s="4">
        <v>0</v>
      </c>
      <c r="I124" s="4">
        <v>0</v>
      </c>
      <c r="J124" s="4" t="s">
        <v>127</v>
      </c>
      <c r="K124">
        <v>51670.799999953008</v>
      </c>
      <c r="L124">
        <v>51670.8</v>
      </c>
      <c r="M124" t="s">
        <v>154</v>
      </c>
    </row>
    <row r="125" spans="1:13" x14ac:dyDescent="0.35">
      <c r="A125" t="str">
        <f t="shared" si="2"/>
        <v>FFZ6</v>
      </c>
      <c r="B125" t="s">
        <v>155</v>
      </c>
      <c r="C125">
        <v>620</v>
      </c>
      <c r="D125">
        <v>0</v>
      </c>
      <c r="E125">
        <v>620</v>
      </c>
      <c r="F125">
        <v>0</v>
      </c>
      <c r="G125">
        <v>0</v>
      </c>
      <c r="H125" s="4">
        <v>0</v>
      </c>
      <c r="I125" s="4">
        <v>0</v>
      </c>
      <c r="J125" s="4" t="s">
        <v>127</v>
      </c>
      <c r="K125">
        <v>-12917.700000024966</v>
      </c>
      <c r="L125">
        <v>25835.4</v>
      </c>
      <c r="M125" t="s">
        <v>155</v>
      </c>
    </row>
    <row r="126" spans="1:13" x14ac:dyDescent="0.35">
      <c r="A126" t="str">
        <f t="shared" si="2"/>
        <v>SERU6</v>
      </c>
      <c r="B126" t="s">
        <v>126</v>
      </c>
      <c r="C126">
        <v>0</v>
      </c>
      <c r="D126">
        <v>0</v>
      </c>
      <c r="E126">
        <v>-1250</v>
      </c>
      <c r="F126">
        <v>1250</v>
      </c>
      <c r="G126">
        <v>96.251000000000005</v>
      </c>
      <c r="H126" s="4">
        <v>0</v>
      </c>
      <c r="I126" s="4">
        <v>96.251000000000005</v>
      </c>
      <c r="J126" s="4" t="s">
        <v>127</v>
      </c>
      <c r="K126" t="e">
        <v>#NUM!</v>
      </c>
      <c r="L126">
        <v>0</v>
      </c>
      <c r="M126" t="s">
        <v>126</v>
      </c>
    </row>
    <row r="127" spans="1:13" x14ac:dyDescent="0.35">
      <c r="A127" t="str">
        <f t="shared" si="2"/>
        <v>SERV6</v>
      </c>
      <c r="B127" t="s">
        <v>128</v>
      </c>
      <c r="C127">
        <v>-1240</v>
      </c>
      <c r="D127">
        <v>0</v>
      </c>
      <c r="E127">
        <v>-1240</v>
      </c>
      <c r="F127">
        <v>0</v>
      </c>
      <c r="G127">
        <v>0</v>
      </c>
      <c r="H127" s="4">
        <v>0</v>
      </c>
      <c r="I127" s="4">
        <v>0</v>
      </c>
      <c r="J127" s="4" t="s">
        <v>127</v>
      </c>
      <c r="K127">
        <v>-12917.699999988252</v>
      </c>
      <c r="L127">
        <v>-45003.600000000006</v>
      </c>
      <c r="M127" t="s">
        <v>128</v>
      </c>
    </row>
    <row r="128" spans="1:13" x14ac:dyDescent="0.35">
      <c r="A128" t="str">
        <f t="shared" si="2"/>
        <v>SERX6</v>
      </c>
      <c r="B128" t="s">
        <v>129</v>
      </c>
      <c r="C128">
        <v>-1240</v>
      </c>
      <c r="D128">
        <v>0</v>
      </c>
      <c r="E128">
        <v>-1240</v>
      </c>
      <c r="F128">
        <v>0</v>
      </c>
      <c r="G128">
        <v>0</v>
      </c>
      <c r="H128" s="4">
        <v>0</v>
      </c>
      <c r="I128" s="4">
        <v>0</v>
      </c>
      <c r="J128" s="4" t="s">
        <v>127</v>
      </c>
      <c r="K128">
        <v>-51670.800000026436</v>
      </c>
      <c r="L128">
        <v>-51670.8</v>
      </c>
      <c r="M128" t="s">
        <v>129</v>
      </c>
    </row>
    <row r="129" spans="1:13" x14ac:dyDescent="0.35">
      <c r="A129" t="str">
        <f t="shared" si="2"/>
        <v>SERZ6</v>
      </c>
      <c r="B129" t="s">
        <v>141</v>
      </c>
      <c r="C129">
        <v>-620</v>
      </c>
      <c r="D129">
        <v>0</v>
      </c>
      <c r="E129">
        <v>-620</v>
      </c>
      <c r="F129">
        <v>0</v>
      </c>
      <c r="G129">
        <v>0</v>
      </c>
      <c r="H129" s="4">
        <v>0</v>
      </c>
      <c r="I129" s="4">
        <v>0</v>
      </c>
      <c r="J129" s="4" t="s">
        <v>127</v>
      </c>
      <c r="K129">
        <v>0</v>
      </c>
      <c r="L129">
        <v>-25835.4</v>
      </c>
      <c r="M129" t="s">
        <v>141</v>
      </c>
    </row>
    <row r="130" spans="1:13" x14ac:dyDescent="0.35">
      <c r="A130">
        <f t="shared" si="2"/>
        <v>230171747</v>
      </c>
      <c r="B130" t="s">
        <v>156</v>
      </c>
      <c r="C130">
        <v>94.3</v>
      </c>
      <c r="D130">
        <v>0</v>
      </c>
      <c r="E130">
        <v>94.3</v>
      </c>
      <c r="F130">
        <v>0</v>
      </c>
      <c r="G130">
        <v>0</v>
      </c>
      <c r="H130" s="4">
        <v>0</v>
      </c>
      <c r="I130" s="4">
        <v>0</v>
      </c>
      <c r="J130" s="4" t="s">
        <v>58</v>
      </c>
      <c r="K130">
        <v>250637.89405032227</v>
      </c>
      <c r="L130">
        <v>-50642.577444715855</v>
      </c>
      <c r="M130">
        <f t="shared" si="3"/>
        <v>230171747</v>
      </c>
    </row>
    <row r="131" spans="1:13" x14ac:dyDescent="0.35">
      <c r="A131">
        <f t="shared" ref="A131:A189" si="4">M131</f>
        <v>231030784</v>
      </c>
      <c r="B131" t="s">
        <v>157</v>
      </c>
      <c r="C131">
        <v>119.3</v>
      </c>
      <c r="D131">
        <v>0</v>
      </c>
      <c r="E131">
        <v>119.3</v>
      </c>
      <c r="F131">
        <v>0</v>
      </c>
      <c r="G131">
        <v>0</v>
      </c>
      <c r="H131" s="4">
        <v>0</v>
      </c>
      <c r="I131" s="4">
        <v>0</v>
      </c>
      <c r="J131" s="4" t="s">
        <v>58</v>
      </c>
      <c r="K131">
        <v>319206.02708076185</v>
      </c>
      <c r="L131">
        <v>-64538.302551219313</v>
      </c>
      <c r="M131">
        <f t="shared" ref="M131:M187" si="5">VALUE(B131)</f>
        <v>231030784</v>
      </c>
    </row>
    <row r="132" spans="1:13" x14ac:dyDescent="0.35">
      <c r="A132">
        <f t="shared" si="4"/>
        <v>231211801</v>
      </c>
      <c r="B132" t="s">
        <v>158</v>
      </c>
      <c r="C132">
        <v>92.8</v>
      </c>
      <c r="D132">
        <v>0</v>
      </c>
      <c r="E132">
        <v>92.8</v>
      </c>
      <c r="F132">
        <v>0</v>
      </c>
      <c r="G132">
        <v>0</v>
      </c>
      <c r="H132" s="4">
        <v>0</v>
      </c>
      <c r="I132" s="4">
        <v>0</v>
      </c>
      <c r="J132" s="4" t="s">
        <v>58</v>
      </c>
      <c r="K132">
        <v>253198.97830196182</v>
      </c>
      <c r="L132">
        <v>-51553.233493722604</v>
      </c>
      <c r="M132">
        <f t="shared" si="5"/>
        <v>231211801</v>
      </c>
    </row>
    <row r="133" spans="1:13" x14ac:dyDescent="0.35">
      <c r="A133">
        <f t="shared" si="4"/>
        <v>231211845</v>
      </c>
      <c r="B133" t="s">
        <v>159</v>
      </c>
      <c r="C133">
        <v>92.7</v>
      </c>
      <c r="D133">
        <v>0</v>
      </c>
      <c r="E133">
        <v>92.7</v>
      </c>
      <c r="F133">
        <v>0</v>
      </c>
      <c r="G133">
        <v>0</v>
      </c>
      <c r="H133" s="4">
        <v>0</v>
      </c>
      <c r="I133" s="4">
        <v>0</v>
      </c>
      <c r="J133" s="4" t="s">
        <v>58</v>
      </c>
      <c r="K133">
        <v>252916.25550038653</v>
      </c>
      <c r="L133">
        <v>-51495.521176211259</v>
      </c>
      <c r="M133">
        <f t="shared" si="5"/>
        <v>231211845</v>
      </c>
    </row>
    <row r="134" spans="1:13" x14ac:dyDescent="0.35">
      <c r="A134">
        <f t="shared" si="4"/>
        <v>232257832</v>
      </c>
      <c r="B134" t="s">
        <v>160</v>
      </c>
      <c r="C134">
        <v>357.3</v>
      </c>
      <c r="D134">
        <v>0</v>
      </c>
      <c r="E134">
        <v>357.3</v>
      </c>
      <c r="F134">
        <v>0</v>
      </c>
      <c r="G134">
        <v>0</v>
      </c>
      <c r="H134" s="4">
        <v>0</v>
      </c>
      <c r="I134" s="4">
        <v>0</v>
      </c>
      <c r="J134" s="4" t="s">
        <v>58</v>
      </c>
      <c r="K134">
        <v>888493.43343418185</v>
      </c>
      <c r="L134">
        <v>-173970.88203325335</v>
      </c>
      <c r="M134">
        <f t="shared" si="5"/>
        <v>232257832</v>
      </c>
    </row>
    <row r="135" spans="1:13" x14ac:dyDescent="0.35">
      <c r="A135">
        <f t="shared" si="4"/>
        <v>232999148</v>
      </c>
      <c r="B135" t="s">
        <v>161</v>
      </c>
      <c r="C135">
        <v>100</v>
      </c>
      <c r="D135">
        <v>0</v>
      </c>
      <c r="E135">
        <v>100</v>
      </c>
      <c r="F135">
        <v>0</v>
      </c>
      <c r="G135">
        <v>0</v>
      </c>
      <c r="H135" s="4">
        <v>0</v>
      </c>
      <c r="I135" s="4">
        <v>0</v>
      </c>
      <c r="J135" s="4" t="s">
        <v>58</v>
      </c>
      <c r="K135">
        <v>257353.98532008525</v>
      </c>
      <c r="L135">
        <v>-50987.248807986871</v>
      </c>
      <c r="M135">
        <f t="shared" si="5"/>
        <v>232999148</v>
      </c>
    </row>
    <row r="136" spans="1:13" x14ac:dyDescent="0.35">
      <c r="A136">
        <f t="shared" si="4"/>
        <v>234766536</v>
      </c>
      <c r="B136" t="s">
        <v>162</v>
      </c>
      <c r="C136">
        <v>135.80000000000001</v>
      </c>
      <c r="D136">
        <v>0</v>
      </c>
      <c r="E136">
        <v>135.80000000000001</v>
      </c>
      <c r="F136">
        <v>0</v>
      </c>
      <c r="G136">
        <v>0</v>
      </c>
      <c r="H136" s="4">
        <v>0</v>
      </c>
      <c r="I136" s="4">
        <v>0</v>
      </c>
      <c r="J136" s="4" t="s">
        <v>58</v>
      </c>
      <c r="K136">
        <v>349560.04301873408</v>
      </c>
      <c r="L136">
        <v>-69251.269110547306</v>
      </c>
      <c r="M136">
        <f t="shared" si="5"/>
        <v>234766536</v>
      </c>
    </row>
    <row r="137" spans="1:13" x14ac:dyDescent="0.35">
      <c r="A137">
        <f t="shared" si="4"/>
        <v>238464171</v>
      </c>
      <c r="B137" t="s">
        <v>163</v>
      </c>
      <c r="C137">
        <v>204.435</v>
      </c>
      <c r="D137">
        <v>0</v>
      </c>
      <c r="E137">
        <v>204.435</v>
      </c>
      <c r="F137">
        <v>0</v>
      </c>
      <c r="G137">
        <v>0</v>
      </c>
      <c r="H137" s="4">
        <v>0</v>
      </c>
      <c r="I137" s="4">
        <v>0</v>
      </c>
      <c r="J137" s="4" t="s">
        <v>58</v>
      </c>
      <c r="K137">
        <v>-531437.4058837695</v>
      </c>
      <c r="L137">
        <v>106132.28737862043</v>
      </c>
      <c r="M137">
        <f t="shared" si="5"/>
        <v>238464171</v>
      </c>
    </row>
    <row r="138" spans="1:13" x14ac:dyDescent="0.35">
      <c r="A138">
        <f t="shared" si="4"/>
        <v>238464172</v>
      </c>
      <c r="B138" t="s">
        <v>164</v>
      </c>
      <c r="C138">
        <v>216.15299999999999</v>
      </c>
      <c r="D138">
        <v>0</v>
      </c>
      <c r="E138">
        <v>216.15299999999999</v>
      </c>
      <c r="F138">
        <v>0</v>
      </c>
      <c r="G138">
        <v>0</v>
      </c>
      <c r="H138" s="4">
        <v>0</v>
      </c>
      <c r="I138" s="4">
        <v>0</v>
      </c>
      <c r="J138" s="4" t="s">
        <v>58</v>
      </c>
      <c r="K138">
        <v>540230.12022253894</v>
      </c>
      <c r="L138">
        <v>-105853.12785293185</v>
      </c>
      <c r="M138">
        <f t="shared" si="5"/>
        <v>238464172</v>
      </c>
    </row>
    <row r="139" spans="1:13" x14ac:dyDescent="0.35">
      <c r="A139">
        <f t="shared" si="4"/>
        <v>238464716</v>
      </c>
      <c r="B139" t="s">
        <v>165</v>
      </c>
      <c r="C139">
        <v>277.60000000000002</v>
      </c>
      <c r="D139">
        <v>0</v>
      </c>
      <c r="E139">
        <v>277.60000000000002</v>
      </c>
      <c r="F139">
        <v>0</v>
      </c>
      <c r="G139">
        <v>0</v>
      </c>
      <c r="H139" s="4">
        <v>0</v>
      </c>
      <c r="I139" s="4">
        <v>0</v>
      </c>
      <c r="J139" s="4" t="s">
        <v>58</v>
      </c>
      <c r="K139">
        <v>700392.06793406978</v>
      </c>
      <c r="L139">
        <v>-137404.31455669401</v>
      </c>
      <c r="M139">
        <f t="shared" si="5"/>
        <v>238464716</v>
      </c>
    </row>
    <row r="140" spans="1:13" x14ac:dyDescent="0.35">
      <c r="A140">
        <f t="shared" si="4"/>
        <v>238464848</v>
      </c>
      <c r="B140" t="s">
        <v>166</v>
      </c>
      <c r="C140">
        <v>265.7</v>
      </c>
      <c r="D140">
        <v>0</v>
      </c>
      <c r="E140">
        <v>265.7</v>
      </c>
      <c r="F140">
        <v>0</v>
      </c>
      <c r="G140">
        <v>0</v>
      </c>
      <c r="H140" s="4">
        <v>0</v>
      </c>
      <c r="I140" s="4">
        <v>0</v>
      </c>
      <c r="J140" s="4" t="s">
        <v>58</v>
      </c>
      <c r="K140">
        <v>-690751.15546998254</v>
      </c>
      <c r="L140">
        <v>137949.69614150611</v>
      </c>
      <c r="M140">
        <f t="shared" si="5"/>
        <v>238464848</v>
      </c>
    </row>
    <row r="141" spans="1:13" x14ac:dyDescent="0.35">
      <c r="A141">
        <f t="shared" si="4"/>
        <v>238675137</v>
      </c>
      <c r="B141" t="s">
        <v>167</v>
      </c>
      <c r="C141">
        <v>714.7</v>
      </c>
      <c r="D141">
        <v>0</v>
      </c>
      <c r="E141">
        <v>714.7</v>
      </c>
      <c r="F141">
        <v>0</v>
      </c>
      <c r="G141">
        <v>0</v>
      </c>
      <c r="H141" s="4">
        <v>0</v>
      </c>
      <c r="I141" s="4">
        <v>0</v>
      </c>
      <c r="J141" s="4" t="s">
        <v>58</v>
      </c>
      <c r="K141">
        <v>-1853804.3974006406</v>
      </c>
      <c r="L141">
        <v>370120.78755371389</v>
      </c>
      <c r="M141">
        <f t="shared" si="5"/>
        <v>238675137</v>
      </c>
    </row>
    <row r="142" spans="1:13" x14ac:dyDescent="0.35">
      <c r="A142">
        <f t="shared" si="4"/>
        <v>239173834</v>
      </c>
      <c r="B142" t="s">
        <v>168</v>
      </c>
      <c r="C142">
        <v>746.6</v>
      </c>
      <c r="D142">
        <v>0</v>
      </c>
      <c r="E142">
        <v>746.6</v>
      </c>
      <c r="F142">
        <v>0</v>
      </c>
      <c r="G142">
        <v>0</v>
      </c>
      <c r="H142" s="4">
        <v>0</v>
      </c>
      <c r="I142" s="4">
        <v>0</v>
      </c>
      <c r="J142" s="4" t="s">
        <v>58</v>
      </c>
      <c r="K142">
        <v>-1943141.1846847804</v>
      </c>
      <c r="L142">
        <v>388090.90060650732</v>
      </c>
      <c r="M142">
        <f t="shared" si="5"/>
        <v>239173834</v>
      </c>
    </row>
    <row r="143" spans="1:13" x14ac:dyDescent="0.35">
      <c r="A143">
        <f t="shared" si="4"/>
        <v>239798372</v>
      </c>
      <c r="B143" t="s">
        <v>169</v>
      </c>
      <c r="C143">
        <v>153.69999999999999</v>
      </c>
      <c r="D143">
        <v>0</v>
      </c>
      <c r="E143">
        <v>153.69999999999999</v>
      </c>
      <c r="F143">
        <v>0</v>
      </c>
      <c r="G143">
        <v>0</v>
      </c>
      <c r="H143" s="4">
        <v>0</v>
      </c>
      <c r="I143" s="4">
        <v>0</v>
      </c>
      <c r="J143" s="4" t="s">
        <v>58</v>
      </c>
      <c r="K143">
        <v>-403937.87664690521</v>
      </c>
      <c r="L143">
        <v>81002.701640125335</v>
      </c>
      <c r="M143">
        <f t="shared" si="5"/>
        <v>239798372</v>
      </c>
    </row>
    <row r="144" spans="1:13" x14ac:dyDescent="0.35">
      <c r="A144">
        <f t="shared" si="4"/>
        <v>239798376</v>
      </c>
      <c r="B144" t="s">
        <v>170</v>
      </c>
      <c r="C144">
        <v>113.8</v>
      </c>
      <c r="D144">
        <v>0</v>
      </c>
      <c r="E144">
        <v>113.8</v>
      </c>
      <c r="F144">
        <v>0</v>
      </c>
      <c r="G144">
        <v>0</v>
      </c>
      <c r="H144" s="4">
        <v>0</v>
      </c>
      <c r="I144" s="4">
        <v>0</v>
      </c>
      <c r="J144" s="4" t="s">
        <v>58</v>
      </c>
      <c r="K144">
        <v>363108.86721400853</v>
      </c>
      <c r="L144">
        <v>-81036.715638131471</v>
      </c>
      <c r="M144">
        <f t="shared" si="5"/>
        <v>239798376</v>
      </c>
    </row>
    <row r="145" spans="1:13" x14ac:dyDescent="0.35">
      <c r="A145">
        <f t="shared" si="4"/>
        <v>239799484</v>
      </c>
      <c r="B145" t="s">
        <v>171</v>
      </c>
      <c r="C145">
        <v>186.4</v>
      </c>
      <c r="D145">
        <v>0</v>
      </c>
      <c r="E145">
        <v>186.4</v>
      </c>
      <c r="F145">
        <v>0</v>
      </c>
      <c r="G145">
        <v>0</v>
      </c>
      <c r="H145" s="4">
        <v>0</v>
      </c>
      <c r="I145" s="4">
        <v>0</v>
      </c>
      <c r="J145" s="4" t="s">
        <v>58</v>
      </c>
      <c r="K145">
        <v>486589.70438323601</v>
      </c>
      <c r="L145">
        <v>-97210.932712919297</v>
      </c>
      <c r="M145">
        <f t="shared" si="5"/>
        <v>239799484</v>
      </c>
    </row>
    <row r="146" spans="1:13" x14ac:dyDescent="0.35">
      <c r="A146">
        <f t="shared" si="4"/>
        <v>240101479</v>
      </c>
      <c r="B146" t="s">
        <v>172</v>
      </c>
      <c r="C146">
        <v>126</v>
      </c>
      <c r="D146">
        <v>0</v>
      </c>
      <c r="E146">
        <v>126</v>
      </c>
      <c r="F146">
        <v>0</v>
      </c>
      <c r="G146">
        <v>0</v>
      </c>
      <c r="H146" s="4">
        <v>0</v>
      </c>
      <c r="I146" s="4">
        <v>0</v>
      </c>
      <c r="J146" s="4" t="s">
        <v>58</v>
      </c>
      <c r="K146">
        <v>331956.28292603011</v>
      </c>
      <c r="L146">
        <v>-66584.058274341252</v>
      </c>
      <c r="M146">
        <f t="shared" si="5"/>
        <v>240101479</v>
      </c>
    </row>
    <row r="147" spans="1:13" x14ac:dyDescent="0.35">
      <c r="A147">
        <f t="shared" si="4"/>
        <v>240189575</v>
      </c>
      <c r="B147" t="s">
        <v>173</v>
      </c>
      <c r="C147">
        <v>143</v>
      </c>
      <c r="D147">
        <v>0</v>
      </c>
      <c r="E147">
        <v>143</v>
      </c>
      <c r="F147">
        <v>0</v>
      </c>
      <c r="G147">
        <v>0</v>
      </c>
      <c r="H147" s="4">
        <v>0</v>
      </c>
      <c r="I147" s="4">
        <v>0</v>
      </c>
      <c r="J147" s="4" t="s">
        <v>58</v>
      </c>
      <c r="K147">
        <v>368834.80687101424</v>
      </c>
      <c r="L147">
        <v>-73070.497200494268</v>
      </c>
      <c r="M147">
        <f t="shared" si="5"/>
        <v>240189575</v>
      </c>
    </row>
    <row r="148" spans="1:13" x14ac:dyDescent="0.35">
      <c r="A148">
        <f t="shared" si="4"/>
        <v>242040051</v>
      </c>
      <c r="B148" t="s">
        <v>174</v>
      </c>
      <c r="C148">
        <v>165.2</v>
      </c>
      <c r="D148">
        <v>0</v>
      </c>
      <c r="E148">
        <v>165.2</v>
      </c>
      <c r="F148">
        <v>0</v>
      </c>
      <c r="G148">
        <v>0</v>
      </c>
      <c r="H148" s="4">
        <v>0</v>
      </c>
      <c r="I148" s="4">
        <v>0</v>
      </c>
      <c r="J148" s="4" t="s">
        <v>58</v>
      </c>
      <c r="K148">
        <v>-432334.35461180762</v>
      </c>
      <c r="L148">
        <v>86344.992239254454</v>
      </c>
      <c r="M148">
        <f t="shared" si="5"/>
        <v>242040051</v>
      </c>
    </row>
    <row r="149" spans="1:13" x14ac:dyDescent="0.35">
      <c r="A149">
        <f t="shared" si="4"/>
        <v>243759093</v>
      </c>
      <c r="B149" t="s">
        <v>175</v>
      </c>
      <c r="C149">
        <v>100</v>
      </c>
      <c r="D149">
        <v>0</v>
      </c>
      <c r="E149">
        <v>100</v>
      </c>
      <c r="F149">
        <v>0</v>
      </c>
      <c r="G149">
        <v>0</v>
      </c>
      <c r="H149" s="4">
        <v>0</v>
      </c>
      <c r="I149" s="4">
        <v>0</v>
      </c>
      <c r="J149" s="4" t="s">
        <v>58</v>
      </c>
      <c r="K149">
        <v>269589.14386608958</v>
      </c>
      <c r="L149">
        <v>-54483.846235186364</v>
      </c>
      <c r="M149">
        <f t="shared" si="5"/>
        <v>243759093</v>
      </c>
    </row>
    <row r="150" spans="1:13" x14ac:dyDescent="0.35">
      <c r="A150">
        <f t="shared" si="4"/>
        <v>244130620</v>
      </c>
      <c r="B150" t="s">
        <v>176</v>
      </c>
      <c r="C150">
        <v>113.7</v>
      </c>
      <c r="D150">
        <v>0</v>
      </c>
      <c r="E150">
        <v>113.7</v>
      </c>
      <c r="F150">
        <v>0</v>
      </c>
      <c r="G150">
        <v>0</v>
      </c>
      <c r="H150" s="4">
        <v>0</v>
      </c>
      <c r="I150" s="4">
        <v>0</v>
      </c>
      <c r="J150" s="4" t="s">
        <v>58</v>
      </c>
      <c r="K150">
        <v>307614.83251182834</v>
      </c>
      <c r="L150">
        <v>-62187.308553983443</v>
      </c>
      <c r="M150">
        <f t="shared" si="5"/>
        <v>244130620</v>
      </c>
    </row>
    <row r="151" spans="1:13" x14ac:dyDescent="0.35">
      <c r="A151">
        <f t="shared" si="4"/>
        <v>244135123</v>
      </c>
      <c r="B151" t="s">
        <v>177</v>
      </c>
      <c r="C151">
        <v>75.099999999999994</v>
      </c>
      <c r="D151">
        <v>0</v>
      </c>
      <c r="E151">
        <v>75.099999999999994</v>
      </c>
      <c r="F151">
        <v>0</v>
      </c>
      <c r="G151">
        <v>0</v>
      </c>
      <c r="H151" s="4">
        <v>0</v>
      </c>
      <c r="I151" s="4">
        <v>0</v>
      </c>
      <c r="J151" s="4" t="s">
        <v>58</v>
      </c>
      <c r="K151">
        <v>203381.98345584446</v>
      </c>
      <c r="L151">
        <v>-41119.47499316177</v>
      </c>
      <c r="M151">
        <f t="shared" si="5"/>
        <v>244135123</v>
      </c>
    </row>
    <row r="152" spans="1:13" x14ac:dyDescent="0.35">
      <c r="A152">
        <f t="shared" si="4"/>
        <v>244608809</v>
      </c>
      <c r="B152" t="s">
        <v>178</v>
      </c>
      <c r="C152">
        <v>797.1</v>
      </c>
      <c r="D152">
        <v>0</v>
      </c>
      <c r="E152">
        <v>797.1</v>
      </c>
      <c r="F152">
        <v>0</v>
      </c>
      <c r="G152">
        <v>0</v>
      </c>
      <c r="H152" s="4">
        <v>0</v>
      </c>
      <c r="I152" s="4">
        <v>0</v>
      </c>
      <c r="J152" s="4" t="s">
        <v>58</v>
      </c>
      <c r="K152">
        <v>2112260.5966087678</v>
      </c>
      <c r="L152">
        <v>-422483.35994462622</v>
      </c>
      <c r="M152">
        <f t="shared" si="5"/>
        <v>244608809</v>
      </c>
    </row>
    <row r="153" spans="1:13" x14ac:dyDescent="0.35">
      <c r="A153">
        <f t="shared" si="4"/>
        <v>244608812</v>
      </c>
      <c r="B153" t="s">
        <v>179</v>
      </c>
      <c r="C153">
        <v>765.3</v>
      </c>
      <c r="D153">
        <v>0</v>
      </c>
      <c r="E153">
        <v>765.3</v>
      </c>
      <c r="F153">
        <v>0</v>
      </c>
      <c r="G153">
        <v>0</v>
      </c>
      <c r="H153" s="4">
        <v>0</v>
      </c>
      <c r="I153" s="4">
        <v>0</v>
      </c>
      <c r="J153" s="4" t="s">
        <v>58</v>
      </c>
      <c r="K153">
        <v>-2088769.6497116568</v>
      </c>
      <c r="L153">
        <v>423490.12886840827</v>
      </c>
      <c r="M153">
        <f t="shared" si="5"/>
        <v>244608812</v>
      </c>
    </row>
    <row r="154" spans="1:13" x14ac:dyDescent="0.35">
      <c r="A154">
        <f t="shared" si="4"/>
        <v>244847475</v>
      </c>
      <c r="B154" t="s">
        <v>180</v>
      </c>
      <c r="C154">
        <v>768.6</v>
      </c>
      <c r="D154">
        <v>0</v>
      </c>
      <c r="E154">
        <v>768.6</v>
      </c>
      <c r="F154">
        <v>0</v>
      </c>
      <c r="G154">
        <v>0</v>
      </c>
      <c r="H154" s="4">
        <v>0</v>
      </c>
      <c r="I154" s="4">
        <v>0</v>
      </c>
      <c r="J154" s="4" t="s">
        <v>58</v>
      </c>
      <c r="K154">
        <v>-2091321.6222651501</v>
      </c>
      <c r="L154">
        <v>423889.7258020608</v>
      </c>
      <c r="M154">
        <f t="shared" si="5"/>
        <v>244847475</v>
      </c>
    </row>
    <row r="155" spans="1:13" x14ac:dyDescent="0.35">
      <c r="A155">
        <f t="shared" si="4"/>
        <v>244847476</v>
      </c>
      <c r="B155" t="s">
        <v>181</v>
      </c>
      <c r="C155">
        <v>229.3</v>
      </c>
      <c r="D155">
        <v>0</v>
      </c>
      <c r="E155">
        <v>229.3</v>
      </c>
      <c r="F155">
        <v>0</v>
      </c>
      <c r="G155">
        <v>0</v>
      </c>
      <c r="H155" s="4">
        <v>0</v>
      </c>
      <c r="I155" s="4">
        <v>0</v>
      </c>
      <c r="J155" s="4" t="s">
        <v>58</v>
      </c>
      <c r="K155">
        <v>-579278.34299431567</v>
      </c>
      <c r="L155">
        <v>113653.08280427147</v>
      </c>
      <c r="M155">
        <f t="shared" si="5"/>
        <v>244847476</v>
      </c>
    </row>
    <row r="156" spans="1:13" x14ac:dyDescent="0.35">
      <c r="A156">
        <f t="shared" si="4"/>
        <v>244847477</v>
      </c>
      <c r="B156" t="s">
        <v>182</v>
      </c>
      <c r="C156">
        <v>213.5</v>
      </c>
      <c r="D156">
        <v>0</v>
      </c>
      <c r="E156">
        <v>213.5</v>
      </c>
      <c r="F156">
        <v>0</v>
      </c>
      <c r="G156">
        <v>0</v>
      </c>
      <c r="H156" s="4">
        <v>0</v>
      </c>
      <c r="I156" s="4">
        <v>0</v>
      </c>
      <c r="J156" s="4" t="s">
        <v>58</v>
      </c>
      <c r="K156">
        <v>567912.18288477557</v>
      </c>
      <c r="L156">
        <v>-113971.81966317883</v>
      </c>
      <c r="M156">
        <f t="shared" si="5"/>
        <v>244847477</v>
      </c>
    </row>
    <row r="157" spans="1:13" x14ac:dyDescent="0.35">
      <c r="A157">
        <f t="shared" si="4"/>
        <v>245404667</v>
      </c>
      <c r="B157" t="s">
        <v>183</v>
      </c>
      <c r="C157">
        <v>509.392</v>
      </c>
      <c r="D157">
        <v>0</v>
      </c>
      <c r="E157">
        <v>509.392</v>
      </c>
      <c r="F157">
        <v>0</v>
      </c>
      <c r="G157">
        <v>0</v>
      </c>
      <c r="H157" s="4">
        <v>0</v>
      </c>
      <c r="I157" s="4">
        <v>0</v>
      </c>
      <c r="J157" s="4" t="s">
        <v>58</v>
      </c>
      <c r="K157">
        <v>-1385112.0972201447</v>
      </c>
      <c r="L157">
        <v>280724.249724244</v>
      </c>
      <c r="M157">
        <f t="shared" si="5"/>
        <v>245404667</v>
      </c>
    </row>
    <row r="158" spans="1:13" x14ac:dyDescent="0.35">
      <c r="A158">
        <f t="shared" si="4"/>
        <v>245404668</v>
      </c>
      <c r="B158" t="s">
        <v>184</v>
      </c>
      <c r="C158">
        <v>531.46400000000006</v>
      </c>
      <c r="D158">
        <v>0</v>
      </c>
      <c r="E158">
        <v>531.46400000000006</v>
      </c>
      <c r="F158">
        <v>0</v>
      </c>
      <c r="G158">
        <v>0</v>
      </c>
      <c r="H158" s="4">
        <v>0</v>
      </c>
      <c r="I158" s="4">
        <v>0</v>
      </c>
      <c r="J158" s="4" t="s">
        <v>58</v>
      </c>
      <c r="K158">
        <v>1403442.8281071074</v>
      </c>
      <c r="L158">
        <v>-280594.32256621961</v>
      </c>
      <c r="M158">
        <f t="shared" si="5"/>
        <v>245404668</v>
      </c>
    </row>
    <row r="159" spans="1:13" x14ac:dyDescent="0.35">
      <c r="A159">
        <f t="shared" si="4"/>
        <v>245570646</v>
      </c>
      <c r="B159" t="s">
        <v>185</v>
      </c>
      <c r="C159">
        <v>532.5</v>
      </c>
      <c r="D159">
        <v>0</v>
      </c>
      <c r="E159">
        <v>532.5</v>
      </c>
      <c r="F159">
        <v>0</v>
      </c>
      <c r="G159">
        <v>0</v>
      </c>
      <c r="H159" s="4">
        <v>0</v>
      </c>
      <c r="I159" s="4">
        <v>0</v>
      </c>
      <c r="J159" s="4" t="s">
        <v>58</v>
      </c>
      <c r="K159">
        <v>1406767.1892297182</v>
      </c>
      <c r="L159">
        <v>-281263.74076478812</v>
      </c>
      <c r="M159">
        <f t="shared" si="5"/>
        <v>245570646</v>
      </c>
    </row>
    <row r="160" spans="1:13" x14ac:dyDescent="0.35">
      <c r="A160">
        <f t="shared" si="4"/>
        <v>245570681</v>
      </c>
      <c r="B160" t="s">
        <v>186</v>
      </c>
      <c r="C160">
        <v>509.6</v>
      </c>
      <c r="D160">
        <v>0</v>
      </c>
      <c r="E160">
        <v>509.6</v>
      </c>
      <c r="F160">
        <v>0</v>
      </c>
      <c r="G160">
        <v>0</v>
      </c>
      <c r="H160" s="4">
        <v>0</v>
      </c>
      <c r="I160" s="4">
        <v>0</v>
      </c>
      <c r="J160" s="4" t="s">
        <v>58</v>
      </c>
      <c r="K160">
        <v>-1386282.2467992879</v>
      </c>
      <c r="L160">
        <v>280962.85334123124</v>
      </c>
      <c r="M160">
        <f t="shared" si="5"/>
        <v>245570681</v>
      </c>
    </row>
    <row r="161" spans="1:13" x14ac:dyDescent="0.35">
      <c r="A161">
        <f t="shared" si="4"/>
        <v>245652779</v>
      </c>
      <c r="B161" t="s">
        <v>187</v>
      </c>
      <c r="C161">
        <v>107.8</v>
      </c>
      <c r="D161">
        <v>0</v>
      </c>
      <c r="E161">
        <v>107.8</v>
      </c>
      <c r="F161">
        <v>0</v>
      </c>
      <c r="G161">
        <v>0</v>
      </c>
      <c r="H161" s="4">
        <v>0</v>
      </c>
      <c r="I161" s="4">
        <v>0</v>
      </c>
      <c r="J161" s="4" t="s">
        <v>58</v>
      </c>
      <c r="K161">
        <v>293988.01260058465</v>
      </c>
      <c r="L161">
        <v>-59537.303123154503</v>
      </c>
      <c r="M161">
        <f t="shared" si="5"/>
        <v>245652779</v>
      </c>
    </row>
    <row r="162" spans="1:13" x14ac:dyDescent="0.35">
      <c r="A162">
        <f t="shared" si="4"/>
        <v>245819675</v>
      </c>
      <c r="B162" t="s">
        <v>188</v>
      </c>
      <c r="C162">
        <v>131</v>
      </c>
      <c r="D162">
        <v>0</v>
      </c>
      <c r="E162">
        <v>131</v>
      </c>
      <c r="F162">
        <v>0</v>
      </c>
      <c r="G162">
        <v>0</v>
      </c>
      <c r="H162" s="4">
        <v>0</v>
      </c>
      <c r="I162" s="4">
        <v>0</v>
      </c>
      <c r="J162" s="4" t="s">
        <v>58</v>
      </c>
      <c r="K162">
        <v>357127.43209529703</v>
      </c>
      <c r="L162">
        <v>-72392.298945681541</v>
      </c>
      <c r="M162">
        <f t="shared" si="5"/>
        <v>245819675</v>
      </c>
    </row>
    <row r="163" spans="1:13" x14ac:dyDescent="0.35">
      <c r="A163">
        <f t="shared" si="4"/>
        <v>245887458</v>
      </c>
      <c r="B163" t="s">
        <v>189</v>
      </c>
      <c r="C163">
        <v>139.80000000000001</v>
      </c>
      <c r="D163">
        <v>0</v>
      </c>
      <c r="E163">
        <v>139.80000000000001</v>
      </c>
      <c r="F163">
        <v>0</v>
      </c>
      <c r="G163">
        <v>0</v>
      </c>
      <c r="H163" s="4">
        <v>0</v>
      </c>
      <c r="I163" s="4">
        <v>0</v>
      </c>
      <c r="J163" s="4" t="s">
        <v>58</v>
      </c>
      <c r="K163">
        <v>403044.99030867202</v>
      </c>
      <c r="L163">
        <v>-83839.164732657155</v>
      </c>
      <c r="M163">
        <f t="shared" si="5"/>
        <v>245887458</v>
      </c>
    </row>
    <row r="164" spans="1:13" x14ac:dyDescent="0.35">
      <c r="A164">
        <f t="shared" si="4"/>
        <v>248308134</v>
      </c>
      <c r="B164" t="s">
        <v>190</v>
      </c>
      <c r="C164">
        <v>136.6</v>
      </c>
      <c r="D164">
        <v>0</v>
      </c>
      <c r="E164">
        <v>136.6</v>
      </c>
      <c r="F164">
        <v>0</v>
      </c>
      <c r="G164">
        <v>0</v>
      </c>
      <c r="H164" s="4">
        <v>0</v>
      </c>
      <c r="I164" s="4">
        <v>0</v>
      </c>
      <c r="J164" s="4" t="s">
        <v>58</v>
      </c>
      <c r="K164">
        <v>408557.90377387282</v>
      </c>
      <c r="L164">
        <v>-86342.836084795825</v>
      </c>
      <c r="M164">
        <f t="shared" si="5"/>
        <v>248308134</v>
      </c>
    </row>
    <row r="165" spans="1:13" x14ac:dyDescent="0.35">
      <c r="A165">
        <f t="shared" si="4"/>
        <v>249069902</v>
      </c>
      <c r="B165" t="s">
        <v>191</v>
      </c>
      <c r="C165">
        <v>169.6</v>
      </c>
      <c r="D165">
        <v>0</v>
      </c>
      <c r="E165">
        <v>169.6</v>
      </c>
      <c r="F165">
        <v>0</v>
      </c>
      <c r="G165">
        <v>0</v>
      </c>
      <c r="H165" s="4">
        <v>0</v>
      </c>
      <c r="I165" s="4">
        <v>0</v>
      </c>
      <c r="J165" s="4" t="s">
        <v>58</v>
      </c>
      <c r="K165">
        <v>500852.64402550342</v>
      </c>
      <c r="L165">
        <v>-105139.12999939772</v>
      </c>
      <c r="M165">
        <f t="shared" si="5"/>
        <v>249069902</v>
      </c>
    </row>
    <row r="166" spans="1:13" x14ac:dyDescent="0.35">
      <c r="A166">
        <f t="shared" si="4"/>
        <v>251001574</v>
      </c>
      <c r="B166" t="s">
        <v>192</v>
      </c>
      <c r="C166">
        <v>33</v>
      </c>
      <c r="D166">
        <v>0</v>
      </c>
      <c r="E166">
        <v>33</v>
      </c>
      <c r="F166">
        <v>0</v>
      </c>
      <c r="G166">
        <v>0</v>
      </c>
      <c r="H166" s="4">
        <v>0</v>
      </c>
      <c r="I166" s="4">
        <v>0</v>
      </c>
      <c r="J166" s="4" t="s">
        <v>58</v>
      </c>
      <c r="K166">
        <v>90393.272262526909</v>
      </c>
      <c r="L166">
        <v>-18312.484553671558</v>
      </c>
      <c r="M166">
        <f t="shared" si="5"/>
        <v>251001574</v>
      </c>
    </row>
    <row r="167" spans="1:13" x14ac:dyDescent="0.35">
      <c r="A167">
        <f t="shared" si="4"/>
        <v>251001581</v>
      </c>
      <c r="B167" t="s">
        <v>193</v>
      </c>
      <c r="C167">
        <v>23.5</v>
      </c>
      <c r="D167">
        <v>0</v>
      </c>
      <c r="E167">
        <v>23.5</v>
      </c>
      <c r="F167">
        <v>0</v>
      </c>
      <c r="G167">
        <v>0</v>
      </c>
      <c r="H167" s="4">
        <v>0</v>
      </c>
      <c r="I167" s="4">
        <v>0</v>
      </c>
      <c r="J167" s="4" t="s">
        <v>58</v>
      </c>
      <c r="K167">
        <v>-79075.974198040654</v>
      </c>
      <c r="L167">
        <v>17849.304644023661</v>
      </c>
      <c r="M167">
        <f t="shared" si="5"/>
        <v>251001581</v>
      </c>
    </row>
    <row r="168" spans="1:13" x14ac:dyDescent="0.35">
      <c r="A168">
        <f t="shared" si="4"/>
        <v>251394776</v>
      </c>
      <c r="B168" t="s">
        <v>194</v>
      </c>
      <c r="C168">
        <v>634.1</v>
      </c>
      <c r="D168">
        <v>0</v>
      </c>
      <c r="E168">
        <v>634.1</v>
      </c>
      <c r="F168">
        <v>0</v>
      </c>
      <c r="G168">
        <v>0</v>
      </c>
      <c r="H168" s="4">
        <v>0</v>
      </c>
      <c r="I168" s="4">
        <v>0</v>
      </c>
      <c r="J168" s="4" t="s">
        <v>58</v>
      </c>
      <c r="K168">
        <v>1734486.8468768301</v>
      </c>
      <c r="L168">
        <v>-351452.833271635</v>
      </c>
      <c r="M168">
        <f t="shared" si="5"/>
        <v>251394776</v>
      </c>
    </row>
    <row r="169" spans="1:13" x14ac:dyDescent="0.35">
      <c r="A169">
        <f t="shared" si="4"/>
        <v>251394867</v>
      </c>
      <c r="B169" t="s">
        <v>195</v>
      </c>
      <c r="C169">
        <v>614</v>
      </c>
      <c r="D169">
        <v>0</v>
      </c>
      <c r="E169">
        <v>614</v>
      </c>
      <c r="F169">
        <v>0</v>
      </c>
      <c r="G169">
        <v>0</v>
      </c>
      <c r="H169" s="4">
        <v>0</v>
      </c>
      <c r="I169" s="4">
        <v>0</v>
      </c>
      <c r="J169" s="4" t="s">
        <v>58</v>
      </c>
      <c r="K169">
        <v>-1718370.5040469563</v>
      </c>
      <c r="L169">
        <v>350780.66141737613</v>
      </c>
      <c r="M169">
        <f t="shared" si="5"/>
        <v>251394867</v>
      </c>
    </row>
    <row r="170" spans="1:13" x14ac:dyDescent="0.35">
      <c r="A170" t="str">
        <f t="shared" si="4"/>
        <v>91282CFF3</v>
      </c>
      <c r="B170" t="s">
        <v>31</v>
      </c>
      <c r="C170">
        <v>157.5</v>
      </c>
      <c r="D170">
        <v>0</v>
      </c>
      <c r="E170">
        <v>157.5</v>
      </c>
      <c r="F170">
        <v>0</v>
      </c>
      <c r="G170">
        <v>0</v>
      </c>
      <c r="H170" s="4">
        <v>0</v>
      </c>
      <c r="I170" s="4">
        <v>0</v>
      </c>
      <c r="J170" s="4" t="s">
        <v>69</v>
      </c>
      <c r="K170">
        <v>-338378.90624961955</v>
      </c>
      <c r="L170">
        <v>73348.658347072167</v>
      </c>
      <c r="M170" t="s">
        <v>31</v>
      </c>
    </row>
    <row r="171" spans="1:13" x14ac:dyDescent="0.35">
      <c r="A171" t="str">
        <f t="shared" si="4"/>
        <v>91282CJZ5</v>
      </c>
      <c r="B171" t="s">
        <v>40</v>
      </c>
      <c r="C171">
        <v>149.9</v>
      </c>
      <c r="D171">
        <v>0</v>
      </c>
      <c r="E171">
        <v>149.9</v>
      </c>
      <c r="F171">
        <v>0</v>
      </c>
      <c r="G171">
        <v>0</v>
      </c>
      <c r="H171" s="4">
        <v>0</v>
      </c>
      <c r="I171" s="4">
        <v>0</v>
      </c>
      <c r="J171" s="4" t="s">
        <v>69</v>
      </c>
      <c r="K171">
        <v>-380605.46874993609</v>
      </c>
      <c r="L171">
        <v>86830.544105964684</v>
      </c>
      <c r="M171" t="s">
        <v>40</v>
      </c>
    </row>
    <row r="172" spans="1:13" x14ac:dyDescent="0.35">
      <c r="A172" t="str">
        <f t="shared" si="4"/>
        <v>91282CKQ3</v>
      </c>
      <c r="B172" t="s">
        <v>41</v>
      </c>
      <c r="C172">
        <v>248</v>
      </c>
      <c r="D172">
        <v>0</v>
      </c>
      <c r="E172">
        <v>248</v>
      </c>
      <c r="F172">
        <v>0</v>
      </c>
      <c r="G172">
        <v>0</v>
      </c>
      <c r="H172" s="4">
        <v>0</v>
      </c>
      <c r="I172" s="4">
        <v>0</v>
      </c>
      <c r="J172" s="4" t="s">
        <v>69</v>
      </c>
      <c r="K172">
        <v>-678124.99999989418</v>
      </c>
      <c r="L172">
        <v>149517.24097045371</v>
      </c>
      <c r="M172" t="s">
        <v>41</v>
      </c>
    </row>
    <row r="173" spans="1:13" x14ac:dyDescent="0.35">
      <c r="A173" t="str">
        <f t="shared" si="4"/>
        <v>91282CLF6</v>
      </c>
      <c r="B173" t="s">
        <v>42</v>
      </c>
      <c r="C173">
        <v>167.6</v>
      </c>
      <c r="D173">
        <v>0</v>
      </c>
      <c r="E173">
        <v>167.6</v>
      </c>
      <c r="F173">
        <v>0</v>
      </c>
      <c r="G173">
        <v>0</v>
      </c>
      <c r="H173" s="4">
        <v>0</v>
      </c>
      <c r="I173" s="4">
        <v>0</v>
      </c>
      <c r="J173" s="4" t="s">
        <v>69</v>
      </c>
      <c r="K173">
        <v>-432093.74999978568</v>
      </c>
      <c r="L173">
        <v>101483.26572334554</v>
      </c>
      <c r="M173" t="s">
        <v>42</v>
      </c>
    </row>
    <row r="174" spans="1:13" x14ac:dyDescent="0.35">
      <c r="A174" t="str">
        <f t="shared" si="4"/>
        <v>91282CNW7</v>
      </c>
      <c r="B174" t="s">
        <v>32</v>
      </c>
      <c r="C174">
        <v>220.5</v>
      </c>
      <c r="D174">
        <v>0</v>
      </c>
      <c r="E174">
        <v>220.5</v>
      </c>
      <c r="F174">
        <v>0</v>
      </c>
      <c r="G174">
        <v>0</v>
      </c>
      <c r="H174" s="4">
        <v>0</v>
      </c>
      <c r="I174" s="4">
        <v>0</v>
      </c>
      <c r="J174" s="4" t="s">
        <v>69</v>
      </c>
      <c r="K174">
        <v>-499570.31249949866</v>
      </c>
      <c r="L174">
        <v>107039.44738565951</v>
      </c>
      <c r="M174" t="s">
        <v>32</v>
      </c>
    </row>
    <row r="175" spans="1:13" x14ac:dyDescent="0.35">
      <c r="A175" t="str">
        <f t="shared" si="4"/>
        <v>91282CNZ0</v>
      </c>
      <c r="B175" t="s">
        <v>33</v>
      </c>
      <c r="C175">
        <v>285.8</v>
      </c>
      <c r="D175">
        <v>0</v>
      </c>
      <c r="E175">
        <v>285.8</v>
      </c>
      <c r="F175">
        <v>0</v>
      </c>
      <c r="G175">
        <v>0</v>
      </c>
      <c r="H175" s="4">
        <v>0</v>
      </c>
      <c r="I175" s="4">
        <v>0</v>
      </c>
      <c r="J175" s="4" t="s">
        <v>69</v>
      </c>
      <c r="K175">
        <v>-658679.6875008936</v>
      </c>
      <c r="L175">
        <v>140266.82367784815</v>
      </c>
      <c r="M175" t="s">
        <v>33</v>
      </c>
    </row>
    <row r="176" spans="1:13" x14ac:dyDescent="0.35">
      <c r="A176" t="str">
        <f t="shared" si="4"/>
        <v>91282CPM7</v>
      </c>
      <c r="B176" t="s">
        <v>34</v>
      </c>
      <c r="C176">
        <v>300.10000000000002</v>
      </c>
      <c r="D176">
        <v>0</v>
      </c>
      <c r="E176">
        <v>300.10000000000002</v>
      </c>
      <c r="F176">
        <v>0</v>
      </c>
      <c r="G176">
        <v>0</v>
      </c>
      <c r="H176" s="4">
        <v>0</v>
      </c>
      <c r="I176" s="4">
        <v>0</v>
      </c>
      <c r="J176" s="4" t="s">
        <v>69</v>
      </c>
      <c r="K176">
        <v>-691636.71874982945</v>
      </c>
      <c r="L176">
        <v>149993.82528912977</v>
      </c>
      <c r="M176" t="s">
        <v>34</v>
      </c>
    </row>
    <row r="177" spans="1:13" x14ac:dyDescent="0.35">
      <c r="A177" t="str">
        <f t="shared" si="4"/>
        <v>91282CPY1</v>
      </c>
      <c r="B177" t="s">
        <v>35</v>
      </c>
      <c r="C177">
        <v>229.28</v>
      </c>
      <c r="D177">
        <v>0</v>
      </c>
      <c r="E177">
        <v>229.28</v>
      </c>
      <c r="F177">
        <v>0</v>
      </c>
      <c r="G177">
        <v>0</v>
      </c>
      <c r="H177" s="4">
        <v>0</v>
      </c>
      <c r="I177" s="4">
        <v>0</v>
      </c>
      <c r="J177" s="4" t="s">
        <v>69</v>
      </c>
      <c r="K177">
        <v>-546331.2499994461</v>
      </c>
      <c r="L177">
        <v>118008.28956438636</v>
      </c>
      <c r="M177" t="s">
        <v>35</v>
      </c>
    </row>
    <row r="178" spans="1:13" x14ac:dyDescent="0.35">
      <c r="A178" t="str">
        <f t="shared" si="4"/>
        <v>91282CRC7</v>
      </c>
      <c r="B178" t="s">
        <v>36</v>
      </c>
      <c r="C178">
        <v>-329.86</v>
      </c>
      <c r="D178">
        <v>0</v>
      </c>
      <c r="E178">
        <v>-329.86</v>
      </c>
      <c r="F178">
        <v>0</v>
      </c>
      <c r="G178">
        <v>0</v>
      </c>
      <c r="H178" s="4">
        <v>0</v>
      </c>
      <c r="I178" s="4">
        <v>0</v>
      </c>
      <c r="J178" s="4" t="s">
        <v>69</v>
      </c>
      <c r="K178">
        <v>824650.00000065635</v>
      </c>
      <c r="L178">
        <v>-182675.38738996338</v>
      </c>
      <c r="M178" t="s">
        <v>36</v>
      </c>
    </row>
    <row r="179" spans="1:13" x14ac:dyDescent="0.35">
      <c r="A179" t="str">
        <f t="shared" si="4"/>
        <v>91282CRJ2</v>
      </c>
      <c r="B179" t="s">
        <v>37</v>
      </c>
      <c r="C179">
        <v>-639.15</v>
      </c>
      <c r="D179">
        <v>0</v>
      </c>
      <c r="E179">
        <v>-639.15</v>
      </c>
      <c r="F179">
        <v>0</v>
      </c>
      <c r="G179">
        <v>0</v>
      </c>
      <c r="H179" s="4">
        <v>0</v>
      </c>
      <c r="I179" s="4">
        <v>0</v>
      </c>
      <c r="J179" s="4" t="s">
        <v>69</v>
      </c>
      <c r="K179">
        <v>1697742.1875832898</v>
      </c>
      <c r="L179">
        <v>-358999.44116124517</v>
      </c>
      <c r="M179" t="s">
        <v>37</v>
      </c>
    </row>
    <row r="180" spans="1:13" x14ac:dyDescent="0.35">
      <c r="A180" t="str">
        <f t="shared" si="4"/>
        <v>91282CRM5</v>
      </c>
      <c r="B180" t="s">
        <v>39</v>
      </c>
      <c r="C180">
        <v>202.1</v>
      </c>
      <c r="D180">
        <v>0</v>
      </c>
      <c r="E180">
        <v>202.1</v>
      </c>
      <c r="F180">
        <v>0</v>
      </c>
      <c r="G180">
        <v>0</v>
      </c>
      <c r="H180" s="4">
        <v>0</v>
      </c>
      <c r="I180" s="4">
        <v>0</v>
      </c>
      <c r="J180" s="4" t="s">
        <v>69</v>
      </c>
      <c r="K180">
        <v>-536828.12500002864</v>
      </c>
      <c r="L180">
        <v>116610.42083233042</v>
      </c>
      <c r="M180" t="s">
        <v>39</v>
      </c>
    </row>
    <row r="181" spans="1:13" x14ac:dyDescent="0.35">
      <c r="A181" t="str">
        <f t="shared" si="4"/>
        <v>SERU6</v>
      </c>
      <c r="B181" t="s">
        <v>126</v>
      </c>
      <c r="C181">
        <v>0</v>
      </c>
      <c r="D181">
        <v>0</v>
      </c>
      <c r="E181">
        <v>-117</v>
      </c>
      <c r="F181">
        <v>117</v>
      </c>
      <c r="G181">
        <v>96.251000000000005</v>
      </c>
      <c r="H181" s="4">
        <v>0</v>
      </c>
      <c r="I181" s="4">
        <v>96.251000000000005</v>
      </c>
      <c r="J181" s="4" t="s">
        <v>127</v>
      </c>
      <c r="K181" t="e">
        <v>#NUM!</v>
      </c>
      <c r="L181">
        <v>0</v>
      </c>
      <c r="M181" t="s">
        <v>126</v>
      </c>
    </row>
    <row r="182" spans="1:13" x14ac:dyDescent="0.35">
      <c r="A182" t="str">
        <f t="shared" si="4"/>
        <v>SERV6</v>
      </c>
      <c r="B182" t="s">
        <v>128</v>
      </c>
      <c r="C182">
        <v>-163</v>
      </c>
      <c r="D182">
        <v>0</v>
      </c>
      <c r="E182">
        <v>-163</v>
      </c>
      <c r="F182">
        <v>0</v>
      </c>
      <c r="G182">
        <v>0</v>
      </c>
      <c r="H182" s="4">
        <v>0</v>
      </c>
      <c r="I182" s="4">
        <v>0</v>
      </c>
      <c r="J182" s="4" t="s">
        <v>127</v>
      </c>
      <c r="K182">
        <v>-1698.0524999984557</v>
      </c>
      <c r="L182">
        <v>-5915.7958064516142</v>
      </c>
      <c r="M182" t="s">
        <v>128</v>
      </c>
    </row>
    <row r="183" spans="1:13" x14ac:dyDescent="0.35">
      <c r="A183" t="str">
        <f t="shared" si="4"/>
        <v>SERX6</v>
      </c>
      <c r="B183" t="s">
        <v>129</v>
      </c>
      <c r="C183">
        <v>-159</v>
      </c>
      <c r="D183">
        <v>0</v>
      </c>
      <c r="E183">
        <v>-159</v>
      </c>
      <c r="F183">
        <v>0</v>
      </c>
      <c r="G183">
        <v>0</v>
      </c>
      <c r="H183" s="4">
        <v>0</v>
      </c>
      <c r="I183" s="4">
        <v>0</v>
      </c>
      <c r="J183" s="4" t="s">
        <v>127</v>
      </c>
      <c r="K183">
        <v>-6625.5300000033894</v>
      </c>
      <c r="L183">
        <v>-6625.5300000000007</v>
      </c>
      <c r="M183" t="s">
        <v>129</v>
      </c>
    </row>
    <row r="184" spans="1:13" x14ac:dyDescent="0.35">
      <c r="A184" t="str">
        <f t="shared" si="4"/>
        <v>SERZ6</v>
      </c>
      <c r="B184" t="s">
        <v>141</v>
      </c>
      <c r="C184">
        <v>-122</v>
      </c>
      <c r="D184">
        <v>0</v>
      </c>
      <c r="E184">
        <v>-122</v>
      </c>
      <c r="F184">
        <v>0</v>
      </c>
      <c r="G184">
        <v>0</v>
      </c>
      <c r="H184" s="4">
        <v>0</v>
      </c>
      <c r="I184" s="4">
        <v>0</v>
      </c>
      <c r="J184" s="4" t="s">
        <v>127</v>
      </c>
      <c r="K184">
        <v>0</v>
      </c>
      <c r="L184">
        <v>-5083.74</v>
      </c>
      <c r="M184" t="s">
        <v>141</v>
      </c>
    </row>
    <row r="185" spans="1:13" x14ac:dyDescent="0.35">
      <c r="A185" t="str">
        <f t="shared" si="4"/>
        <v>TYZ6</v>
      </c>
      <c r="B185" t="s">
        <v>38</v>
      </c>
      <c r="C185">
        <v>-7402</v>
      </c>
      <c r="D185">
        <v>0</v>
      </c>
      <c r="E185">
        <v>-7402</v>
      </c>
      <c r="F185">
        <v>0</v>
      </c>
      <c r="G185">
        <v>0</v>
      </c>
      <c r="H185" s="4">
        <v>0</v>
      </c>
      <c r="I185" s="4">
        <v>0</v>
      </c>
      <c r="J185" s="4" t="s">
        <v>60</v>
      </c>
      <c r="K185">
        <v>2197468.75</v>
      </c>
      <c r="L185">
        <v>-456238.51446129906</v>
      </c>
      <c r="M185" t="s">
        <v>38</v>
      </c>
    </row>
    <row r="186" spans="1:13" x14ac:dyDescent="0.35">
      <c r="A186">
        <f t="shared" si="4"/>
        <v>252970386</v>
      </c>
      <c r="B186" t="s">
        <v>196</v>
      </c>
      <c r="C186">
        <v>55.6</v>
      </c>
      <c r="D186">
        <v>0</v>
      </c>
      <c r="E186">
        <v>55.6</v>
      </c>
      <c r="F186">
        <v>0</v>
      </c>
      <c r="G186">
        <v>0</v>
      </c>
      <c r="H186" s="4">
        <v>0</v>
      </c>
      <c r="I186" s="4">
        <v>0</v>
      </c>
      <c r="J186" s="4" t="s">
        <v>58</v>
      </c>
      <c r="K186">
        <v>-33794.275339576947</v>
      </c>
      <c r="L186">
        <v>14208.78593296976</v>
      </c>
      <c r="M186">
        <f t="shared" si="5"/>
        <v>252970386</v>
      </c>
    </row>
    <row r="187" spans="1:13" x14ac:dyDescent="0.35">
      <c r="A187">
        <f t="shared" si="4"/>
        <v>252970434</v>
      </c>
      <c r="B187" t="s">
        <v>197</v>
      </c>
      <c r="C187">
        <v>71.099999999999994</v>
      </c>
      <c r="D187">
        <v>0</v>
      </c>
      <c r="E187">
        <v>71.099999999999994</v>
      </c>
      <c r="F187">
        <v>0</v>
      </c>
      <c r="G187">
        <v>0</v>
      </c>
      <c r="H187" s="4">
        <v>0</v>
      </c>
      <c r="I187" s="4">
        <v>0</v>
      </c>
      <c r="J187" s="4" t="s">
        <v>58</v>
      </c>
      <c r="K187">
        <v>30051.12415569821</v>
      </c>
      <c r="L187">
        <v>-13813.036120904588</v>
      </c>
      <c r="M187">
        <f t="shared" si="5"/>
        <v>252970434</v>
      </c>
    </row>
    <row r="188" spans="1:13" x14ac:dyDescent="0.35">
      <c r="A188" t="str">
        <f t="shared" si="4"/>
        <v>912810UW6</v>
      </c>
      <c r="B188" t="s">
        <v>47</v>
      </c>
      <c r="C188">
        <v>-62</v>
      </c>
      <c r="D188">
        <v>0</v>
      </c>
      <c r="E188">
        <v>-31</v>
      </c>
      <c r="F188">
        <v>-31</v>
      </c>
      <c r="G188">
        <v>93.657550000000001</v>
      </c>
      <c r="H188" s="4">
        <v>0</v>
      </c>
      <c r="I188" s="4">
        <v>93.657550000000001</v>
      </c>
      <c r="J188" s="4" t="s">
        <v>69</v>
      </c>
      <c r="K188">
        <v>108984.37500020706</v>
      </c>
      <c r="L188">
        <v>-84256.578531949344</v>
      </c>
      <c r="M188" t="s">
        <v>47</v>
      </c>
    </row>
    <row r="189" spans="1:13" x14ac:dyDescent="0.35">
      <c r="A189" t="str">
        <f t="shared" si="4"/>
        <v>WNZ6</v>
      </c>
      <c r="B189" t="s">
        <v>46</v>
      </c>
      <c r="C189">
        <v>497</v>
      </c>
      <c r="D189">
        <v>0</v>
      </c>
      <c r="E189">
        <v>277</v>
      </c>
      <c r="F189">
        <v>220</v>
      </c>
      <c r="G189">
        <v>104.4522779352518</v>
      </c>
      <c r="H189" s="4">
        <v>-59099.867644604587</v>
      </c>
      <c r="I189" s="4">
        <v>104.4522779352518</v>
      </c>
      <c r="J189" s="4" t="s">
        <v>60</v>
      </c>
      <c r="K189">
        <v>-95218.75</v>
      </c>
      <c r="L189">
        <v>76267.623409585387</v>
      </c>
      <c r="M189" t="s">
        <v>46</v>
      </c>
    </row>
    <row r="190" spans="1:13" x14ac:dyDescent="0.35">
      <c r="H190" s="4"/>
      <c r="I190" s="4"/>
      <c r="J190" s="4"/>
    </row>
    <row r="191" spans="1:13" x14ac:dyDescent="0.35">
      <c r="H191" s="4"/>
      <c r="I191" s="4"/>
      <c r="J191" s="4"/>
    </row>
    <row r="192" spans="1:13" x14ac:dyDescent="0.35">
      <c r="H192" s="4"/>
      <c r="I192" s="4"/>
      <c r="J192" s="4"/>
    </row>
    <row r="193" spans="8:10" x14ac:dyDescent="0.35">
      <c r="H193" s="4"/>
      <c r="I193" s="4"/>
      <c r="J193" s="4"/>
    </row>
    <row r="194" spans="8:10" x14ac:dyDescent="0.35">
      <c r="H194" s="4"/>
      <c r="I194" s="4"/>
      <c r="J194" s="4"/>
    </row>
    <row r="195" spans="8:10" x14ac:dyDescent="0.35">
      <c r="H195" s="4"/>
      <c r="I195" s="4"/>
      <c r="J195" s="4"/>
    </row>
    <row r="196" spans="8:10" x14ac:dyDescent="0.35">
      <c r="H196" s="4"/>
      <c r="I196" s="4"/>
      <c r="J196" s="4"/>
    </row>
    <row r="197" spans="8:10" x14ac:dyDescent="0.35">
      <c r="H197" s="4"/>
      <c r="I197" s="4"/>
      <c r="J197" s="4"/>
    </row>
    <row r="198" spans="8:10" x14ac:dyDescent="0.35">
      <c r="H198" s="4"/>
      <c r="I198" s="4"/>
      <c r="J198" s="4"/>
    </row>
    <row r="199" spans="8:10" x14ac:dyDescent="0.35">
      <c r="H199" s="4"/>
      <c r="I199" s="4"/>
      <c r="J199" s="4"/>
    </row>
    <row r="200" spans="8:10" x14ac:dyDescent="0.35">
      <c r="H200" s="4"/>
      <c r="I200" s="4"/>
      <c r="J200" s="4"/>
    </row>
    <row r="201" spans="8:10" x14ac:dyDescent="0.35">
      <c r="H201" s="4"/>
      <c r="I201" s="4"/>
      <c r="J201" s="4"/>
    </row>
    <row r="202" spans="8:10" x14ac:dyDescent="0.35">
      <c r="H202" s="4"/>
      <c r="I202" s="4"/>
      <c r="J202" s="4"/>
    </row>
    <row r="203" spans="8:10" x14ac:dyDescent="0.35">
      <c r="H203" s="4"/>
      <c r="I203" s="4"/>
      <c r="J203" s="4"/>
    </row>
    <row r="204" spans="8:10" x14ac:dyDescent="0.35">
      <c r="H204" s="4"/>
      <c r="I204" s="4"/>
      <c r="J204" s="4"/>
    </row>
    <row r="205" spans="8:10" x14ac:dyDescent="0.35">
      <c r="H205" s="4"/>
      <c r="I205" s="4"/>
      <c r="J205" s="4"/>
    </row>
    <row r="206" spans="8:10" x14ac:dyDescent="0.35">
      <c r="H206" s="4"/>
      <c r="I206" s="4"/>
      <c r="J206" s="4"/>
    </row>
    <row r="207" spans="8:10" x14ac:dyDescent="0.35">
      <c r="H207" s="4"/>
      <c r="I207" s="4"/>
      <c r="J207" s="4"/>
    </row>
    <row r="208" spans="8:10" x14ac:dyDescent="0.35">
      <c r="H208" s="4"/>
      <c r="I208" s="4"/>
      <c r="J208" s="4"/>
    </row>
    <row r="209" spans="8:10" x14ac:dyDescent="0.35">
      <c r="H209" s="4"/>
      <c r="I209" s="4"/>
      <c r="J209" s="4"/>
    </row>
    <row r="210" spans="8:10" x14ac:dyDescent="0.35">
      <c r="H210" s="4"/>
      <c r="I210" s="4"/>
      <c r="J210" s="4"/>
    </row>
    <row r="211" spans="8:10" x14ac:dyDescent="0.35">
      <c r="H211" s="4"/>
      <c r="I211" s="4"/>
      <c r="J211" s="4"/>
    </row>
    <row r="212" spans="8:10" x14ac:dyDescent="0.35">
      <c r="H212" s="4"/>
      <c r="I212" s="4"/>
      <c r="J212" s="4"/>
    </row>
    <row r="213" spans="8:10" x14ac:dyDescent="0.35">
      <c r="H213" s="4"/>
      <c r="I213" s="4"/>
      <c r="J213" s="4"/>
    </row>
    <row r="214" spans="8:10" x14ac:dyDescent="0.35">
      <c r="H214" s="4"/>
      <c r="I214" s="4"/>
      <c r="J214" s="4"/>
    </row>
    <row r="215" spans="8:10" x14ac:dyDescent="0.35">
      <c r="H215" s="4"/>
      <c r="I215" s="4"/>
      <c r="J215" s="4"/>
    </row>
    <row r="216" spans="8:10" x14ac:dyDescent="0.35">
      <c r="H216" s="4"/>
      <c r="I216" s="4"/>
      <c r="J216" s="4"/>
    </row>
    <row r="217" spans="8:10" x14ac:dyDescent="0.35">
      <c r="H217" s="4"/>
      <c r="I217" s="4"/>
      <c r="J217" s="4"/>
    </row>
    <row r="218" spans="8:10" x14ac:dyDescent="0.35">
      <c r="H218" s="4"/>
      <c r="I218" s="4"/>
      <c r="J218" s="4"/>
    </row>
    <row r="219" spans="8:10" x14ac:dyDescent="0.35">
      <c r="H219" s="4"/>
      <c r="I219" s="4"/>
      <c r="J219" s="4"/>
    </row>
    <row r="220" spans="8:10" x14ac:dyDescent="0.35">
      <c r="H220" s="4"/>
      <c r="I220" s="4"/>
      <c r="J220" s="4"/>
    </row>
    <row r="221" spans="8:10" x14ac:dyDescent="0.35">
      <c r="H221" s="4"/>
      <c r="I221" s="4"/>
      <c r="J221" s="4"/>
    </row>
    <row r="222" spans="8:10" x14ac:dyDescent="0.35">
      <c r="H222" s="4"/>
      <c r="I222" s="4"/>
      <c r="J222" s="4"/>
    </row>
    <row r="223" spans="8:10" x14ac:dyDescent="0.35">
      <c r="H223" s="4"/>
      <c r="I223" s="4"/>
      <c r="J223" s="4"/>
    </row>
    <row r="224" spans="8:10" x14ac:dyDescent="0.35">
      <c r="H224" s="4"/>
      <c r="I224" s="4"/>
      <c r="J224" s="4"/>
    </row>
    <row r="225" spans="8:10" x14ac:dyDescent="0.35">
      <c r="H225" s="4"/>
      <c r="I225" s="4"/>
      <c r="J225" s="4"/>
    </row>
    <row r="226" spans="8:10" x14ac:dyDescent="0.35">
      <c r="H226" s="4"/>
      <c r="I226" s="4"/>
      <c r="J226" s="4"/>
    </row>
    <row r="227" spans="8:10" x14ac:dyDescent="0.35">
      <c r="H227" s="4"/>
      <c r="I227" s="4"/>
      <c r="J227" s="4"/>
    </row>
    <row r="228" spans="8:10" x14ac:dyDescent="0.35">
      <c r="H228" s="4"/>
      <c r="I228" s="4"/>
      <c r="J228" s="4"/>
    </row>
    <row r="229" spans="8:10" x14ac:dyDescent="0.35">
      <c r="H229" s="4"/>
      <c r="I229" s="4"/>
      <c r="J229" s="4"/>
    </row>
    <row r="230" spans="8:10" x14ac:dyDescent="0.35">
      <c r="H230" s="4"/>
      <c r="I230" s="4"/>
      <c r="J230" s="4"/>
    </row>
    <row r="231" spans="8:10" x14ac:dyDescent="0.35">
      <c r="H231" s="4"/>
      <c r="I231" s="4"/>
      <c r="J231" s="4"/>
    </row>
    <row r="232" spans="8:10" x14ac:dyDescent="0.35">
      <c r="H232" s="4"/>
      <c r="I232" s="4"/>
      <c r="J232" s="4"/>
    </row>
    <row r="233" spans="8:10" x14ac:dyDescent="0.35">
      <c r="H233" s="4"/>
      <c r="I233" s="4"/>
      <c r="J233" s="4"/>
    </row>
    <row r="234" spans="8:10" x14ac:dyDescent="0.35">
      <c r="H234" s="4"/>
      <c r="I234" s="4"/>
      <c r="J234" s="4"/>
    </row>
    <row r="235" spans="8:10" x14ac:dyDescent="0.35">
      <c r="H235" s="4"/>
      <c r="I235" s="4"/>
      <c r="J235" s="4"/>
    </row>
    <row r="236" spans="8:10" x14ac:dyDescent="0.35">
      <c r="H236" s="4"/>
      <c r="I236" s="4"/>
      <c r="J236" s="4"/>
    </row>
    <row r="237" spans="8:10" x14ac:dyDescent="0.35">
      <c r="H237" s="4"/>
      <c r="I237" s="4"/>
      <c r="J237" s="4"/>
    </row>
    <row r="238" spans="8:10" x14ac:dyDescent="0.35">
      <c r="H238" s="4"/>
      <c r="I238" s="4"/>
      <c r="J238" s="4"/>
    </row>
    <row r="239" spans="8:10" x14ac:dyDescent="0.35">
      <c r="H239" s="4"/>
      <c r="I239" s="4"/>
      <c r="J239" s="4"/>
    </row>
    <row r="240" spans="8:10" x14ac:dyDescent="0.35">
      <c r="H240" s="4"/>
      <c r="I240" s="4"/>
      <c r="J240" s="4"/>
    </row>
    <row r="241" spans="8:10" x14ac:dyDescent="0.35">
      <c r="H241" s="4"/>
      <c r="I241" s="4"/>
      <c r="J241" s="4"/>
    </row>
    <row r="242" spans="8:10" x14ac:dyDescent="0.35">
      <c r="H242" s="4"/>
      <c r="I242" s="4"/>
      <c r="J242" s="4"/>
    </row>
    <row r="243" spans="8:10" x14ac:dyDescent="0.35">
      <c r="H243" s="4"/>
      <c r="I243" s="4"/>
      <c r="J243" s="4"/>
    </row>
    <row r="244" spans="8:10" x14ac:dyDescent="0.35">
      <c r="H244" s="4"/>
      <c r="I244" s="4"/>
      <c r="J244" s="4"/>
    </row>
    <row r="245" spans="8:10" x14ac:dyDescent="0.35">
      <c r="H245" s="4"/>
      <c r="I245" s="4"/>
      <c r="J245" s="4"/>
    </row>
    <row r="246" spans="8:10" x14ac:dyDescent="0.35">
      <c r="H246" s="4"/>
      <c r="I246" s="4"/>
      <c r="J246" s="4"/>
    </row>
    <row r="247" spans="8:10" x14ac:dyDescent="0.35">
      <c r="H247" s="4"/>
      <c r="I247" s="4"/>
      <c r="J247" s="4"/>
    </row>
    <row r="248" spans="8:10" x14ac:dyDescent="0.35">
      <c r="H248" s="4"/>
      <c r="I248" s="4"/>
      <c r="J248" s="4"/>
    </row>
    <row r="249" spans="8:10" x14ac:dyDescent="0.35">
      <c r="H249" s="4"/>
      <c r="I249" s="4"/>
      <c r="J249" s="4"/>
    </row>
    <row r="250" spans="8:10" x14ac:dyDescent="0.35">
      <c r="H250" s="4"/>
      <c r="I250" s="4"/>
      <c r="J250" s="4"/>
    </row>
    <row r="251" spans="8:10" x14ac:dyDescent="0.35">
      <c r="H251" s="4"/>
      <c r="I251" s="4"/>
      <c r="J251" s="4"/>
    </row>
    <row r="252" spans="8:10" x14ac:dyDescent="0.35">
      <c r="H252" s="4"/>
      <c r="I252" s="4"/>
      <c r="J252" s="4"/>
    </row>
    <row r="253" spans="8:10" x14ac:dyDescent="0.35">
      <c r="H253" s="4"/>
      <c r="I253" s="4"/>
      <c r="J253" s="4"/>
    </row>
    <row r="254" spans="8:10" x14ac:dyDescent="0.35">
      <c r="H254" s="4"/>
      <c r="I254" s="4"/>
      <c r="J254" s="4"/>
    </row>
    <row r="255" spans="8:10" x14ac:dyDescent="0.35">
      <c r="H255" s="4"/>
      <c r="I255" s="4"/>
      <c r="J255" s="4"/>
    </row>
    <row r="256" spans="8:10" x14ac:dyDescent="0.35">
      <c r="H256" s="4"/>
      <c r="I256" s="4"/>
      <c r="J256" s="4"/>
    </row>
    <row r="257" spans="8:10" x14ac:dyDescent="0.35">
      <c r="H257" s="4"/>
      <c r="I257" s="4"/>
      <c r="J257" s="4"/>
    </row>
    <row r="258" spans="8:10" x14ac:dyDescent="0.35">
      <c r="H258" s="4"/>
      <c r="I258" s="4"/>
      <c r="J258" s="4"/>
    </row>
    <row r="259" spans="8:10" x14ac:dyDescent="0.35">
      <c r="H259" s="4"/>
      <c r="I259" s="4"/>
      <c r="J259" s="4"/>
    </row>
    <row r="260" spans="8:10" x14ac:dyDescent="0.35">
      <c r="H260" s="4"/>
      <c r="I260" s="4"/>
      <c r="J260" s="4"/>
    </row>
    <row r="261" spans="8:10" x14ac:dyDescent="0.35">
      <c r="H261" s="4"/>
      <c r="I261" s="4"/>
      <c r="J261" s="4"/>
    </row>
    <row r="262" spans="8:10" x14ac:dyDescent="0.35">
      <c r="H262" s="4"/>
      <c r="I262" s="4"/>
      <c r="J262" s="4"/>
    </row>
    <row r="263" spans="8:10" x14ac:dyDescent="0.35">
      <c r="H263" s="4"/>
      <c r="I263" s="4"/>
      <c r="J263" s="4"/>
    </row>
    <row r="264" spans="8:10" x14ac:dyDescent="0.35">
      <c r="H264" s="4"/>
      <c r="I264" s="4"/>
      <c r="J264" s="4"/>
    </row>
    <row r="265" spans="8:10" x14ac:dyDescent="0.35">
      <c r="H265" s="4"/>
      <c r="I265" s="4"/>
      <c r="J265" s="4"/>
    </row>
    <row r="266" spans="8:10" x14ac:dyDescent="0.35">
      <c r="H266" s="4"/>
      <c r="I266" s="4"/>
      <c r="J266" s="4"/>
    </row>
    <row r="267" spans="8:10" x14ac:dyDescent="0.35">
      <c r="H267" s="4"/>
      <c r="I267" s="4"/>
      <c r="J267" s="4"/>
    </row>
    <row r="268" spans="8:10" x14ac:dyDescent="0.35">
      <c r="H268" s="4"/>
      <c r="I268" s="4"/>
      <c r="J268" s="4"/>
    </row>
    <row r="269" spans="8:10" x14ac:dyDescent="0.35">
      <c r="H269" s="4"/>
      <c r="I269" s="4"/>
      <c r="J269" s="4"/>
    </row>
    <row r="270" spans="8:10" x14ac:dyDescent="0.35">
      <c r="H270" s="4"/>
      <c r="I270" s="4"/>
      <c r="J270" s="4"/>
    </row>
    <row r="271" spans="8:10" x14ac:dyDescent="0.35">
      <c r="H271" s="4"/>
      <c r="I271" s="4"/>
      <c r="J271" s="4"/>
    </row>
    <row r="272" spans="8:10" x14ac:dyDescent="0.35">
      <c r="H272" s="4"/>
      <c r="I272" s="4"/>
      <c r="J272" s="4"/>
    </row>
    <row r="273" spans="8:10" x14ac:dyDescent="0.35">
      <c r="H273" s="4"/>
      <c r="I273" s="4"/>
      <c r="J273" s="4"/>
    </row>
    <row r="274" spans="8:10" x14ac:dyDescent="0.35">
      <c r="H274" s="4"/>
      <c r="I274" s="4"/>
      <c r="J274" s="4"/>
    </row>
    <row r="275" spans="8:10" x14ac:dyDescent="0.35">
      <c r="H275" s="4"/>
      <c r="I275" s="4"/>
      <c r="J275" s="4"/>
    </row>
    <row r="276" spans="8:10" x14ac:dyDescent="0.35">
      <c r="H276" s="4"/>
      <c r="I276" s="4"/>
      <c r="J276" s="4"/>
    </row>
    <row r="277" spans="8:10" x14ac:dyDescent="0.35">
      <c r="H277" s="4"/>
      <c r="I277" s="4"/>
      <c r="J277" s="4"/>
    </row>
    <row r="278" spans="8:10" x14ac:dyDescent="0.35">
      <c r="H278" s="4"/>
      <c r="I278" s="4"/>
      <c r="J278" s="4"/>
    </row>
    <row r="279" spans="8:10" x14ac:dyDescent="0.35">
      <c r="H279" s="4"/>
      <c r="I279" s="4"/>
      <c r="J279" s="4"/>
    </row>
    <row r="280" spans="8:10" x14ac:dyDescent="0.35">
      <c r="H280" s="4"/>
      <c r="I280" s="4"/>
      <c r="J280" s="4"/>
    </row>
    <row r="281" spans="8:10" x14ac:dyDescent="0.35">
      <c r="H281" s="4"/>
      <c r="I281" s="4"/>
      <c r="J281" s="4"/>
    </row>
    <row r="282" spans="8:10" x14ac:dyDescent="0.35">
      <c r="H282" s="4"/>
      <c r="I282" s="4"/>
      <c r="J282" s="4"/>
    </row>
    <row r="283" spans="8:10" x14ac:dyDescent="0.35">
      <c r="H283" s="4"/>
      <c r="I283" s="4"/>
      <c r="J283" s="4"/>
    </row>
    <row r="284" spans="8:10" x14ac:dyDescent="0.35">
      <c r="H284" s="4"/>
      <c r="I284" s="4"/>
      <c r="J284" s="4"/>
    </row>
    <row r="285" spans="8:10" x14ac:dyDescent="0.35">
      <c r="H285" s="4"/>
      <c r="I285" s="4"/>
      <c r="J285" s="4"/>
    </row>
    <row r="286" spans="8:10" x14ac:dyDescent="0.35">
      <c r="H286" s="4"/>
      <c r="I286" s="4"/>
      <c r="J286" s="4"/>
    </row>
    <row r="287" spans="8:10" x14ac:dyDescent="0.35">
      <c r="H287" s="4"/>
      <c r="I287" s="4"/>
      <c r="J287" s="4"/>
    </row>
    <row r="288" spans="8:10" x14ac:dyDescent="0.35">
      <c r="H288" s="4"/>
      <c r="I288" s="4"/>
      <c r="J288" s="4"/>
    </row>
    <row r="289" spans="8:10" x14ac:dyDescent="0.35">
      <c r="H289" s="4"/>
      <c r="I289" s="4"/>
      <c r="J289" s="4"/>
    </row>
    <row r="290" spans="8:10" x14ac:dyDescent="0.35">
      <c r="H290" s="4"/>
      <c r="I290" s="4"/>
      <c r="J290" s="4"/>
    </row>
    <row r="291" spans="8:10" x14ac:dyDescent="0.35">
      <c r="H291" s="4"/>
      <c r="I291" s="4"/>
      <c r="J291" s="4"/>
    </row>
    <row r="292" spans="8:10" x14ac:dyDescent="0.35">
      <c r="H292" s="4"/>
      <c r="I292" s="4"/>
      <c r="J292" s="4"/>
    </row>
    <row r="293" spans="8:10" x14ac:dyDescent="0.35">
      <c r="H293" s="4"/>
      <c r="I293" s="4"/>
      <c r="J293" s="4"/>
    </row>
    <row r="294" spans="8:10" x14ac:dyDescent="0.35">
      <c r="H294" s="4"/>
      <c r="I294" s="4"/>
      <c r="J294" s="4"/>
    </row>
    <row r="295" spans="8:10" x14ac:dyDescent="0.35">
      <c r="H295" s="4"/>
      <c r="I295" s="4"/>
      <c r="J295" s="4"/>
    </row>
    <row r="296" spans="8:10" x14ac:dyDescent="0.35">
      <c r="H296" s="4"/>
      <c r="I296" s="4"/>
      <c r="J296" s="4"/>
    </row>
    <row r="297" spans="8:10" x14ac:dyDescent="0.35">
      <c r="H297" s="4"/>
      <c r="I297" s="4"/>
      <c r="J297" s="4"/>
    </row>
    <row r="298" spans="8:10" x14ac:dyDescent="0.35">
      <c r="H298" s="4"/>
      <c r="I298" s="4"/>
      <c r="J298" s="4"/>
    </row>
    <row r="299" spans="8:10" x14ac:dyDescent="0.35">
      <c r="H299" s="4"/>
      <c r="I299" s="4"/>
      <c r="J299" s="4"/>
    </row>
    <row r="300" spans="8:10" x14ac:dyDescent="0.35">
      <c r="H300" s="4"/>
      <c r="I300" s="4"/>
      <c r="J300" s="4"/>
    </row>
    <row r="301" spans="8:10" x14ac:dyDescent="0.35">
      <c r="H301" s="4"/>
      <c r="I301" s="4"/>
      <c r="J301" s="4"/>
    </row>
    <row r="302" spans="8:10" x14ac:dyDescent="0.35">
      <c r="H302" s="4"/>
      <c r="I302" s="4"/>
      <c r="J302" s="4"/>
    </row>
    <row r="303" spans="8:10" x14ac:dyDescent="0.35">
      <c r="H303" s="4"/>
      <c r="I303" s="4"/>
      <c r="J303" s="4"/>
    </row>
    <row r="304" spans="8:10" x14ac:dyDescent="0.35">
      <c r="H304" s="4"/>
      <c r="I304" s="4"/>
      <c r="J304" s="4"/>
    </row>
    <row r="305" spans="8:10" x14ac:dyDescent="0.35">
      <c r="H305" s="4"/>
      <c r="I305" s="4"/>
      <c r="J305" s="4"/>
    </row>
    <row r="306" spans="8:10" x14ac:dyDescent="0.35">
      <c r="H306" s="4"/>
      <c r="I306" s="4"/>
      <c r="J306" s="4"/>
    </row>
    <row r="307" spans="8:10" x14ac:dyDescent="0.35">
      <c r="H307" s="4"/>
      <c r="I307" s="4"/>
      <c r="J307" s="4"/>
    </row>
    <row r="308" spans="8:10" x14ac:dyDescent="0.35">
      <c r="H308" s="4"/>
      <c r="I308" s="4"/>
      <c r="J308" s="4"/>
    </row>
    <row r="309" spans="8:10" x14ac:dyDescent="0.35">
      <c r="H309" s="4"/>
      <c r="I309" s="4"/>
      <c r="J309" s="4"/>
    </row>
    <row r="310" spans="8:10" x14ac:dyDescent="0.35">
      <c r="H310" s="4"/>
      <c r="I310" s="4"/>
      <c r="J310" s="4"/>
    </row>
    <row r="311" spans="8:10" x14ac:dyDescent="0.35">
      <c r="H311" s="4"/>
      <c r="I311" s="4"/>
      <c r="J311" s="4"/>
    </row>
    <row r="312" spans="8:10" x14ac:dyDescent="0.35">
      <c r="H312" s="4"/>
      <c r="I312" s="4"/>
      <c r="J312" s="4"/>
    </row>
    <row r="313" spans="8:10" x14ac:dyDescent="0.35">
      <c r="H313" s="4"/>
      <c r="I313" s="4"/>
      <c r="J313" s="4"/>
    </row>
    <row r="314" spans="8:10" x14ac:dyDescent="0.35">
      <c r="H314" s="4"/>
      <c r="I314" s="4"/>
      <c r="J314" s="4"/>
    </row>
    <row r="315" spans="8:10" x14ac:dyDescent="0.35">
      <c r="H315" s="4"/>
      <c r="I315" s="4"/>
      <c r="J315" s="4"/>
    </row>
    <row r="316" spans="8:10" x14ac:dyDescent="0.35">
      <c r="H316" s="4"/>
      <c r="I316" s="4"/>
      <c r="J316" s="4"/>
    </row>
    <row r="317" spans="8:10" x14ac:dyDescent="0.35">
      <c r="H317" s="4"/>
      <c r="I317" s="4"/>
      <c r="J317" s="4"/>
    </row>
    <row r="318" spans="8:10" x14ac:dyDescent="0.35">
      <c r="H318" s="4"/>
      <c r="I318" s="4"/>
      <c r="J318" s="4"/>
    </row>
    <row r="319" spans="8:10" x14ac:dyDescent="0.35">
      <c r="H319" s="4"/>
      <c r="I319" s="4"/>
      <c r="J319" s="4"/>
    </row>
    <row r="320" spans="8:10" x14ac:dyDescent="0.35">
      <c r="H320" s="4"/>
      <c r="I320" s="4"/>
      <c r="J320" s="4"/>
    </row>
    <row r="321" spans="8:10" x14ac:dyDescent="0.35">
      <c r="H321" s="4"/>
      <c r="I321" s="4"/>
      <c r="J321" s="4"/>
    </row>
    <row r="322" spans="8:10" x14ac:dyDescent="0.35">
      <c r="H322" s="4"/>
      <c r="I322" s="4"/>
      <c r="J322" s="4"/>
    </row>
    <row r="323" spans="8:10" x14ac:dyDescent="0.35">
      <c r="H323" s="4"/>
      <c r="I323" s="4"/>
      <c r="J3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8C63-7C29-4EBB-9529-1734D591AEFE}">
  <dimension ref="A1:F164"/>
  <sheetViews>
    <sheetView topLeftCell="A145" workbookViewId="0">
      <selection activeCell="E161" sqref="E161"/>
    </sheetView>
  </sheetViews>
  <sheetFormatPr defaultRowHeight="14.5" x14ac:dyDescent="0.35"/>
  <cols>
    <col min="1" max="1" width="11" bestFit="1" customWidth="1"/>
    <col min="4" max="4" width="9.54296875" bestFit="1" customWidth="1"/>
    <col min="5" max="5" width="11.7265625" bestFit="1" customWidth="1"/>
    <col min="6" max="6" width="9.1796875" bestFit="1" customWidth="1"/>
  </cols>
  <sheetData>
    <row r="1" spans="1:6" x14ac:dyDescent="0.35">
      <c r="A1" t="s">
        <v>12</v>
      </c>
      <c r="B1">
        <v>-626</v>
      </c>
      <c r="C1">
        <v>0</v>
      </c>
      <c r="D1" s="4">
        <v>-66344</v>
      </c>
      <c r="E1" s="1">
        <f>VLOOKUP(A1,Sheet2!A:L,12,0)</f>
        <v>-66343.756647345086</v>
      </c>
      <c r="F1" s="3">
        <f>E1-D1</f>
        <v>0.24335265491390601</v>
      </c>
    </row>
    <row r="2" spans="1:6" x14ac:dyDescent="0.35">
      <c r="A2">
        <v>246889747</v>
      </c>
      <c r="B2">
        <v>78.244</v>
      </c>
      <c r="C2">
        <v>0</v>
      </c>
      <c r="D2" s="4">
        <v>66402</v>
      </c>
      <c r="E2" s="1">
        <f>VLOOKUP(A2,Sheet2!A:L,12,0)</f>
        <v>66401.704707207537</v>
      </c>
      <c r="F2" s="3">
        <f t="shared" ref="F2:F65" si="0">E2-D2</f>
        <v>-0.29529279246344231</v>
      </c>
    </row>
    <row r="3" spans="1:6" x14ac:dyDescent="0.35">
      <c r="A3" t="s">
        <v>13</v>
      </c>
      <c r="B3">
        <v>298</v>
      </c>
      <c r="C3">
        <v>0</v>
      </c>
      <c r="D3" s="4">
        <v>64224</v>
      </c>
      <c r="E3" s="1">
        <f>VLOOKUP(A3,Sheet2!A:L,12,0)</f>
        <v>64223.590251739544</v>
      </c>
      <c r="F3" s="3">
        <f t="shared" si="0"/>
        <v>-0.4097482604556717</v>
      </c>
    </row>
    <row r="4" spans="1:6" x14ac:dyDescent="0.35">
      <c r="A4">
        <v>246887501</v>
      </c>
      <c r="B4">
        <v>31.62</v>
      </c>
      <c r="C4">
        <v>0</v>
      </c>
      <c r="D4" s="4">
        <v>-64972</v>
      </c>
      <c r="E4" s="1">
        <f>VLOOKUP(A4,Sheet2!A:L,12,0)</f>
        <v>-64971.954963853808</v>
      </c>
      <c r="F4" s="3">
        <f t="shared" si="0"/>
        <v>4.5036146191705484E-2</v>
      </c>
    </row>
    <row r="5" spans="1:6" x14ac:dyDescent="0.35">
      <c r="A5" t="s">
        <v>14</v>
      </c>
      <c r="B5">
        <v>-6070</v>
      </c>
      <c r="C5">
        <v>0</v>
      </c>
      <c r="D5" s="4">
        <v>-134235</v>
      </c>
      <c r="E5" s="1">
        <f>VLOOKUP(A5,Sheet2!A:L,12,0)</f>
        <v>-134235.13460305554</v>
      </c>
      <c r="F5" s="3">
        <f t="shared" si="0"/>
        <v>-0.13460305554326624</v>
      </c>
    </row>
    <row r="6" spans="1:6" x14ac:dyDescent="0.35">
      <c r="A6">
        <v>253424701</v>
      </c>
      <c r="B6">
        <v>708.6</v>
      </c>
      <c r="C6">
        <v>0</v>
      </c>
      <c r="D6" s="4">
        <v>136692</v>
      </c>
      <c r="E6" s="1">
        <f>VLOOKUP(A6,Sheet2!A:L,12,0)</f>
        <v>136692.25500892714</v>
      </c>
      <c r="F6" s="3">
        <f t="shared" si="0"/>
        <v>0.25500892713898793</v>
      </c>
    </row>
    <row r="7" spans="1:6" x14ac:dyDescent="0.35">
      <c r="A7" t="s">
        <v>15</v>
      </c>
      <c r="B7">
        <v>2314</v>
      </c>
      <c r="C7">
        <v>0</v>
      </c>
      <c r="D7" s="4">
        <v>135615</v>
      </c>
      <c r="E7" s="1">
        <f>VLOOKUP(A7,Sheet2!A:L,12,0)</f>
        <v>135614.96223843205</v>
      </c>
      <c r="F7" s="3">
        <f t="shared" si="0"/>
        <v>-3.7761567946290597E-2</v>
      </c>
    </row>
    <row r="8" spans="1:6" x14ac:dyDescent="0.35">
      <c r="A8">
        <v>253424706</v>
      </c>
      <c r="B8">
        <v>271.7</v>
      </c>
      <c r="C8">
        <v>0</v>
      </c>
      <c r="D8" s="4">
        <v>-136642</v>
      </c>
      <c r="E8" s="1">
        <f>VLOOKUP(A8,Sheet2!A:L,12,0)</f>
        <v>-136642.36321825589</v>
      </c>
      <c r="F8" s="3">
        <f t="shared" si="0"/>
        <v>-0.36321825589402579</v>
      </c>
    </row>
    <row r="9" spans="1:6" x14ac:dyDescent="0.35">
      <c r="A9">
        <v>254294126</v>
      </c>
      <c r="B9">
        <v>0</v>
      </c>
      <c r="C9">
        <v>-720.9</v>
      </c>
      <c r="D9" s="4">
        <v>0</v>
      </c>
      <c r="E9" s="1">
        <f>VLOOKUP(A9,Sheet2!A:L,12,0)</f>
        <v>-3.7341610627284646E-11</v>
      </c>
      <c r="F9" s="3">
        <f t="shared" si="0"/>
        <v>-3.7341610627284646E-11</v>
      </c>
    </row>
    <row r="10" spans="1:6" x14ac:dyDescent="0.35">
      <c r="A10">
        <v>253920187</v>
      </c>
      <c r="B10">
        <v>0</v>
      </c>
      <c r="C10">
        <v>-570.20000000000005</v>
      </c>
      <c r="D10" s="4">
        <v>0</v>
      </c>
      <c r="E10" s="1">
        <f>VLOOKUP(A10,Sheet2!A:L,12,0)</f>
        <v>0</v>
      </c>
      <c r="F10" s="3">
        <f t="shared" si="0"/>
        <v>0</v>
      </c>
    </row>
    <row r="11" spans="1:6" x14ac:dyDescent="0.35">
      <c r="A11">
        <v>253713092</v>
      </c>
      <c r="B11">
        <v>0</v>
      </c>
      <c r="C11">
        <v>-570.6</v>
      </c>
      <c r="D11" s="4">
        <v>0</v>
      </c>
      <c r="E11" s="1">
        <f>VLOOKUP(A11,Sheet2!A:L,12,0)</f>
        <v>3.7400858845422568E-11</v>
      </c>
      <c r="F11" s="3">
        <f t="shared" si="0"/>
        <v>3.7400858845422568E-11</v>
      </c>
    </row>
    <row r="12" spans="1:6" x14ac:dyDescent="0.35">
      <c r="A12">
        <v>253519763</v>
      </c>
      <c r="B12">
        <v>0</v>
      </c>
      <c r="C12">
        <v>-787.3</v>
      </c>
      <c r="D12" s="4">
        <v>0</v>
      </c>
      <c r="E12" s="1">
        <f>VLOOKUP(A12,Sheet2!A:L,12,0)</f>
        <v>4.3050737197534002E-11</v>
      </c>
      <c r="F12" s="3">
        <f t="shared" si="0"/>
        <v>4.3050737197534002E-11</v>
      </c>
    </row>
    <row r="13" spans="1:6" x14ac:dyDescent="0.35">
      <c r="A13">
        <v>253527994</v>
      </c>
      <c r="B13">
        <v>0</v>
      </c>
      <c r="C13">
        <v>-817.7</v>
      </c>
      <c r="D13" s="4">
        <v>0</v>
      </c>
      <c r="E13" s="1">
        <f>VLOOKUP(A13,Sheet2!A:L,12,0)</f>
        <v>-4.305774199842888E-11</v>
      </c>
      <c r="F13" s="3">
        <f t="shared" si="0"/>
        <v>-4.305774199842888E-11</v>
      </c>
    </row>
    <row r="14" spans="1:6" x14ac:dyDescent="0.35">
      <c r="A14" t="s">
        <v>16</v>
      </c>
      <c r="B14">
        <v>0</v>
      </c>
      <c r="C14">
        <v>-969</v>
      </c>
      <c r="D14" s="4">
        <v>0</v>
      </c>
      <c r="E14" s="1">
        <f>VLOOKUP(A14,Sheet2!A:L,12,0)</f>
        <v>0</v>
      </c>
      <c r="F14" s="3">
        <f t="shared" si="0"/>
        <v>0</v>
      </c>
    </row>
    <row r="15" spans="1:6" x14ac:dyDescent="0.35">
      <c r="A15">
        <v>221085245</v>
      </c>
      <c r="B15">
        <v>375</v>
      </c>
      <c r="C15">
        <v>0</v>
      </c>
      <c r="D15" s="4">
        <v>-82969</v>
      </c>
      <c r="E15" s="1">
        <f>VLOOKUP(A15,Sheet2!A:L,12,0)</f>
        <v>-82968.873992622423</v>
      </c>
      <c r="F15" s="3">
        <f t="shared" si="0"/>
        <v>0.12600737757747993</v>
      </c>
    </row>
    <row r="16" spans="1:6" x14ac:dyDescent="0.35">
      <c r="A16">
        <v>221085185</v>
      </c>
      <c r="B16">
        <v>1250.5999999999999</v>
      </c>
      <c r="C16">
        <v>0</v>
      </c>
      <c r="D16" s="4">
        <v>-280136</v>
      </c>
      <c r="E16" s="1">
        <f>VLOOKUP(A16,Sheet2!A:L,12,0)</f>
        <v>-280135.92933936761</v>
      </c>
      <c r="F16" s="3">
        <f t="shared" si="0"/>
        <v>7.0660632394719869E-2</v>
      </c>
    </row>
    <row r="17" spans="1:6" x14ac:dyDescent="0.35">
      <c r="A17">
        <v>221085417</v>
      </c>
      <c r="B17">
        <v>223.5</v>
      </c>
      <c r="C17">
        <v>0</v>
      </c>
      <c r="D17" s="4">
        <v>-50075</v>
      </c>
      <c r="E17" s="1">
        <f>VLOOKUP(A17,Sheet2!A:L,12,0)</f>
        <v>-50075.498324732915</v>
      </c>
      <c r="F17" s="3">
        <f t="shared" si="0"/>
        <v>-0.4983247329146252</v>
      </c>
    </row>
    <row r="18" spans="1:6" x14ac:dyDescent="0.35">
      <c r="A18">
        <v>221085235</v>
      </c>
      <c r="B18">
        <v>386.6</v>
      </c>
      <c r="C18">
        <v>0</v>
      </c>
      <c r="D18" s="4">
        <v>-86633</v>
      </c>
      <c r="E18" s="1">
        <f>VLOOKUP(A18,Sheet2!A:L,12,0)</f>
        <v>-86632.851651055593</v>
      </c>
      <c r="F18" s="3">
        <f t="shared" si="0"/>
        <v>0.14834894440718926</v>
      </c>
    </row>
    <row r="19" spans="1:6" x14ac:dyDescent="0.35">
      <c r="A19">
        <v>221085189</v>
      </c>
      <c r="B19">
        <v>696.9</v>
      </c>
      <c r="C19">
        <v>0</v>
      </c>
      <c r="D19" s="4">
        <v>-156227</v>
      </c>
      <c r="E19" s="1">
        <f>VLOOKUP(A19,Sheet2!A:L,12,0)</f>
        <v>-156227.09939881548</v>
      </c>
      <c r="F19" s="3">
        <f t="shared" si="0"/>
        <v>-9.9398815480526537E-2</v>
      </c>
    </row>
    <row r="20" spans="1:6" x14ac:dyDescent="0.35">
      <c r="A20">
        <v>221085184</v>
      </c>
      <c r="B20">
        <v>1799.4</v>
      </c>
      <c r="C20">
        <v>0</v>
      </c>
      <c r="D20" s="4">
        <v>-403784</v>
      </c>
      <c r="E20" s="1">
        <f>VLOOKUP(A20,Sheet2!A:L,12,0)</f>
        <v>-403783.93509761267</v>
      </c>
      <c r="F20" s="3">
        <f t="shared" si="0"/>
        <v>6.4902387326583266E-2</v>
      </c>
    </row>
    <row r="21" spans="1:6" x14ac:dyDescent="0.35">
      <c r="A21">
        <v>221085372</v>
      </c>
      <c r="B21">
        <v>236.4</v>
      </c>
      <c r="C21">
        <v>0</v>
      </c>
      <c r="D21" s="4">
        <v>-53103</v>
      </c>
      <c r="E21" s="1">
        <f>VLOOKUP(A21,Sheet2!A:L,12,0)</f>
        <v>-53103.289704846706</v>
      </c>
      <c r="F21" s="3">
        <f t="shared" si="0"/>
        <v>-0.2897048467057175</v>
      </c>
    </row>
    <row r="22" spans="1:6" x14ac:dyDescent="0.35">
      <c r="A22">
        <v>221085256</v>
      </c>
      <c r="B22">
        <v>350.6</v>
      </c>
      <c r="C22">
        <v>0</v>
      </c>
      <c r="D22" s="4">
        <v>-79042</v>
      </c>
      <c r="E22" s="1">
        <f>VLOOKUP(A22,Sheet2!A:L,12,0)</f>
        <v>-79042.272251065806</v>
      </c>
      <c r="F22" s="3">
        <f t="shared" si="0"/>
        <v>-0.27225106580590364</v>
      </c>
    </row>
    <row r="23" spans="1:6" x14ac:dyDescent="0.35">
      <c r="A23">
        <v>221085384</v>
      </c>
      <c r="B23">
        <v>230.7</v>
      </c>
      <c r="C23">
        <v>0</v>
      </c>
      <c r="D23" s="4">
        <v>-52042</v>
      </c>
      <c r="E23" s="1">
        <f>VLOOKUP(A23,Sheet2!A:L,12,0)</f>
        <v>-52041.797352733331</v>
      </c>
      <c r="F23" s="3">
        <f t="shared" si="0"/>
        <v>0.20264726666937349</v>
      </c>
    </row>
    <row r="24" spans="1:6" x14ac:dyDescent="0.35">
      <c r="A24">
        <v>221136211</v>
      </c>
      <c r="B24">
        <v>1564</v>
      </c>
      <c r="C24">
        <v>0</v>
      </c>
      <c r="D24" s="4">
        <v>347305</v>
      </c>
      <c r="E24" s="1">
        <f>VLOOKUP(A24,Sheet2!A:L,12,0)</f>
        <v>347304.81305370736</v>
      </c>
      <c r="F24" s="3">
        <f t="shared" si="0"/>
        <v>-0.18694629264064133</v>
      </c>
    </row>
    <row r="25" spans="1:6" x14ac:dyDescent="0.35">
      <c r="A25">
        <v>221136212</v>
      </c>
      <c r="B25">
        <v>1650</v>
      </c>
      <c r="C25">
        <v>0</v>
      </c>
      <c r="D25" s="4">
        <v>366466</v>
      </c>
      <c r="E25" s="1">
        <f>VLOOKUP(A25,Sheet2!A:L,12,0)</f>
        <v>366466.17182614777</v>
      </c>
      <c r="F25" s="3">
        <f t="shared" si="0"/>
        <v>0.17182614776538685</v>
      </c>
    </row>
    <row r="26" spans="1:6" x14ac:dyDescent="0.35">
      <c r="A26">
        <v>221136203</v>
      </c>
      <c r="B26">
        <v>1204.0999999999999</v>
      </c>
      <c r="C26">
        <v>0</v>
      </c>
      <c r="D26" s="4">
        <v>267661</v>
      </c>
      <c r="E26" s="1">
        <f>VLOOKUP(A26,Sheet2!A:L,12,0)</f>
        <v>267661.45123056904</v>
      </c>
      <c r="F26" s="3">
        <f t="shared" si="0"/>
        <v>0.45123056904412806</v>
      </c>
    </row>
    <row r="27" spans="1:6" x14ac:dyDescent="0.35">
      <c r="A27">
        <v>221136205</v>
      </c>
      <c r="B27">
        <v>1205.2</v>
      </c>
      <c r="C27">
        <v>0</v>
      </c>
      <c r="D27" s="4">
        <v>268036</v>
      </c>
      <c r="E27" s="1">
        <f>VLOOKUP(A27,Sheet2!A:L,12,0)</f>
        <v>268035.74406684807</v>
      </c>
      <c r="F27" s="3">
        <f t="shared" si="0"/>
        <v>-0.25593315192963928</v>
      </c>
    </row>
    <row r="28" spans="1:6" x14ac:dyDescent="0.35">
      <c r="A28">
        <v>247850509</v>
      </c>
      <c r="B28">
        <v>629.4</v>
      </c>
      <c r="C28">
        <v>0</v>
      </c>
      <c r="D28" s="4">
        <v>-161414</v>
      </c>
      <c r="E28" s="1">
        <f>VLOOKUP(A28,Sheet2!A:L,12,0)</f>
        <v>-161413.77139033846</v>
      </c>
      <c r="F28" s="3">
        <f t="shared" si="0"/>
        <v>0.22860966154257767</v>
      </c>
    </row>
    <row r="29" spans="1:6" x14ac:dyDescent="0.35">
      <c r="A29">
        <v>250041827</v>
      </c>
      <c r="B29">
        <v>338.27199999999999</v>
      </c>
      <c r="C29">
        <v>0</v>
      </c>
      <c r="D29" s="4">
        <v>-86696</v>
      </c>
      <c r="E29" s="1">
        <f>VLOOKUP(A29,Sheet2!A:L,12,0)</f>
        <v>-86695.91526694085</v>
      </c>
      <c r="F29" s="3">
        <f t="shared" si="0"/>
        <v>8.4733059149584733E-2</v>
      </c>
    </row>
    <row r="30" spans="1:6" x14ac:dyDescent="0.35">
      <c r="A30">
        <v>251007587</v>
      </c>
      <c r="B30">
        <v>333.6</v>
      </c>
      <c r="C30">
        <v>0</v>
      </c>
      <c r="D30" s="4">
        <v>-87858</v>
      </c>
      <c r="E30" s="1">
        <f>VLOOKUP(A30,Sheet2!A:L,12,0)</f>
        <v>-87858.350812053468</v>
      </c>
      <c r="F30" s="3">
        <f t="shared" si="0"/>
        <v>-0.35081205346796196</v>
      </c>
    </row>
    <row r="31" spans="1:6" x14ac:dyDescent="0.35">
      <c r="A31">
        <v>250313700</v>
      </c>
      <c r="B31">
        <v>330.70800000000003</v>
      </c>
      <c r="C31">
        <v>0</v>
      </c>
      <c r="D31" s="4">
        <v>87083</v>
      </c>
      <c r="E31" s="1">
        <f>VLOOKUP(A31,Sheet2!A:L,12,0)</f>
        <v>87083.453107691967</v>
      </c>
      <c r="F31" s="3">
        <f t="shared" si="0"/>
        <v>0.4531076919665793</v>
      </c>
    </row>
    <row r="32" spans="1:6" x14ac:dyDescent="0.35">
      <c r="A32">
        <v>221582879</v>
      </c>
      <c r="B32">
        <v>561.6</v>
      </c>
      <c r="C32">
        <v>0</v>
      </c>
      <c r="D32" s="4">
        <v>-148738</v>
      </c>
      <c r="E32" s="1">
        <f>VLOOKUP(A32,Sheet2!A:L,12,0)</f>
        <v>-148737.81617336595</v>
      </c>
      <c r="F32" s="3">
        <f t="shared" si="0"/>
        <v>0.18382663404918276</v>
      </c>
    </row>
    <row r="33" spans="1:6" x14ac:dyDescent="0.35">
      <c r="A33">
        <v>249795190</v>
      </c>
      <c r="B33">
        <v>684.4</v>
      </c>
      <c r="C33">
        <v>0</v>
      </c>
      <c r="D33" s="4">
        <v>-182661</v>
      </c>
      <c r="E33" s="1">
        <f>VLOOKUP(A33,Sheet2!A:L,12,0)</f>
        <v>-182660.56254018849</v>
      </c>
      <c r="F33" s="3">
        <f t="shared" si="0"/>
        <v>0.43745981151005253</v>
      </c>
    </row>
    <row r="34" spans="1:6" x14ac:dyDescent="0.35">
      <c r="A34" t="s">
        <v>17</v>
      </c>
      <c r="B34">
        <v>1734.1</v>
      </c>
      <c r="C34">
        <v>-43</v>
      </c>
      <c r="D34" s="4">
        <v>465359</v>
      </c>
      <c r="E34" s="1">
        <f>VLOOKUP(A34,Sheet2!A:L,12,0)</f>
        <v>218845.88583986898</v>
      </c>
      <c r="F34" s="3">
        <f t="shared" si="0"/>
        <v>-246513.11416013102</v>
      </c>
    </row>
    <row r="35" spans="1:6" x14ac:dyDescent="0.35">
      <c r="A35">
        <v>253519994</v>
      </c>
      <c r="B35">
        <v>0</v>
      </c>
      <c r="C35">
        <v>-543.79999999999995</v>
      </c>
      <c r="D35" s="4">
        <v>0</v>
      </c>
      <c r="E35" s="1">
        <f>VLOOKUP(A35,Sheet2!A:L,12,0)</f>
        <v>0</v>
      </c>
      <c r="F35" s="3">
        <f t="shared" si="0"/>
        <v>0</v>
      </c>
    </row>
    <row r="36" spans="1:6" x14ac:dyDescent="0.35">
      <c r="A36">
        <v>253527996</v>
      </c>
      <c r="B36">
        <v>0</v>
      </c>
      <c r="C36">
        <v>-564.29999999999995</v>
      </c>
      <c r="D36" s="4">
        <v>0</v>
      </c>
      <c r="E36" s="1">
        <f>VLOOKUP(A36,Sheet2!A:L,12,0)</f>
        <v>0</v>
      </c>
      <c r="F36" s="3">
        <f t="shared" si="0"/>
        <v>0</v>
      </c>
    </row>
    <row r="37" spans="1:6" x14ac:dyDescent="0.35">
      <c r="A37">
        <v>252372485</v>
      </c>
      <c r="B37">
        <v>332.1</v>
      </c>
      <c r="C37">
        <v>0</v>
      </c>
      <c r="D37" s="4">
        <v>90484</v>
      </c>
      <c r="E37" s="1">
        <f>VLOOKUP(A37,Sheet2!A:L,12,0)</f>
        <v>90483.968894752354</v>
      </c>
      <c r="F37" s="3">
        <f t="shared" si="0"/>
        <v>-3.1105247646337375E-2</v>
      </c>
    </row>
    <row r="38" spans="1:6" x14ac:dyDescent="0.35">
      <c r="A38">
        <v>252981101</v>
      </c>
      <c r="B38">
        <v>335.5</v>
      </c>
      <c r="C38">
        <v>0</v>
      </c>
      <c r="D38" s="4">
        <v>91618</v>
      </c>
      <c r="E38" s="1">
        <f>VLOOKUP(A38,Sheet2!A:L,12,0)</f>
        <v>91617.506810194056</v>
      </c>
      <c r="F38" s="3">
        <f t="shared" si="0"/>
        <v>-0.49318980594398454</v>
      </c>
    </row>
    <row r="39" spans="1:6" x14ac:dyDescent="0.35">
      <c r="A39">
        <v>254294134</v>
      </c>
      <c r="B39">
        <v>0</v>
      </c>
      <c r="C39">
        <v>-430.6</v>
      </c>
      <c r="D39" s="4">
        <v>0</v>
      </c>
      <c r="E39" s="1">
        <f>VLOOKUP(A39,Sheet2!A:L,12,0)</f>
        <v>0</v>
      </c>
      <c r="F39" s="3">
        <f t="shared" si="0"/>
        <v>0</v>
      </c>
    </row>
    <row r="40" spans="1:6" x14ac:dyDescent="0.35">
      <c r="A40">
        <v>253713101</v>
      </c>
      <c r="B40">
        <v>0</v>
      </c>
      <c r="C40">
        <v>-339.3</v>
      </c>
      <c r="D40" s="4">
        <v>0</v>
      </c>
      <c r="E40" s="1">
        <f>VLOOKUP(A40,Sheet2!A:L,12,0)</f>
        <v>0</v>
      </c>
      <c r="F40" s="3">
        <f t="shared" si="0"/>
        <v>0</v>
      </c>
    </row>
    <row r="41" spans="1:6" x14ac:dyDescent="0.35">
      <c r="A41">
        <v>253921346</v>
      </c>
      <c r="B41">
        <v>0</v>
      </c>
      <c r="C41">
        <v>-339.8</v>
      </c>
      <c r="D41" s="4">
        <v>0</v>
      </c>
      <c r="E41" s="1">
        <f>VLOOKUP(A41,Sheet2!A:L,12,0)</f>
        <v>0</v>
      </c>
      <c r="F41" s="3">
        <f t="shared" si="0"/>
        <v>0</v>
      </c>
    </row>
    <row r="42" spans="1:6" x14ac:dyDescent="0.35">
      <c r="A42" t="s">
        <v>18</v>
      </c>
      <c r="B42">
        <v>338.2</v>
      </c>
      <c r="C42">
        <v>0</v>
      </c>
      <c r="D42" s="4">
        <v>96175</v>
      </c>
      <c r="E42" s="1">
        <f>VLOOKUP(A42,Sheet2!A:L,12,0)</f>
        <v>96174.60790423138</v>
      </c>
      <c r="F42" s="3">
        <f t="shared" si="0"/>
        <v>-0.39209576862049289</v>
      </c>
    </row>
    <row r="43" spans="1:6" x14ac:dyDescent="0.35">
      <c r="A43">
        <v>232348967</v>
      </c>
      <c r="B43">
        <v>588.5</v>
      </c>
      <c r="C43">
        <v>0</v>
      </c>
      <c r="D43" s="4">
        <v>-166665</v>
      </c>
      <c r="E43" s="1">
        <f>VLOOKUP(A43,Sheet2!A:L,12,0)</f>
        <v>-166665.11482437197</v>
      </c>
      <c r="F43" s="3">
        <f t="shared" si="0"/>
        <v>-0.11482437196536921</v>
      </c>
    </row>
    <row r="44" spans="1:6" x14ac:dyDescent="0.35">
      <c r="A44">
        <v>236998516</v>
      </c>
      <c r="B44">
        <v>176.7</v>
      </c>
      <c r="C44">
        <v>0</v>
      </c>
      <c r="D44" s="4">
        <v>50274</v>
      </c>
      <c r="E44" s="1">
        <f>VLOOKUP(A44,Sheet2!A:L,12,0)</f>
        <v>50273.891292321481</v>
      </c>
      <c r="F44" s="3">
        <f t="shared" si="0"/>
        <v>-0.10870767851884011</v>
      </c>
    </row>
    <row r="45" spans="1:6" x14ac:dyDescent="0.35">
      <c r="A45">
        <v>240582392</v>
      </c>
      <c r="B45">
        <v>171</v>
      </c>
      <c r="C45">
        <v>0</v>
      </c>
      <c r="D45" s="4">
        <v>-51255</v>
      </c>
      <c r="E45" s="1">
        <f>VLOOKUP(A45,Sheet2!A:L,12,0)</f>
        <v>-51254.743676096747</v>
      </c>
      <c r="F45" s="3">
        <f t="shared" si="0"/>
        <v>0.25632390325336019</v>
      </c>
    </row>
    <row r="46" spans="1:6" x14ac:dyDescent="0.35">
      <c r="A46" t="s">
        <v>19</v>
      </c>
      <c r="B46">
        <v>378</v>
      </c>
      <c r="C46">
        <v>0</v>
      </c>
      <c r="D46" s="4">
        <v>114867</v>
      </c>
      <c r="E46" s="1">
        <f>VLOOKUP(A46,Sheet2!A:L,12,0)</f>
        <v>114867.42437227804</v>
      </c>
      <c r="F46" s="3">
        <f t="shared" si="0"/>
        <v>0.42437227803748101</v>
      </c>
    </row>
    <row r="47" spans="1:6" x14ac:dyDescent="0.35">
      <c r="A47">
        <v>232322772</v>
      </c>
      <c r="B47">
        <v>478.2</v>
      </c>
      <c r="C47">
        <v>0</v>
      </c>
      <c r="D47" s="4">
        <v>-145221</v>
      </c>
      <c r="E47" s="1">
        <f>VLOOKUP(A47,Sheet2!A:L,12,0)</f>
        <v>-145220.87584273244</v>
      </c>
      <c r="F47" s="3">
        <f t="shared" si="0"/>
        <v>0.12415726756444201</v>
      </c>
    </row>
    <row r="48" spans="1:6" x14ac:dyDescent="0.35">
      <c r="A48" t="s">
        <v>20</v>
      </c>
      <c r="B48">
        <v>385.3</v>
      </c>
      <c r="C48">
        <v>0</v>
      </c>
      <c r="D48" s="4">
        <v>121868</v>
      </c>
      <c r="E48" s="1">
        <f>VLOOKUP(A48,Sheet2!A:L,12,0)</f>
        <v>121867.79582634699</v>
      </c>
      <c r="F48" s="3">
        <f t="shared" si="0"/>
        <v>-0.20417365300818346</v>
      </c>
    </row>
    <row r="49" spans="1:6" x14ac:dyDescent="0.35">
      <c r="A49">
        <v>238083003</v>
      </c>
      <c r="B49">
        <v>194.2</v>
      </c>
      <c r="C49">
        <v>0</v>
      </c>
      <c r="D49" s="4">
        <v>-61664</v>
      </c>
      <c r="E49" s="1">
        <f>VLOOKUP(A49,Sheet2!A:L,12,0)</f>
        <v>-61663.843207655431</v>
      </c>
      <c r="F49" s="3">
        <f t="shared" si="0"/>
        <v>0.15679234456911217</v>
      </c>
    </row>
    <row r="50" spans="1:6" x14ac:dyDescent="0.35">
      <c r="A50" t="s">
        <v>21</v>
      </c>
      <c r="B50">
        <v>193</v>
      </c>
      <c r="C50">
        <v>0</v>
      </c>
      <c r="D50" s="4">
        <v>62452</v>
      </c>
      <c r="E50" s="1">
        <f>VLOOKUP(A50,Sheet2!A:L,12,0)</f>
        <v>62451.301374721879</v>
      </c>
      <c r="F50" s="3">
        <f t="shared" si="0"/>
        <v>-0.69862527812074404</v>
      </c>
    </row>
    <row r="51" spans="1:6" x14ac:dyDescent="0.35">
      <c r="A51">
        <v>249800651</v>
      </c>
      <c r="B51">
        <v>177</v>
      </c>
      <c r="C51">
        <v>0</v>
      </c>
      <c r="D51" s="4">
        <v>-58234</v>
      </c>
      <c r="E51" s="1">
        <f>VLOOKUP(A51,Sheet2!A:L,12,0)</f>
        <v>-58233.570106270294</v>
      </c>
      <c r="F51" s="3">
        <f t="shared" si="0"/>
        <v>0.42989372970623663</v>
      </c>
    </row>
    <row r="52" spans="1:6" x14ac:dyDescent="0.35">
      <c r="A52" t="s">
        <v>22</v>
      </c>
      <c r="B52">
        <v>427.3</v>
      </c>
      <c r="C52">
        <v>0</v>
      </c>
      <c r="D52" s="4">
        <v>143516</v>
      </c>
      <c r="E52" s="1">
        <f>VLOOKUP(A52,Sheet2!A:L,12,0)</f>
        <v>143516.46095178695</v>
      </c>
      <c r="F52" s="3">
        <f t="shared" si="0"/>
        <v>0.46095178695395589</v>
      </c>
    </row>
    <row r="53" spans="1:6" x14ac:dyDescent="0.35">
      <c r="A53">
        <v>249800652</v>
      </c>
      <c r="B53">
        <v>212</v>
      </c>
      <c r="C53">
        <v>0</v>
      </c>
      <c r="D53" s="4">
        <v>-72588</v>
      </c>
      <c r="E53" s="1">
        <f>VLOOKUP(A53,Sheet2!A:L,12,0)</f>
        <v>-72587.905164387033</v>
      </c>
      <c r="F53" s="3">
        <f t="shared" si="0"/>
        <v>9.4835612966562621E-2</v>
      </c>
    </row>
    <row r="54" spans="1:6" x14ac:dyDescent="0.35">
      <c r="A54" t="s">
        <v>23</v>
      </c>
      <c r="B54">
        <v>-518.5</v>
      </c>
      <c r="C54">
        <v>0</v>
      </c>
      <c r="D54" s="4">
        <v>-176434</v>
      </c>
      <c r="E54" s="1">
        <f>VLOOKUP(A54,Sheet2!A:L,12,0)</f>
        <v>-176434.10224366107</v>
      </c>
      <c r="F54" s="3">
        <f t="shared" si="0"/>
        <v>-0.10224366106558591</v>
      </c>
    </row>
    <row r="55" spans="1:6" x14ac:dyDescent="0.35">
      <c r="A55">
        <v>227254591</v>
      </c>
      <c r="B55">
        <v>170.4</v>
      </c>
      <c r="C55">
        <v>0</v>
      </c>
      <c r="D55" s="4">
        <v>-58391</v>
      </c>
      <c r="E55" s="1">
        <f>VLOOKUP(A55,Sheet2!A:L,12,0)</f>
        <v>-58391.396116196942</v>
      </c>
      <c r="F55" s="3">
        <f t="shared" si="0"/>
        <v>-0.39611619694187539</v>
      </c>
    </row>
    <row r="56" spans="1:6" x14ac:dyDescent="0.35">
      <c r="A56">
        <v>244975732</v>
      </c>
      <c r="B56">
        <v>825.4</v>
      </c>
      <c r="C56">
        <v>0</v>
      </c>
      <c r="D56" s="4">
        <v>-287359</v>
      </c>
      <c r="E56" s="1">
        <f>VLOOKUP(A56,Sheet2!A:L,12,0)</f>
        <v>-287359.25840778439</v>
      </c>
      <c r="F56" s="3">
        <f t="shared" si="0"/>
        <v>-0.25840778439305723</v>
      </c>
    </row>
    <row r="57" spans="1:6" x14ac:dyDescent="0.35">
      <c r="A57">
        <v>244974233</v>
      </c>
      <c r="B57">
        <v>159.1</v>
      </c>
      <c r="C57">
        <v>0</v>
      </c>
      <c r="D57" s="4">
        <v>-55396</v>
      </c>
      <c r="E57" s="1">
        <f>VLOOKUP(A57,Sheet2!A:L,12,0)</f>
        <v>-55395.922297612444</v>
      </c>
      <c r="F57" s="3">
        <f t="shared" si="0"/>
        <v>7.7702387556200847E-2</v>
      </c>
    </row>
    <row r="58" spans="1:6" x14ac:dyDescent="0.35">
      <c r="A58">
        <v>244855170</v>
      </c>
      <c r="B58">
        <v>820.99199999999996</v>
      </c>
      <c r="C58">
        <v>0</v>
      </c>
      <c r="D58" s="4">
        <v>-286012</v>
      </c>
      <c r="E58" s="1">
        <f>VLOOKUP(A58,Sheet2!A:L,12,0)</f>
        <v>-286012.464371579</v>
      </c>
      <c r="F58" s="3">
        <f t="shared" si="0"/>
        <v>-0.46437157900072634</v>
      </c>
    </row>
    <row r="59" spans="1:6" x14ac:dyDescent="0.35">
      <c r="A59">
        <v>244604439</v>
      </c>
      <c r="B59">
        <v>1587.3</v>
      </c>
      <c r="C59">
        <v>0</v>
      </c>
      <c r="D59" s="4">
        <v>-553354</v>
      </c>
      <c r="E59" s="1">
        <f>VLOOKUP(A59,Sheet2!A:L,12,0)</f>
        <v>-553353.64128723252</v>
      </c>
      <c r="F59" s="3">
        <f t="shared" si="0"/>
        <v>0.35871276748366654</v>
      </c>
    </row>
    <row r="60" spans="1:6" x14ac:dyDescent="0.35">
      <c r="A60">
        <v>244608633</v>
      </c>
      <c r="B60">
        <v>1192.3</v>
      </c>
      <c r="C60">
        <v>0</v>
      </c>
      <c r="D60" s="4">
        <v>-416013</v>
      </c>
      <c r="E60" s="1">
        <f>VLOOKUP(A60,Sheet2!A:L,12,0)</f>
        <v>-416013.3124441416</v>
      </c>
      <c r="F60" s="3">
        <f t="shared" si="0"/>
        <v>-0.312444141600281</v>
      </c>
    </row>
    <row r="61" spans="1:6" x14ac:dyDescent="0.35">
      <c r="A61">
        <v>238286688</v>
      </c>
      <c r="B61">
        <v>1128.0999999999999</v>
      </c>
      <c r="C61">
        <v>0</v>
      </c>
      <c r="D61" s="4">
        <v>386965</v>
      </c>
      <c r="E61" s="1">
        <f>VLOOKUP(A61,Sheet2!A:L,12,0)</f>
        <v>386965.21504104597</v>
      </c>
      <c r="F61" s="3">
        <f t="shared" si="0"/>
        <v>0.21504104597261176</v>
      </c>
    </row>
    <row r="62" spans="1:6" x14ac:dyDescent="0.35">
      <c r="A62">
        <v>238396159</v>
      </c>
      <c r="B62">
        <v>1208.3</v>
      </c>
      <c r="C62">
        <v>0</v>
      </c>
      <c r="D62" s="4">
        <v>414673</v>
      </c>
      <c r="E62" s="1">
        <f>VLOOKUP(A62,Sheet2!A:L,12,0)</f>
        <v>414673.41582608724</v>
      </c>
      <c r="F62" s="3">
        <f t="shared" si="0"/>
        <v>0.4158260872354731</v>
      </c>
    </row>
    <row r="63" spans="1:6" x14ac:dyDescent="0.35">
      <c r="A63">
        <v>238081732</v>
      </c>
      <c r="B63">
        <v>1204.7</v>
      </c>
      <c r="C63">
        <v>0</v>
      </c>
      <c r="D63" s="4">
        <v>413933</v>
      </c>
      <c r="E63" s="1">
        <f>VLOOKUP(A63,Sheet2!A:L,12,0)</f>
        <v>413932.63477072894</v>
      </c>
      <c r="F63" s="3">
        <f t="shared" si="0"/>
        <v>-0.3652292710612528</v>
      </c>
    </row>
    <row r="64" spans="1:6" x14ac:dyDescent="0.35">
      <c r="A64">
        <v>238084531</v>
      </c>
      <c r="B64">
        <v>301.10000000000002</v>
      </c>
      <c r="C64">
        <v>0</v>
      </c>
      <c r="D64" s="4">
        <v>103463</v>
      </c>
      <c r="E64" s="1">
        <f>VLOOKUP(A64,Sheet2!A:L,12,0)</f>
        <v>103463.33127281404</v>
      </c>
      <c r="F64" s="3">
        <f t="shared" si="0"/>
        <v>0.33127281404449604</v>
      </c>
    </row>
    <row r="65" spans="1:6" x14ac:dyDescent="0.35">
      <c r="A65">
        <v>238082826</v>
      </c>
      <c r="B65">
        <v>301.10000000000002</v>
      </c>
      <c r="C65">
        <v>0</v>
      </c>
      <c r="D65" s="4">
        <v>103469</v>
      </c>
      <c r="E65" s="1">
        <f>VLOOKUP(A65,Sheet2!A:L,12,0)</f>
        <v>103469.32364723412</v>
      </c>
      <c r="F65" s="3">
        <f t="shared" si="0"/>
        <v>0.32364723412320018</v>
      </c>
    </row>
    <row r="66" spans="1:6" x14ac:dyDescent="0.35">
      <c r="A66">
        <v>239429835</v>
      </c>
      <c r="B66">
        <v>469.5</v>
      </c>
      <c r="C66">
        <v>0</v>
      </c>
      <c r="D66" s="4">
        <v>161769</v>
      </c>
      <c r="E66" s="1">
        <f>VLOOKUP(A66,Sheet2!A:L,12,0)</f>
        <v>161768.5128319411</v>
      </c>
      <c r="F66" s="3">
        <f t="shared" ref="F66:F129" si="1">E66-D66</f>
        <v>-0.48716805889853276</v>
      </c>
    </row>
    <row r="67" spans="1:6" x14ac:dyDescent="0.35">
      <c r="A67">
        <v>242795017</v>
      </c>
      <c r="B67">
        <v>240.2</v>
      </c>
      <c r="C67">
        <v>0</v>
      </c>
      <c r="D67" s="4">
        <v>83158</v>
      </c>
      <c r="E67" s="1">
        <f>VLOOKUP(A67,Sheet2!A:L,12,0)</f>
        <v>83158.452521987288</v>
      </c>
      <c r="F67" s="3">
        <f t="shared" si="1"/>
        <v>0.4525219872884918</v>
      </c>
    </row>
    <row r="68" spans="1:6" x14ac:dyDescent="0.35">
      <c r="A68" t="s">
        <v>24</v>
      </c>
      <c r="B68">
        <v>382</v>
      </c>
      <c r="C68">
        <v>0</v>
      </c>
      <c r="D68" s="4">
        <v>134831</v>
      </c>
      <c r="E68" s="1">
        <f>VLOOKUP(A68,Sheet2!A:L,12,0)</f>
        <v>134830.65515629278</v>
      </c>
      <c r="F68" s="3">
        <f t="shared" si="1"/>
        <v>-0.34484370722202584</v>
      </c>
    </row>
    <row r="69" spans="1:6" x14ac:dyDescent="0.35">
      <c r="A69">
        <v>232743570</v>
      </c>
      <c r="B69">
        <v>139.5</v>
      </c>
      <c r="C69">
        <v>0</v>
      </c>
      <c r="D69" s="4">
        <v>-49621</v>
      </c>
      <c r="E69" s="1">
        <f>VLOOKUP(A69,Sheet2!A:L,12,0)</f>
        <v>-49620.577734733444</v>
      </c>
      <c r="F69" s="3">
        <f t="shared" si="1"/>
        <v>0.4222652665557689</v>
      </c>
    </row>
    <row r="70" spans="1:6" x14ac:dyDescent="0.35">
      <c r="A70">
        <v>231403590</v>
      </c>
      <c r="B70">
        <v>220.5</v>
      </c>
      <c r="C70">
        <v>0</v>
      </c>
      <c r="D70" s="4">
        <v>-78494</v>
      </c>
      <c r="E70" s="1">
        <f>VLOOKUP(A70,Sheet2!A:L,12,0)</f>
        <v>-78494.030515852792</v>
      </c>
      <c r="F70" s="3">
        <f t="shared" si="1"/>
        <v>-3.0515852791722864E-2</v>
      </c>
    </row>
    <row r="71" spans="1:6" x14ac:dyDescent="0.35">
      <c r="A71">
        <v>233111088</v>
      </c>
      <c r="B71">
        <v>281</v>
      </c>
      <c r="C71">
        <v>0</v>
      </c>
      <c r="D71" s="4">
        <v>-100221</v>
      </c>
      <c r="E71" s="1">
        <f>VLOOKUP(A71,Sheet2!A:L,12,0)</f>
        <v>-100221.11377167971</v>
      </c>
      <c r="F71" s="3">
        <f t="shared" si="1"/>
        <v>-0.11377167970931623</v>
      </c>
    </row>
    <row r="72" spans="1:6" x14ac:dyDescent="0.35">
      <c r="A72">
        <v>235872386</v>
      </c>
      <c r="B72">
        <v>112.5</v>
      </c>
      <c r="C72">
        <v>0</v>
      </c>
      <c r="D72" s="4">
        <v>-40237</v>
      </c>
      <c r="E72" s="1">
        <f>VLOOKUP(A72,Sheet2!A:L,12,0)</f>
        <v>-40237.049339179022</v>
      </c>
      <c r="F72" s="3">
        <f t="shared" si="1"/>
        <v>-4.9339179022354074E-2</v>
      </c>
    </row>
    <row r="73" spans="1:6" x14ac:dyDescent="0.35">
      <c r="A73">
        <v>241758424</v>
      </c>
      <c r="B73">
        <v>247</v>
      </c>
      <c r="C73">
        <v>0</v>
      </c>
      <c r="D73" s="4">
        <v>-88382</v>
      </c>
      <c r="E73" s="1">
        <f>VLOOKUP(A73,Sheet2!A:L,12,0)</f>
        <v>-88381.806932219391</v>
      </c>
      <c r="F73" s="3">
        <f t="shared" si="1"/>
        <v>0.19306778060854413</v>
      </c>
    </row>
    <row r="74" spans="1:6" x14ac:dyDescent="0.35">
      <c r="A74">
        <v>238569178</v>
      </c>
      <c r="B74">
        <v>174.8</v>
      </c>
      <c r="C74">
        <v>0</v>
      </c>
      <c r="D74" s="4">
        <v>62098</v>
      </c>
      <c r="E74" s="1">
        <f>VLOOKUP(A74,Sheet2!A:L,12,0)</f>
        <v>62097.784162961434</v>
      </c>
      <c r="F74" s="3">
        <f t="shared" si="1"/>
        <v>-0.21583703856595093</v>
      </c>
    </row>
    <row r="75" spans="1:6" x14ac:dyDescent="0.35">
      <c r="A75">
        <v>237785640</v>
      </c>
      <c r="B75">
        <v>145.5</v>
      </c>
      <c r="C75">
        <v>0</v>
      </c>
      <c r="D75" s="4">
        <v>51779</v>
      </c>
      <c r="E75" s="1">
        <f>VLOOKUP(A75,Sheet2!A:L,12,0)</f>
        <v>51779.28238514765</v>
      </c>
      <c r="F75" s="3">
        <f t="shared" si="1"/>
        <v>0.28238514764962019</v>
      </c>
    </row>
    <row r="76" spans="1:6" x14ac:dyDescent="0.35">
      <c r="A76" t="s">
        <v>25</v>
      </c>
      <c r="B76">
        <v>-19246</v>
      </c>
      <c r="C76">
        <v>0</v>
      </c>
      <c r="D76" s="4">
        <v>-805942</v>
      </c>
      <c r="E76" s="1">
        <f>VLOOKUP(A76,Sheet2!A:L,12,0)</f>
        <v>-805941.81334122852</v>
      </c>
      <c r="F76" s="3">
        <f t="shared" si="1"/>
        <v>0.18665877147577703</v>
      </c>
    </row>
    <row r="77" spans="1:6" x14ac:dyDescent="0.35">
      <c r="A77">
        <v>252372486</v>
      </c>
      <c r="B77">
        <v>244.2</v>
      </c>
      <c r="C77">
        <v>0</v>
      </c>
      <c r="D77" s="4">
        <v>-91878</v>
      </c>
      <c r="E77" s="1">
        <f>VLOOKUP(A77,Sheet2!A:L,12,0)</f>
        <v>-91877.774305860046</v>
      </c>
      <c r="F77" s="3">
        <f t="shared" si="1"/>
        <v>0.22569413995370269</v>
      </c>
    </row>
    <row r="78" spans="1:6" x14ac:dyDescent="0.35">
      <c r="A78">
        <v>253071448</v>
      </c>
      <c r="B78">
        <v>404.6</v>
      </c>
      <c r="C78">
        <v>0</v>
      </c>
      <c r="D78" s="4">
        <v>-159210</v>
      </c>
      <c r="E78" s="1">
        <f>VLOOKUP(A78,Sheet2!A:L,12,0)</f>
        <v>-159209.82866136139</v>
      </c>
      <c r="F78" s="3">
        <f t="shared" si="1"/>
        <v>0.17133863861090504</v>
      </c>
    </row>
    <row r="79" spans="1:6" x14ac:dyDescent="0.35">
      <c r="A79">
        <v>253368726</v>
      </c>
      <c r="B79">
        <v>467.4</v>
      </c>
      <c r="C79">
        <v>0</v>
      </c>
      <c r="D79" s="4">
        <v>-183917</v>
      </c>
      <c r="E79" s="1">
        <f>VLOOKUP(A79,Sheet2!A:L,12,0)</f>
        <v>-183916.9968657982</v>
      </c>
      <c r="F79" s="3">
        <f t="shared" si="1"/>
        <v>3.1342018046416342E-3</v>
      </c>
    </row>
    <row r="80" spans="1:6" x14ac:dyDescent="0.35">
      <c r="A80">
        <v>251365860</v>
      </c>
      <c r="B80">
        <v>1134.4000000000001</v>
      </c>
      <c r="C80">
        <v>0</v>
      </c>
      <c r="D80" s="4">
        <v>440670</v>
      </c>
      <c r="E80" s="1">
        <f>VLOOKUP(A80,Sheet2!A:L,12,0)</f>
        <v>440670.48236701806</v>
      </c>
      <c r="F80" s="3">
        <f t="shared" si="1"/>
        <v>0.48236701806308702</v>
      </c>
    </row>
    <row r="81" spans="1:6" x14ac:dyDescent="0.35">
      <c r="A81">
        <v>251360193</v>
      </c>
      <c r="B81">
        <v>1437</v>
      </c>
      <c r="C81">
        <v>0</v>
      </c>
      <c r="D81" s="4">
        <v>558456</v>
      </c>
      <c r="E81" s="1">
        <f>VLOOKUP(A81,Sheet2!A:L,12,0)</f>
        <v>558455.77504162223</v>
      </c>
      <c r="F81" s="3">
        <f t="shared" si="1"/>
        <v>-0.22495837777387351</v>
      </c>
    </row>
    <row r="82" spans="1:6" x14ac:dyDescent="0.35">
      <c r="A82">
        <v>250656579</v>
      </c>
      <c r="B82">
        <v>301.3</v>
      </c>
      <c r="C82">
        <v>0</v>
      </c>
      <c r="D82" s="4">
        <v>117105</v>
      </c>
      <c r="E82" s="1">
        <f>VLOOKUP(A82,Sheet2!A:L,12,0)</f>
        <v>117105.29811468003</v>
      </c>
      <c r="F82" s="3">
        <f t="shared" si="1"/>
        <v>0.29811468003026675</v>
      </c>
    </row>
    <row r="83" spans="1:6" x14ac:dyDescent="0.35">
      <c r="A83">
        <v>251443899</v>
      </c>
      <c r="B83">
        <v>1160.9000000000001</v>
      </c>
      <c r="C83">
        <v>0</v>
      </c>
      <c r="D83" s="4">
        <v>451183</v>
      </c>
      <c r="E83" s="1">
        <f>VLOOKUP(A83,Sheet2!A:L,12,0)</f>
        <v>451183.47085150285</v>
      </c>
      <c r="F83" s="3">
        <f t="shared" si="1"/>
        <v>0.47085150284692645</v>
      </c>
    </row>
    <row r="84" spans="1:6" x14ac:dyDescent="0.35">
      <c r="A84">
        <v>244044869</v>
      </c>
      <c r="B84">
        <v>99.2</v>
      </c>
      <c r="C84">
        <v>0</v>
      </c>
      <c r="D84" s="4">
        <v>-39629</v>
      </c>
      <c r="E84" s="1">
        <f>VLOOKUP(A84,Sheet2!A:L,12,0)</f>
        <v>-39628.648795116555</v>
      </c>
      <c r="F84" s="3">
        <f t="shared" si="1"/>
        <v>0.35120488344546175</v>
      </c>
    </row>
    <row r="85" spans="1:6" x14ac:dyDescent="0.35">
      <c r="A85" t="s">
        <v>26</v>
      </c>
      <c r="B85">
        <v>336.42</v>
      </c>
      <c r="C85">
        <v>0</v>
      </c>
      <c r="D85" s="4">
        <v>134877</v>
      </c>
      <c r="E85" s="1">
        <f>VLOOKUP(A85,Sheet2!A:L,12,0)</f>
        <v>134876.7562149078</v>
      </c>
      <c r="F85" s="3">
        <f t="shared" si="1"/>
        <v>-0.24378509219968691</v>
      </c>
    </row>
    <row r="86" spans="1:6" x14ac:dyDescent="0.35">
      <c r="A86" t="s">
        <v>27</v>
      </c>
      <c r="B86">
        <v>71.144000000000005</v>
      </c>
      <c r="C86">
        <v>0</v>
      </c>
      <c r="D86" s="4">
        <v>28965</v>
      </c>
      <c r="E86" s="1">
        <f>VLOOKUP(A86,Sheet2!A:L,12,0)</f>
        <v>28965.274455003968</v>
      </c>
      <c r="F86" s="3">
        <f t="shared" si="1"/>
        <v>0.27445500396788702</v>
      </c>
    </row>
    <row r="87" spans="1:6" x14ac:dyDescent="0.35">
      <c r="A87">
        <v>247850548</v>
      </c>
      <c r="B87">
        <v>344</v>
      </c>
      <c r="C87">
        <v>0</v>
      </c>
      <c r="D87" s="4">
        <v>-142291</v>
      </c>
      <c r="E87" s="1">
        <f>VLOOKUP(A87,Sheet2!A:L,12,0)</f>
        <v>-142290.95381252797</v>
      </c>
      <c r="F87" s="3">
        <f t="shared" si="1"/>
        <v>4.6187472034944221E-2</v>
      </c>
    </row>
    <row r="88" spans="1:6" x14ac:dyDescent="0.35">
      <c r="A88" t="s">
        <v>28</v>
      </c>
      <c r="B88">
        <v>336.20600000000002</v>
      </c>
      <c r="C88">
        <v>0</v>
      </c>
      <c r="D88" s="4">
        <v>139845</v>
      </c>
      <c r="E88" s="1">
        <f>VLOOKUP(A88,Sheet2!A:L,12,0)</f>
        <v>139844.98536103728</v>
      </c>
      <c r="F88" s="3">
        <f t="shared" si="1"/>
        <v>-1.463896271889098E-2</v>
      </c>
    </row>
    <row r="89" spans="1:6" x14ac:dyDescent="0.35">
      <c r="A89" t="s">
        <v>29</v>
      </c>
      <c r="B89">
        <v>-617.20000000000005</v>
      </c>
      <c r="C89">
        <v>0</v>
      </c>
      <c r="D89" s="4">
        <v>-260612</v>
      </c>
      <c r="E89" s="1">
        <f>VLOOKUP(A89,Sheet2!A:L,12,0)</f>
        <v>-342571.28400838608</v>
      </c>
      <c r="F89" s="3">
        <f t="shared" si="1"/>
        <v>-81959.284008386079</v>
      </c>
    </row>
    <row r="90" spans="1:6" x14ac:dyDescent="0.35">
      <c r="A90">
        <v>249801055</v>
      </c>
      <c r="B90">
        <v>440</v>
      </c>
      <c r="C90">
        <v>0</v>
      </c>
      <c r="D90" s="4">
        <v>-187912</v>
      </c>
      <c r="E90" s="1">
        <f>VLOOKUP(A90,Sheet2!A:L,12,0)</f>
        <v>-187911.82151079815</v>
      </c>
      <c r="F90" s="3">
        <f t="shared" si="1"/>
        <v>0.17848920184769668</v>
      </c>
    </row>
    <row r="91" spans="1:6" x14ac:dyDescent="0.35">
      <c r="A91">
        <v>250657548</v>
      </c>
      <c r="B91">
        <v>274.39999999999998</v>
      </c>
      <c r="C91">
        <v>0</v>
      </c>
      <c r="D91" s="4">
        <v>-117370</v>
      </c>
      <c r="E91" s="1">
        <f>VLOOKUP(A91,Sheet2!A:L,12,0)</f>
        <v>-117369.74051719403</v>
      </c>
      <c r="F91" s="3">
        <f t="shared" si="1"/>
        <v>0.25948280596639961</v>
      </c>
    </row>
    <row r="92" spans="1:6" x14ac:dyDescent="0.35">
      <c r="A92">
        <v>252981116</v>
      </c>
      <c r="B92">
        <v>212</v>
      </c>
      <c r="C92">
        <v>0</v>
      </c>
      <c r="D92" s="4">
        <v>-91714</v>
      </c>
      <c r="E92" s="1">
        <f>VLOOKUP(A92,Sheet2!A:L,12,0)</f>
        <v>-91714.265971524917</v>
      </c>
      <c r="F92" s="3">
        <f t="shared" si="1"/>
        <v>-0.26597152491740417</v>
      </c>
    </row>
    <row r="93" spans="1:6" x14ac:dyDescent="0.35">
      <c r="A93">
        <v>252970450</v>
      </c>
      <c r="B93">
        <v>141.4</v>
      </c>
      <c r="C93">
        <v>0</v>
      </c>
      <c r="D93" s="4">
        <v>-61197</v>
      </c>
      <c r="E93" s="1">
        <f>VLOOKUP(A93,Sheet2!A:L,12,0)</f>
        <v>-61196.951434449962</v>
      </c>
      <c r="F93" s="3">
        <f t="shared" si="1"/>
        <v>4.8565550037892535E-2</v>
      </c>
    </row>
    <row r="94" spans="1:6" x14ac:dyDescent="0.35">
      <c r="A94">
        <v>253062033</v>
      </c>
      <c r="B94">
        <v>141.5</v>
      </c>
      <c r="C94">
        <v>0</v>
      </c>
      <c r="D94" s="4">
        <v>-61245</v>
      </c>
      <c r="E94" s="1">
        <f>VLOOKUP(A94,Sheet2!A:L,12,0)</f>
        <v>-61245.163467739229</v>
      </c>
      <c r="F94" s="3">
        <f t="shared" si="1"/>
        <v>-0.16346773922850844</v>
      </c>
    </row>
    <row r="95" spans="1:6" x14ac:dyDescent="0.35">
      <c r="A95">
        <v>253368727</v>
      </c>
      <c r="B95">
        <v>425.2</v>
      </c>
      <c r="C95">
        <v>0</v>
      </c>
      <c r="D95" s="4">
        <v>184200</v>
      </c>
      <c r="E95" s="1">
        <f>VLOOKUP(A95,Sheet2!A:L,12,0)</f>
        <v>184200.2800439139</v>
      </c>
      <c r="F95" s="3">
        <f t="shared" si="1"/>
        <v>0.2800439138954971</v>
      </c>
    </row>
    <row r="96" spans="1:6" x14ac:dyDescent="0.35">
      <c r="A96" t="s">
        <v>30</v>
      </c>
      <c r="B96">
        <v>718.5</v>
      </c>
      <c r="C96">
        <v>0</v>
      </c>
      <c r="D96" s="4">
        <v>312788</v>
      </c>
      <c r="E96" s="1">
        <f>VLOOKUP(A96,Sheet2!A:L,12,0)</f>
        <v>133082.22555963311</v>
      </c>
      <c r="F96" s="3">
        <f t="shared" si="1"/>
        <v>-179705.77444036689</v>
      </c>
    </row>
    <row r="97" spans="1:6" x14ac:dyDescent="0.35">
      <c r="A97" t="s">
        <v>31</v>
      </c>
      <c r="B97">
        <v>157.5</v>
      </c>
      <c r="C97">
        <v>0</v>
      </c>
      <c r="D97" s="4">
        <v>73349</v>
      </c>
      <c r="E97" s="1">
        <f>VLOOKUP(A97,Sheet2!A:L,12,0)</f>
        <v>73348.658347072167</v>
      </c>
      <c r="F97" s="3">
        <f t="shared" si="1"/>
        <v>-0.34165292783291079</v>
      </c>
    </row>
    <row r="98" spans="1:6" x14ac:dyDescent="0.35">
      <c r="A98">
        <v>232257832</v>
      </c>
      <c r="B98">
        <v>357.3</v>
      </c>
      <c r="C98">
        <v>0</v>
      </c>
      <c r="D98" s="4">
        <v>-173971</v>
      </c>
      <c r="E98" s="1">
        <f>VLOOKUP(A98,Sheet2!A:L,12,0)</f>
        <v>-173970.88203325335</v>
      </c>
      <c r="F98" s="3">
        <f t="shared" si="1"/>
        <v>0.11796674664947204</v>
      </c>
    </row>
    <row r="99" spans="1:6" x14ac:dyDescent="0.35">
      <c r="A99">
        <v>244847476</v>
      </c>
      <c r="B99">
        <v>229.3</v>
      </c>
      <c r="C99">
        <v>0</v>
      </c>
      <c r="D99" s="4">
        <v>113653</v>
      </c>
      <c r="E99" s="1">
        <f>VLOOKUP(A99,Sheet2!A:L,12,0)</f>
        <v>113653.08280427147</v>
      </c>
      <c r="F99" s="3">
        <f t="shared" si="1"/>
        <v>8.2804271471104585E-2</v>
      </c>
    </row>
    <row r="100" spans="1:6" x14ac:dyDescent="0.35">
      <c r="A100" t="s">
        <v>32</v>
      </c>
      <c r="B100">
        <v>220.5</v>
      </c>
      <c r="C100">
        <v>0</v>
      </c>
      <c r="D100" s="4">
        <v>107039</v>
      </c>
      <c r="E100" s="1">
        <f>VLOOKUP(A100,Sheet2!A:L,12,0)</f>
        <v>107039.44738565951</v>
      </c>
      <c r="F100" s="3">
        <f t="shared" si="1"/>
        <v>0.44738565951411147</v>
      </c>
    </row>
    <row r="101" spans="1:6" x14ac:dyDescent="0.35">
      <c r="A101">
        <v>238464172</v>
      </c>
      <c r="B101">
        <v>216.15299999999999</v>
      </c>
      <c r="C101">
        <v>0</v>
      </c>
      <c r="D101" s="4">
        <v>-105853</v>
      </c>
      <c r="E101" s="1">
        <f>VLOOKUP(A101,Sheet2!A:L,12,0)</f>
        <v>-105853.12785293185</v>
      </c>
      <c r="F101" s="3">
        <f t="shared" si="1"/>
        <v>-0.12785293185152113</v>
      </c>
    </row>
    <row r="102" spans="1:6" x14ac:dyDescent="0.35">
      <c r="A102" t="s">
        <v>33</v>
      </c>
      <c r="B102">
        <v>285.8</v>
      </c>
      <c r="C102">
        <v>0</v>
      </c>
      <c r="D102" s="4">
        <v>140267</v>
      </c>
      <c r="E102" s="1">
        <f>VLOOKUP(A102,Sheet2!A:L,12,0)</f>
        <v>140266.82367784815</v>
      </c>
      <c r="F102" s="3">
        <f t="shared" si="1"/>
        <v>-0.17632215184858069</v>
      </c>
    </row>
    <row r="103" spans="1:6" x14ac:dyDescent="0.35">
      <c r="A103">
        <v>238464716</v>
      </c>
      <c r="B103">
        <v>277.60000000000002</v>
      </c>
      <c r="C103">
        <v>0</v>
      </c>
      <c r="D103" s="4">
        <v>-137404</v>
      </c>
      <c r="E103" s="1">
        <f>VLOOKUP(A103,Sheet2!A:L,12,0)</f>
        <v>-137404.31455669401</v>
      </c>
      <c r="F103" s="3">
        <f t="shared" si="1"/>
        <v>-0.31455669400747865</v>
      </c>
    </row>
    <row r="104" spans="1:6" x14ac:dyDescent="0.35">
      <c r="A104" t="s">
        <v>34</v>
      </c>
      <c r="B104">
        <v>300.10000000000002</v>
      </c>
      <c r="C104">
        <v>0</v>
      </c>
      <c r="D104" s="4">
        <v>149994</v>
      </c>
      <c r="E104" s="1">
        <f>VLOOKUP(A104,Sheet2!A:L,12,0)</f>
        <v>149993.82528912977</v>
      </c>
      <c r="F104" s="3">
        <f t="shared" si="1"/>
        <v>-0.17471087022568099</v>
      </c>
    </row>
    <row r="105" spans="1:6" x14ac:dyDescent="0.35">
      <c r="A105">
        <v>232999148</v>
      </c>
      <c r="B105">
        <v>100</v>
      </c>
      <c r="C105">
        <v>0</v>
      </c>
      <c r="D105" s="4">
        <v>-50987</v>
      </c>
      <c r="E105" s="1">
        <f>VLOOKUP(A105,Sheet2!A:L,12,0)</f>
        <v>-50987.248807986871</v>
      </c>
      <c r="F105" s="3">
        <f t="shared" si="1"/>
        <v>-0.24880798687081551</v>
      </c>
    </row>
    <row r="106" spans="1:6" x14ac:dyDescent="0.35">
      <c r="A106">
        <v>234766536</v>
      </c>
      <c r="B106">
        <v>135.80000000000001</v>
      </c>
      <c r="C106">
        <v>0</v>
      </c>
      <c r="D106" s="4">
        <v>-69251</v>
      </c>
      <c r="E106" s="1">
        <f>VLOOKUP(A106,Sheet2!A:L,12,0)</f>
        <v>-69251.269110547306</v>
      </c>
      <c r="F106" s="3">
        <f t="shared" si="1"/>
        <v>-0.26911054730589967</v>
      </c>
    </row>
    <row r="107" spans="1:6" x14ac:dyDescent="0.35">
      <c r="A107">
        <v>240189575</v>
      </c>
      <c r="B107">
        <v>143</v>
      </c>
      <c r="C107">
        <v>0</v>
      </c>
      <c r="D107" s="4">
        <v>-73070</v>
      </c>
      <c r="E107" s="1">
        <f>VLOOKUP(A107,Sheet2!A:L,12,0)</f>
        <v>-73070.497200494268</v>
      </c>
      <c r="F107" s="3">
        <f t="shared" si="1"/>
        <v>-0.49720049426832702</v>
      </c>
    </row>
    <row r="108" spans="1:6" x14ac:dyDescent="0.35">
      <c r="A108" t="s">
        <v>35</v>
      </c>
      <c r="B108">
        <v>229.28</v>
      </c>
      <c r="C108">
        <v>0</v>
      </c>
      <c r="D108" s="4">
        <v>118008</v>
      </c>
      <c r="E108" s="1">
        <f>VLOOKUP(A108,Sheet2!A:L,12,0)</f>
        <v>118008.28956438636</v>
      </c>
      <c r="F108" s="3">
        <f t="shared" si="1"/>
        <v>0.28956438635941595</v>
      </c>
    </row>
    <row r="109" spans="1:6" x14ac:dyDescent="0.35">
      <c r="A109">
        <v>239799484</v>
      </c>
      <c r="B109">
        <v>186.4</v>
      </c>
      <c r="C109">
        <v>0</v>
      </c>
      <c r="D109" s="4">
        <v>-97211</v>
      </c>
      <c r="E109" s="1">
        <f>VLOOKUP(A109,Sheet2!A:L,12,0)</f>
        <v>-97210.932712919297</v>
      </c>
      <c r="F109" s="3">
        <f t="shared" si="1"/>
        <v>6.7287080702953972E-2</v>
      </c>
    </row>
    <row r="110" spans="1:6" x14ac:dyDescent="0.35">
      <c r="A110">
        <v>245404668</v>
      </c>
      <c r="B110">
        <v>531.46400000000006</v>
      </c>
      <c r="C110">
        <v>0</v>
      </c>
      <c r="D110" s="4">
        <v>-280594</v>
      </c>
      <c r="E110" s="1">
        <f>VLOOKUP(A110,Sheet2!A:L,12,0)</f>
        <v>-280594.32256621961</v>
      </c>
      <c r="F110" s="3">
        <f t="shared" si="1"/>
        <v>-0.32256621960550547</v>
      </c>
    </row>
    <row r="111" spans="1:6" x14ac:dyDescent="0.35">
      <c r="A111">
        <v>245570646</v>
      </c>
      <c r="B111">
        <v>532.5</v>
      </c>
      <c r="C111">
        <v>0</v>
      </c>
      <c r="D111" s="4">
        <v>-281264</v>
      </c>
      <c r="E111" s="1">
        <f>VLOOKUP(A111,Sheet2!A:L,12,0)</f>
        <v>-281263.74076478812</v>
      </c>
      <c r="F111" s="3">
        <f t="shared" si="1"/>
        <v>0.25923521188087761</v>
      </c>
    </row>
    <row r="112" spans="1:6" x14ac:dyDescent="0.35">
      <c r="A112">
        <v>244608809</v>
      </c>
      <c r="B112">
        <v>797.1</v>
      </c>
      <c r="C112">
        <v>0</v>
      </c>
      <c r="D112" s="4">
        <v>-422483</v>
      </c>
      <c r="E112" s="1">
        <f>VLOOKUP(A112,Sheet2!A:L,12,0)</f>
        <v>-422483.35994462622</v>
      </c>
      <c r="F112" s="3">
        <f t="shared" si="1"/>
        <v>-0.35994462622329593</v>
      </c>
    </row>
    <row r="113" spans="1:6" x14ac:dyDescent="0.35">
      <c r="A113">
        <v>238675137</v>
      </c>
      <c r="B113">
        <v>714.7</v>
      </c>
      <c r="C113">
        <v>0</v>
      </c>
      <c r="D113" s="4">
        <v>370121</v>
      </c>
      <c r="E113" s="1">
        <f>VLOOKUP(A113,Sheet2!A:L,12,0)</f>
        <v>370120.78755371389</v>
      </c>
      <c r="F113" s="3">
        <f t="shared" si="1"/>
        <v>-0.21244628611020744</v>
      </c>
    </row>
    <row r="114" spans="1:6" x14ac:dyDescent="0.35">
      <c r="A114">
        <v>238464171</v>
      </c>
      <c r="B114">
        <v>204.435</v>
      </c>
      <c r="C114">
        <v>0</v>
      </c>
      <c r="D114" s="4">
        <v>106132</v>
      </c>
      <c r="E114" s="1">
        <f>VLOOKUP(A114,Sheet2!A:L,12,0)</f>
        <v>106132.28737862043</v>
      </c>
      <c r="F114" s="3">
        <f t="shared" si="1"/>
        <v>0.28737862042908091</v>
      </c>
    </row>
    <row r="115" spans="1:6" x14ac:dyDescent="0.35">
      <c r="A115">
        <v>238464848</v>
      </c>
      <c r="B115">
        <v>265.7</v>
      </c>
      <c r="C115">
        <v>0</v>
      </c>
      <c r="D115" s="4">
        <v>137950</v>
      </c>
      <c r="E115" s="1">
        <f>VLOOKUP(A115,Sheet2!A:L,12,0)</f>
        <v>137949.69614150611</v>
      </c>
      <c r="F115" s="3">
        <f t="shared" si="1"/>
        <v>-0.30385849389131181</v>
      </c>
    </row>
    <row r="116" spans="1:6" x14ac:dyDescent="0.35">
      <c r="A116">
        <v>239173834</v>
      </c>
      <c r="B116">
        <v>746.6</v>
      </c>
      <c r="C116">
        <v>0</v>
      </c>
      <c r="D116" s="4">
        <v>388091</v>
      </c>
      <c r="E116" s="1">
        <f>VLOOKUP(A116,Sheet2!A:L,12,0)</f>
        <v>388090.90060650732</v>
      </c>
      <c r="F116" s="3">
        <f t="shared" si="1"/>
        <v>-9.9393492680974305E-2</v>
      </c>
    </row>
    <row r="117" spans="1:6" x14ac:dyDescent="0.35">
      <c r="A117">
        <v>242040051</v>
      </c>
      <c r="B117">
        <v>165.2</v>
      </c>
      <c r="C117">
        <v>0</v>
      </c>
      <c r="D117" s="4">
        <v>86345</v>
      </c>
      <c r="E117" s="1">
        <f>VLOOKUP(A117,Sheet2!A:L,12,0)</f>
        <v>86344.992239254454</v>
      </c>
      <c r="F117" s="3">
        <f t="shared" si="1"/>
        <v>-7.7607455459656194E-3</v>
      </c>
    </row>
    <row r="118" spans="1:6" x14ac:dyDescent="0.35">
      <c r="A118">
        <v>240101479</v>
      </c>
      <c r="B118">
        <v>126</v>
      </c>
      <c r="C118">
        <v>0</v>
      </c>
      <c r="D118" s="4">
        <v>-66584</v>
      </c>
      <c r="E118" s="1">
        <f>VLOOKUP(A118,Sheet2!A:L,12,0)</f>
        <v>-66584.058274341252</v>
      </c>
      <c r="F118" s="3">
        <f t="shared" si="1"/>
        <v>-5.8274341252399608E-2</v>
      </c>
    </row>
    <row r="119" spans="1:6" x14ac:dyDescent="0.35">
      <c r="A119">
        <v>244847477</v>
      </c>
      <c r="B119">
        <v>213.5</v>
      </c>
      <c r="C119">
        <v>0</v>
      </c>
      <c r="D119" s="4">
        <v>-113972</v>
      </c>
      <c r="E119" s="1">
        <f>VLOOKUP(A119,Sheet2!A:L,12,0)</f>
        <v>-113971.81966317883</v>
      </c>
      <c r="F119" s="3">
        <f t="shared" si="1"/>
        <v>0.18033682116947602</v>
      </c>
    </row>
    <row r="120" spans="1:6" x14ac:dyDescent="0.35">
      <c r="A120">
        <v>239798372</v>
      </c>
      <c r="B120">
        <v>153.69999999999999</v>
      </c>
      <c r="C120">
        <v>0</v>
      </c>
      <c r="D120" s="4">
        <v>81003</v>
      </c>
      <c r="E120" s="1">
        <f>VLOOKUP(A120,Sheet2!A:L,12,0)</f>
        <v>81002.701640125335</v>
      </c>
      <c r="F120" s="3">
        <f t="shared" si="1"/>
        <v>-0.29835987466503866</v>
      </c>
    </row>
    <row r="121" spans="1:6" x14ac:dyDescent="0.35">
      <c r="A121">
        <v>243759093</v>
      </c>
      <c r="B121">
        <v>100</v>
      </c>
      <c r="C121">
        <v>0</v>
      </c>
      <c r="D121" s="4">
        <v>-54484</v>
      </c>
      <c r="E121" s="1">
        <f>VLOOKUP(A121,Sheet2!A:L,12,0)</f>
        <v>-54483.846235186364</v>
      </c>
      <c r="F121" s="3">
        <f t="shared" si="1"/>
        <v>0.1537648136363714</v>
      </c>
    </row>
    <row r="122" spans="1:6" x14ac:dyDescent="0.35">
      <c r="A122">
        <v>244130620</v>
      </c>
      <c r="B122">
        <v>113.7</v>
      </c>
      <c r="C122">
        <v>0</v>
      </c>
      <c r="D122" s="4">
        <v>-62187</v>
      </c>
      <c r="E122" s="1">
        <f>VLOOKUP(A122,Sheet2!A:L,12,0)</f>
        <v>-62187.308553983443</v>
      </c>
      <c r="F122" s="3">
        <f t="shared" si="1"/>
        <v>-0.30855398344283458</v>
      </c>
    </row>
    <row r="123" spans="1:6" x14ac:dyDescent="0.35">
      <c r="A123">
        <v>244135123</v>
      </c>
      <c r="B123">
        <v>75.099999999999994</v>
      </c>
      <c r="C123">
        <v>0</v>
      </c>
      <c r="D123" s="4">
        <v>-41119</v>
      </c>
      <c r="E123" s="1">
        <f>VLOOKUP(A123,Sheet2!A:L,12,0)</f>
        <v>-41119.47499316177</v>
      </c>
      <c r="F123" s="3">
        <f t="shared" si="1"/>
        <v>-0.47499316176981665</v>
      </c>
    </row>
    <row r="124" spans="1:6" x14ac:dyDescent="0.35">
      <c r="A124">
        <v>230171747</v>
      </c>
      <c r="B124">
        <v>94.3</v>
      </c>
      <c r="C124">
        <v>0</v>
      </c>
      <c r="D124" s="4">
        <v>-50643</v>
      </c>
      <c r="E124" s="1">
        <f>VLOOKUP(A124,Sheet2!A:L,12,0)</f>
        <v>-50642.577444715855</v>
      </c>
      <c r="F124" s="3">
        <f t="shared" si="1"/>
        <v>0.42255528414534638</v>
      </c>
    </row>
    <row r="125" spans="1:6" x14ac:dyDescent="0.35">
      <c r="A125">
        <v>231030784</v>
      </c>
      <c r="B125">
        <v>119.3</v>
      </c>
      <c r="C125">
        <v>0</v>
      </c>
      <c r="D125" s="4">
        <v>-64538</v>
      </c>
      <c r="E125" s="1">
        <f>VLOOKUP(A125,Sheet2!A:L,12,0)</f>
        <v>-64538.302551219313</v>
      </c>
      <c r="F125" s="3">
        <f t="shared" si="1"/>
        <v>-0.30255121931259055</v>
      </c>
    </row>
    <row r="126" spans="1:6" x14ac:dyDescent="0.35">
      <c r="A126">
        <v>245819675</v>
      </c>
      <c r="B126">
        <v>131</v>
      </c>
      <c r="C126">
        <v>0</v>
      </c>
      <c r="D126" s="4">
        <v>-72392</v>
      </c>
      <c r="E126" s="1">
        <f>VLOOKUP(A126,Sheet2!A:L,12,0)</f>
        <v>-72392.298945681541</v>
      </c>
      <c r="F126" s="3">
        <f t="shared" si="1"/>
        <v>-0.2989456815412268</v>
      </c>
    </row>
    <row r="127" spans="1:6" x14ac:dyDescent="0.35">
      <c r="A127">
        <v>245652779</v>
      </c>
      <c r="B127">
        <v>107.8</v>
      </c>
      <c r="C127">
        <v>0</v>
      </c>
      <c r="D127" s="4">
        <v>-59537</v>
      </c>
      <c r="E127" s="1">
        <f>VLOOKUP(A127,Sheet2!A:L,12,0)</f>
        <v>-59537.303123154503</v>
      </c>
      <c r="F127" s="3">
        <f t="shared" si="1"/>
        <v>-0.30312315450282767</v>
      </c>
    </row>
    <row r="128" spans="1:6" x14ac:dyDescent="0.35">
      <c r="A128">
        <v>251394776</v>
      </c>
      <c r="B128">
        <v>634.1</v>
      </c>
      <c r="C128">
        <v>0</v>
      </c>
      <c r="D128" s="4">
        <v>-351453</v>
      </c>
      <c r="E128" s="1">
        <f>VLOOKUP(A128,Sheet2!A:L,12,0)</f>
        <v>-351452.833271635</v>
      </c>
      <c r="F128" s="3">
        <f t="shared" si="1"/>
        <v>0.16672836500220001</v>
      </c>
    </row>
    <row r="129" spans="1:6" x14ac:dyDescent="0.35">
      <c r="A129">
        <v>251001574</v>
      </c>
      <c r="B129">
        <v>33</v>
      </c>
      <c r="C129">
        <v>0</v>
      </c>
      <c r="D129" s="4">
        <v>-18312</v>
      </c>
      <c r="E129" s="1">
        <f>VLOOKUP(A129,Sheet2!A:L,12,0)</f>
        <v>-18312.484553671558</v>
      </c>
      <c r="F129" s="3">
        <f t="shared" si="1"/>
        <v>-0.48455367155838758</v>
      </c>
    </row>
    <row r="130" spans="1:6" x14ac:dyDescent="0.35">
      <c r="A130">
        <v>245404667</v>
      </c>
      <c r="B130">
        <v>509.392</v>
      </c>
      <c r="C130">
        <v>0</v>
      </c>
      <c r="D130" s="4">
        <v>280724</v>
      </c>
      <c r="E130" s="1">
        <f>VLOOKUP(A130,Sheet2!A:L,12,0)</f>
        <v>280724.249724244</v>
      </c>
      <c r="F130" s="3">
        <f t="shared" ref="F130:F164" si="2">E130-D130</f>
        <v>0.24972424400039017</v>
      </c>
    </row>
    <row r="131" spans="1:6" x14ac:dyDescent="0.35">
      <c r="A131">
        <v>245570681</v>
      </c>
      <c r="B131">
        <v>509.6</v>
      </c>
      <c r="C131">
        <v>0</v>
      </c>
      <c r="D131" s="4">
        <v>280963</v>
      </c>
      <c r="E131" s="1">
        <f>VLOOKUP(A131,Sheet2!A:L,12,0)</f>
        <v>280962.85334123124</v>
      </c>
      <c r="F131" s="3">
        <f t="shared" si="2"/>
        <v>-0.14665876876097172</v>
      </c>
    </row>
    <row r="132" spans="1:6" x14ac:dyDescent="0.35">
      <c r="A132">
        <v>244847475</v>
      </c>
      <c r="B132">
        <v>768.6</v>
      </c>
      <c r="C132">
        <v>0</v>
      </c>
      <c r="D132" s="4">
        <v>423890</v>
      </c>
      <c r="E132" s="1">
        <f>VLOOKUP(A132,Sheet2!A:L,12,0)</f>
        <v>423889.7258020608</v>
      </c>
      <c r="F132" s="3">
        <f t="shared" si="2"/>
        <v>-0.27419793920125812</v>
      </c>
    </row>
    <row r="133" spans="1:6" x14ac:dyDescent="0.35">
      <c r="A133">
        <v>244608812</v>
      </c>
      <c r="B133">
        <v>765.3</v>
      </c>
      <c r="C133">
        <v>0</v>
      </c>
      <c r="D133" s="4">
        <v>423490</v>
      </c>
      <c r="E133" s="1">
        <f>VLOOKUP(A133,Sheet2!A:L,12,0)</f>
        <v>423490.12886840827</v>
      </c>
      <c r="F133" s="3">
        <f t="shared" si="2"/>
        <v>0.12886840826831758</v>
      </c>
    </row>
    <row r="134" spans="1:6" x14ac:dyDescent="0.35">
      <c r="A134" t="s">
        <v>36</v>
      </c>
      <c r="B134">
        <v>-329.86</v>
      </c>
      <c r="C134">
        <v>0</v>
      </c>
      <c r="D134" s="4">
        <v>-182675</v>
      </c>
      <c r="E134" s="1">
        <f>VLOOKUP(A134,Sheet2!A:L,12,0)</f>
        <v>-182675.38738996338</v>
      </c>
      <c r="F134" s="3">
        <f t="shared" si="2"/>
        <v>-0.3873899633763358</v>
      </c>
    </row>
    <row r="135" spans="1:6" x14ac:dyDescent="0.35">
      <c r="A135">
        <v>231211845</v>
      </c>
      <c r="B135">
        <v>92.7</v>
      </c>
      <c r="C135">
        <v>0</v>
      </c>
      <c r="D135" s="4">
        <v>-51496</v>
      </c>
      <c r="E135" s="1">
        <f>VLOOKUP(A135,Sheet2!A:L,12,0)</f>
        <v>-51495.521176211259</v>
      </c>
      <c r="F135" s="3">
        <f t="shared" si="2"/>
        <v>0.47882378874055576</v>
      </c>
    </row>
    <row r="136" spans="1:6" x14ac:dyDescent="0.35">
      <c r="A136">
        <v>231211801</v>
      </c>
      <c r="B136">
        <v>92.8</v>
      </c>
      <c r="C136">
        <v>0</v>
      </c>
      <c r="D136" s="4">
        <v>-51553</v>
      </c>
      <c r="E136" s="1">
        <f>VLOOKUP(A136,Sheet2!A:L,12,0)</f>
        <v>-51553.233493722604</v>
      </c>
      <c r="F136" s="3">
        <f t="shared" si="2"/>
        <v>-0.23349372260418022</v>
      </c>
    </row>
    <row r="137" spans="1:6" x14ac:dyDescent="0.35">
      <c r="A137" t="s">
        <v>37</v>
      </c>
      <c r="B137">
        <v>-639.15</v>
      </c>
      <c r="C137">
        <v>0</v>
      </c>
      <c r="D137" s="4">
        <v>-358999</v>
      </c>
      <c r="E137" s="1">
        <f>VLOOKUP(A137,Sheet2!A:L,12,0)</f>
        <v>-358999.44116124517</v>
      </c>
      <c r="F137" s="3">
        <f t="shared" si="2"/>
        <v>-0.44116124516585842</v>
      </c>
    </row>
    <row r="138" spans="1:6" x14ac:dyDescent="0.35">
      <c r="A138">
        <v>251394867</v>
      </c>
      <c r="B138">
        <v>614</v>
      </c>
      <c r="C138">
        <v>0</v>
      </c>
      <c r="D138" s="4">
        <v>350781</v>
      </c>
      <c r="E138" s="1">
        <f>VLOOKUP(A138,Sheet2!A:L,12,0)</f>
        <v>350780.66141737613</v>
      </c>
      <c r="F138" s="3">
        <f t="shared" si="2"/>
        <v>-0.33858262386638671</v>
      </c>
    </row>
    <row r="139" spans="1:6" x14ac:dyDescent="0.35">
      <c r="A139" t="s">
        <v>38</v>
      </c>
      <c r="B139">
        <v>-7402</v>
      </c>
      <c r="C139">
        <v>0</v>
      </c>
      <c r="D139" s="4">
        <v>-456239</v>
      </c>
      <c r="E139" s="1">
        <f>VLOOKUP(A139,Sheet2!A:L,12,0)</f>
        <v>-456238.51446129906</v>
      </c>
      <c r="F139" s="3">
        <f t="shared" si="2"/>
        <v>0.48553870094474405</v>
      </c>
    </row>
    <row r="140" spans="1:6" x14ac:dyDescent="0.35">
      <c r="A140" t="s">
        <v>39</v>
      </c>
      <c r="B140">
        <v>202.1</v>
      </c>
      <c r="C140">
        <v>0</v>
      </c>
      <c r="D140" s="4">
        <v>116610</v>
      </c>
      <c r="E140" s="1">
        <f>VLOOKUP(A140,Sheet2!A:L,12,0)</f>
        <v>116610.42083233042</v>
      </c>
      <c r="F140" s="3">
        <f t="shared" si="2"/>
        <v>0.42083233041921631</v>
      </c>
    </row>
    <row r="141" spans="1:6" x14ac:dyDescent="0.35">
      <c r="A141" t="s">
        <v>40</v>
      </c>
      <c r="B141">
        <v>149.9</v>
      </c>
      <c r="C141">
        <v>0</v>
      </c>
      <c r="D141" s="4">
        <v>86831</v>
      </c>
      <c r="E141" s="1">
        <f>VLOOKUP(A141,Sheet2!A:L,12,0)</f>
        <v>86830.544105964684</v>
      </c>
      <c r="F141" s="3">
        <f t="shared" si="2"/>
        <v>-0.45589403531630524</v>
      </c>
    </row>
    <row r="142" spans="1:6" x14ac:dyDescent="0.35">
      <c r="A142">
        <v>245887458</v>
      </c>
      <c r="B142">
        <v>139.80000000000001</v>
      </c>
      <c r="C142">
        <v>0</v>
      </c>
      <c r="D142" s="4">
        <v>-83839</v>
      </c>
      <c r="E142" s="1">
        <f>VLOOKUP(A142,Sheet2!A:L,12,0)</f>
        <v>-83839.164732657155</v>
      </c>
      <c r="F142" s="3">
        <f t="shared" si="2"/>
        <v>-0.16473265715467278</v>
      </c>
    </row>
    <row r="143" spans="1:6" x14ac:dyDescent="0.35">
      <c r="A143" t="s">
        <v>41</v>
      </c>
      <c r="B143">
        <v>248</v>
      </c>
      <c r="C143">
        <v>0</v>
      </c>
      <c r="D143" s="4">
        <v>149517</v>
      </c>
      <c r="E143" s="1">
        <f>VLOOKUP(A143,Sheet2!A:L,12,0)</f>
        <v>149517.24097045371</v>
      </c>
      <c r="F143" s="3">
        <f t="shared" si="2"/>
        <v>0.24097045371308923</v>
      </c>
    </row>
    <row r="144" spans="1:6" x14ac:dyDescent="0.35">
      <c r="A144">
        <v>249069902</v>
      </c>
      <c r="B144">
        <v>169.6</v>
      </c>
      <c r="C144">
        <v>0</v>
      </c>
      <c r="D144" s="4">
        <v>-105139</v>
      </c>
      <c r="E144" s="1">
        <f>VLOOKUP(A144,Sheet2!A:L,12,0)</f>
        <v>-105139.12999939772</v>
      </c>
      <c r="F144" s="3">
        <f t="shared" si="2"/>
        <v>-0.12999939771543723</v>
      </c>
    </row>
    <row r="145" spans="1:6" x14ac:dyDescent="0.35">
      <c r="A145" t="s">
        <v>42</v>
      </c>
      <c r="B145">
        <v>167.6</v>
      </c>
      <c r="C145">
        <v>0</v>
      </c>
      <c r="D145" s="4">
        <v>101483</v>
      </c>
      <c r="E145" s="1">
        <f>VLOOKUP(A145,Sheet2!A:L,12,0)</f>
        <v>101483.26572334554</v>
      </c>
      <c r="F145" s="3">
        <f t="shared" si="2"/>
        <v>0.26572334553929977</v>
      </c>
    </row>
    <row r="146" spans="1:6" x14ac:dyDescent="0.35">
      <c r="A146">
        <v>248308134</v>
      </c>
      <c r="B146">
        <v>136.6</v>
      </c>
      <c r="C146">
        <v>0</v>
      </c>
      <c r="D146" s="4">
        <v>-86343</v>
      </c>
      <c r="E146" s="1">
        <f>VLOOKUP(A146,Sheet2!A:L,12,0)</f>
        <v>-86342.836084795825</v>
      </c>
      <c r="F146" s="3">
        <f t="shared" si="2"/>
        <v>0.16391520417528227</v>
      </c>
    </row>
    <row r="147" spans="1:6" x14ac:dyDescent="0.35">
      <c r="A147">
        <v>239798376</v>
      </c>
      <c r="B147">
        <v>113.8</v>
      </c>
      <c r="C147">
        <v>0</v>
      </c>
      <c r="D147" s="4">
        <v>-81037</v>
      </c>
      <c r="E147" s="1">
        <f>VLOOKUP(A147,Sheet2!A:L,12,0)</f>
        <v>-81036.715638131471</v>
      </c>
      <c r="F147" s="3">
        <f t="shared" si="2"/>
        <v>0.28436186852923129</v>
      </c>
    </row>
    <row r="148" spans="1:6" x14ac:dyDescent="0.35">
      <c r="A148">
        <v>254398883</v>
      </c>
      <c r="B148">
        <v>83.5</v>
      </c>
      <c r="C148">
        <v>83.5</v>
      </c>
      <c r="D148" s="4">
        <v>61812</v>
      </c>
      <c r="E148" s="1">
        <f>VLOOKUP(A148,Sheet2!A:L,12,0)</f>
        <v>61812.328880973473</v>
      </c>
      <c r="F148" s="3">
        <f t="shared" si="2"/>
        <v>0.32888097347313305</v>
      </c>
    </row>
    <row r="149" spans="1:6" x14ac:dyDescent="0.35">
      <c r="A149" t="s">
        <v>43</v>
      </c>
      <c r="B149">
        <v>-781</v>
      </c>
      <c r="C149">
        <v>-781</v>
      </c>
      <c r="D149" s="4">
        <v>-63739</v>
      </c>
      <c r="E149" s="1">
        <f>VLOOKUP(A149,Sheet2!A:L,12,0)</f>
        <v>-63739.392575345206</v>
      </c>
      <c r="F149" s="3">
        <f t="shared" si="2"/>
        <v>-0.39257534520584159</v>
      </c>
    </row>
    <row r="150" spans="1:6" x14ac:dyDescent="0.35">
      <c r="A150" t="s">
        <v>44</v>
      </c>
      <c r="B150">
        <v>-203.5</v>
      </c>
      <c r="C150">
        <v>0</v>
      </c>
      <c r="D150" s="4">
        <v>-150258</v>
      </c>
      <c r="E150" s="1">
        <f>VLOOKUP(A150,Sheet2!A:L,12,0)</f>
        <v>-150257.57306830201</v>
      </c>
      <c r="F150" s="3">
        <f t="shared" si="2"/>
        <v>0.42693169799167663</v>
      </c>
    </row>
    <row r="151" spans="1:6" x14ac:dyDescent="0.35">
      <c r="A151">
        <v>251001581</v>
      </c>
      <c r="B151">
        <v>23.5</v>
      </c>
      <c r="C151">
        <v>0</v>
      </c>
      <c r="D151" s="4">
        <v>17849</v>
      </c>
      <c r="E151" s="1">
        <f>VLOOKUP(A151,Sheet2!A:L,12,0)</f>
        <v>17849.304644023661</v>
      </c>
      <c r="F151" s="3">
        <f t="shared" si="2"/>
        <v>0.30464402366123977</v>
      </c>
    </row>
    <row r="152" spans="1:6" x14ac:dyDescent="0.35">
      <c r="A152">
        <v>252245067</v>
      </c>
      <c r="B152">
        <v>116.2</v>
      </c>
      <c r="C152">
        <v>0</v>
      </c>
      <c r="D152" s="4">
        <v>88916</v>
      </c>
      <c r="E152" s="1">
        <f>VLOOKUP(A152,Sheet2!A:L,12,0)</f>
        <v>88916.233599394589</v>
      </c>
      <c r="F152" s="3">
        <f t="shared" si="2"/>
        <v>0.23359939458896406</v>
      </c>
    </row>
    <row r="153" spans="1:6" x14ac:dyDescent="0.35">
      <c r="A153">
        <v>253606809</v>
      </c>
      <c r="B153">
        <v>79.400000000000006</v>
      </c>
      <c r="C153">
        <v>0</v>
      </c>
      <c r="D153" s="4">
        <v>61834</v>
      </c>
      <c r="E153" s="1">
        <f>VLOOKUP(A153,Sheet2!A:L,12,0)</f>
        <v>61833.734434184764</v>
      </c>
      <c r="F153" s="3">
        <f t="shared" si="2"/>
        <v>-0.26556581523618661</v>
      </c>
    </row>
    <row r="154" spans="1:6" x14ac:dyDescent="0.35">
      <c r="A154">
        <v>252970386</v>
      </c>
      <c r="B154">
        <v>55.6</v>
      </c>
      <c r="C154">
        <v>0</v>
      </c>
      <c r="D154" s="4">
        <v>14209</v>
      </c>
      <c r="E154" s="1">
        <f>VLOOKUP(A154,Sheet2!A:L,12,0)</f>
        <v>14208.78593296976</v>
      </c>
      <c r="F154" s="3">
        <f t="shared" si="2"/>
        <v>-0.21406703023967566</v>
      </c>
    </row>
    <row r="155" spans="1:6" x14ac:dyDescent="0.35">
      <c r="A155" t="s">
        <v>45</v>
      </c>
      <c r="B155">
        <v>154.9</v>
      </c>
      <c r="C155">
        <v>0</v>
      </c>
      <c r="D155" s="4">
        <v>174964</v>
      </c>
      <c r="E155" s="1">
        <f>VLOOKUP(A155,Sheet2!A:L,12,0)</f>
        <v>174964.29030927629</v>
      </c>
      <c r="F155" s="3">
        <f t="shared" si="2"/>
        <v>0.29030927628627978</v>
      </c>
    </row>
    <row r="156" spans="1:6" x14ac:dyDescent="0.35">
      <c r="A156">
        <v>251537861</v>
      </c>
      <c r="B156">
        <v>46.9</v>
      </c>
      <c r="C156">
        <v>0</v>
      </c>
      <c r="D156" s="4">
        <v>-56555</v>
      </c>
      <c r="E156" s="1">
        <f>VLOOKUP(A156,Sheet2!A:L,12,0)</f>
        <v>-56555.112435678027</v>
      </c>
      <c r="F156" s="3">
        <f t="shared" si="2"/>
        <v>-0.11243567802739562</v>
      </c>
    </row>
    <row r="157" spans="1:6" x14ac:dyDescent="0.35">
      <c r="A157">
        <v>253291819</v>
      </c>
      <c r="B157">
        <v>48.1</v>
      </c>
      <c r="C157">
        <v>0</v>
      </c>
      <c r="D157" s="4">
        <v>-58915</v>
      </c>
      <c r="E157" s="1">
        <f>VLOOKUP(A157,Sheet2!A:L,12,0)</f>
        <v>-58915.214833990547</v>
      </c>
      <c r="F157" s="3">
        <f t="shared" si="2"/>
        <v>-0.21483399054704932</v>
      </c>
    </row>
    <row r="158" spans="1:6" x14ac:dyDescent="0.35">
      <c r="A158">
        <v>252972750</v>
      </c>
      <c r="B158">
        <v>48.2</v>
      </c>
      <c r="C158">
        <v>0</v>
      </c>
      <c r="D158" s="4">
        <v>-59301</v>
      </c>
      <c r="E158" s="1">
        <f>VLOOKUP(A158,Sheet2!A:L,12,0)</f>
        <v>-59300.798809902517</v>
      </c>
      <c r="F158" s="3">
        <f t="shared" si="2"/>
        <v>0.20119009748304961</v>
      </c>
    </row>
    <row r="159" spans="1:6" x14ac:dyDescent="0.35">
      <c r="A159">
        <v>252970434</v>
      </c>
      <c r="B159">
        <v>71.099999999999994</v>
      </c>
      <c r="C159">
        <v>0</v>
      </c>
      <c r="D159" s="4">
        <v>-13813</v>
      </c>
      <c r="E159" s="1">
        <f>VLOOKUP(A159,Sheet2!A:L,12,0)</f>
        <v>-13813.036120904588</v>
      </c>
      <c r="F159" s="3">
        <f t="shared" si="2"/>
        <v>-3.6120904587733094E-2</v>
      </c>
    </row>
    <row r="160" spans="1:6" x14ac:dyDescent="0.35">
      <c r="A160" t="s">
        <v>46</v>
      </c>
      <c r="B160">
        <v>497</v>
      </c>
      <c r="C160">
        <v>220</v>
      </c>
      <c r="D160" s="4">
        <v>76268</v>
      </c>
      <c r="E160" s="1">
        <f>VLOOKUP(A160,Sheet2!A:L,12,0)</f>
        <v>76267.623409585387</v>
      </c>
      <c r="F160" s="3">
        <f t="shared" si="2"/>
        <v>-0.37659041461301968</v>
      </c>
    </row>
    <row r="161" spans="1:6" x14ac:dyDescent="0.35">
      <c r="A161" t="s">
        <v>47</v>
      </c>
      <c r="B161">
        <v>-188.8</v>
      </c>
      <c r="C161">
        <v>-31</v>
      </c>
      <c r="D161" s="4">
        <v>-256575</v>
      </c>
      <c r="E161" s="1">
        <f>VLOOKUP(A161,Sheet2!A:L,12,0)</f>
        <v>-172318.29286856737</v>
      </c>
      <c r="F161" s="3">
        <f t="shared" si="2"/>
        <v>84256.707131432631</v>
      </c>
    </row>
    <row r="162" spans="1:6" x14ac:dyDescent="0.35">
      <c r="A162">
        <v>251537871</v>
      </c>
      <c r="B162">
        <v>37.799999999999997</v>
      </c>
      <c r="C162">
        <v>0</v>
      </c>
      <c r="D162" s="4">
        <v>55601</v>
      </c>
      <c r="E162" s="1">
        <f>VLOOKUP(A162,Sheet2!A:L,12,0)</f>
        <v>55601.213846593375</v>
      </c>
      <c r="F162" s="3">
        <f t="shared" si="2"/>
        <v>0.2138465933749103</v>
      </c>
    </row>
    <row r="163" spans="1:6" x14ac:dyDescent="0.35">
      <c r="A163">
        <v>253291823</v>
      </c>
      <c r="B163">
        <v>38.6</v>
      </c>
      <c r="C163">
        <v>0</v>
      </c>
      <c r="D163" s="4">
        <v>57681</v>
      </c>
      <c r="E163" s="1">
        <f>VLOOKUP(A163,Sheet2!A:L,12,0)</f>
        <v>57680.60563131544</v>
      </c>
      <c r="F163" s="3">
        <f t="shared" si="2"/>
        <v>-0.39436868455959484</v>
      </c>
    </row>
    <row r="164" spans="1:6" x14ac:dyDescent="0.35">
      <c r="A164">
        <v>252973724</v>
      </c>
      <c r="B164">
        <v>38.799999999999997</v>
      </c>
      <c r="C164">
        <v>0</v>
      </c>
      <c r="D164" s="4">
        <v>58321</v>
      </c>
      <c r="E164" s="1">
        <f>VLOOKUP(A164,Sheet2!A:L,12,0)</f>
        <v>58320.985305285547</v>
      </c>
      <c r="F164" s="3">
        <f t="shared" si="2"/>
        <v>-1.4694714453071356E-2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qwpos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2015-06-05T18:17:20Z</dcterms:created>
  <dcterms:modified xsi:type="dcterms:W3CDTF">2026-10-05T21:03:15Z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
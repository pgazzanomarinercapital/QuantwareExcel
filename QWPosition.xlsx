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marinercapital-my.sharepoint.com/personal/pgazzano_marinercapital_com/Documents/Attachments/"/>
    </mc:Choice>
  </mc:AlternateContent>
  <xr:revisionPtr revIDLastSave="1893" documentId="11_F25DC773A252ABDACC1048C9319F6FBA5BDE58EC" xr6:coauthVersionLast="47" xr6:coauthVersionMax="47" xr10:uidLastSave="{DA6D6551-9D13-4FE8-AD1E-18A5347776E8}"/>
  <bookViews>
    <workbookView xWindow="-110" yWindow="-110" windowWidth="19420" windowHeight="122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Sheet1!$B$1:$AB$395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4" i="1" a="1"/>
  <c r="A4" i="1" l="1"/>
  <c r="A1" i="1"/>
  <c r="A2" i="1" a="1"/>
  <c r="A2" i="1" l="1"/>
  <c r="B1" i="1" a="1"/>
  <c r="U6" i="1" a="1"/>
  <c r="S5" i="1" a="1"/>
  <c r="R84" i="1" a="1"/>
  <c r="O2" i="1" a="1"/>
  <c r="P2" i="1" a="1"/>
  <c r="O85" i="1" a="1"/>
  <c r="S2" i="1" a="1"/>
  <c r="O324" i="1" a="1"/>
  <c r="Q325" i="1" a="1"/>
  <c r="U265" i="1" a="1"/>
  <c r="Q323" i="1" a="1"/>
  <c r="P266" i="1" a="1"/>
  <c r="U2" i="1" a="1"/>
  <c r="R268" i="1" a="1"/>
  <c r="O266" i="1" a="1"/>
  <c r="S325" i="1" a="1"/>
  <c r="R243" i="1" a="1"/>
  <c r="S243" i="1" a="1"/>
  <c r="Q265" i="1" a="1"/>
  <c r="R265" i="1" a="1"/>
  <c r="U84" i="1" a="1"/>
  <c r="P166" i="1" a="1"/>
  <c r="P324" i="1" a="1"/>
  <c r="P265" i="1" a="1"/>
  <c r="S107" i="1" a="1"/>
  <c r="P269" i="1" a="1"/>
  <c r="P108" i="1" a="1"/>
  <c r="O109" i="1" a="1"/>
  <c r="U112" i="1" a="1"/>
  <c r="O167" i="1" a="1"/>
  <c r="U269" i="1" a="1"/>
  <c r="U107" i="1" a="1"/>
  <c r="S108" i="1" a="1"/>
  <c r="U111" i="1" a="1"/>
  <c r="O242" i="1" a="1"/>
  <c r="U270" i="1" a="1"/>
  <c r="O268" i="1" a="1"/>
  <c r="Q107" i="1" a="1"/>
  <c r="S112" i="1" a="1"/>
  <c r="P111" i="1" a="1"/>
  <c r="O14" i="1" a="1"/>
  <c r="R28" i="1" a="1"/>
  <c r="R36" i="1" a="1"/>
  <c r="R44" i="1" a="1"/>
  <c r="R52" i="1" a="1"/>
  <c r="O9" i="1" a="1"/>
  <c r="U13" i="1" a="1"/>
  <c r="P40" i="1" a="1"/>
  <c r="U46" i="1" a="1"/>
  <c r="U8" i="1" a="1"/>
  <c r="S12" i="1" a="1"/>
  <c r="R14" i="1" a="1"/>
  <c r="R24" i="1" a="1"/>
  <c r="R32" i="1" a="1"/>
  <c r="R40" i="1" a="1"/>
  <c r="R48" i="1" a="1"/>
  <c r="S11" i="1" a="1"/>
  <c r="R13" i="1" a="1"/>
  <c r="P20" i="1" a="1"/>
  <c r="U26" i="1" a="1"/>
  <c r="P52" i="1" a="1"/>
  <c r="S21" i="1" a="1"/>
  <c r="R23" i="1" a="1"/>
  <c r="P27" i="1" a="1"/>
  <c r="O29" i="1" a="1"/>
  <c r="U33" i="1" a="1"/>
  <c r="S37" i="1" a="1"/>
  <c r="R39" i="1" a="1"/>
  <c r="P43" i="1" a="1"/>
  <c r="O45" i="1" a="1"/>
  <c r="U49" i="1" a="1"/>
  <c r="S53" i="1" a="1"/>
  <c r="R55" i="1" a="1"/>
  <c r="P59" i="1" a="1"/>
  <c r="O61" i="1" a="1"/>
  <c r="O4" i="1" a="1"/>
  <c r="R4" i="1" a="1"/>
  <c r="P6" i="1" a="1"/>
  <c r="O5" i="1" a="1"/>
  <c r="U3" i="1" a="1"/>
  <c r="R7" i="1" a="1"/>
  <c r="U5" i="1" a="1"/>
  <c r="Q84" i="1" a="1"/>
  <c r="S3" i="1" a="1"/>
  <c r="R5" i="1" a="1"/>
  <c r="P3" i="1" a="1"/>
  <c r="U268" i="1" a="1"/>
  <c r="Q270" i="1" a="1"/>
  <c r="R270" i="1" a="1"/>
  <c r="O267" i="1" a="1"/>
  <c r="U324" i="1" a="1"/>
  <c r="S269" i="1" a="1"/>
  <c r="P268" i="1" a="1"/>
  <c r="U4" i="1" a="1"/>
  <c r="Q243" i="1" a="1"/>
  <c r="Q268" i="1" a="1"/>
  <c r="R267" i="1" a="1"/>
  <c r="S267" i="1" a="1"/>
  <c r="Q267" i="1" a="1"/>
  <c r="Q242" i="1" a="1"/>
  <c r="R167" i="1" a="1"/>
  <c r="O84" i="1" a="1"/>
  <c r="S268" i="1" a="1"/>
  <c r="O270" i="1" a="1"/>
  <c r="S166" i="1" a="1"/>
  <c r="O243" i="1" a="1"/>
  <c r="S266" i="1" a="1"/>
  <c r="O166" i="1" a="1"/>
  <c r="T110" i="1" a="1"/>
  <c r="O111" i="1" a="1"/>
  <c r="Q110" i="1" a="1"/>
  <c r="O108" i="1" a="1"/>
  <c r="R107" i="1" a="1"/>
  <c r="U167" i="1" a="1"/>
  <c r="P107" i="1" a="1"/>
  <c r="Q167" i="1" a="1"/>
  <c r="O112" i="1" a="1"/>
  <c r="P109" i="1" a="1"/>
  <c r="P165" i="1" a="1"/>
  <c r="S165" i="1" a="1"/>
  <c r="Q85" i="1" a="1"/>
  <c r="T167" i="1" a="1"/>
  <c r="R112" i="1" a="1"/>
  <c r="U14" i="1" a="1"/>
  <c r="S30" i="1" a="1"/>
  <c r="S38" i="1" a="1"/>
  <c r="S46" i="1" a="1"/>
  <c r="R8" i="1" a="1"/>
  <c r="P11" i="1" a="1"/>
  <c r="O13" i="1" a="1"/>
  <c r="R16" i="1" a="1"/>
  <c r="U22" i="1" a="1"/>
  <c r="P48" i="1" a="1"/>
  <c r="U12" i="1" a="1"/>
  <c r="S26" i="1" a="1"/>
  <c r="S34" i="1" a="1"/>
  <c r="S42" i="1" a="1"/>
  <c r="S50" i="1" a="1"/>
  <c r="R12" i="1" a="1"/>
  <c r="U11" i="1" a="1"/>
  <c r="P16" i="1" a="1"/>
  <c r="U17" i="1" a="1"/>
  <c r="P28" i="1" a="1"/>
  <c r="U34" i="1" a="1"/>
  <c r="U21" i="1" a="1"/>
  <c r="S25" i="1" a="1"/>
  <c r="R27" i="1" a="1"/>
  <c r="P31" i="1" a="1"/>
  <c r="O33" i="1" a="1"/>
  <c r="U37" i="1" a="1"/>
  <c r="S41" i="1" a="1"/>
  <c r="R43" i="1" a="1"/>
  <c r="P47" i="1" a="1"/>
  <c r="O49" i="1" a="1"/>
  <c r="U53" i="1" a="1"/>
  <c r="S57" i="1" a="1"/>
  <c r="R59" i="1" a="1"/>
  <c r="O3" i="1" a="1"/>
  <c r="S6" i="1" a="1"/>
  <c r="R2" i="1" a="1"/>
  <c r="O7" i="1" a="1"/>
  <c r="P5" i="1" a="1"/>
  <c r="S7" i="1" a="1"/>
  <c r="S323" i="1" a="1"/>
  <c r="S84" i="1" a="1"/>
  <c r="S324" i="1" a="1"/>
  <c r="P243" i="1" a="1"/>
  <c r="R266" i="1" a="1"/>
  <c r="P7" i="1" a="1"/>
  <c r="S265" i="1" a="1"/>
  <c r="P325" i="1" a="1"/>
  <c r="P167" i="1" a="1"/>
  <c r="P242" i="1" a="1"/>
  <c r="Q324" i="1" a="1"/>
  <c r="O165" i="1" a="1"/>
  <c r="O323" i="1" a="1"/>
  <c r="Q266" i="1" a="1"/>
  <c r="S85" i="1" a="1"/>
  <c r="O269" i="1" a="1"/>
  <c r="P85" i="1" a="1"/>
  <c r="U165" i="1" a="1"/>
  <c r="U166" i="1" a="1"/>
  <c r="S109" i="1" a="1"/>
  <c r="T112" i="1" a="1"/>
  <c r="P323" i="1" a="1"/>
  <c r="U109" i="1" a="1"/>
  <c r="Q109" i="1" a="1"/>
  <c r="R108" i="1" a="1"/>
  <c r="R109" i="1" a="1"/>
  <c r="O107" i="1" a="1"/>
  <c r="Q112" i="1" a="1"/>
  <c r="U108" i="1" a="1"/>
  <c r="U242" i="1" a="1"/>
  <c r="R111" i="1" a="1"/>
  <c r="S22" i="1" a="1"/>
  <c r="R20" i="1" a="1"/>
  <c r="S9" i="1" a="1"/>
  <c r="R11" i="1" a="1"/>
  <c r="P15" i="1" a="1"/>
  <c r="O17" i="1" a="1"/>
  <c r="U18" i="1" a="1"/>
  <c r="P24" i="1" a="1"/>
  <c r="U30" i="1" a="1"/>
  <c r="U10" i="1" a="1"/>
  <c r="O8" i="1" a="1"/>
  <c r="P10" i="1" a="1"/>
  <c r="O12" i="1" a="1"/>
  <c r="S14" i="1" a="1"/>
  <c r="P9" i="1" a="1"/>
  <c r="O11" i="1" a="1"/>
  <c r="O18" i="1" a="1"/>
  <c r="P36" i="1" a="1"/>
  <c r="U42" i="1" a="1"/>
  <c r="P19" i="1" a="1"/>
  <c r="O21" i="1" a="1"/>
  <c r="U25" i="1" a="1"/>
  <c r="S29" i="1" a="1"/>
  <c r="R31" i="1" a="1"/>
  <c r="P35" i="1" a="1"/>
  <c r="O37" i="1" a="1"/>
  <c r="U41" i="1" a="1"/>
  <c r="S45" i="1" a="1"/>
  <c r="R47" i="1" a="1"/>
  <c r="P51" i="1" a="1"/>
  <c r="O53" i="1" a="1"/>
  <c r="U57" i="1" a="1"/>
  <c r="S61" i="1" a="1"/>
  <c r="R85" i="1" a="1"/>
  <c r="P4" i="1" a="1"/>
  <c r="R3" i="1" a="1"/>
  <c r="S4" i="1" a="1"/>
  <c r="P84" i="1" a="1"/>
  <c r="O6" i="1" a="1"/>
  <c r="R6" i="1" a="1"/>
  <c r="Q2" i="1" a="1"/>
  <c r="O325" i="1" a="1"/>
  <c r="R325" i="1" a="1"/>
  <c r="Q269" i="1" a="1"/>
  <c r="S242" i="1" a="1"/>
  <c r="U266" i="1" a="1"/>
  <c r="S270" i="1" a="1"/>
  <c r="P267" i="1" a="1"/>
  <c r="R324" i="1" a="1"/>
  <c r="U7" i="1" a="1"/>
  <c r="Q166" i="1" a="1"/>
  <c r="R166" i="1" a="1"/>
  <c r="U325" i="1" a="1"/>
  <c r="O265" i="1" a="1"/>
  <c r="P270" i="1" a="1"/>
  <c r="R269" i="1" a="1"/>
  <c r="U267" i="1" a="1"/>
  <c r="U85" i="1" a="1"/>
  <c r="R242" i="1" a="1"/>
  <c r="U323" i="1" a="1"/>
  <c r="R323" i="1" a="1"/>
  <c r="P110" i="1" a="1"/>
  <c r="U110" i="1" a="1"/>
  <c r="R165" i="1" a="1"/>
  <c r="S167" i="1" a="1"/>
  <c r="P112" i="1" a="1"/>
  <c r="S111" i="1" a="1"/>
  <c r="S110" i="1" a="1"/>
  <c r="Q111" i="1" a="1"/>
  <c r="O110" i="1" a="1"/>
  <c r="Q165" i="1" a="1"/>
  <c r="U243" i="1" a="1"/>
  <c r="T109" i="1" a="1"/>
  <c r="T111" i="1" a="1"/>
  <c r="R110" i="1" a="1"/>
  <c r="Q108" i="1" a="1"/>
  <c r="O10" i="1" a="1"/>
  <c r="O34" i="1" a="1"/>
  <c r="O42" i="1" a="1"/>
  <c r="O50" i="1" a="1"/>
  <c r="S10" i="1" a="1"/>
  <c r="U9" i="1" a="1"/>
  <c r="S13" i="1" a="1"/>
  <c r="R15" i="1" a="1"/>
  <c r="S17" i="1" a="1"/>
  <c r="P32" i="1" a="1"/>
  <c r="U38" i="1" a="1"/>
  <c r="P12" i="1" a="1"/>
  <c r="S8" i="1" a="1"/>
  <c r="R10" i="1" a="1"/>
  <c r="P14" i="1" a="1"/>
  <c r="O22" i="1" a="1"/>
  <c r="O30" i="1" a="1"/>
  <c r="O38" i="1" a="1"/>
  <c r="O46" i="1" a="1"/>
  <c r="P8" i="1" a="1"/>
  <c r="O26" i="1" a="1"/>
  <c r="R9" i="1" a="1"/>
  <c r="P13" i="1" a="1"/>
  <c r="O15" i="1" a="1"/>
  <c r="S18" i="1" a="1"/>
  <c r="P44" i="1" a="1"/>
  <c r="U50" i="1" a="1"/>
  <c r="R19" i="1" a="1"/>
  <c r="P23" i="1" a="1"/>
  <c r="O25" i="1" a="1"/>
  <c r="U29" i="1" a="1"/>
  <c r="S33" i="1" a="1"/>
  <c r="R35" i="1" a="1"/>
  <c r="P39" i="1" a="1"/>
  <c r="O41" i="1" a="1"/>
  <c r="U45" i="1" a="1"/>
  <c r="S49" i="1" a="1"/>
  <c r="R51" i="1" a="1"/>
  <c r="P55" i="1" a="1"/>
  <c r="O57" i="1" a="1"/>
  <c r="U61" i="1" a="1"/>
  <c r="U65" i="1" a="1"/>
  <c r="S69" i="1" a="1"/>
  <c r="R71" i="1" a="1"/>
  <c r="P75" i="1" a="1"/>
  <c r="O16" i="1" a="1"/>
  <c r="U20" i="1" a="1"/>
  <c r="S24" i="1" a="1"/>
  <c r="R26" i="1" a="1"/>
  <c r="P30" i="1" a="1"/>
  <c r="O32" i="1" a="1"/>
  <c r="U36" i="1" a="1"/>
  <c r="S40" i="1" a="1"/>
  <c r="R42" i="1" a="1"/>
  <c r="P46" i="1" a="1"/>
  <c r="O48" i="1" a="1"/>
  <c r="U52" i="1" a="1"/>
  <c r="S56" i="1" a="1"/>
  <c r="R58" i="1" a="1"/>
  <c r="P62" i="1" a="1"/>
  <c r="O64" i="1" a="1"/>
  <c r="U68" i="1" a="1"/>
  <c r="S72" i="1" a="1"/>
  <c r="R74" i="1" a="1"/>
  <c r="U15" i="1" a="1"/>
  <c r="S19" i="1" a="1"/>
  <c r="R21" i="1" a="1"/>
  <c r="P25" i="1" a="1"/>
  <c r="O27" i="1" a="1"/>
  <c r="U31" i="1" a="1"/>
  <c r="S35" i="1" a="1"/>
  <c r="R37" i="1" a="1"/>
  <c r="P41" i="1" a="1"/>
  <c r="O43" i="1" a="1"/>
  <c r="U47" i="1" a="1"/>
  <c r="S51" i="1" a="1"/>
  <c r="R53" i="1" a="1"/>
  <c r="P57" i="1" a="1"/>
  <c r="O59" i="1" a="1"/>
  <c r="U63" i="1" a="1"/>
  <c r="S67" i="1" a="1"/>
  <c r="R69" i="1" a="1"/>
  <c r="P73" i="1" a="1"/>
  <c r="O75" i="1" a="1"/>
  <c r="U54" i="1" a="1"/>
  <c r="S58" i="1" a="1"/>
  <c r="R60" i="1" a="1"/>
  <c r="P64" i="1" a="1"/>
  <c r="O66" i="1" a="1"/>
  <c r="U70" i="1" a="1"/>
  <c r="S74" i="1" a="1"/>
  <c r="R76" i="1" a="1"/>
  <c r="R78" i="1" a="1"/>
  <c r="P82" i="1" a="1"/>
  <c r="O86" i="1" a="1"/>
  <c r="U90" i="1" a="1"/>
  <c r="S94" i="1" a="1"/>
  <c r="R96" i="1" a="1"/>
  <c r="P100" i="1" a="1"/>
  <c r="O102" i="1" a="1"/>
  <c r="U106" i="1" a="1"/>
  <c r="T114" i="1" a="1"/>
  <c r="S116" i="1" a="1"/>
  <c r="R118" i="1" a="1"/>
  <c r="P122" i="1" a="1"/>
  <c r="O124" i="1" a="1"/>
  <c r="U128" i="1" a="1"/>
  <c r="S132" i="1" a="1"/>
  <c r="R134" i="1" a="1"/>
  <c r="P138" i="1" a="1"/>
  <c r="O140" i="1" a="1"/>
  <c r="U144" i="1" a="1"/>
  <c r="R77" i="1" a="1"/>
  <c r="P81" i="1" a="1"/>
  <c r="O83" i="1" a="1"/>
  <c r="U89" i="1" a="1"/>
  <c r="S93" i="1" a="1"/>
  <c r="R95" i="1" a="1"/>
  <c r="P99" i="1" a="1"/>
  <c r="O101" i="1" a="1"/>
  <c r="U105" i="1" a="1"/>
  <c r="T113" i="1" a="1"/>
  <c r="S115" i="1" a="1"/>
  <c r="R117" i="1" a="1"/>
  <c r="P121" i="1" a="1"/>
  <c r="O123" i="1" a="1"/>
  <c r="U127" i="1" a="1"/>
  <c r="S131" i="1" a="1"/>
  <c r="R133" i="1" a="1"/>
  <c r="P137" i="1" a="1"/>
  <c r="O139" i="1" a="1"/>
  <c r="U143" i="1" a="1"/>
  <c r="O78" i="1" a="1"/>
  <c r="U82" i="1" a="1"/>
  <c r="U88" i="1" a="1"/>
  <c r="U92" i="1" a="1"/>
  <c r="S96" i="1" a="1"/>
  <c r="R98" i="1" a="1"/>
  <c r="P102" i="1" a="1"/>
  <c r="O104" i="1" a="1"/>
  <c r="U114" i="1" a="1"/>
  <c r="S118" i="1" a="1"/>
  <c r="R120" i="1" a="1"/>
  <c r="P124" i="1" a="1"/>
  <c r="O126" i="1" a="1"/>
  <c r="U130" i="1" a="1"/>
  <c r="S134" i="1" a="1"/>
  <c r="R136" i="1" a="1"/>
  <c r="P140" i="1" a="1"/>
  <c r="O142" i="1" a="1"/>
  <c r="S77" i="1" a="1"/>
  <c r="R79" i="1" a="1"/>
  <c r="P83" i="1" a="1"/>
  <c r="O87" i="1" a="1"/>
  <c r="U91" i="1" a="1"/>
  <c r="S95" i="1" a="1"/>
  <c r="R97" i="1" a="1"/>
  <c r="P101" i="1" a="1"/>
  <c r="O103" i="1" a="1"/>
  <c r="U113" i="1" a="1"/>
  <c r="S117" i="1" a="1"/>
  <c r="R119" i="1" a="1"/>
  <c r="P123" i="1" a="1"/>
  <c r="O125" i="1" a="1"/>
  <c r="U129" i="1" a="1"/>
  <c r="S133" i="1" a="1"/>
  <c r="R135" i="1" a="1"/>
  <c r="P139" i="1" a="1"/>
  <c r="O141" i="1" a="1"/>
  <c r="O145" i="1" a="1"/>
  <c r="P148" i="1" a="1"/>
  <c r="O150" i="1" a="1"/>
  <c r="U154" i="1" a="1"/>
  <c r="S158" i="1" a="1"/>
  <c r="R160" i="1" a="1"/>
  <c r="P164" i="1" a="1"/>
  <c r="O169" i="1" a="1"/>
  <c r="U173" i="1" a="1"/>
  <c r="U177" i="1" a="1"/>
  <c r="U149" i="1" a="1"/>
  <c r="S153" i="1" a="1"/>
  <c r="R155" i="1" a="1"/>
  <c r="P159" i="1" a="1"/>
  <c r="O161" i="1" a="1"/>
  <c r="U168" i="1" a="1"/>
  <c r="P63" i="1" a="1"/>
  <c r="O65" i="1" a="1"/>
  <c r="U69" i="1" a="1"/>
  <c r="S73" i="1" a="1"/>
  <c r="R75" i="1" a="1"/>
  <c r="P18" i="1" a="1"/>
  <c r="O20" i="1" a="1"/>
  <c r="U24" i="1" a="1"/>
  <c r="S28" i="1" a="1"/>
  <c r="R30" i="1" a="1"/>
  <c r="P34" i="1" a="1"/>
  <c r="O36" i="1" a="1"/>
  <c r="U40" i="1" a="1"/>
  <c r="S44" i="1" a="1"/>
  <c r="R46" i="1" a="1"/>
  <c r="P50" i="1" a="1"/>
  <c r="O52" i="1" a="1"/>
  <c r="U56" i="1" a="1"/>
  <c r="S60" i="1" a="1"/>
  <c r="R62" i="1" a="1"/>
  <c r="P66" i="1" a="1"/>
  <c r="O68" i="1" a="1"/>
  <c r="U72" i="1" a="1"/>
  <c r="S76" i="1" a="1"/>
  <c r="U19" i="1" a="1"/>
  <c r="S23" i="1" a="1"/>
  <c r="R25" i="1" a="1"/>
  <c r="P29" i="1" a="1"/>
  <c r="O31" i="1" a="1"/>
  <c r="U35" i="1" a="1"/>
  <c r="S39" i="1" a="1"/>
  <c r="R41" i="1" a="1"/>
  <c r="P45" i="1" a="1"/>
  <c r="O47" i="1" a="1"/>
  <c r="U51" i="1" a="1"/>
  <c r="S55" i="1" a="1"/>
  <c r="R57" i="1" a="1"/>
  <c r="P61" i="1" a="1"/>
  <c r="O63" i="1" a="1"/>
  <c r="U67" i="1" a="1"/>
  <c r="S71" i="1" a="1"/>
  <c r="R73" i="1" a="1"/>
  <c r="O54" i="1" a="1"/>
  <c r="U58" i="1" a="1"/>
  <c r="S62" i="1" a="1"/>
  <c r="R64" i="1" a="1"/>
  <c r="P68" i="1" a="1"/>
  <c r="O70" i="1" a="1"/>
  <c r="U74" i="1" a="1"/>
  <c r="S80" i="1" a="1"/>
  <c r="R82" i="1" a="1"/>
  <c r="P88" i="1" a="1"/>
  <c r="O90" i="1" a="1"/>
  <c r="U94" i="1" a="1"/>
  <c r="S98" i="1" a="1"/>
  <c r="R100" i="1" a="1"/>
  <c r="P104" i="1" a="1"/>
  <c r="O106" i="1" a="1"/>
  <c r="U116" i="1" a="1"/>
  <c r="S120" i="1" a="1"/>
  <c r="R122" i="1" a="1"/>
  <c r="P126" i="1" a="1"/>
  <c r="O128" i="1" a="1"/>
  <c r="U132" i="1" a="1"/>
  <c r="S136" i="1" a="1"/>
  <c r="R138" i="1" a="1"/>
  <c r="P142" i="1" a="1"/>
  <c r="O144" i="1" a="1"/>
  <c r="S79" i="1" a="1"/>
  <c r="R81" i="1" a="1"/>
  <c r="P87" i="1" a="1"/>
  <c r="O89" i="1" a="1"/>
  <c r="U93" i="1" a="1"/>
  <c r="S97" i="1" a="1"/>
  <c r="R99" i="1" a="1"/>
  <c r="P103" i="1" a="1"/>
  <c r="O105" i="1" a="1"/>
  <c r="U115" i="1" a="1"/>
  <c r="S119" i="1" a="1"/>
  <c r="R121" i="1" a="1"/>
  <c r="P125" i="1" a="1"/>
  <c r="O127" i="1" a="1"/>
  <c r="U131" i="1" a="1"/>
  <c r="S135" i="1" a="1"/>
  <c r="R137" i="1" a="1"/>
  <c r="P141" i="1" a="1"/>
  <c r="O143" i="1" a="1"/>
  <c r="P80" i="1" a="1"/>
  <c r="O82" i="1" a="1"/>
  <c r="P86" i="1" a="1"/>
  <c r="O88" i="1" a="1"/>
  <c r="P90" i="1" a="1"/>
  <c r="O92" i="1" a="1"/>
  <c r="U96" i="1" a="1"/>
  <c r="S100" i="1" a="1"/>
  <c r="R102" i="1" a="1"/>
  <c r="P106" i="1" a="1"/>
  <c r="O114" i="1" a="1"/>
  <c r="U118" i="1" a="1"/>
  <c r="S122" i="1" a="1"/>
  <c r="R124" i="1" a="1"/>
  <c r="P128" i="1" a="1"/>
  <c r="O130" i="1" a="1"/>
  <c r="U134" i="1" a="1"/>
  <c r="S138" i="1" a="1"/>
  <c r="R140" i="1" a="1"/>
  <c r="P144" i="1" a="1"/>
  <c r="U77" i="1" a="1"/>
  <c r="S81" i="1" a="1"/>
  <c r="R83" i="1" a="1"/>
  <c r="P89" i="1" a="1"/>
  <c r="O91" i="1" a="1"/>
  <c r="U95" i="1" a="1"/>
  <c r="S99" i="1" a="1"/>
  <c r="R101" i="1" a="1"/>
  <c r="P105" i="1" a="1"/>
  <c r="O113" i="1" a="1"/>
  <c r="U117" i="1" a="1"/>
  <c r="S121" i="1" a="1"/>
  <c r="R123" i="1" a="1"/>
  <c r="P127" i="1" a="1"/>
  <c r="O129" i="1" a="1"/>
  <c r="U133" i="1" a="1"/>
  <c r="S137" i="1" a="1"/>
  <c r="R139" i="1" a="1"/>
  <c r="P143" i="1" a="1"/>
  <c r="O146" i="1" a="1"/>
  <c r="R148" i="1" a="1"/>
  <c r="P152" i="1" a="1"/>
  <c r="O154" i="1" a="1"/>
  <c r="U158" i="1" a="1"/>
  <c r="S162" i="1" a="1"/>
  <c r="R164" i="1" a="1"/>
  <c r="P171" i="1" a="1"/>
  <c r="O173" i="1" a="1"/>
  <c r="P175" i="1" a="1"/>
  <c r="O177" i="1" a="1"/>
  <c r="P147" i="1" a="1"/>
  <c r="O149" i="1" a="1"/>
  <c r="U153" i="1" a="1"/>
  <c r="S157" i="1" a="1"/>
  <c r="R159" i="1" a="1"/>
  <c r="P163" i="1" a="1"/>
  <c r="O168" i="1" a="1"/>
  <c r="R63" i="1" a="1"/>
  <c r="P67" i="1" a="1"/>
  <c r="O69" i="1" a="1"/>
  <c r="U73" i="1" a="1"/>
  <c r="S16" i="1" a="1"/>
  <c r="R18" i="1" a="1"/>
  <c r="P22" i="1" a="1"/>
  <c r="O24" i="1" a="1"/>
  <c r="U28" i="1" a="1"/>
  <c r="S32" i="1" a="1"/>
  <c r="R34" i="1" a="1"/>
  <c r="P38" i="1" a="1"/>
  <c r="O40" i="1" a="1"/>
  <c r="U44" i="1" a="1"/>
  <c r="S48" i="1" a="1"/>
  <c r="R50" i="1" a="1"/>
  <c r="P54" i="1" a="1"/>
  <c r="O56" i="1" a="1"/>
  <c r="U60" i="1" a="1"/>
  <c r="S64" i="1" a="1"/>
  <c r="R66" i="1" a="1"/>
  <c r="P70" i="1" a="1"/>
  <c r="O72" i="1" a="1"/>
  <c r="U76" i="1" a="1"/>
  <c r="P17" i="1" a="1"/>
  <c r="O19" i="1" a="1"/>
  <c r="U23" i="1" a="1"/>
  <c r="S27" i="1" a="1"/>
  <c r="R29" i="1" a="1"/>
  <c r="P33" i="1" a="1"/>
  <c r="O35" i="1" a="1"/>
  <c r="U39" i="1" a="1"/>
  <c r="S43" i="1" a="1"/>
  <c r="R45" i="1" a="1"/>
  <c r="P49" i="1" a="1"/>
  <c r="O51" i="1" a="1"/>
  <c r="U55" i="1" a="1"/>
  <c r="S59" i="1" a="1"/>
  <c r="R61" i="1" a="1"/>
  <c r="P65" i="1" a="1"/>
  <c r="O67" i="1" a="1"/>
  <c r="U71" i="1" a="1"/>
  <c r="S75" i="1" a="1"/>
  <c r="P56" i="1" a="1"/>
  <c r="O58" i="1" a="1"/>
  <c r="U62" i="1" a="1"/>
  <c r="S66" i="1" a="1"/>
  <c r="R68" i="1" a="1"/>
  <c r="P72" i="1" a="1"/>
  <c r="O74" i="1" a="1"/>
  <c r="U80" i="1" a="1"/>
  <c r="S86" i="1" a="1"/>
  <c r="R88" i="1" a="1"/>
  <c r="P92" i="1" a="1"/>
  <c r="O94" i="1" a="1"/>
  <c r="U98" i="1" a="1"/>
  <c r="S102" i="1" a="1"/>
  <c r="R104" i="1" a="1"/>
  <c r="P114" i="1" a="1"/>
  <c r="O116" i="1" a="1"/>
  <c r="U120" i="1" a="1"/>
  <c r="S124" i="1" a="1"/>
  <c r="R126" i="1" a="1"/>
  <c r="P130" i="1" a="1"/>
  <c r="O132" i="1" a="1"/>
  <c r="U136" i="1" a="1"/>
  <c r="S140" i="1" a="1"/>
  <c r="R142" i="1" a="1"/>
  <c r="U79" i="1" a="1"/>
  <c r="S83" i="1" a="1"/>
  <c r="R87" i="1" a="1"/>
  <c r="P91" i="1" a="1"/>
  <c r="O93" i="1" a="1"/>
  <c r="U97" i="1" a="1"/>
  <c r="S101" i="1" a="1"/>
  <c r="R103" i="1" a="1"/>
  <c r="P113" i="1" a="1"/>
  <c r="O115" i="1" a="1"/>
  <c r="U119" i="1" a="1"/>
  <c r="S123" i="1" a="1"/>
  <c r="R125" i="1" a="1"/>
  <c r="P129" i="1" a="1"/>
  <c r="O131" i="1" a="1"/>
  <c r="U135" i="1" a="1"/>
  <c r="S139" i="1" a="1"/>
  <c r="R141" i="1" a="1"/>
  <c r="S146" i="1" a="1"/>
  <c r="S78" i="1" a="1"/>
  <c r="R80" i="1" a="1"/>
  <c r="R86" i="1" a="1"/>
  <c r="R90" i="1" a="1"/>
  <c r="P94" i="1" a="1"/>
  <c r="O96" i="1" a="1"/>
  <c r="U100" i="1" a="1"/>
  <c r="S104" i="1" a="1"/>
  <c r="R106" i="1" a="1"/>
  <c r="P116" i="1" a="1"/>
  <c r="O118" i="1" a="1"/>
  <c r="U122" i="1" a="1"/>
  <c r="S126" i="1" a="1"/>
  <c r="R128" i="1" a="1"/>
  <c r="P132" i="1" a="1"/>
  <c r="O134" i="1" a="1"/>
  <c r="U138" i="1" a="1"/>
  <c r="S142" i="1" a="1"/>
  <c r="R144" i="1" a="1"/>
  <c r="O77" i="1" a="1"/>
  <c r="U81" i="1" a="1"/>
  <c r="S87" i="1" a="1"/>
  <c r="R89" i="1" a="1"/>
  <c r="P93" i="1" a="1"/>
  <c r="O95" i="1" a="1"/>
  <c r="U99" i="1" a="1"/>
  <c r="S103" i="1" a="1"/>
  <c r="R105" i="1" a="1"/>
  <c r="P115" i="1" a="1"/>
  <c r="O117" i="1" a="1"/>
  <c r="U121" i="1" a="1"/>
  <c r="S125" i="1" a="1"/>
  <c r="R127" i="1" a="1"/>
  <c r="P131" i="1" a="1"/>
  <c r="O133" i="1" a="1"/>
  <c r="U137" i="1" a="1"/>
  <c r="S141" i="1" a="1"/>
  <c r="R143" i="1" a="1"/>
  <c r="U146" i="1" a="1"/>
  <c r="S150" i="1" a="1"/>
  <c r="R152" i="1" a="1"/>
  <c r="P156" i="1" a="1"/>
  <c r="O158" i="1" a="1"/>
  <c r="U162" i="1" a="1"/>
  <c r="S169" i="1" a="1"/>
  <c r="R171" i="1" a="1"/>
  <c r="R175" i="1" a="1"/>
  <c r="S145" i="1" a="1"/>
  <c r="R147" i="1" a="1"/>
  <c r="P151" i="1" a="1"/>
  <c r="O153" i="1" a="1"/>
  <c r="U157" i="1" a="1"/>
  <c r="S161" i="1" a="1"/>
  <c r="R163" i="1" a="1"/>
  <c r="P170" i="1" a="1"/>
  <c r="S65" i="1" a="1"/>
  <c r="R67" i="1" a="1"/>
  <c r="P71" i="1" a="1"/>
  <c r="O73" i="1" a="1"/>
  <c r="U16" i="1" a="1"/>
  <c r="S20" i="1" a="1"/>
  <c r="R22" i="1" a="1"/>
  <c r="P26" i="1" a="1"/>
  <c r="O28" i="1" a="1"/>
  <c r="U32" i="1" a="1"/>
  <c r="S36" i="1" a="1"/>
  <c r="R38" i="1" a="1"/>
  <c r="P42" i="1" a="1"/>
  <c r="O44" i="1" a="1"/>
  <c r="U48" i="1" a="1"/>
  <c r="S52" i="1" a="1"/>
  <c r="R54" i="1" a="1"/>
  <c r="P58" i="1" a="1"/>
  <c r="O60" i="1" a="1"/>
  <c r="U64" i="1" a="1"/>
  <c r="S68" i="1" a="1"/>
  <c r="R70" i="1" a="1"/>
  <c r="P74" i="1" a="1"/>
  <c r="O76" i="1" a="1"/>
  <c r="S15" i="1" a="1"/>
  <c r="R17" i="1" a="1"/>
  <c r="P21" i="1" a="1"/>
  <c r="O23" i="1" a="1"/>
  <c r="U27" i="1" a="1"/>
  <c r="S31" i="1" a="1"/>
  <c r="R33" i="1" a="1"/>
  <c r="P37" i="1" a="1"/>
  <c r="O39" i="1" a="1"/>
  <c r="U43" i="1" a="1"/>
  <c r="S47" i="1" a="1"/>
  <c r="R49" i="1" a="1"/>
  <c r="P53" i="1" a="1"/>
  <c r="O55" i="1" a="1"/>
  <c r="U59" i="1" a="1"/>
  <c r="S63" i="1" a="1"/>
  <c r="R65" i="1" a="1"/>
  <c r="P69" i="1" a="1"/>
  <c r="O71" i="1" a="1"/>
  <c r="U75" i="1" a="1"/>
  <c r="S54" i="1" a="1"/>
  <c r="R56" i="1" a="1"/>
  <c r="P60" i="1" a="1"/>
  <c r="O62" i="1" a="1"/>
  <c r="U66" i="1" a="1"/>
  <c r="S70" i="1" a="1"/>
  <c r="R72" i="1" a="1"/>
  <c r="P76" i="1" a="1"/>
  <c r="P78" i="1" a="1"/>
  <c r="O80" i="1" a="1"/>
  <c r="U86" i="1" a="1"/>
  <c r="S90" i="1" a="1"/>
  <c r="R92" i="1" a="1"/>
  <c r="P96" i="1" a="1"/>
  <c r="O98" i="1" a="1"/>
  <c r="U102" i="1" a="1"/>
  <c r="S106" i="1" a="1"/>
  <c r="R114" i="1" a="1"/>
  <c r="P118" i="1" a="1"/>
  <c r="O120" i="1" a="1"/>
  <c r="U124" i="1" a="1"/>
  <c r="S128" i="1" a="1"/>
  <c r="R130" i="1" a="1"/>
  <c r="P134" i="1" a="1"/>
  <c r="O136" i="1" a="1"/>
  <c r="U140" i="1" a="1"/>
  <c r="S144" i="1" a="1"/>
  <c r="P77" i="1" a="1"/>
  <c r="O79" i="1" a="1"/>
  <c r="U83" i="1" a="1"/>
  <c r="T87" i="1" a="1"/>
  <c r="S89" i="1" a="1"/>
  <c r="R91" i="1" a="1"/>
  <c r="P95" i="1" a="1"/>
  <c r="O97" i="1" a="1"/>
  <c r="U101" i="1" a="1"/>
  <c r="S105" i="1" a="1"/>
  <c r="R113" i="1" a="1"/>
  <c r="P117" i="1" a="1"/>
  <c r="O119" i="1" a="1"/>
  <c r="U123" i="1" a="1"/>
  <c r="S127" i="1" a="1"/>
  <c r="R129" i="1" a="1"/>
  <c r="P133" i="1" a="1"/>
  <c r="O135" i="1" a="1"/>
  <c r="U139" i="1" a="1"/>
  <c r="S143" i="1" a="1"/>
  <c r="U78" i="1" a="1"/>
  <c r="S82" i="1" a="1"/>
  <c r="T86" i="1" a="1"/>
  <c r="S88" i="1" a="1"/>
  <c r="S92" i="1" a="1"/>
  <c r="R94" i="1" a="1"/>
  <c r="P98" i="1" a="1"/>
  <c r="O100" i="1" a="1"/>
  <c r="U104" i="1" a="1"/>
  <c r="S114" i="1" a="1"/>
  <c r="R116" i="1" a="1"/>
  <c r="P120" i="1" a="1"/>
  <c r="O122" i="1" a="1"/>
  <c r="U126" i="1" a="1"/>
  <c r="S130" i="1" a="1"/>
  <c r="R132" i="1" a="1"/>
  <c r="P136" i="1" a="1"/>
  <c r="O138" i="1" a="1"/>
  <c r="U142" i="1" a="1"/>
  <c r="P79" i="1" a="1"/>
  <c r="O81" i="1" a="1"/>
  <c r="U87" i="1" a="1"/>
  <c r="S91" i="1" a="1"/>
  <c r="R93" i="1" a="1"/>
  <c r="P97" i="1" a="1"/>
  <c r="O99" i="1" a="1"/>
  <c r="U103" i="1" a="1"/>
  <c r="S113" i="1" a="1"/>
  <c r="R115" i="1" a="1"/>
  <c r="P119" i="1" a="1"/>
  <c r="O121" i="1" a="1"/>
  <c r="U125" i="1" a="1"/>
  <c r="S129" i="1" a="1"/>
  <c r="R131" i="1" a="1"/>
  <c r="P135" i="1" a="1"/>
  <c r="O137" i="1" a="1"/>
  <c r="U141" i="1" a="1"/>
  <c r="U150" i="1" a="1"/>
  <c r="S154" i="1" a="1"/>
  <c r="R156" i="1" a="1"/>
  <c r="P160" i="1" a="1"/>
  <c r="O162" i="1" a="1"/>
  <c r="U169" i="1" a="1"/>
  <c r="S173" i="1" a="1"/>
  <c r="S177" i="1" a="1"/>
  <c r="U145" i="1" a="1"/>
  <c r="S149" i="1" a="1"/>
  <c r="R151" i="1" a="1"/>
  <c r="P155" i="1" a="1"/>
  <c r="O157" i="1" a="1"/>
  <c r="U161" i="1" a="1"/>
  <c r="S168" i="1" a="1"/>
  <c r="R170" i="1" a="1"/>
  <c r="S172" i="1" a="1"/>
  <c r="S176" i="1" a="1"/>
  <c r="U148" i="1" a="1"/>
  <c r="S152" i="1" a="1"/>
  <c r="R154" i="1" a="1"/>
  <c r="P158" i="1" a="1"/>
  <c r="O160" i="1" a="1"/>
  <c r="U164" i="1" a="1"/>
  <c r="U171" i="1" a="1"/>
  <c r="S175" i="1" a="1"/>
  <c r="R177" i="1" a="1"/>
  <c r="R145" i="1" a="1"/>
  <c r="P149" i="1" a="1"/>
  <c r="O151" i="1" a="1"/>
  <c r="U155" i="1" a="1"/>
  <c r="S159" i="1" a="1"/>
  <c r="R161" i="1" a="1"/>
  <c r="P168" i="1" a="1"/>
  <c r="O170" i="1" a="1"/>
  <c r="U174" i="1" a="1"/>
  <c r="U179" i="1" a="1"/>
  <c r="S183" i="1" a="1"/>
  <c r="R185" i="1" a="1"/>
  <c r="P189" i="1" a="1"/>
  <c r="O191" i="1" a="1"/>
  <c r="U195" i="1" a="1"/>
  <c r="S199" i="1" a="1"/>
  <c r="R201" i="1" a="1"/>
  <c r="P205" i="1" a="1"/>
  <c r="O207" i="1" a="1"/>
  <c r="S178" i="1" a="1"/>
  <c r="R180" i="1" a="1"/>
  <c r="P184" i="1" a="1"/>
  <c r="O186" i="1" a="1"/>
  <c r="U190" i="1" a="1"/>
  <c r="S194" i="1" a="1"/>
  <c r="R196" i="1" a="1"/>
  <c r="P200" i="1" a="1"/>
  <c r="O202" i="1" a="1"/>
  <c r="U206" i="1" a="1"/>
  <c r="U181" i="1" a="1"/>
  <c r="S185" i="1" a="1"/>
  <c r="R187" i="1" a="1"/>
  <c r="P191" i="1" a="1"/>
  <c r="O193" i="1" a="1"/>
  <c r="U197" i="1" a="1"/>
  <c r="S201" i="1" a="1"/>
  <c r="R203" i="1" a="1"/>
  <c r="P207" i="1" a="1"/>
  <c r="R178" i="1" a="1"/>
  <c r="P182" i="1" a="1"/>
  <c r="O184" i="1" a="1"/>
  <c r="U188" i="1" a="1"/>
  <c r="S192" i="1" a="1"/>
  <c r="R194" i="1" a="1"/>
  <c r="P198" i="1" a="1"/>
  <c r="O200" i="1" a="1"/>
  <c r="U204" i="1" a="1"/>
  <c r="S208" i="1" a="1"/>
  <c r="P212" i="1" a="1"/>
  <c r="O214" i="1" a="1"/>
  <c r="U218" i="1" a="1"/>
  <c r="S222" i="1" a="1"/>
  <c r="R224" i="1" a="1"/>
  <c r="P228" i="1" a="1"/>
  <c r="O230" i="1" a="1"/>
  <c r="U234" i="1" a="1"/>
  <c r="S238" i="1" a="1"/>
  <c r="S209" i="1" a="1"/>
  <c r="R211" i="1" a="1"/>
  <c r="P215" i="1" a="1"/>
  <c r="O217" i="1" a="1"/>
  <c r="U221" i="1" a="1"/>
  <c r="S225" i="1" a="1"/>
  <c r="R227" i="1" a="1"/>
  <c r="P231" i="1" a="1"/>
  <c r="O233" i="1" a="1"/>
  <c r="U237" i="1" a="1"/>
  <c r="S212" i="1" a="1"/>
  <c r="R214" i="1" a="1"/>
  <c r="P218" i="1" a="1"/>
  <c r="O220" i="1" a="1"/>
  <c r="U224" i="1" a="1"/>
  <c r="S228" i="1" a="1"/>
  <c r="R230" i="1" a="1"/>
  <c r="P234" i="1" a="1"/>
  <c r="O236" i="1" a="1"/>
  <c r="U211" i="1" a="1"/>
  <c r="S215" i="1" a="1"/>
  <c r="R217" i="1" a="1"/>
  <c r="P221" i="1" a="1"/>
  <c r="O223" i="1" a="1"/>
  <c r="U227" i="1" a="1"/>
  <c r="S231" i="1" a="1"/>
  <c r="R233" i="1" a="1"/>
  <c r="P237" i="1" a="1"/>
  <c r="O239" i="1" a="1"/>
  <c r="U245" i="1" a="1"/>
  <c r="S249" i="1" a="1"/>
  <c r="R251" i="1" a="1"/>
  <c r="P255" i="1" a="1"/>
  <c r="O257" i="1" a="1"/>
  <c r="U261" i="1" a="1"/>
  <c r="S271" i="1" a="1"/>
  <c r="R273" i="1" a="1"/>
  <c r="U244" i="1" a="1"/>
  <c r="S248" i="1" a="1"/>
  <c r="R250" i="1" a="1"/>
  <c r="P254" i="1" a="1"/>
  <c r="O256" i="1" a="1"/>
  <c r="U260" i="1" a="1"/>
  <c r="S264" i="1" a="1"/>
  <c r="R272" i="1" a="1"/>
  <c r="U241" i="1" a="1"/>
  <c r="S247" i="1" a="1"/>
  <c r="R249" i="1" a="1"/>
  <c r="P253" i="1" a="1"/>
  <c r="O255" i="1" a="1"/>
  <c r="U259" i="1" a="1"/>
  <c r="S263" i="1" a="1"/>
  <c r="R271" i="1" a="1"/>
  <c r="P275" i="1" a="1"/>
  <c r="O240" i="1" a="1"/>
  <c r="P244" i="1" a="1"/>
  <c r="O246" i="1" a="1"/>
  <c r="P248" i="1" a="1"/>
  <c r="O250" i="1" a="1"/>
  <c r="U254" i="1" a="1"/>
  <c r="S258" i="1" a="1"/>
  <c r="R260" i="1" a="1"/>
  <c r="P264" i="1" a="1"/>
  <c r="O272" i="1" a="1"/>
  <c r="R277" i="1" a="1"/>
  <c r="P281" i="1" a="1"/>
  <c r="O283" i="1" a="1"/>
  <c r="U287" i="1" a="1"/>
  <c r="U292" i="1" a="1"/>
  <c r="T276" i="1" a="1"/>
  <c r="S278" i="1" a="1"/>
  <c r="R280" i="1" a="1"/>
  <c r="P284" i="1" a="1"/>
  <c r="O286" i="1" a="1"/>
  <c r="U172" i="1" a="1"/>
  <c r="U176" i="1" a="1"/>
  <c r="P146" i="1" a="1"/>
  <c r="O148" i="1" a="1"/>
  <c r="U152" i="1" a="1"/>
  <c r="S156" i="1" a="1"/>
  <c r="R158" i="1" a="1"/>
  <c r="P162" i="1" a="1"/>
  <c r="O164" i="1" a="1"/>
  <c r="P169" i="1" a="1"/>
  <c r="O171" i="1" a="1"/>
  <c r="U175" i="1" a="1"/>
  <c r="S147" i="1" a="1"/>
  <c r="R149" i="1" a="1"/>
  <c r="P153" i="1" a="1"/>
  <c r="O155" i="1" a="1"/>
  <c r="U159" i="1" a="1"/>
  <c r="S163" i="1" a="1"/>
  <c r="R168" i="1" a="1"/>
  <c r="P172" i="1" a="1"/>
  <c r="O174" i="1" a="1"/>
  <c r="O179" i="1" a="1"/>
  <c r="U183" i="1" a="1"/>
  <c r="S187" i="1" a="1"/>
  <c r="R189" i="1" a="1"/>
  <c r="P193" i="1" a="1"/>
  <c r="O195" i="1" a="1"/>
  <c r="U199" i="1" a="1"/>
  <c r="S203" i="1" a="1"/>
  <c r="R205" i="1" a="1"/>
  <c r="U178" i="1" a="1"/>
  <c r="S182" i="1" a="1"/>
  <c r="R184" i="1" a="1"/>
  <c r="P188" i="1" a="1"/>
  <c r="O190" i="1" a="1"/>
  <c r="U194" i="1" a="1"/>
  <c r="S198" i="1" a="1"/>
  <c r="R200" i="1" a="1"/>
  <c r="P204" i="1" a="1"/>
  <c r="O206" i="1" a="1"/>
  <c r="P179" i="1" a="1"/>
  <c r="O181" i="1" a="1"/>
  <c r="U185" i="1" a="1"/>
  <c r="S189" i="1" a="1"/>
  <c r="R191" i="1" a="1"/>
  <c r="P195" i="1" a="1"/>
  <c r="O197" i="1" a="1"/>
  <c r="U201" i="1" a="1"/>
  <c r="S205" i="1" a="1"/>
  <c r="R207" i="1" a="1"/>
  <c r="S180" i="1" a="1"/>
  <c r="R182" i="1" a="1"/>
  <c r="P186" i="1" a="1"/>
  <c r="O188" i="1" a="1"/>
  <c r="U192" i="1" a="1"/>
  <c r="S196" i="1" a="1"/>
  <c r="R198" i="1" a="1"/>
  <c r="P202" i="1" a="1"/>
  <c r="O204" i="1" a="1"/>
  <c r="S210" i="1" a="1"/>
  <c r="R212" i="1" a="1"/>
  <c r="P216" i="1" a="1"/>
  <c r="O218" i="1" a="1"/>
  <c r="U222" i="1" a="1"/>
  <c r="S226" i="1" a="1"/>
  <c r="R228" i="1" a="1"/>
  <c r="P232" i="1" a="1"/>
  <c r="O234" i="1" a="1"/>
  <c r="U209" i="1" a="1"/>
  <c r="S213" i="1" a="1"/>
  <c r="R215" i="1" a="1"/>
  <c r="P219" i="1" a="1"/>
  <c r="O221" i="1" a="1"/>
  <c r="U225" i="1" a="1"/>
  <c r="S229" i="1" a="1"/>
  <c r="R231" i="1" a="1"/>
  <c r="P235" i="1" a="1"/>
  <c r="O237" i="1" a="1"/>
  <c r="U212" i="1" a="1"/>
  <c r="S216" i="1" a="1"/>
  <c r="R218" i="1" a="1"/>
  <c r="P222" i="1" a="1"/>
  <c r="O224" i="1" a="1"/>
  <c r="U228" i="1" a="1"/>
  <c r="S232" i="1" a="1"/>
  <c r="R234" i="1" a="1"/>
  <c r="P238" i="1" a="1"/>
  <c r="P209" i="1" a="1"/>
  <c r="O211" i="1" a="1"/>
  <c r="U215" i="1" a="1"/>
  <c r="S219" i="1" a="1"/>
  <c r="R221" i="1" a="1"/>
  <c r="P225" i="1" a="1"/>
  <c r="O227" i="1" a="1"/>
  <c r="U231" i="1" a="1"/>
  <c r="S235" i="1" a="1"/>
  <c r="R237" i="1" a="1"/>
  <c r="P241" i="1" a="1"/>
  <c r="O245" i="1" a="1"/>
  <c r="U249" i="1" a="1"/>
  <c r="S253" i="1" a="1"/>
  <c r="R255" i="1" a="1"/>
  <c r="P259" i="1" a="1"/>
  <c r="O261" i="1" a="1"/>
  <c r="U271" i="1" a="1"/>
  <c r="T273" i="1" a="1"/>
  <c r="S275" i="1" a="1"/>
  <c r="P240" i="1" a="1"/>
  <c r="O244" i="1" a="1"/>
  <c r="U248" i="1" a="1"/>
  <c r="S252" i="1" a="1"/>
  <c r="R254" i="1" a="1"/>
  <c r="P258" i="1" a="1"/>
  <c r="O260" i="1" a="1"/>
  <c r="U264" i="1" a="1"/>
  <c r="T272" i="1" a="1"/>
  <c r="S274" i="1" a="1"/>
  <c r="P239" i="1" a="1"/>
  <c r="O241" i="1" a="1"/>
  <c r="U247" i="1" a="1"/>
  <c r="T249" i="1" a="1"/>
  <c r="S251" i="1" a="1"/>
  <c r="R253" i="1" a="1"/>
  <c r="P257" i="1" a="1"/>
  <c r="O259" i="1" a="1"/>
  <c r="U263" i="1" a="1"/>
  <c r="T271" i="1" a="1"/>
  <c r="S273" i="1" a="1"/>
  <c r="R275" i="1" a="1"/>
  <c r="R244" i="1" a="1"/>
  <c r="R248" i="1" a="1"/>
  <c r="P252" i="1" a="1"/>
  <c r="O254" i="1" a="1"/>
  <c r="U258" i="1" a="1"/>
  <c r="S262" i="1" a="1"/>
  <c r="R264" i="1" a="1"/>
  <c r="P274" i="1" a="1"/>
  <c r="O276" i="1" a="1"/>
  <c r="S279" i="1" a="1"/>
  <c r="R281" i="1" a="1"/>
  <c r="P285" i="1" a="1"/>
  <c r="O287" i="1" a="1"/>
  <c r="S288" i="1" a="1"/>
  <c r="U278" i="1" a="1"/>
  <c r="S282" i="1" a="1"/>
  <c r="R284" i="1" a="1"/>
  <c r="O172" i="1" a="1"/>
  <c r="P174" i="1" a="1"/>
  <c r="O176" i="1" a="1"/>
  <c r="R146" i="1" a="1"/>
  <c r="P150" i="1" a="1"/>
  <c r="O152" i="1" a="1"/>
  <c r="U156" i="1" a="1"/>
  <c r="S160" i="1" a="1"/>
  <c r="R162" i="1" a="1"/>
  <c r="R169" i="1" a="1"/>
  <c r="P173" i="1" a="1"/>
  <c r="O175" i="1" a="1"/>
  <c r="U147" i="1" a="1"/>
  <c r="S151" i="1" a="1"/>
  <c r="R153" i="1" a="1"/>
  <c r="P157" i="1" a="1"/>
  <c r="O159" i="1" a="1"/>
  <c r="U163" i="1" a="1"/>
  <c r="T168" i="1" a="1"/>
  <c r="S170" i="1" a="1"/>
  <c r="R172" i="1" a="1"/>
  <c r="P176" i="1" a="1"/>
  <c r="O178" i="1" a="1"/>
  <c r="P181" i="1" a="1"/>
  <c r="O183" i="1" a="1"/>
  <c r="U187" i="1" a="1"/>
  <c r="S191" i="1" a="1"/>
  <c r="R193" i="1" a="1"/>
  <c r="P197" i="1" a="1"/>
  <c r="O199" i="1" a="1"/>
  <c r="U203" i="1" a="1"/>
  <c r="S207" i="1" a="1"/>
  <c r="U182" i="1" a="1"/>
  <c r="S186" i="1" a="1"/>
  <c r="R188" i="1" a="1"/>
  <c r="P192" i="1" a="1"/>
  <c r="O194" i="1" a="1"/>
  <c r="U198" i="1" a="1"/>
  <c r="S202" i="1" a="1"/>
  <c r="R204" i="1" a="1"/>
  <c r="P208" i="1" a="1"/>
  <c r="R179" i="1" a="1"/>
  <c r="P183" i="1" a="1"/>
  <c r="O185" i="1" a="1"/>
  <c r="U189" i="1" a="1"/>
  <c r="S193" i="1" a="1"/>
  <c r="R195" i="1" a="1"/>
  <c r="P199" i="1" a="1"/>
  <c r="O201" i="1" a="1"/>
  <c r="U205" i="1" a="1"/>
  <c r="U180" i="1" a="1"/>
  <c r="S184" i="1" a="1"/>
  <c r="R186" i="1" a="1"/>
  <c r="P190" i="1" a="1"/>
  <c r="O192" i="1" a="1"/>
  <c r="U196" i="1" a="1"/>
  <c r="S200" i="1" a="1"/>
  <c r="R202" i="1" a="1"/>
  <c r="P206" i="1" a="1"/>
  <c r="O208" i="1" a="1"/>
  <c r="U210" i="1" a="1"/>
  <c r="S214" i="1" a="1"/>
  <c r="R216" i="1" a="1"/>
  <c r="P220" i="1" a="1"/>
  <c r="O222" i="1" a="1"/>
  <c r="U226" i="1" a="1"/>
  <c r="S230" i="1" a="1"/>
  <c r="R232" i="1" a="1"/>
  <c r="P236" i="1" a="1"/>
  <c r="O238" i="1" a="1"/>
  <c r="O209" i="1" a="1"/>
  <c r="U213" i="1" a="1"/>
  <c r="S217" i="1" a="1"/>
  <c r="R219" i="1" a="1"/>
  <c r="P223" i="1" a="1"/>
  <c r="O225" i="1" a="1"/>
  <c r="U229" i="1" a="1"/>
  <c r="S233" i="1" a="1"/>
  <c r="R235" i="1" a="1"/>
  <c r="P210" i="1" a="1"/>
  <c r="O212" i="1" a="1"/>
  <c r="U216" i="1" a="1"/>
  <c r="S220" i="1" a="1"/>
  <c r="R222" i="1" a="1"/>
  <c r="P226" i="1" a="1"/>
  <c r="O228" i="1" a="1"/>
  <c r="U232" i="1" a="1"/>
  <c r="S236" i="1" a="1"/>
  <c r="R238" i="1" a="1"/>
  <c r="R209" i="1" a="1"/>
  <c r="P213" i="1" a="1"/>
  <c r="O215" i="1" a="1"/>
  <c r="U219" i="1" a="1"/>
  <c r="S223" i="1" a="1"/>
  <c r="R225" i="1" a="1"/>
  <c r="P229" i="1" a="1"/>
  <c r="O231" i="1" a="1"/>
  <c r="U235" i="1" a="1"/>
  <c r="S239" i="1" a="1"/>
  <c r="R241" i="1" a="1"/>
  <c r="P247" i="1" a="1"/>
  <c r="O249" i="1" a="1"/>
  <c r="U253" i="1" a="1"/>
  <c r="S257" i="1" a="1"/>
  <c r="R259" i="1" a="1"/>
  <c r="P263" i="1" a="1"/>
  <c r="O271" i="1" a="1"/>
  <c r="U275" i="1" a="1"/>
  <c r="R240" i="1" a="1"/>
  <c r="P246" i="1" a="1"/>
  <c r="O248" i="1" a="1"/>
  <c r="U252" i="1" a="1"/>
  <c r="S256" i="1" a="1"/>
  <c r="R258" i="1" a="1"/>
  <c r="P262" i="1" a="1"/>
  <c r="O264" i="1" a="1"/>
  <c r="U274" i="1" a="1"/>
  <c r="R239" i="1" a="1"/>
  <c r="P245" i="1" a="1"/>
  <c r="O247" i="1" a="1"/>
  <c r="U251" i="1" a="1"/>
  <c r="S255" i="1" a="1"/>
  <c r="R257" i="1" a="1"/>
  <c r="P261" i="1" a="1"/>
  <c r="O263" i="1" a="1"/>
  <c r="U273" i="1" a="1"/>
  <c r="T275" i="1" a="1"/>
  <c r="S240" i="1" a="1"/>
  <c r="S246" i="1" a="1"/>
  <c r="T248" i="1" a="1"/>
  <c r="S250" i="1" a="1"/>
  <c r="R252" i="1" a="1"/>
  <c r="P256" i="1" a="1"/>
  <c r="O258" i="1" a="1"/>
  <c r="U262" i="1" a="1"/>
  <c r="S272" i="1" a="1"/>
  <c r="R274" i="1" a="1"/>
  <c r="U279" i="1" a="1"/>
  <c r="S283" i="1" a="1"/>
  <c r="R285" i="1" a="1"/>
  <c r="O296" i="1" a="1"/>
  <c r="P276" i="1" a="1"/>
  <c r="O278" i="1" a="1"/>
  <c r="U282" i="1" a="1"/>
  <c r="S286" i="1" a="1"/>
  <c r="R174" i="1" a="1"/>
  <c r="P178" i="1" a="1"/>
  <c r="S148" i="1" a="1"/>
  <c r="R150" i="1" a="1"/>
  <c r="P154" i="1" a="1"/>
  <c r="O156" i="1" a="1"/>
  <c r="U160" i="1" a="1"/>
  <c r="S164" i="1" a="1"/>
  <c r="T169" i="1" a="1"/>
  <c r="S171" i="1" a="1"/>
  <c r="R173" i="1" a="1"/>
  <c r="P177" i="1" a="1"/>
  <c r="P145" i="1" a="1"/>
  <c r="O147" i="1" a="1"/>
  <c r="U151" i="1" a="1"/>
  <c r="S155" i="1" a="1"/>
  <c r="R157" i="1" a="1"/>
  <c r="P161" i="1" a="1"/>
  <c r="O163" i="1" a="1"/>
  <c r="U170" i="1" a="1"/>
  <c r="S174" i="1" a="1"/>
  <c r="R176" i="1" a="1"/>
  <c r="S179" i="1" a="1"/>
  <c r="R181" i="1" a="1"/>
  <c r="P185" i="1" a="1"/>
  <c r="O187" i="1" a="1"/>
  <c r="U191" i="1" a="1"/>
  <c r="S195" i="1" a="1"/>
  <c r="R197" i="1" a="1"/>
  <c r="P201" i="1" a="1"/>
  <c r="O203" i="1" a="1"/>
  <c r="U207" i="1" a="1"/>
  <c r="P180" i="1" a="1"/>
  <c r="O182" i="1" a="1"/>
  <c r="U186" i="1" a="1"/>
  <c r="S190" i="1" a="1"/>
  <c r="R192" i="1" a="1"/>
  <c r="P196" i="1" a="1"/>
  <c r="O198" i="1" a="1"/>
  <c r="U202" i="1" a="1"/>
  <c r="S206" i="1" a="1"/>
  <c r="R208" i="1" a="1"/>
  <c r="S181" i="1" a="1"/>
  <c r="R183" i="1" a="1"/>
  <c r="P187" i="1" a="1"/>
  <c r="O189" i="1" a="1"/>
  <c r="U193" i="1" a="1"/>
  <c r="S197" i="1" a="1"/>
  <c r="R199" i="1" a="1"/>
  <c r="P203" i="1" a="1"/>
  <c r="O205" i="1" a="1"/>
  <c r="U208" i="1" a="1"/>
  <c r="O180" i="1" a="1"/>
  <c r="U184" i="1" a="1"/>
  <c r="S188" i="1" a="1"/>
  <c r="R190" i="1" a="1"/>
  <c r="P194" i="1" a="1"/>
  <c r="O196" i="1" a="1"/>
  <c r="U200" i="1" a="1"/>
  <c r="S204" i="1" a="1"/>
  <c r="R206" i="1" a="1"/>
  <c r="O210" i="1" a="1"/>
  <c r="U214" i="1" a="1"/>
  <c r="S218" i="1" a="1"/>
  <c r="R220" i="1" a="1"/>
  <c r="P224" i="1" a="1"/>
  <c r="O226" i="1" a="1"/>
  <c r="U230" i="1" a="1"/>
  <c r="S234" i="1" a="1"/>
  <c r="R236" i="1" a="1"/>
  <c r="P211" i="1" a="1"/>
  <c r="O213" i="1" a="1"/>
  <c r="U217" i="1" a="1"/>
  <c r="S221" i="1" a="1"/>
  <c r="R223" i="1" a="1"/>
  <c r="P227" i="1" a="1"/>
  <c r="O229" i="1" a="1"/>
  <c r="U233" i="1" a="1"/>
  <c r="S237" i="1" a="1"/>
  <c r="R210" i="1" a="1"/>
  <c r="P214" i="1" a="1"/>
  <c r="O216" i="1" a="1"/>
  <c r="U220" i="1" a="1"/>
  <c r="S224" i="1" a="1"/>
  <c r="R226" i="1" a="1"/>
  <c r="P230" i="1" a="1"/>
  <c r="O232" i="1" a="1"/>
  <c r="U236" i="1" a="1"/>
  <c r="S211" i="1" a="1"/>
  <c r="R213" i="1" a="1"/>
  <c r="P217" i="1" a="1"/>
  <c r="O219" i="1" a="1"/>
  <c r="U223" i="1" a="1"/>
  <c r="S227" i="1" a="1"/>
  <c r="R229" i="1" a="1"/>
  <c r="P233" i="1" a="1"/>
  <c r="O235" i="1" a="1"/>
  <c r="U239" i="1" a="1"/>
  <c r="S245" i="1" a="1"/>
  <c r="R247" i="1" a="1"/>
  <c r="P251" i="1" a="1"/>
  <c r="O253" i="1" a="1"/>
  <c r="U257" i="1" a="1"/>
  <c r="S261" i="1" a="1"/>
  <c r="R263" i="1" a="1"/>
  <c r="P273" i="1" a="1"/>
  <c r="O275" i="1" a="1"/>
  <c r="U238" i="1" a="1"/>
  <c r="S244" i="1" a="1"/>
  <c r="R246" i="1" a="1"/>
  <c r="P250" i="1" a="1"/>
  <c r="O252" i="1" a="1"/>
  <c r="U256" i="1" a="1"/>
  <c r="S260" i="1" a="1"/>
  <c r="R262" i="1" a="1"/>
  <c r="P272" i="1" a="1"/>
  <c r="O274" i="1" a="1"/>
  <c r="S241" i="1" a="1"/>
  <c r="R245" i="1" a="1"/>
  <c r="P249" i="1" a="1"/>
  <c r="O251" i="1" a="1"/>
  <c r="U255" i="1" a="1"/>
  <c r="S259" i="1" a="1"/>
  <c r="R261" i="1" a="1"/>
  <c r="P271" i="1" a="1"/>
  <c r="O273" i="1" a="1"/>
  <c r="U240" i="1" a="1"/>
  <c r="U246" i="1" a="1"/>
  <c r="U250" i="1" a="1"/>
  <c r="S254" i="1" a="1"/>
  <c r="R256" i="1" a="1"/>
  <c r="P260" i="1" a="1"/>
  <c r="O262" i="1" a="1"/>
  <c r="U272" i="1" a="1"/>
  <c r="T274" i="1" a="1"/>
  <c r="P277" i="1" a="1"/>
  <c r="O279" i="1" a="1"/>
  <c r="U283" i="1" a="1"/>
  <c r="S287" i="1" a="1"/>
  <c r="P298" i="1" a="1"/>
  <c r="R276" i="1" a="1"/>
  <c r="P280" i="1" a="1"/>
  <c r="O282" i="1" a="1"/>
  <c r="U286" i="1" a="1"/>
  <c r="P288" i="1" a="1"/>
  <c r="P294" i="1" a="1"/>
  <c r="S277" i="1" a="1"/>
  <c r="R279" i="1" a="1"/>
  <c r="P283" i="1" a="1"/>
  <c r="O285" i="1" a="1"/>
  <c r="R294" i="1" a="1"/>
  <c r="U301" i="1" a="1"/>
  <c r="U276" i="1" a="1"/>
  <c r="S280" i="1" a="1"/>
  <c r="R282" i="1" a="1"/>
  <c r="P286" i="1" a="1"/>
  <c r="O288" i="1" a="1"/>
  <c r="O300" i="1" a="1"/>
  <c r="R311" i="1" a="1"/>
  <c r="U291" i="1" a="1"/>
  <c r="S295" i="1" a="1"/>
  <c r="R297" i="1" a="1"/>
  <c r="R301" i="1" a="1"/>
  <c r="S309" i="1" a="1"/>
  <c r="P292" i="1" a="1"/>
  <c r="O294" i="1" a="1"/>
  <c r="U298" i="1" a="1"/>
  <c r="O301" i="1" a="1"/>
  <c r="S289" i="1" a="1"/>
  <c r="R291" i="1" a="1"/>
  <c r="P295" i="1" a="1"/>
  <c r="O297" i="1" a="1"/>
  <c r="P301" i="1" a="1"/>
  <c r="U305" i="1" a="1"/>
  <c r="P312" i="1" a="1"/>
  <c r="U304" i="1" a="1"/>
  <c r="S308" i="1" a="1"/>
  <c r="R310" i="1" a="1"/>
  <c r="U312" i="1" a="1"/>
  <c r="O303" i="1" a="1"/>
  <c r="U307" i="1" a="1"/>
  <c r="S318" i="1" a="1"/>
  <c r="R327" i="1" a="1"/>
  <c r="P304" i="1" a="1"/>
  <c r="O306" i="1" a="1"/>
  <c r="U310" i="1" a="1"/>
  <c r="P316" i="1" a="1"/>
  <c r="O322" i="1" a="1"/>
  <c r="U313" i="1" a="1"/>
  <c r="S317" i="1" a="1"/>
  <c r="R319" i="1" a="1"/>
  <c r="P326" i="1" a="1"/>
  <c r="O328" i="1" a="1"/>
  <c r="U316" i="1" a="1"/>
  <c r="S320" i="1" a="1"/>
  <c r="R322" i="1" a="1"/>
  <c r="S311" i="1" a="1"/>
  <c r="R313" i="1" a="1"/>
  <c r="P317" i="1" a="1"/>
  <c r="O319" i="1" a="1"/>
  <c r="U326" i="1" a="1"/>
  <c r="U277" i="1" a="1"/>
  <c r="S281" i="1" a="1"/>
  <c r="R283" i="1" a="1"/>
  <c r="P287" i="1" a="1"/>
  <c r="U288" i="1" a="1"/>
  <c r="S296" i="1" a="1"/>
  <c r="U280" i="1" a="1"/>
  <c r="S284" i="1" a="1"/>
  <c r="R286" i="1" a="1"/>
  <c r="R288" i="1" a="1"/>
  <c r="O305" i="1" a="1"/>
  <c r="P289" i="1" a="1"/>
  <c r="O291" i="1" a="1"/>
  <c r="U295" i="1" a="1"/>
  <c r="S299" i="1" a="1"/>
  <c r="P303" i="1" a="1"/>
  <c r="U314" i="1" a="1"/>
  <c r="S290" i="1" a="1"/>
  <c r="R292" i="1" a="1"/>
  <c r="P296" i="1" a="1"/>
  <c r="O298" i="1" a="1"/>
  <c r="S301" i="1" a="1"/>
  <c r="U289" i="1" a="1"/>
  <c r="S293" i="1" a="1"/>
  <c r="R295" i="1" a="1"/>
  <c r="P299" i="1" a="1"/>
  <c r="O318" i="1" a="1"/>
  <c r="P302" i="1" a="1"/>
  <c r="O304" i="1" a="1"/>
  <c r="U308" i="1" a="1"/>
  <c r="O314" i="1" a="1"/>
  <c r="S322" i="1" a="1"/>
  <c r="P305" i="1" a="1"/>
  <c r="O307" i="1" a="1"/>
  <c r="R312" i="1" a="1"/>
  <c r="P320" i="1" a="1"/>
  <c r="S302" i="1" a="1"/>
  <c r="R304" i="1" a="1"/>
  <c r="P308" i="1" a="1"/>
  <c r="O310" i="1" a="1"/>
  <c r="O312" i="1" a="1"/>
  <c r="O313" i="1" a="1"/>
  <c r="U317" i="1" a="1"/>
  <c r="S321" i="1" a="1"/>
  <c r="R326" i="1" a="1"/>
  <c r="P314" i="1" a="1"/>
  <c r="O316" i="1" a="1"/>
  <c r="U320" i="1" a="1"/>
  <c r="S327" i="1" a="1"/>
  <c r="U311" i="1" a="1"/>
  <c r="S315" i="1" a="1"/>
  <c r="R317" i="1" a="1"/>
  <c r="P321" i="1" a="1"/>
  <c r="O326" i="1" a="1"/>
  <c r="R298" i="1" a="1"/>
  <c r="O277" i="1" a="1"/>
  <c r="U281" i="1" a="1"/>
  <c r="S285" i="1" a="1"/>
  <c r="R287" i="1" a="1"/>
  <c r="P290" i="1" a="1"/>
  <c r="P278" i="1" a="1"/>
  <c r="O280" i="1" a="1"/>
  <c r="U284" i="1" a="1"/>
  <c r="R290" i="1" a="1"/>
  <c r="U296" i="1" a="1"/>
  <c r="P307" i="1" a="1"/>
  <c r="R289" i="1" a="1"/>
  <c r="P293" i="1" a="1"/>
  <c r="O295" i="1" a="1"/>
  <c r="U299" i="1" a="1"/>
  <c r="U290" i="1" a="1"/>
  <c r="S294" i="1" a="1"/>
  <c r="R296" i="1" a="1"/>
  <c r="P300" i="1" a="1"/>
  <c r="R303" i="1" a="1"/>
  <c r="U309" i="1" a="1"/>
  <c r="O289" i="1" a="1"/>
  <c r="U293" i="1" a="1"/>
  <c r="S297" i="1" a="1"/>
  <c r="R299" i="1" a="1"/>
  <c r="O309" i="1" a="1"/>
  <c r="R302" i="1" a="1"/>
  <c r="P306" i="1" a="1"/>
  <c r="O308" i="1" a="1"/>
  <c r="P327" i="1" a="1"/>
  <c r="S303" i="1" a="1"/>
  <c r="R305" i="1" a="1"/>
  <c r="P309" i="1" a="1"/>
  <c r="O311" i="1" a="1"/>
  <c r="U302" i="1" a="1"/>
  <c r="S306" i="1" a="1"/>
  <c r="R308" i="1" a="1"/>
  <c r="S312" i="1" a="1"/>
  <c r="U318" i="1" a="1"/>
  <c r="P315" i="1" a="1"/>
  <c r="O317" i="1" a="1"/>
  <c r="U321" i="1" a="1"/>
  <c r="S328" i="1" a="1"/>
  <c r="R314" i="1" a="1"/>
  <c r="P318" i="1" a="1"/>
  <c r="O320" i="1" a="1"/>
  <c r="U327" i="1" a="1"/>
  <c r="U315" i="1" a="1"/>
  <c r="S319" i="1" a="1"/>
  <c r="R321" i="1" a="1"/>
  <c r="P328" i="1" a="1"/>
  <c r="O292" i="1" a="1"/>
  <c r="S300" i="1" a="1"/>
  <c r="P279" i="1" a="1"/>
  <c r="O281" i="1" a="1"/>
  <c r="U285" i="1" a="1"/>
  <c r="S276" i="1" a="1"/>
  <c r="R278" i="1" a="1"/>
  <c r="P282" i="1" a="1"/>
  <c r="O284" i="1" a="1"/>
  <c r="S292" i="1" a="1"/>
  <c r="R316" i="1" a="1"/>
  <c r="S291" i="1" a="1"/>
  <c r="R293" i="1" a="1"/>
  <c r="P297" i="1" a="1"/>
  <c r="O299" i="1" a="1"/>
  <c r="R307" i="1" a="1"/>
  <c r="O290" i="1" a="1"/>
  <c r="U294" i="1" a="1"/>
  <c r="S298" i="1" a="1"/>
  <c r="R300" i="1" a="1"/>
  <c r="S305" i="1" a="1"/>
  <c r="P291" i="1" a="1"/>
  <c r="O293" i="1" a="1"/>
  <c r="U297" i="1" a="1"/>
  <c r="P311" i="1" a="1"/>
  <c r="U300" i="1" a="1"/>
  <c r="S304" i="1" a="1"/>
  <c r="R306" i="1" a="1"/>
  <c r="P310" i="1" a="1"/>
  <c r="U303" i="1" a="1"/>
  <c r="S307" i="1" a="1"/>
  <c r="R309" i="1" a="1"/>
  <c r="U322" i="1" a="1"/>
  <c r="O302" i="1" a="1"/>
  <c r="U306" i="1" a="1"/>
  <c r="S310" i="1" a="1"/>
  <c r="S314" i="1" a="1"/>
  <c r="R320" i="1" a="1"/>
  <c r="S313" i="1" a="1"/>
  <c r="R315" i="1" a="1"/>
  <c r="P319" i="1" a="1"/>
  <c r="O321" i="1" a="1"/>
  <c r="U328" i="1" a="1"/>
  <c r="S316" i="1" a="1"/>
  <c r="R318" i="1" a="1"/>
  <c r="P322" i="1" a="1"/>
  <c r="O327" i="1" a="1"/>
  <c r="P313" i="1" a="1"/>
  <c r="O315" i="1" a="1"/>
  <c r="U319" i="1" a="1"/>
  <c r="S326" i="1" a="1"/>
  <c r="R328" i="1" a="1"/>
  <c r="AB168" i="1" a="1"/>
  <c r="AB83" i="1" a="1"/>
  <c r="AB326" i="1" a="1"/>
  <c r="AB243" i="1" a="1"/>
  <c r="AB89" i="1" a="1"/>
  <c r="AA318" i="1" a="1"/>
  <c r="AB316" i="1" a="1"/>
  <c r="AB328" i="1" a="1"/>
  <c r="AA327" i="1" a="1"/>
  <c r="AA305" i="1" a="1"/>
  <c r="AB303" i="1" a="1"/>
  <c r="AB315" i="1" a="1"/>
  <c r="AA302" i="1" a="1"/>
  <c r="AA304" i="1" a="1"/>
  <c r="AA296" i="1" a="1"/>
  <c r="AB294" i="1" a="1"/>
  <c r="AB310" i="1" a="1"/>
  <c r="AA293" i="1" a="1"/>
  <c r="AB291" i="1" a="1"/>
  <c r="AB300" i="1" a="1"/>
  <c r="AB297" i="1" a="1"/>
  <c r="AA287" i="1" a="1"/>
  <c r="AB285" i="1" a="1"/>
  <c r="AA299" i="1" a="1"/>
  <c r="AA284" i="1" a="1"/>
  <c r="AB282" i="1" a="1"/>
  <c r="AA314" i="1" a="1"/>
  <c r="AB312" i="1" a="1"/>
  <c r="AA326" i="1" a="1"/>
  <c r="AB321" i="1" a="1"/>
  <c r="AA320" i="1" a="1"/>
  <c r="AB318" i="1" a="1"/>
  <c r="AA328" i="1" a="1"/>
  <c r="AA301" i="1" a="1"/>
  <c r="AA321" i="1" a="1"/>
  <c r="AA311" i="1" a="1"/>
  <c r="AB309" i="1" a="1"/>
  <c r="AA292" i="1" a="1"/>
  <c r="AB290" i="1" a="1"/>
  <c r="AA289" i="1" a="1"/>
  <c r="AA298" i="1" a="1"/>
  <c r="AB296" i="1" a="1"/>
  <c r="AA313" i="1" a="1"/>
  <c r="AA283" i="1" a="1"/>
  <c r="AB281" i="1" a="1"/>
  <c r="AA280" i="1" a="1"/>
  <c r="AB278" i="1" a="1"/>
  <c r="AB289" i="1" a="1"/>
  <c r="AB327" i="1" a="1"/>
  <c r="AA319" i="1" a="1"/>
  <c r="AB317" i="1" a="1"/>
  <c r="AA316" i="1" a="1"/>
  <c r="AB314" i="1" a="1"/>
  <c r="AA317" i="1" a="1"/>
  <c r="AA310" i="1" a="1"/>
  <c r="AB308" i="1" a="1"/>
  <c r="AA307" i="1" a="1"/>
  <c r="AB305" i="1" a="1"/>
  <c r="AB306" i="1" a="1"/>
  <c r="AA288" i="1" a="1"/>
  <c r="AA308" i="1" a="1"/>
  <c r="AB299" i="1" a="1"/>
  <c r="AA294" i="1" a="1"/>
  <c r="AB292" i="1" a="1"/>
  <c r="AA295" i="1" a="1"/>
  <c r="AA279" i="1" a="1"/>
  <c r="AB277" i="1" a="1"/>
  <c r="AB302" i="1" a="1"/>
  <c r="AA276" i="1" a="1"/>
  <c r="AA322" i="1" a="1"/>
  <c r="AB320" i="1" a="1"/>
  <c r="AA315" i="1" a="1"/>
  <c r="AB313" i="1" a="1"/>
  <c r="AA312" i="1" a="1"/>
  <c r="AA309" i="1" a="1"/>
  <c r="AB307" i="1" a="1"/>
  <c r="AB311" i="1" a="1"/>
  <c r="AA306" i="1" a="1"/>
  <c r="AB304" i="1" a="1"/>
  <c r="AB319" i="1" a="1"/>
  <c r="AA303" i="1" a="1"/>
  <c r="AB301" i="1" a="1"/>
  <c r="AB298" i="1" a="1"/>
  <c r="AA297" i="1" a="1"/>
  <c r="AB295" i="1" a="1"/>
  <c r="AA290" i="1" a="1"/>
  <c r="AB288" i="1" a="1"/>
  <c r="AB286" i="1" a="1"/>
  <c r="AA285" i="1" a="1"/>
  <c r="AB283" i="1" a="1"/>
  <c r="AA291" i="1" a="1"/>
  <c r="AA282" i="1" a="1"/>
  <c r="AB280" i="1" a="1"/>
  <c r="AA271" i="1" a="1"/>
  <c r="AB263" i="1" a="1"/>
  <c r="AA249" i="1" a="1"/>
  <c r="AA245" i="1" a="1"/>
  <c r="AA239" i="1" a="1"/>
  <c r="AB274" i="1" a="1"/>
  <c r="AA254" i="1" a="1"/>
  <c r="AB252" i="1" a="1"/>
  <c r="AB275" i="1" a="1"/>
  <c r="AA255" i="1" a="1"/>
  <c r="AA256" i="1" a="1"/>
  <c r="AB254" i="1" a="1"/>
  <c r="AA238" i="1" a="1"/>
  <c r="AB236" i="1" a="1"/>
  <c r="AA222" i="1" a="1"/>
  <c r="AB220" i="1" a="1"/>
  <c r="AA235" i="1" a="1"/>
  <c r="AB233" i="1" a="1"/>
  <c r="AA219" i="1" a="1"/>
  <c r="AB217" i="1" a="1"/>
  <c r="AA232" i="1" a="1"/>
  <c r="AB230" i="1" a="1"/>
  <c r="AA216" i="1" a="1"/>
  <c r="AB214" i="1" a="1"/>
  <c r="AA229" i="1" a="1"/>
  <c r="AB227" i="1" a="1"/>
  <c r="AA213" i="1" a="1"/>
  <c r="AB211" i="1" a="1"/>
  <c r="AA199" i="1" a="1"/>
  <c r="AB197" i="1" a="1"/>
  <c r="AA183" i="1" a="1"/>
  <c r="AB181" i="1" a="1"/>
  <c r="AB206" i="1" a="1"/>
  <c r="AA192" i="1" a="1"/>
  <c r="AB190" i="1" a="1"/>
  <c r="AA201" i="1" a="1"/>
  <c r="AB199" i="1" a="1"/>
  <c r="AA185" i="1" a="1"/>
  <c r="AB183" i="1" a="1"/>
  <c r="AA206" i="1" a="1"/>
  <c r="AB204" i="1" a="1"/>
  <c r="AA190" i="1" a="1"/>
  <c r="AB188" i="1" a="1"/>
  <c r="AA169" i="1" a="1"/>
  <c r="AB164" i="1" a="1"/>
  <c r="AA150" i="1" a="1"/>
  <c r="AB148" i="1" a="1"/>
  <c r="AA159" i="1" a="1"/>
  <c r="AB157" i="1" a="1"/>
  <c r="AA281" i="1" a="1"/>
  <c r="AB279" i="1" a="1"/>
  <c r="AA278" i="1" a="1"/>
  <c r="AB276" i="1" a="1"/>
  <c r="AA261" i="1" a="1"/>
  <c r="AB259" i="1" a="1"/>
  <c r="AA272" i="1" a="1"/>
  <c r="AB264" i="1" a="1"/>
  <c r="AA250" i="1" a="1"/>
  <c r="AB248" i="1" a="1"/>
  <c r="AA273" i="1" a="1"/>
  <c r="AB271" i="1" a="1"/>
  <c r="AA251" i="1" a="1"/>
  <c r="AB249" i="1" a="1"/>
  <c r="AA274" i="1" a="1"/>
  <c r="AB272" i="1" a="1"/>
  <c r="AA252" i="1" a="1"/>
  <c r="AB250" i="1" a="1"/>
  <c r="AA234" i="1" a="1"/>
  <c r="AB232" i="1" a="1"/>
  <c r="AA218" i="1" a="1"/>
  <c r="AB216" i="1" a="1"/>
  <c r="AA231" i="1" a="1"/>
  <c r="AB229" i="1" a="1"/>
  <c r="AA215" i="1" a="1"/>
  <c r="AB213" i="1" a="1"/>
  <c r="AA228" i="1" a="1"/>
  <c r="AB226" i="1" a="1"/>
  <c r="AA212" i="1" a="1"/>
  <c r="AB210" i="1" a="1"/>
  <c r="AA225" i="1" a="1"/>
  <c r="AB223" i="1" a="1"/>
  <c r="AA209" i="1" a="1"/>
  <c r="AA195" i="1" a="1"/>
  <c r="AB193" i="1" a="1"/>
  <c r="AA179" i="1" a="1"/>
  <c r="AA204" i="1" a="1"/>
  <c r="AB202" i="1" a="1"/>
  <c r="AA188" i="1" a="1"/>
  <c r="AB186" i="1" a="1"/>
  <c r="AA197" i="1" a="1"/>
  <c r="AB195" i="1" a="1"/>
  <c r="AA181" i="1" a="1"/>
  <c r="AB179" i="1" a="1"/>
  <c r="AA202" i="1" a="1"/>
  <c r="AB200" i="1" a="1"/>
  <c r="AA186" i="1" a="1"/>
  <c r="AB184" i="1" a="1"/>
  <c r="AA162" i="1" a="1"/>
  <c r="AB160" i="1" a="1"/>
  <c r="AA146" i="1" a="1"/>
  <c r="AB144" i="1" a="1"/>
  <c r="AB176" i="1" a="1"/>
  <c r="AA155" i="1" a="1"/>
  <c r="AB153" i="1" a="1"/>
  <c r="AA277" i="1" a="1"/>
  <c r="AA300" i="1" a="1"/>
  <c r="AB293" i="1" a="1"/>
  <c r="AA257" i="1" a="1"/>
  <c r="AB255" i="1" a="1"/>
  <c r="AA262" i="1" a="1"/>
  <c r="AB260" i="1" a="1"/>
  <c r="AA246" i="1" a="1"/>
  <c r="AB244" i="1" a="1"/>
  <c r="AA263" i="1" a="1"/>
  <c r="AB261" i="1" a="1"/>
  <c r="AA247" i="1" a="1"/>
  <c r="AB245" i="1" a="1"/>
  <c r="AA264" i="1" a="1"/>
  <c r="AB262" i="1" a="1"/>
  <c r="AA248" i="1" a="1"/>
  <c r="AB246" i="1" a="1"/>
  <c r="AA230" i="1" a="1"/>
  <c r="AB228" i="1" a="1"/>
  <c r="AA214" i="1" a="1"/>
  <c r="AB212" i="1" a="1"/>
  <c r="AA227" i="1" a="1"/>
  <c r="AB225" i="1" a="1"/>
  <c r="AA211" i="1" a="1"/>
  <c r="AB209" i="1" a="1"/>
  <c r="AA224" i="1" a="1"/>
  <c r="AB222" i="1" a="1"/>
  <c r="AA208" i="1" a="1"/>
  <c r="AA237" i="1" a="1"/>
  <c r="AB235" i="1" a="1"/>
  <c r="AA221" i="1" a="1"/>
  <c r="AB219" i="1" a="1"/>
  <c r="AA207" i="1" a="1"/>
  <c r="AB205" i="1" a="1"/>
  <c r="AA191" i="1" a="1"/>
  <c r="AB189" i="1" a="1"/>
  <c r="AA200" i="1" a="1"/>
  <c r="AB198" i="1" a="1"/>
  <c r="AA184" i="1" a="1"/>
  <c r="AB182" i="1" a="1"/>
  <c r="AB207" i="1" a="1"/>
  <c r="AA193" i="1" a="1"/>
  <c r="AB191" i="1" a="1"/>
  <c r="AA198" i="1" a="1"/>
  <c r="AB196" i="1" a="1"/>
  <c r="AA182" i="1" a="1"/>
  <c r="AB180" i="1" a="1"/>
  <c r="AA177" i="1" a="1"/>
  <c r="AB175" i="1" a="1"/>
  <c r="AA158" i="1" a="1"/>
  <c r="AB156" i="1" a="1"/>
  <c r="AA174" i="1" a="1"/>
  <c r="AA151" i="1" a="1"/>
  <c r="AB149" i="1" a="1"/>
  <c r="AA175" i="1" a="1"/>
  <c r="AA171" i="1" a="1"/>
  <c r="AB287" i="1" a="1"/>
  <c r="AA286" i="1" a="1"/>
  <c r="AB284" i="1" a="1"/>
  <c r="AA275" i="1" a="1"/>
  <c r="AB273" i="1" a="1"/>
  <c r="AA253" i="1" a="1"/>
  <c r="AB251" i="1" a="1"/>
  <c r="AA258" i="1" a="1"/>
  <c r="AB256" i="1" a="1"/>
  <c r="AA240" i="1" a="1"/>
  <c r="AB238" i="1" a="1"/>
  <c r="AA259" i="1" a="1"/>
  <c r="AB257" i="1" a="1"/>
  <c r="AA241" i="1" a="1"/>
  <c r="AB239" i="1" a="1"/>
  <c r="AA260" i="1" a="1"/>
  <c r="AB258" i="1" a="1"/>
  <c r="AA244" i="1" a="1"/>
  <c r="AB240" i="1" a="1"/>
  <c r="AA226" i="1" a="1"/>
  <c r="AB224" i="1" a="1"/>
  <c r="AA210" i="1" a="1"/>
  <c r="AB208" i="1" a="1"/>
  <c r="AB237" i="1" a="1"/>
  <c r="AA223" i="1" a="1"/>
  <c r="AB221" i="1" a="1"/>
  <c r="AA236" i="1" a="1"/>
  <c r="AB234" i="1" a="1"/>
  <c r="AA220" i="1" a="1"/>
  <c r="AB218" i="1" a="1"/>
  <c r="AA233" i="1" a="1"/>
  <c r="AB231" i="1" a="1"/>
  <c r="AA217" i="1" a="1"/>
  <c r="AB215" i="1" a="1"/>
  <c r="AA203" i="1" a="1"/>
  <c r="AB201" i="1" a="1"/>
  <c r="AA187" i="1" a="1"/>
  <c r="AB185" i="1" a="1"/>
  <c r="AA196" i="1" a="1"/>
  <c r="AB194" i="1" a="1"/>
  <c r="AA180" i="1" a="1"/>
  <c r="AA205" i="1" a="1"/>
  <c r="AB203" i="1" a="1"/>
  <c r="AA189" i="1" a="1"/>
  <c r="AB187" i="1" a="1"/>
  <c r="AA194" i="1" a="1"/>
  <c r="AB192" i="1" a="1"/>
  <c r="AA178" i="1" a="1"/>
  <c r="AA173" i="1" a="1"/>
  <c r="AB171" i="1" a="1"/>
  <c r="AA154" i="1" a="1"/>
  <c r="AB152" i="1" a="1"/>
  <c r="AA170" i="1" a="1"/>
  <c r="AA163" i="1" a="1"/>
  <c r="AB161" i="1" a="1"/>
  <c r="AA147" i="1" a="1"/>
  <c r="AB145" i="1" a="1"/>
  <c r="AA160" i="1" a="1"/>
  <c r="AB158" i="1" a="1"/>
  <c r="AA168" i="1" a="1"/>
  <c r="AB163" i="1" a="1"/>
  <c r="AA149" i="1" a="1"/>
  <c r="AB147" i="1" a="1"/>
  <c r="AA140" i="1" a="1"/>
  <c r="AB138" i="1" a="1"/>
  <c r="AA124" i="1" a="1"/>
  <c r="AB122" i="1" a="1"/>
  <c r="AA102" i="1" a="1"/>
  <c r="AB100" i="1" a="1"/>
  <c r="AA86" i="1" a="1"/>
  <c r="AB82" i="1" a="1"/>
  <c r="AA141" i="1" a="1"/>
  <c r="AB139" i="1" a="1"/>
  <c r="AA125" i="1" a="1"/>
  <c r="AB123" i="1" a="1"/>
  <c r="AA103" i="1" a="1"/>
  <c r="AB101" i="1" a="1"/>
  <c r="AA77" i="1" a="1"/>
  <c r="AA138" i="1" a="1"/>
  <c r="AB136" i="1" a="1"/>
  <c r="AA122" i="1" a="1"/>
  <c r="AB120" i="1" a="1"/>
  <c r="AA100" i="1" a="1"/>
  <c r="AB98" i="1" a="1"/>
  <c r="AA82" i="1" a="1"/>
  <c r="AB80" i="1" a="1"/>
  <c r="AA139" i="1" a="1"/>
  <c r="AB137" i="1" a="1"/>
  <c r="AA123" i="1" a="1"/>
  <c r="AB121" i="1" a="1"/>
  <c r="AA101" i="1" a="1"/>
  <c r="AB99" i="1" a="1"/>
  <c r="AA83" i="1" a="1"/>
  <c r="AB81" i="1" a="1"/>
  <c r="AA65" i="1" a="1"/>
  <c r="AB63" i="1" a="1"/>
  <c r="AA74" i="1" a="1"/>
  <c r="AB72" i="1" a="1"/>
  <c r="AA58" i="1" a="1"/>
  <c r="AB56" i="1" a="1"/>
  <c r="AA42" i="1" a="1"/>
  <c r="AB40" i="1" a="1"/>
  <c r="AA26" i="1" a="1"/>
  <c r="AB24" i="1" a="1"/>
  <c r="AA63" i="1" a="1"/>
  <c r="AB61" i="1" a="1"/>
  <c r="AA47" i="1" a="1"/>
  <c r="AB45" i="1" a="1"/>
  <c r="AA31" i="1" a="1"/>
  <c r="AB29" i="1" a="1"/>
  <c r="AA15" i="1" a="1"/>
  <c r="AB74" i="1" a="1"/>
  <c r="AA156" i="1" a="1"/>
  <c r="AB154" i="1" a="1"/>
  <c r="AA161" i="1" a="1"/>
  <c r="AB159" i="1" a="1"/>
  <c r="AA136" i="1" a="1"/>
  <c r="AB134" i="1" a="1"/>
  <c r="AA120" i="1" a="1"/>
  <c r="AB118" i="1" a="1"/>
  <c r="AA98" i="1" a="1"/>
  <c r="AB96" i="1" a="1"/>
  <c r="AA80" i="1" a="1"/>
  <c r="AB78" i="1" a="1"/>
  <c r="AA137" i="1" a="1"/>
  <c r="AB135" i="1" a="1"/>
  <c r="AA121" i="1" a="1"/>
  <c r="AB119" i="1" a="1"/>
  <c r="AA99" i="1" a="1"/>
  <c r="AB97" i="1" a="1"/>
  <c r="AA134" i="1" a="1"/>
  <c r="AB132" i="1" a="1"/>
  <c r="AA118" i="1" a="1"/>
  <c r="AB116" i="1" a="1"/>
  <c r="AA96" i="1" a="1"/>
  <c r="AB94" i="1" a="1"/>
  <c r="AA78" i="1" a="1"/>
  <c r="AB76" i="1" a="1"/>
  <c r="AA135" i="1" a="1"/>
  <c r="AB133" i="1" a="1"/>
  <c r="AA119" i="1" a="1"/>
  <c r="AB117" i="1" a="1"/>
  <c r="AA97" i="1" a="1"/>
  <c r="AB95" i="1" a="1"/>
  <c r="AA79" i="1" a="1"/>
  <c r="AB77" i="1" a="1"/>
  <c r="AB75" i="1" a="1"/>
  <c r="AA61" i="1" a="1"/>
  <c r="AB59" i="1" a="1"/>
  <c r="AA70" i="1" a="1"/>
  <c r="AB68" i="1" a="1"/>
  <c r="AA54" i="1" a="1"/>
  <c r="AB52" i="1" a="1"/>
  <c r="AA38" i="1" a="1"/>
  <c r="AB36" i="1" a="1"/>
  <c r="AA22" i="1" a="1"/>
  <c r="AB20" i="1" a="1"/>
  <c r="AA75" i="1" a="1"/>
  <c r="AB73" i="1" a="1"/>
  <c r="AA59" i="1" a="1"/>
  <c r="AB57" i="1" a="1"/>
  <c r="AA43" i="1" a="1"/>
  <c r="AB41" i="1" a="1"/>
  <c r="AA27" i="1" a="1"/>
  <c r="AB25" i="1" a="1"/>
  <c r="AA72" i="1" a="1"/>
  <c r="AB70" i="1" a="1"/>
  <c r="AB169" i="1" a="1"/>
  <c r="AA152" i="1" a="1"/>
  <c r="AB150" i="1" a="1"/>
  <c r="AA157" i="1" a="1"/>
  <c r="AB155" i="1" a="1"/>
  <c r="AA132" i="1" a="1"/>
  <c r="AB130" i="1" a="1"/>
  <c r="AA116" i="1" a="1"/>
  <c r="AB114" i="1" a="1"/>
  <c r="AA94" i="1" a="1"/>
  <c r="AB92" i="1" a="1"/>
  <c r="AA76" i="1" a="1"/>
  <c r="AA133" i="1" a="1"/>
  <c r="AB131" i="1" a="1"/>
  <c r="AA117" i="1" a="1"/>
  <c r="AB115" i="1" a="1"/>
  <c r="AA95" i="1" a="1"/>
  <c r="AB93" i="1" a="1"/>
  <c r="AA144" i="1" a="1"/>
  <c r="AA130" i="1" a="1"/>
  <c r="AB128" i="1" a="1"/>
  <c r="AA114" i="1" a="1"/>
  <c r="AB106" i="1" a="1"/>
  <c r="AA92" i="1" a="1"/>
  <c r="AB90" i="1" a="1"/>
  <c r="AA131" i="1" a="1"/>
  <c r="AB129" i="1" a="1"/>
  <c r="AA115" i="1" a="1"/>
  <c r="AB113" i="1" a="1"/>
  <c r="AA93" i="1" a="1"/>
  <c r="AA73" i="1" a="1"/>
  <c r="AB71" i="1" a="1"/>
  <c r="AA57" i="1" a="1"/>
  <c r="AB55" i="1" a="1"/>
  <c r="AA66" i="1" a="1"/>
  <c r="AB64" i="1" a="1"/>
  <c r="AA50" i="1" a="1"/>
  <c r="AB48" i="1" a="1"/>
  <c r="AA34" i="1" a="1"/>
  <c r="AB32" i="1" a="1"/>
  <c r="AA18" i="1" a="1"/>
  <c r="AB16" i="1" a="1"/>
  <c r="AA71" i="1" a="1"/>
  <c r="AB69" i="1" a="1"/>
  <c r="AA55" i="1" a="1"/>
  <c r="AB53" i="1" a="1"/>
  <c r="AA39" i="1" a="1"/>
  <c r="AB37" i="1" a="1"/>
  <c r="AA23" i="1" a="1"/>
  <c r="AB21" i="1" a="1"/>
  <c r="AA68" i="1" a="1"/>
  <c r="AB66" i="1" a="1"/>
  <c r="AA164" i="1" a="1"/>
  <c r="AB162" i="1" a="1"/>
  <c r="AA148" i="1" a="1"/>
  <c r="AB146" i="1" a="1"/>
  <c r="AA176" i="1" a="1"/>
  <c r="AA172" i="1" a="1"/>
  <c r="AA153" i="1" a="1"/>
  <c r="AB151" i="1" a="1"/>
  <c r="AB142" i="1" a="1"/>
  <c r="AA128" i="1" a="1"/>
  <c r="AB126" i="1" a="1"/>
  <c r="AA106" i="1" a="1"/>
  <c r="AB104" i="1" a="1"/>
  <c r="AA90" i="1" a="1"/>
  <c r="AB88" i="1" a="1"/>
  <c r="AA145" i="1" a="1"/>
  <c r="AB143" i="1" a="1"/>
  <c r="AA129" i="1" a="1"/>
  <c r="AB127" i="1" a="1"/>
  <c r="AA113" i="1" a="1"/>
  <c r="AB105" i="1" a="1"/>
  <c r="AA91" i="1" a="1"/>
  <c r="AA87" i="1" a="1"/>
  <c r="AA81" i="1" a="1"/>
  <c r="AB79" i="1" a="1"/>
  <c r="AA142" i="1" a="1"/>
  <c r="AB140" i="1" a="1"/>
  <c r="AA126" i="1" a="1"/>
  <c r="AB124" i="1" a="1"/>
  <c r="AA104" i="1" a="1"/>
  <c r="AB102" i="1" a="1"/>
  <c r="AA88" i="1" a="1"/>
  <c r="AA143" i="1" a="1"/>
  <c r="AB141" i="1" a="1"/>
  <c r="AA127" i="1" a="1"/>
  <c r="AB125" i="1" a="1"/>
  <c r="AA105" i="1" a="1"/>
  <c r="AB103" i="1" a="1"/>
  <c r="AA89" i="1" a="1"/>
  <c r="AB87" i="1" a="1"/>
  <c r="AA69" i="1" a="1"/>
  <c r="AB67" i="1" a="1"/>
  <c r="AA53" i="1" a="1"/>
  <c r="AA62" i="1" a="1"/>
  <c r="AB60" i="1" a="1"/>
  <c r="AA46" i="1" a="1"/>
  <c r="AB44" i="1" a="1"/>
  <c r="AA30" i="1" a="1"/>
  <c r="AB28" i="1" a="1"/>
  <c r="AA67" i="1" a="1"/>
  <c r="AB65" i="1" a="1"/>
  <c r="AA51" i="1" a="1"/>
  <c r="AB49" i="1" a="1"/>
  <c r="AA35" i="1" a="1"/>
  <c r="AB33" i="1" a="1"/>
  <c r="AA19" i="1" a="1"/>
  <c r="AB17" i="1" a="1"/>
  <c r="AA64" i="1" a="1"/>
  <c r="AB62" i="1" a="1"/>
  <c r="AA60" i="1" a="1"/>
  <c r="AB58" i="1" a="1"/>
  <c r="AA44" i="1" a="1"/>
  <c r="AB42" i="1" a="1"/>
  <c r="AA28" i="1" a="1"/>
  <c r="AB26" i="1" a="1"/>
  <c r="AA25" i="1" a="1"/>
  <c r="AA16" i="1" a="1"/>
  <c r="AA45" i="1" a="1"/>
  <c r="AA8" i="1" a="1"/>
  <c r="AB23" i="1" a="1"/>
  <c r="AB242" i="1" a="1"/>
  <c r="AB325" i="1" a="1"/>
  <c r="AA324" i="1" a="1"/>
  <c r="AA107" i="1" a="1"/>
  <c r="AA266" i="1" a="1"/>
  <c r="AA4" i="1" a="1"/>
  <c r="AA267" i="1" a="1"/>
  <c r="AA85" i="1" a="1"/>
  <c r="AA165" i="1" a="1"/>
  <c r="AA84" i="1" a="1"/>
  <c r="AB165" i="1" a="1"/>
  <c r="AB2" i="1" a="1"/>
  <c r="AB112" i="1" a="1"/>
  <c r="AA56" i="1" a="1"/>
  <c r="AB54" i="1" a="1"/>
  <c r="AA40" i="1" a="1"/>
  <c r="AB38" i="1" a="1"/>
  <c r="AA24" i="1" a="1"/>
  <c r="AB22" i="1" a="1"/>
  <c r="AA49" i="1" a="1"/>
  <c r="AA14" i="1" a="1"/>
  <c r="AB12" i="1" a="1"/>
  <c r="AB51" i="1" a="1"/>
  <c r="AB43" i="1" a="1"/>
  <c r="AB35" i="1" a="1"/>
  <c r="AB27" i="1" a="1"/>
  <c r="AB19" i="1" a="1"/>
  <c r="AB13" i="1" a="1"/>
  <c r="AA37" i="1" a="1"/>
  <c r="AA9" i="1" a="1"/>
  <c r="AB47" i="1" a="1"/>
  <c r="AB39" i="1" a="1"/>
  <c r="AB31" i="1" a="1"/>
  <c r="AA268" i="1" a="1"/>
  <c r="AA166" i="1" a="1"/>
  <c r="AA265" i="1" a="1"/>
  <c r="AB166" i="1" a="1"/>
  <c r="AB107" i="1" a="1"/>
  <c r="AB324" i="1" a="1"/>
  <c r="AA108" i="1" a="1"/>
  <c r="AB270" i="1" a="1"/>
  <c r="AB269" i="1" a="1"/>
  <c r="AA111" i="1" a="1"/>
  <c r="AB111" i="1" a="1"/>
  <c r="AA52" i="1" a="1"/>
  <c r="AB50" i="1" a="1"/>
  <c r="AA36" i="1" a="1"/>
  <c r="AB34" i="1" a="1"/>
  <c r="AA20" i="1" a="1"/>
  <c r="AB18" i="1" a="1"/>
  <c r="AA41" i="1" a="1"/>
  <c r="AA10" i="1" a="1"/>
  <c r="AB8" i="1" a="1"/>
  <c r="AA11" i="1" a="1"/>
  <c r="AB9" i="1" a="1"/>
  <c r="AA13" i="1" a="1"/>
  <c r="AA29" i="1" a="1"/>
  <c r="AB14" i="1" a="1"/>
  <c r="AB110" i="1" a="1"/>
  <c r="AB323" i="1" a="1"/>
  <c r="AB266" i="1" a="1"/>
  <c r="AA242" i="1" a="1"/>
  <c r="AB108" i="1" a="1"/>
  <c r="AA323" i="1" a="1"/>
  <c r="AA167" i="1" a="1"/>
  <c r="AA110" i="1" a="1"/>
  <c r="AB267" i="1" a="1"/>
  <c r="AA2" i="1" a="1"/>
  <c r="AA243" i="1" a="1"/>
  <c r="AA3" i="1" a="1"/>
  <c r="AA48" i="1" a="1"/>
  <c r="AB46" i="1" a="1"/>
  <c r="AA32" i="1" a="1"/>
  <c r="AB30" i="1" a="1"/>
  <c r="AA33" i="1" a="1"/>
  <c r="AB11" i="1" a="1"/>
  <c r="AA21" i="1" a="1"/>
  <c r="AA17" i="1" a="1"/>
  <c r="AB15" i="1" a="1"/>
  <c r="AA12" i="1" a="1"/>
  <c r="AB10" i="1" a="1"/>
  <c r="AA270" i="1" a="1"/>
  <c r="AB265" i="1" a="1"/>
  <c r="AA112" i="1" a="1"/>
  <c r="AA269" i="1" a="1"/>
  <c r="AB109" i="1" a="1"/>
  <c r="AA325" i="1" a="1"/>
  <c r="AB84" i="1" a="1"/>
  <c r="AA7" i="1" a="1"/>
  <c r="AB268" i="1" a="1"/>
  <c r="AA109" i="1" a="1"/>
  <c r="AB3" i="1" a="1"/>
  <c r="AA6" i="1" a="1"/>
  <c r="AA5" i="1" a="1"/>
  <c r="P336" i="1" a="1"/>
  <c r="U334" i="1" a="1"/>
  <c r="AA333" i="1" a="1"/>
  <c r="R332" i="1" a="1"/>
  <c r="W330" i="1"/>
  <c r="O330" i="1" a="1"/>
  <c r="AB335" i="1" a="1"/>
  <c r="S334" i="1" a="1"/>
  <c r="P332" i="1" a="1"/>
  <c r="U330" i="1" a="1"/>
  <c r="AA329" i="1" a="1"/>
  <c r="AB331" i="1" a="1"/>
  <c r="S330" i="1" a="1"/>
  <c r="R336" i="1" a="1"/>
  <c r="W334" i="1"/>
  <c r="O334" i="1" a="1"/>
  <c r="W335" i="1"/>
  <c r="U335" i="1" a="1"/>
  <c r="S335" i="1" a="1"/>
  <c r="O335" i="1" a="1"/>
  <c r="AA334" i="1" a="1"/>
  <c r="R333" i="1" a="1"/>
  <c r="P333" i="1" a="1"/>
  <c r="W331" i="1"/>
  <c r="U331" i="1" a="1"/>
  <c r="S331" i="1" a="1"/>
  <c r="O331" i="1" a="1"/>
  <c r="AA330" i="1" a="1"/>
  <c r="T329" i="1" a="1"/>
  <c r="R329" i="1" a="1"/>
  <c r="P329" i="1" a="1"/>
  <c r="W336" i="1"/>
  <c r="U336" i="1" a="1"/>
  <c r="S336" i="1" a="1"/>
  <c r="O336" i="1" a="1"/>
  <c r="AA335" i="1" a="1"/>
  <c r="R334" i="1" a="1"/>
  <c r="P334" i="1" a="1"/>
  <c r="AB333" i="1" a="1"/>
  <c r="W332" i="1"/>
  <c r="U332" i="1" a="1"/>
  <c r="S332" i="1" a="1"/>
  <c r="O332" i="1" a="1"/>
  <c r="AA331" i="1" a="1"/>
  <c r="T330" i="1" a="1"/>
  <c r="R330" i="1" a="1"/>
  <c r="P330" i="1" a="1"/>
  <c r="AB329" i="1" a="1"/>
  <c r="AA336" i="1" a="1"/>
  <c r="R335" i="1" a="1"/>
  <c r="P335" i="1" a="1"/>
  <c r="AB334" i="1" a="1"/>
  <c r="W333" i="1"/>
  <c r="U333" i="1" a="1"/>
  <c r="S333" i="1" a="1"/>
  <c r="O333" i="1" a="1"/>
  <c r="AA332" i="1" a="1"/>
  <c r="T331" i="1" a="1"/>
  <c r="R331" i="1" a="1"/>
  <c r="P331" i="1" a="1"/>
  <c r="AB330" i="1" a="1"/>
  <c r="W329" i="1"/>
  <c r="U329" i="1" a="1"/>
  <c r="S329" i="1" a="1"/>
  <c r="O329" i="1" a="1"/>
  <c r="Q36" i="1" a="1"/>
  <c r="Q47" i="1" a="1"/>
  <c r="Q60" i="1" a="1"/>
  <c r="Q71" i="1" a="1"/>
  <c r="Q177" i="1" a="1"/>
  <c r="Q225" i="1" a="1"/>
  <c r="Q241" i="1" a="1"/>
  <c r="Q259" i="1" a="1"/>
  <c r="Q6" i="1" a="1"/>
  <c r="Q12" i="1" a="1"/>
  <c r="Q18" i="1" a="1"/>
  <c r="Q22" i="1" a="1"/>
  <c r="Q26" i="1" a="1"/>
  <c r="Q34" i="1" a="1"/>
  <c r="Q42" i="1" a="1"/>
  <c r="Q50" i="1" a="1"/>
  <c r="Q58" i="1" a="1"/>
  <c r="Q61" i="1" a="1"/>
  <c r="Q66" i="1" a="1"/>
  <c r="Q69" i="1" a="1"/>
  <c r="Q74" i="1" a="1"/>
  <c r="Q77" i="1" a="1"/>
  <c r="Q82" i="1" a="1"/>
  <c r="Q88" i="1" a="1"/>
  <c r="Q92" i="1" a="1"/>
  <c r="Q96" i="1" a="1"/>
  <c r="Q100" i="1" a="1"/>
  <c r="Q104" i="1" a="1"/>
  <c r="Q114" i="1" a="1"/>
  <c r="Q118" i="1" a="1"/>
  <c r="Q122" i="1" a="1"/>
  <c r="Q126" i="1" a="1"/>
  <c r="Q162" i="1" a="1"/>
  <c r="Q181" i="1" a="1"/>
  <c r="Q197" i="1" a="1"/>
  <c r="Q213" i="1" a="1"/>
  <c r="Q229" i="1" a="1"/>
  <c r="Q247" i="1" a="1"/>
  <c r="Q263" i="1" a="1"/>
  <c r="Q285" i="1" a="1"/>
  <c r="Q309" i="1" a="1"/>
  <c r="Q31" i="1" a="1"/>
  <c r="Q44" i="1" a="1"/>
  <c r="Q55" i="1" a="1"/>
  <c r="Q68" i="1" a="1"/>
  <c r="Q79" i="1" a="1"/>
  <c r="Q158" i="1" a="1"/>
  <c r="Q193" i="1" a="1"/>
  <c r="Q281" i="1" a="1"/>
  <c r="Q10" i="1" a="1"/>
  <c r="Q16" i="1" a="1"/>
  <c r="Q20" i="1" a="1"/>
  <c r="Q24" i="1" a="1"/>
  <c r="Q29" i="1" a="1"/>
  <c r="Q37" i="1" a="1"/>
  <c r="Q45" i="1" a="1"/>
  <c r="Q53" i="1" a="1"/>
  <c r="Q27" i="1" a="1"/>
  <c r="Q32" i="1" a="1"/>
  <c r="Q35" i="1" a="1"/>
  <c r="Q40" i="1" a="1"/>
  <c r="Q43" i="1" a="1"/>
  <c r="Q48" i="1" a="1"/>
  <c r="Q51" i="1" a="1"/>
  <c r="Q56" i="1" a="1"/>
  <c r="Q59" i="1" a="1"/>
  <c r="Q64" i="1" a="1"/>
  <c r="Q67" i="1" a="1"/>
  <c r="Q72" i="1" a="1"/>
  <c r="Q75" i="1" a="1"/>
  <c r="Q80" i="1" a="1"/>
  <c r="Q169" i="1" a="1"/>
  <c r="Q185" i="1" a="1"/>
  <c r="Q201" i="1" a="1"/>
  <c r="Q217" i="1" a="1"/>
  <c r="Q233" i="1" a="1"/>
  <c r="Q251" i="1" a="1"/>
  <c r="Q273" i="1" a="1"/>
  <c r="Q289" i="1" a="1"/>
  <c r="Q317" i="1" a="1"/>
  <c r="Q28" i="1" a="1"/>
  <c r="Q39" i="1" a="1"/>
  <c r="Q52" i="1" a="1"/>
  <c r="Q63" i="1" a="1"/>
  <c r="Q76" i="1" a="1"/>
  <c r="Q209" i="1" a="1"/>
  <c r="Q301" i="1" a="1"/>
  <c r="Q4" i="1" a="1"/>
  <c r="Q8" i="1" a="1"/>
  <c r="Q14" i="1" a="1"/>
  <c r="Q3" i="1" a="1"/>
  <c r="Q5" i="1" a="1"/>
  <c r="Q7" i="1" a="1"/>
  <c r="Q9" i="1" a="1"/>
  <c r="Q11" i="1" a="1"/>
  <c r="Q13" i="1" a="1"/>
  <c r="Q15" i="1" a="1"/>
  <c r="Q17" i="1" a="1"/>
  <c r="Q19" i="1" a="1"/>
  <c r="Q21" i="1" a="1"/>
  <c r="Q23" i="1" a="1"/>
  <c r="Q25" i="1" a="1"/>
  <c r="Q30" i="1" a="1"/>
  <c r="Q33" i="1" a="1"/>
  <c r="Q38" i="1" a="1"/>
  <c r="Q41" i="1" a="1"/>
  <c r="Q46" i="1" a="1"/>
  <c r="Q49" i="1" a="1"/>
  <c r="Q54" i="1" a="1"/>
  <c r="Q57" i="1" a="1"/>
  <c r="Q62" i="1" a="1"/>
  <c r="Q65" i="1" a="1"/>
  <c r="Q70" i="1" a="1"/>
  <c r="Q73" i="1" a="1"/>
  <c r="Q78" i="1" a="1"/>
  <c r="Q81" i="1" a="1"/>
  <c r="Q86" i="1" a="1"/>
  <c r="Q90" i="1" a="1"/>
  <c r="Q94" i="1" a="1"/>
  <c r="Q98" i="1" a="1"/>
  <c r="Q102" i="1" a="1"/>
  <c r="Q106" i="1" a="1"/>
  <c r="Q116" i="1" a="1"/>
  <c r="Q120" i="1" a="1"/>
  <c r="Q124" i="1" a="1"/>
  <c r="Q154" i="1" a="1"/>
  <c r="Q173" i="1" a="1"/>
  <c r="Q189" i="1" a="1"/>
  <c r="Q205" i="1" a="1"/>
  <c r="Q221" i="1" a="1"/>
  <c r="Q237" i="1" a="1"/>
  <c r="Q255" i="1" a="1"/>
  <c r="Q277" i="1" a="1"/>
  <c r="Q293" i="1" a="1"/>
  <c r="Q328" i="1" a="1"/>
  <c r="Q128" i="1" a="1"/>
  <c r="Q130" i="1" a="1"/>
  <c r="Q132" i="1" a="1"/>
  <c r="Q134" i="1" a="1"/>
  <c r="Q136" i="1" a="1"/>
  <c r="Q138" i="1" a="1"/>
  <c r="Q140" i="1" a="1"/>
  <c r="Q142" i="1" a="1"/>
  <c r="Q144" i="1" a="1"/>
  <c r="Q146" i="1" a="1"/>
  <c r="Q148" i="1" a="1"/>
  <c r="Q150" i="1" a="1"/>
  <c r="Q152" i="1" a="1"/>
  <c r="Q155" i="1" a="1"/>
  <c r="Q159" i="1" a="1"/>
  <c r="Q163" i="1" a="1"/>
  <c r="Q170" i="1" a="1"/>
  <c r="Q174" i="1" a="1"/>
  <c r="Q178" i="1" a="1"/>
  <c r="Q182" i="1" a="1"/>
  <c r="Q186" i="1" a="1"/>
  <c r="Q190" i="1" a="1"/>
  <c r="Q194" i="1" a="1"/>
  <c r="Q198" i="1" a="1"/>
  <c r="Q202" i="1" a="1"/>
  <c r="Q206" i="1" a="1"/>
  <c r="Q210" i="1" a="1"/>
  <c r="Q214" i="1" a="1"/>
  <c r="Q218" i="1" a="1"/>
  <c r="Q222" i="1" a="1"/>
  <c r="Q226" i="1" a="1"/>
  <c r="Q230" i="1" a="1"/>
  <c r="Q234" i="1" a="1"/>
  <c r="Q238" i="1" a="1"/>
  <c r="Q244" i="1" a="1"/>
  <c r="Q248" i="1" a="1"/>
  <c r="Q252" i="1" a="1"/>
  <c r="Q256" i="1" a="1"/>
  <c r="Q260" i="1" a="1"/>
  <c r="Q264" i="1" a="1"/>
  <c r="Q274" i="1" a="1"/>
  <c r="Q278" i="1" a="1"/>
  <c r="Q282" i="1" a="1"/>
  <c r="Q286" i="1" a="1"/>
  <c r="Q290" i="1" a="1"/>
  <c r="Q295" i="1" a="1"/>
  <c r="Q303" i="1" a="1"/>
  <c r="Q311" i="1" a="1"/>
  <c r="Q319" i="1" a="1"/>
  <c r="Q330" i="1" a="1"/>
  <c r="Q156" i="1" a="1"/>
  <c r="Q160" i="1" a="1"/>
  <c r="Q164" i="1" a="1"/>
  <c r="Q171" i="1" a="1"/>
  <c r="Q175" i="1" a="1"/>
  <c r="Q179" i="1" a="1"/>
  <c r="Q183" i="1" a="1"/>
  <c r="Q187" i="1" a="1"/>
  <c r="Q191" i="1" a="1"/>
  <c r="Q195" i="1" a="1"/>
  <c r="Q199" i="1" a="1"/>
  <c r="Q203" i="1" a="1"/>
  <c r="Q207" i="1" a="1"/>
  <c r="Q211" i="1" a="1"/>
  <c r="Q215" i="1" a="1"/>
  <c r="Q219" i="1" a="1"/>
  <c r="Q223" i="1" a="1"/>
  <c r="Q227" i="1" a="1"/>
  <c r="Q231" i="1" a="1"/>
  <c r="Q235" i="1" a="1"/>
  <c r="Q239" i="1" a="1"/>
  <c r="Q245" i="1" a="1"/>
  <c r="Q249" i="1" a="1"/>
  <c r="Q253" i="1" a="1"/>
  <c r="Q257" i="1" a="1"/>
  <c r="Q261" i="1" a="1"/>
  <c r="Q271" i="1" a="1"/>
  <c r="Q275" i="1" a="1"/>
  <c r="Q279" i="1" a="1"/>
  <c r="Q283" i="1" a="1"/>
  <c r="Q287" i="1" a="1"/>
  <c r="Q291" i="1" a="1"/>
  <c r="Q297" i="1" a="1"/>
  <c r="Q305" i="1" a="1"/>
  <c r="Q313" i="1" a="1"/>
  <c r="Q321" i="1" a="1"/>
  <c r="Q332" i="1" a="1"/>
  <c r="Q83" i="1" a="1"/>
  <c r="Q87" i="1" a="1"/>
  <c r="Q89" i="1" a="1"/>
  <c r="Q91" i="1" a="1"/>
  <c r="Q93" i="1" a="1"/>
  <c r="Q95" i="1" a="1"/>
  <c r="Q97" i="1" a="1"/>
  <c r="Q99" i="1" a="1"/>
  <c r="Q101" i="1" a="1"/>
  <c r="Q103" i="1" a="1"/>
  <c r="Q105" i="1" a="1"/>
  <c r="Q113" i="1" a="1"/>
  <c r="Q115" i="1" a="1"/>
  <c r="Q117" i="1" a="1"/>
  <c r="Q119" i="1" a="1"/>
  <c r="Q121" i="1" a="1"/>
  <c r="Q123" i="1" a="1"/>
  <c r="Q125" i="1" a="1"/>
  <c r="Q127" i="1" a="1"/>
  <c r="Q129" i="1" a="1"/>
  <c r="Q131" i="1" a="1"/>
  <c r="Q133" i="1" a="1"/>
  <c r="Q135" i="1" a="1"/>
  <c r="Q137" i="1" a="1"/>
  <c r="Q139" i="1" a="1"/>
  <c r="Q141" i="1" a="1"/>
  <c r="Q143" i="1" a="1"/>
  <c r="Q145" i="1" a="1"/>
  <c r="Q147" i="1" a="1"/>
  <c r="Q149" i="1" a="1"/>
  <c r="Q151" i="1" a="1"/>
  <c r="Q153" i="1" a="1"/>
  <c r="Q157" i="1" a="1"/>
  <c r="Q161" i="1" a="1"/>
  <c r="Q168" i="1" a="1"/>
  <c r="Q172" i="1" a="1"/>
  <c r="Q176" i="1" a="1"/>
  <c r="Q180" i="1" a="1"/>
  <c r="Q184" i="1" a="1"/>
  <c r="Q188" i="1" a="1"/>
  <c r="Q192" i="1" a="1"/>
  <c r="Q196" i="1" a="1"/>
  <c r="Q200" i="1" a="1"/>
  <c r="Q204" i="1" a="1"/>
  <c r="Q208" i="1" a="1"/>
  <c r="Q212" i="1" a="1"/>
  <c r="Q216" i="1" a="1"/>
  <c r="Q220" i="1" a="1"/>
  <c r="Q224" i="1" a="1"/>
  <c r="Q228" i="1" a="1"/>
  <c r="Q232" i="1" a="1"/>
  <c r="Q236" i="1" a="1"/>
  <c r="Q240" i="1" a="1"/>
  <c r="Q246" i="1" a="1"/>
  <c r="Q250" i="1" a="1"/>
  <c r="Q254" i="1" a="1"/>
  <c r="Q258" i="1" a="1"/>
  <c r="Q262" i="1" a="1"/>
  <c r="Q272" i="1" a="1"/>
  <c r="Q276" i="1" a="1"/>
  <c r="Q280" i="1" a="1"/>
  <c r="Q284" i="1" a="1"/>
  <c r="Q288" i="1" a="1"/>
  <c r="Q292" i="1" a="1"/>
  <c r="Q299" i="1" a="1"/>
  <c r="Q307" i="1" a="1"/>
  <c r="Q315" i="1" a="1"/>
  <c r="Q326" i="1" a="1"/>
  <c r="Q334" i="1" a="1"/>
  <c r="Q294" i="1" a="1"/>
  <c r="Q296" i="1" a="1"/>
  <c r="Q298" i="1" a="1"/>
  <c r="Q300" i="1" a="1"/>
  <c r="Q302" i="1" a="1"/>
  <c r="Q304" i="1" a="1"/>
  <c r="Q306" i="1" a="1"/>
  <c r="Q308" i="1" a="1"/>
  <c r="Q310" i="1" a="1"/>
  <c r="Q312" i="1" a="1"/>
  <c r="Q314" i="1" a="1"/>
  <c r="Q316" i="1" a="1"/>
  <c r="Q318" i="1" a="1"/>
  <c r="Q320" i="1" a="1"/>
  <c r="Q322" i="1" a="1"/>
  <c r="Q327" i="1" a="1"/>
  <c r="Q329" i="1" a="1"/>
  <c r="Q331" i="1" a="1"/>
  <c r="Q333" i="1" a="1"/>
  <c r="Q335" i="1" a="1"/>
  <c r="Q336" i="1" a="1"/>
  <c r="T2" i="1" a="1"/>
  <c r="T81" i="1" a="1"/>
  <c r="T94" i="1" a="1"/>
  <c r="T107" i="1" a="1"/>
  <c r="T129" i="1" a="1"/>
  <c r="T171" i="1" a="1"/>
  <c r="T198" i="1" a="1"/>
  <c r="T230" i="1" a="1"/>
  <c r="T253" i="1" a="1"/>
  <c r="T269" i="1" a="1"/>
  <c r="T286" i="1" a="1"/>
  <c r="T323" i="1" a="1"/>
  <c r="T6" i="1" a="1"/>
  <c r="T12" i="1" a="1"/>
  <c r="T16" i="1" a="1"/>
  <c r="T20" i="1" a="1"/>
  <c r="T26" i="1" a="1"/>
  <c r="T30" i="1" a="1"/>
  <c r="T36" i="1" a="1"/>
  <c r="T40" i="1" a="1"/>
  <c r="T44" i="1" a="1"/>
  <c r="T48" i="1" a="1"/>
  <c r="T52" i="1" a="1"/>
  <c r="T56" i="1" a="1"/>
  <c r="T60" i="1" a="1"/>
  <c r="T64" i="1" a="1"/>
  <c r="T68" i="1" a="1"/>
  <c r="T72" i="1" a="1"/>
  <c r="T79" i="1" a="1"/>
  <c r="T92" i="1" a="1"/>
  <c r="T100" i="1" a="1"/>
  <c r="T108" i="1" a="1"/>
  <c r="T122" i="1" a="1"/>
  <c r="T130" i="1" a="1"/>
  <c r="T133" i="1" a="1"/>
  <c r="T137" i="1" a="1"/>
  <c r="T145" i="1" a="1"/>
  <c r="T149" i="1" a="1"/>
  <c r="T153" i="1" a="1"/>
  <c r="T158" i="1" a="1"/>
  <c r="T172" i="1" a="1"/>
  <c r="T177" i="1" a="1"/>
  <c r="T188" i="1" a="1"/>
  <c r="T193" i="1" a="1"/>
  <c r="T204" i="1" a="1"/>
  <c r="T209" i="1" a="1"/>
  <c r="T220" i="1" a="1"/>
  <c r="T225" i="1" a="1"/>
  <c r="T236" i="1" a="1"/>
  <c r="T241" i="1" a="1"/>
  <c r="T254" i="1" a="1"/>
  <c r="T259" i="1" a="1"/>
  <c r="T270" i="1" a="1"/>
  <c r="T281" i="1" a="1"/>
  <c r="T292" i="1" a="1"/>
  <c r="T297" i="1" a="1"/>
  <c r="T308" i="1" a="1"/>
  <c r="T313" i="1" a="1"/>
  <c r="T324" i="1" a="1"/>
  <c r="T332" i="1" a="1"/>
  <c r="T84" i="1" a="1"/>
  <c r="T99" i="1" a="1"/>
  <c r="T116" i="1" a="1"/>
  <c r="T124" i="1" a="1"/>
  <c r="T163" i="1" a="1"/>
  <c r="T187" i="1" a="1"/>
  <c r="T214" i="1" a="1"/>
  <c r="T235" i="1" a="1"/>
  <c r="T246" i="1" a="1"/>
  <c r="T264" i="1" a="1"/>
  <c r="T291" i="1" a="1"/>
  <c r="T302" i="1" a="1"/>
  <c r="T307" i="1" a="1"/>
  <c r="T318" i="1" a="1"/>
  <c r="T4" i="1" a="1"/>
  <c r="T8" i="1" a="1"/>
  <c r="T10" i="1" a="1"/>
  <c r="T14" i="1" a="1"/>
  <c r="T18" i="1" a="1"/>
  <c r="T22" i="1" a="1"/>
  <c r="T24" i="1" a="1"/>
  <c r="T28" i="1" a="1"/>
  <c r="T32" i="1" a="1"/>
  <c r="T34" i="1" a="1"/>
  <c r="T38" i="1" a="1"/>
  <c r="T42" i="1" a="1"/>
  <c r="T46" i="1" a="1"/>
  <c r="T50" i="1" a="1"/>
  <c r="T54" i="1" a="1"/>
  <c r="T58" i="1" a="1"/>
  <c r="T62" i="1" a="1"/>
  <c r="T66" i="1" a="1"/>
  <c r="T70" i="1" a="1"/>
  <c r="T74" i="1" a="1"/>
  <c r="T82" i="1" a="1"/>
  <c r="T89" i="1" a="1"/>
  <c r="T97" i="1" a="1"/>
  <c r="T105" i="1" a="1"/>
  <c r="T119" i="1" a="1"/>
  <c r="T127" i="1" a="1"/>
  <c r="T141" i="1" a="1"/>
  <c r="T77" i="1" a="1"/>
  <c r="T80" i="1" a="1"/>
  <c r="T85" i="1" a="1"/>
  <c r="T90" i="1" a="1"/>
  <c r="T95" i="1" a="1"/>
  <c r="T98" i="1" a="1"/>
  <c r="T103" i="1" a="1"/>
  <c r="T106" i="1" a="1"/>
  <c r="T117" i="1" a="1"/>
  <c r="T120" i="1" a="1"/>
  <c r="T125" i="1" a="1"/>
  <c r="T128" i="1" a="1"/>
  <c r="T155" i="1" a="1"/>
  <c r="T160" i="1" a="1"/>
  <c r="T174" i="1" a="1"/>
  <c r="T179" i="1" a="1"/>
  <c r="T190" i="1" a="1"/>
  <c r="T195" i="1" a="1"/>
  <c r="T206" i="1" a="1"/>
  <c r="T211" i="1" a="1"/>
  <c r="T222" i="1" a="1"/>
  <c r="T227" i="1" a="1"/>
  <c r="T238" i="1" a="1"/>
  <c r="T243" i="1" a="1"/>
  <c r="T256" i="1" a="1"/>
  <c r="T261" i="1" a="1"/>
  <c r="T278" i="1" a="1"/>
  <c r="T283" i="1" a="1"/>
  <c r="T294" i="1" a="1"/>
  <c r="T299" i="1" a="1"/>
  <c r="T310" i="1" a="1"/>
  <c r="T315" i="1" a="1"/>
  <c r="T326" i="1" a="1"/>
  <c r="T334" i="1" a="1"/>
  <c r="T76" i="1" a="1"/>
  <c r="T91" i="1" a="1"/>
  <c r="T102" i="1" a="1"/>
  <c r="T121" i="1" a="1"/>
  <c r="T182" i="1" a="1"/>
  <c r="T203" i="1" a="1"/>
  <c r="T219" i="1" a="1"/>
  <c r="T3" i="1" a="1"/>
  <c r="T5" i="1" a="1"/>
  <c r="T7" i="1" a="1"/>
  <c r="T9" i="1" a="1"/>
  <c r="T11" i="1" a="1"/>
  <c r="T13" i="1" a="1"/>
  <c r="T15" i="1" a="1"/>
  <c r="T17" i="1" a="1"/>
  <c r="T19" i="1" a="1"/>
  <c r="T21" i="1" a="1"/>
  <c r="T23" i="1" a="1"/>
  <c r="T25" i="1" a="1"/>
  <c r="T27" i="1" a="1"/>
  <c r="T29" i="1" a="1"/>
  <c r="T31" i="1" a="1"/>
  <c r="T33" i="1" a="1"/>
  <c r="T35" i="1" a="1"/>
  <c r="T37" i="1" a="1"/>
  <c r="T39" i="1" a="1"/>
  <c r="T41" i="1" a="1"/>
  <c r="T43" i="1" a="1"/>
  <c r="T45" i="1" a="1"/>
  <c r="T47" i="1" a="1"/>
  <c r="T49" i="1" a="1"/>
  <c r="T51" i="1" a="1"/>
  <c r="T53" i="1" a="1"/>
  <c r="T55" i="1" a="1"/>
  <c r="T57" i="1" a="1"/>
  <c r="T59" i="1" a="1"/>
  <c r="T61" i="1" a="1"/>
  <c r="T63" i="1" a="1"/>
  <c r="T65" i="1" a="1"/>
  <c r="T67" i="1" a="1"/>
  <c r="T69" i="1" a="1"/>
  <c r="T71" i="1" a="1"/>
  <c r="T73" i="1" a="1"/>
  <c r="T75" i="1" a="1"/>
  <c r="T78" i="1" a="1"/>
  <c r="T83" i="1" a="1"/>
  <c r="T88" i="1" a="1"/>
  <c r="T93" i="1" a="1"/>
  <c r="T96" i="1" a="1"/>
  <c r="T101" i="1" a="1"/>
  <c r="T104" i="1" a="1"/>
  <c r="T115" i="1" a="1"/>
  <c r="T118" i="1" a="1"/>
  <c r="T123" i="1" a="1"/>
  <c r="T126" i="1" a="1"/>
  <c r="T131" i="1" a="1"/>
  <c r="T135" i="1" a="1"/>
  <c r="T139" i="1" a="1"/>
  <c r="T143" i="1" a="1"/>
  <c r="T147" i="1" a="1"/>
  <c r="T151" i="1" a="1"/>
  <c r="T161" i="1" a="1"/>
  <c r="T166" i="1" a="1"/>
  <c r="T180" i="1" a="1"/>
  <c r="T185" i="1" a="1"/>
  <c r="T196" i="1" a="1"/>
  <c r="T201" i="1" a="1"/>
  <c r="T212" i="1" a="1"/>
  <c r="T217" i="1" a="1"/>
  <c r="T228" i="1" a="1"/>
  <c r="T233" i="1" a="1"/>
  <c r="T244" i="1" a="1"/>
  <c r="T251" i="1" a="1"/>
  <c r="T262" i="1" a="1"/>
  <c r="T267" i="1" a="1"/>
  <c r="T284" i="1" a="1"/>
  <c r="T289" i="1" a="1"/>
  <c r="T300" i="1" a="1"/>
  <c r="T305" i="1" a="1"/>
  <c r="T316" i="1" a="1"/>
  <c r="T321" i="1" a="1"/>
  <c r="T335" i="1" a="1"/>
  <c r="T156" i="1" a="1"/>
  <c r="T159" i="1" a="1"/>
  <c r="T164" i="1" a="1"/>
  <c r="T170" i="1" a="1"/>
  <c r="T175" i="1" a="1"/>
  <c r="T178" i="1" a="1"/>
  <c r="T183" i="1" a="1"/>
  <c r="T186" i="1" a="1"/>
  <c r="T191" i="1" a="1"/>
  <c r="T194" i="1" a="1"/>
  <c r="T199" i="1" a="1"/>
  <c r="T202" i="1" a="1"/>
  <c r="T207" i="1" a="1"/>
  <c r="T210" i="1" a="1"/>
  <c r="T215" i="1" a="1"/>
  <c r="T218" i="1" a="1"/>
  <c r="T223" i="1" a="1"/>
  <c r="T226" i="1" a="1"/>
  <c r="T231" i="1" a="1"/>
  <c r="T234" i="1" a="1"/>
  <c r="T239" i="1" a="1"/>
  <c r="T242" i="1" a="1"/>
  <c r="T247" i="1" a="1"/>
  <c r="T252" i="1" a="1"/>
  <c r="T257" i="1" a="1"/>
  <c r="T260" i="1" a="1"/>
  <c r="T265" i="1" a="1"/>
  <c r="T268" i="1" a="1"/>
  <c r="T279" i="1" a="1"/>
  <c r="T282" i="1" a="1"/>
  <c r="T287" i="1" a="1"/>
  <c r="T290" i="1" a="1"/>
  <c r="T295" i="1" a="1"/>
  <c r="T298" i="1" a="1"/>
  <c r="T303" i="1" a="1"/>
  <c r="T306" i="1" a="1"/>
  <c r="T311" i="1" a="1"/>
  <c r="T314" i="1" a="1"/>
  <c r="T319" i="1" a="1"/>
  <c r="T322" i="1" a="1"/>
  <c r="T327" i="1" a="1"/>
  <c r="T333" i="1" a="1"/>
  <c r="T132" i="1" a="1"/>
  <c r="T134" i="1" a="1"/>
  <c r="T136" i="1" a="1"/>
  <c r="T138" i="1" a="1"/>
  <c r="T140" i="1" a="1"/>
  <c r="T142" i="1" a="1"/>
  <c r="T144" i="1" a="1"/>
  <c r="T146" i="1" a="1"/>
  <c r="T148" i="1" a="1"/>
  <c r="T150" i="1" a="1"/>
  <c r="T152" i="1" a="1"/>
  <c r="T154" i="1" a="1"/>
  <c r="T157" i="1" a="1"/>
  <c r="T162" i="1" a="1"/>
  <c r="T165" i="1" a="1"/>
  <c r="T173" i="1" a="1"/>
  <c r="T176" i="1" a="1"/>
  <c r="T181" i="1" a="1"/>
  <c r="T184" i="1" a="1"/>
  <c r="T189" i="1" a="1"/>
  <c r="T192" i="1" a="1"/>
  <c r="T197" i="1" a="1"/>
  <c r="T200" i="1" a="1"/>
  <c r="T205" i="1" a="1"/>
  <c r="T208" i="1" a="1"/>
  <c r="T213" i="1" a="1"/>
  <c r="T216" i="1" a="1"/>
  <c r="T221" i="1" a="1"/>
  <c r="T224" i="1" a="1"/>
  <c r="T229" i="1" a="1"/>
  <c r="T232" i="1" a="1"/>
  <c r="T237" i="1" a="1"/>
  <c r="T240" i="1" a="1"/>
  <c r="T245" i="1" a="1"/>
  <c r="T250" i="1" a="1"/>
  <c r="T255" i="1" a="1"/>
  <c r="T258" i="1" a="1"/>
  <c r="T263" i="1" a="1"/>
  <c r="T266" i="1" a="1"/>
  <c r="T277" i="1" a="1"/>
  <c r="T280" i="1" a="1"/>
  <c r="T285" i="1" a="1"/>
  <c r="T288" i="1" a="1"/>
  <c r="T293" i="1" a="1"/>
  <c r="T296" i="1" a="1"/>
  <c r="T301" i="1" a="1"/>
  <c r="T304" i="1" a="1"/>
  <c r="T309" i="1" a="1"/>
  <c r="T312" i="1" a="1"/>
  <c r="T317" i="1" a="1"/>
  <c r="T320" i="1" a="1"/>
  <c r="T325" i="1" a="1"/>
  <c r="T328" i="1" a="1"/>
  <c r="T336" i="1" a="1"/>
  <c r="T336" i="1" l="1"/>
  <c r="T328" i="1"/>
  <c r="T325" i="1"/>
  <c r="T320" i="1"/>
  <c r="T317" i="1"/>
  <c r="T312" i="1"/>
  <c r="T309" i="1"/>
  <c r="T304" i="1"/>
  <c r="T301" i="1"/>
  <c r="T296" i="1"/>
  <c r="T293" i="1"/>
  <c r="T288" i="1"/>
  <c r="T285" i="1"/>
  <c r="T280" i="1"/>
  <c r="T277" i="1"/>
  <c r="T266" i="1"/>
  <c r="T263" i="1"/>
  <c r="T258" i="1"/>
  <c r="T255" i="1"/>
  <c r="T250" i="1"/>
  <c r="T245" i="1"/>
  <c r="T240" i="1"/>
  <c r="T237" i="1"/>
  <c r="T232" i="1"/>
  <c r="T229" i="1"/>
  <c r="T224" i="1"/>
  <c r="T221" i="1"/>
  <c r="T216" i="1"/>
  <c r="T213" i="1"/>
  <c r="T208" i="1"/>
  <c r="T205" i="1"/>
  <c r="T200" i="1"/>
  <c r="T197" i="1"/>
  <c r="T192" i="1"/>
  <c r="T189" i="1"/>
  <c r="T184" i="1"/>
  <c r="T181" i="1"/>
  <c r="T176" i="1"/>
  <c r="T173" i="1"/>
  <c r="T165" i="1"/>
  <c r="T162" i="1"/>
  <c r="T157" i="1"/>
  <c r="T154" i="1"/>
  <c r="T152" i="1"/>
  <c r="T150" i="1"/>
  <c r="T148" i="1"/>
  <c r="T146" i="1"/>
  <c r="T144" i="1"/>
  <c r="T142" i="1"/>
  <c r="T140" i="1"/>
  <c r="T138" i="1"/>
  <c r="T136" i="1"/>
  <c r="T134" i="1"/>
  <c r="T132" i="1"/>
  <c r="T333" i="1"/>
  <c r="T327" i="1"/>
  <c r="T322" i="1"/>
  <c r="T319" i="1"/>
  <c r="T314" i="1"/>
  <c r="T311" i="1"/>
  <c r="T306" i="1"/>
  <c r="T303" i="1"/>
  <c r="T298" i="1"/>
  <c r="T295" i="1"/>
  <c r="T290" i="1"/>
  <c r="T287" i="1"/>
  <c r="T282" i="1"/>
  <c r="T279" i="1"/>
  <c r="T268" i="1"/>
  <c r="T265" i="1"/>
  <c r="T260" i="1"/>
  <c r="T257" i="1"/>
  <c r="T252" i="1"/>
  <c r="T247" i="1"/>
  <c r="T242" i="1"/>
  <c r="T239" i="1"/>
  <c r="T234" i="1"/>
  <c r="T231" i="1"/>
  <c r="T226" i="1"/>
  <c r="T223" i="1"/>
  <c r="T218" i="1"/>
  <c r="T215" i="1"/>
  <c r="T210" i="1"/>
  <c r="T207" i="1"/>
  <c r="T202" i="1"/>
  <c r="T199" i="1"/>
  <c r="T194" i="1"/>
  <c r="T191" i="1"/>
  <c r="T186" i="1"/>
  <c r="T183" i="1"/>
  <c r="T178" i="1"/>
  <c r="T175" i="1"/>
  <c r="T170" i="1"/>
  <c r="T164" i="1"/>
  <c r="T159" i="1"/>
  <c r="T156" i="1"/>
  <c r="T335" i="1"/>
  <c r="T321" i="1"/>
  <c r="T316" i="1"/>
  <c r="T305" i="1"/>
  <c r="T300" i="1"/>
  <c r="T289" i="1"/>
  <c r="T284" i="1"/>
  <c r="T267" i="1"/>
  <c r="T262" i="1"/>
  <c r="T251" i="1"/>
  <c r="T244" i="1"/>
  <c r="T233" i="1"/>
  <c r="T228" i="1"/>
  <c r="T217" i="1"/>
  <c r="T212" i="1"/>
  <c r="T201" i="1"/>
  <c r="T196" i="1"/>
  <c r="T185" i="1"/>
  <c r="T180" i="1"/>
  <c r="T166" i="1"/>
  <c r="T161" i="1"/>
  <c r="T151" i="1"/>
  <c r="T147" i="1"/>
  <c r="T143" i="1"/>
  <c r="T139" i="1"/>
  <c r="T135" i="1"/>
  <c r="T131" i="1"/>
  <c r="T126" i="1"/>
  <c r="T123" i="1"/>
  <c r="T118" i="1"/>
  <c r="T115" i="1"/>
  <c r="T104" i="1"/>
  <c r="T101" i="1"/>
  <c r="T96" i="1"/>
  <c r="T93" i="1"/>
  <c r="T88" i="1"/>
  <c r="T83" i="1"/>
  <c r="T78" i="1"/>
  <c r="T75" i="1"/>
  <c r="T73" i="1"/>
  <c r="T71" i="1"/>
  <c r="T69" i="1"/>
  <c r="T67" i="1"/>
  <c r="T65" i="1"/>
  <c r="T63" i="1"/>
  <c r="T61" i="1"/>
  <c r="T59" i="1"/>
  <c r="T57" i="1"/>
  <c r="T55" i="1"/>
  <c r="T53" i="1"/>
  <c r="T51" i="1"/>
  <c r="T49" i="1"/>
  <c r="T47" i="1"/>
  <c r="T45" i="1"/>
  <c r="T43" i="1"/>
  <c r="T41" i="1"/>
  <c r="T39" i="1"/>
  <c r="T37" i="1"/>
  <c r="T35" i="1"/>
  <c r="T33" i="1"/>
  <c r="T31" i="1"/>
  <c r="T29" i="1"/>
  <c r="T27" i="1"/>
  <c r="T25" i="1"/>
  <c r="T23" i="1"/>
  <c r="T21" i="1"/>
  <c r="T19" i="1"/>
  <c r="T17" i="1"/>
  <c r="T15" i="1"/>
  <c r="T13" i="1"/>
  <c r="T11" i="1"/>
  <c r="T9" i="1"/>
  <c r="T7" i="1"/>
  <c r="T5" i="1"/>
  <c r="T3" i="1"/>
  <c r="T219" i="1"/>
  <c r="T203" i="1"/>
  <c r="T182" i="1"/>
  <c r="T121" i="1"/>
  <c r="T102" i="1"/>
  <c r="T91" i="1"/>
  <c r="T76" i="1"/>
  <c r="T334" i="1"/>
  <c r="T326" i="1"/>
  <c r="T315" i="1"/>
  <c r="T310" i="1"/>
  <c r="T299" i="1"/>
  <c r="T294" i="1"/>
  <c r="T283" i="1"/>
  <c r="T278" i="1"/>
  <c r="T261" i="1"/>
  <c r="T256" i="1"/>
  <c r="T243" i="1"/>
  <c r="T238" i="1"/>
  <c r="T227" i="1"/>
  <c r="T222" i="1"/>
  <c r="T211" i="1"/>
  <c r="T206" i="1"/>
  <c r="T195" i="1"/>
  <c r="T190" i="1"/>
  <c r="T179" i="1"/>
  <c r="T174" i="1"/>
  <c r="T160" i="1"/>
  <c r="T155" i="1"/>
  <c r="T128" i="1"/>
  <c r="T125" i="1"/>
  <c r="T120" i="1"/>
  <c r="T117" i="1"/>
  <c r="T106" i="1"/>
  <c r="T103" i="1"/>
  <c r="T98" i="1"/>
  <c r="T95" i="1"/>
  <c r="T90" i="1"/>
  <c r="T85" i="1"/>
  <c r="T80" i="1"/>
  <c r="T77" i="1"/>
  <c r="T141" i="1"/>
  <c r="T127" i="1"/>
  <c r="T119" i="1"/>
  <c r="T105" i="1"/>
  <c r="T97" i="1"/>
  <c r="T89" i="1"/>
  <c r="T82" i="1"/>
  <c r="T74" i="1"/>
  <c r="T70" i="1"/>
  <c r="T66" i="1"/>
  <c r="T62" i="1"/>
  <c r="T58" i="1"/>
  <c r="T54" i="1"/>
  <c r="T50" i="1"/>
  <c r="T46" i="1"/>
  <c r="T42" i="1"/>
  <c r="T38" i="1"/>
  <c r="T34" i="1"/>
  <c r="T32" i="1"/>
  <c r="T28" i="1"/>
  <c r="T24" i="1"/>
  <c r="T22" i="1"/>
  <c r="T18" i="1"/>
  <c r="T14" i="1"/>
  <c r="T10" i="1"/>
  <c r="T8" i="1"/>
  <c r="T4" i="1"/>
  <c r="T318" i="1"/>
  <c r="T307" i="1"/>
  <c r="T302" i="1"/>
  <c r="T291" i="1"/>
  <c r="T264" i="1"/>
  <c r="T246" i="1"/>
  <c r="T235" i="1"/>
  <c r="T214" i="1"/>
  <c r="T187" i="1"/>
  <c r="T163" i="1"/>
  <c r="T124" i="1"/>
  <c r="T116" i="1"/>
  <c r="T99" i="1"/>
  <c r="T84" i="1"/>
  <c r="T332" i="1"/>
  <c r="T324" i="1"/>
  <c r="T313" i="1"/>
  <c r="T308" i="1"/>
  <c r="T297" i="1"/>
  <c r="T292" i="1"/>
  <c r="T281" i="1"/>
  <c r="T270" i="1"/>
  <c r="T259" i="1"/>
  <c r="T254" i="1"/>
  <c r="T241" i="1"/>
  <c r="T236" i="1"/>
  <c r="T225" i="1"/>
  <c r="T220" i="1"/>
  <c r="T209" i="1"/>
  <c r="T204" i="1"/>
  <c r="T193" i="1"/>
  <c r="T188" i="1"/>
  <c r="T177" i="1"/>
  <c r="T172" i="1"/>
  <c r="T158" i="1"/>
  <c r="T153" i="1"/>
  <c r="T149" i="1"/>
  <c r="T145" i="1"/>
  <c r="T137" i="1"/>
  <c r="T133" i="1"/>
  <c r="T130" i="1"/>
  <c r="T122" i="1"/>
  <c r="T108" i="1"/>
  <c r="T100" i="1"/>
  <c r="T92" i="1"/>
  <c r="T79" i="1"/>
  <c r="T72" i="1"/>
  <c r="T68" i="1"/>
  <c r="T64" i="1"/>
  <c r="T60" i="1"/>
  <c r="T56" i="1"/>
  <c r="T52" i="1"/>
  <c r="T48" i="1"/>
  <c r="T44" i="1"/>
  <c r="T40" i="1"/>
  <c r="T36" i="1"/>
  <c r="T30" i="1"/>
  <c r="T26" i="1"/>
  <c r="T20" i="1"/>
  <c r="T16" i="1"/>
  <c r="T12" i="1"/>
  <c r="T6" i="1"/>
  <c r="T323" i="1"/>
  <c r="T286" i="1"/>
  <c r="T269" i="1"/>
  <c r="T253" i="1"/>
  <c r="T230" i="1"/>
  <c r="T198" i="1"/>
  <c r="T171" i="1"/>
  <c r="T129" i="1"/>
  <c r="T107" i="1"/>
  <c r="T94" i="1"/>
  <c r="T81" i="1"/>
  <c r="T2" i="1"/>
  <c r="Q336" i="1"/>
  <c r="Q335" i="1"/>
  <c r="Q333" i="1"/>
  <c r="Q331" i="1"/>
  <c r="Q329" i="1"/>
  <c r="Q327" i="1"/>
  <c r="Q322" i="1"/>
  <c r="Q320" i="1"/>
  <c r="Q318" i="1"/>
  <c r="Q316" i="1"/>
  <c r="Q314" i="1"/>
  <c r="Q312" i="1"/>
  <c r="Q310" i="1"/>
  <c r="Q308" i="1"/>
  <c r="Q306" i="1"/>
  <c r="Q304" i="1"/>
  <c r="Q302" i="1"/>
  <c r="Q300" i="1"/>
  <c r="Q298" i="1"/>
  <c r="Q296" i="1"/>
  <c r="Q294" i="1"/>
  <c r="Q334" i="1"/>
  <c r="Q326" i="1"/>
  <c r="Q315" i="1"/>
  <c r="Q307" i="1"/>
  <c r="Q299" i="1"/>
  <c r="Q292" i="1"/>
  <c r="Q288" i="1"/>
  <c r="Q284" i="1"/>
  <c r="Q280" i="1"/>
  <c r="Q276" i="1"/>
  <c r="Q272" i="1"/>
  <c r="Q262" i="1"/>
  <c r="Q258" i="1"/>
  <c r="Q254" i="1"/>
  <c r="Q250" i="1"/>
  <c r="Q246" i="1"/>
  <c r="Q240" i="1"/>
  <c r="Q236" i="1"/>
  <c r="Q232" i="1"/>
  <c r="Q228" i="1"/>
  <c r="Q224" i="1"/>
  <c r="Q220" i="1"/>
  <c r="Q216" i="1"/>
  <c r="Q212" i="1"/>
  <c r="Q208" i="1"/>
  <c r="Q204" i="1"/>
  <c r="Q200" i="1"/>
  <c r="Q196" i="1"/>
  <c r="Q192" i="1"/>
  <c r="Q188" i="1"/>
  <c r="Q184" i="1"/>
  <c r="Q180" i="1"/>
  <c r="Q176" i="1"/>
  <c r="Q172" i="1"/>
  <c r="Q168" i="1"/>
  <c r="Q161" i="1"/>
  <c r="Q157" i="1"/>
  <c r="Q153" i="1"/>
  <c r="Q151" i="1"/>
  <c r="Q149" i="1"/>
  <c r="Q147" i="1"/>
  <c r="Q145" i="1"/>
  <c r="Q143" i="1"/>
  <c r="Q141" i="1"/>
  <c r="Q139" i="1"/>
  <c r="Q137" i="1"/>
  <c r="Q135" i="1"/>
  <c r="Q133" i="1"/>
  <c r="Q131" i="1"/>
  <c r="Q129" i="1"/>
  <c r="Q127" i="1"/>
  <c r="Q125" i="1"/>
  <c r="Q123" i="1"/>
  <c r="Q121" i="1"/>
  <c r="Q119" i="1"/>
  <c r="Q117" i="1"/>
  <c r="Q115" i="1"/>
  <c r="Q113" i="1"/>
  <c r="Q105" i="1"/>
  <c r="Q103" i="1"/>
  <c r="Q101" i="1"/>
  <c r="Q99" i="1"/>
  <c r="Q97" i="1"/>
  <c r="Q95" i="1"/>
  <c r="Q93" i="1"/>
  <c r="Q91" i="1"/>
  <c r="Q89" i="1"/>
  <c r="Q87" i="1"/>
  <c r="Q83" i="1"/>
  <c r="Q332" i="1"/>
  <c r="Q321" i="1"/>
  <c r="Q313" i="1"/>
  <c r="Q305" i="1"/>
  <c r="Q297" i="1"/>
  <c r="Q291" i="1"/>
  <c r="Q287" i="1"/>
  <c r="Q283" i="1"/>
  <c r="Q279" i="1"/>
  <c r="Q275" i="1"/>
  <c r="Q271" i="1"/>
  <c r="Q261" i="1"/>
  <c r="Q257" i="1"/>
  <c r="Q253" i="1"/>
  <c r="Q249" i="1"/>
  <c r="Q245" i="1"/>
  <c r="Q239" i="1"/>
  <c r="Q235" i="1"/>
  <c r="Q231" i="1"/>
  <c r="Q227" i="1"/>
  <c r="Q223" i="1"/>
  <c r="Q219" i="1"/>
  <c r="Q215" i="1"/>
  <c r="Q211" i="1"/>
  <c r="Q207" i="1"/>
  <c r="Q203" i="1"/>
  <c r="Q199" i="1"/>
  <c r="Q195" i="1"/>
  <c r="Q191" i="1"/>
  <c r="Q187" i="1"/>
  <c r="Q183" i="1"/>
  <c r="Q179" i="1"/>
  <c r="Q175" i="1"/>
  <c r="Q171" i="1"/>
  <c r="Q164" i="1"/>
  <c r="Q160" i="1"/>
  <c r="Q156" i="1"/>
  <c r="Q330" i="1"/>
  <c r="Q319" i="1"/>
  <c r="Q311" i="1"/>
  <c r="Q303" i="1"/>
  <c r="Q295" i="1"/>
  <c r="Q290" i="1"/>
  <c r="Q286" i="1"/>
  <c r="Q282" i="1"/>
  <c r="Q278" i="1"/>
  <c r="Q274" i="1"/>
  <c r="Q264" i="1"/>
  <c r="Q260" i="1"/>
  <c r="Q256" i="1"/>
  <c r="Q252" i="1"/>
  <c r="Q248" i="1"/>
  <c r="Q244" i="1"/>
  <c r="Q238" i="1"/>
  <c r="Q234" i="1"/>
  <c r="Q230" i="1"/>
  <c r="Q226" i="1"/>
  <c r="Q222" i="1"/>
  <c r="Q218" i="1"/>
  <c r="Q214" i="1"/>
  <c r="Q210" i="1"/>
  <c r="Q206" i="1"/>
  <c r="Q202" i="1"/>
  <c r="Q198" i="1"/>
  <c r="Q194" i="1"/>
  <c r="Q190" i="1"/>
  <c r="Q186" i="1"/>
  <c r="Q182" i="1"/>
  <c r="Q178" i="1"/>
  <c r="Q174" i="1"/>
  <c r="Q170" i="1"/>
  <c r="Q163" i="1"/>
  <c r="Q159" i="1"/>
  <c r="Q155" i="1"/>
  <c r="Q152" i="1"/>
  <c r="Q150" i="1"/>
  <c r="Q148" i="1"/>
  <c r="Q146" i="1"/>
  <c r="Q144" i="1"/>
  <c r="Q142" i="1"/>
  <c r="Q140" i="1"/>
  <c r="Q138" i="1"/>
  <c r="Q136" i="1"/>
  <c r="Q134" i="1"/>
  <c r="Q132" i="1"/>
  <c r="Q130" i="1"/>
  <c r="Q128" i="1"/>
  <c r="Q328" i="1"/>
  <c r="Q293" i="1"/>
  <c r="Q277" i="1"/>
  <c r="Q255" i="1"/>
  <c r="Q237" i="1"/>
  <c r="Q221" i="1"/>
  <c r="Q205" i="1"/>
  <c r="Q189" i="1"/>
  <c r="Q173" i="1"/>
  <c r="Q154" i="1"/>
  <c r="Q124" i="1"/>
  <c r="Q120" i="1"/>
  <c r="Q116" i="1"/>
  <c r="Q106" i="1"/>
  <c r="Q102" i="1"/>
  <c r="Q98" i="1"/>
  <c r="Q94" i="1"/>
  <c r="Q90" i="1"/>
  <c r="Q86" i="1"/>
  <c r="Q81" i="1"/>
  <c r="Q78" i="1"/>
  <c r="Q73" i="1"/>
  <c r="Q70" i="1"/>
  <c r="Q65" i="1"/>
  <c r="Q62" i="1"/>
  <c r="Q57" i="1"/>
  <c r="Q54" i="1"/>
  <c r="Q49" i="1"/>
  <c r="Q46" i="1"/>
  <c r="Q41" i="1"/>
  <c r="Q38" i="1"/>
  <c r="Q33" i="1"/>
  <c r="Q30" i="1"/>
  <c r="Q25" i="1"/>
  <c r="Q23" i="1"/>
  <c r="Q21" i="1"/>
  <c r="Q19" i="1"/>
  <c r="Q17" i="1"/>
  <c r="Q15" i="1"/>
  <c r="Q13" i="1"/>
  <c r="Q11" i="1"/>
  <c r="Q9" i="1"/>
  <c r="Q7" i="1"/>
  <c r="Q5" i="1"/>
  <c r="Q3" i="1"/>
  <c r="Q14" i="1"/>
  <c r="Q8" i="1"/>
  <c r="Q4" i="1"/>
  <c r="Q301" i="1"/>
  <c r="Q209" i="1"/>
  <c r="Q76" i="1"/>
  <c r="Q63" i="1"/>
  <c r="Q52" i="1"/>
  <c r="Q39" i="1"/>
  <c r="Q28" i="1"/>
  <c r="Q317" i="1"/>
  <c r="Q289" i="1"/>
  <c r="Q273" i="1"/>
  <c r="Q251" i="1"/>
  <c r="Q233" i="1"/>
  <c r="Q217" i="1"/>
  <c r="Q201" i="1"/>
  <c r="Q185" i="1"/>
  <c r="Q169" i="1"/>
  <c r="Q80" i="1"/>
  <c r="Q75" i="1"/>
  <c r="Q72" i="1"/>
  <c r="Q67" i="1"/>
  <c r="Q64" i="1"/>
  <c r="Q59" i="1"/>
  <c r="Q56" i="1"/>
  <c r="Q51" i="1"/>
  <c r="Q48" i="1"/>
  <c r="Q43" i="1"/>
  <c r="Q40" i="1"/>
  <c r="Q35" i="1"/>
  <c r="Q32" i="1"/>
  <c r="Q27" i="1"/>
  <c r="Q53" i="1"/>
  <c r="Q45" i="1"/>
  <c r="Q37" i="1"/>
  <c r="Q29" i="1"/>
  <c r="Q24" i="1"/>
  <c r="Q20" i="1"/>
  <c r="Q16" i="1"/>
  <c r="Q10" i="1"/>
  <c r="Q281" i="1"/>
  <c r="Q193" i="1"/>
  <c r="Q158" i="1"/>
  <c r="Q79" i="1"/>
  <c r="Q68" i="1"/>
  <c r="Q55" i="1"/>
  <c r="Q44" i="1"/>
  <c r="Q31" i="1"/>
  <c r="Q309" i="1"/>
  <c r="Q285" i="1"/>
  <c r="Q263" i="1"/>
  <c r="Q247" i="1"/>
  <c r="Q229" i="1"/>
  <c r="Q213" i="1"/>
  <c r="Q197" i="1"/>
  <c r="Q181" i="1"/>
  <c r="Q162" i="1"/>
  <c r="Q126" i="1"/>
  <c r="Q122" i="1"/>
  <c r="Q118" i="1"/>
  <c r="Q114" i="1"/>
  <c r="Q104" i="1"/>
  <c r="Q100" i="1"/>
  <c r="Q96" i="1"/>
  <c r="Q92" i="1"/>
  <c r="Q88" i="1"/>
  <c r="Q82" i="1"/>
  <c r="Q77" i="1"/>
  <c r="Q74" i="1"/>
  <c r="Q69" i="1"/>
  <c r="Q66" i="1"/>
  <c r="Q61" i="1"/>
  <c r="Q58" i="1"/>
  <c r="Q50" i="1"/>
  <c r="Q42" i="1"/>
  <c r="Q34" i="1"/>
  <c r="Q26" i="1"/>
  <c r="Q22" i="1"/>
  <c r="Q18" i="1"/>
  <c r="Q12" i="1"/>
  <c r="Q6" i="1"/>
  <c r="Q259" i="1"/>
  <c r="Q241" i="1"/>
  <c r="Q225" i="1"/>
  <c r="Q177" i="1"/>
  <c r="Q71" i="1"/>
  <c r="Q60" i="1"/>
  <c r="Q47" i="1"/>
  <c r="Q36" i="1"/>
  <c r="O329" i="1"/>
  <c r="S329" i="1"/>
  <c r="U329" i="1"/>
  <c r="AB330" i="1"/>
  <c r="P331" i="1"/>
  <c r="R331" i="1"/>
  <c r="T331" i="1"/>
  <c r="AA332" i="1"/>
  <c r="O333" i="1"/>
  <c r="S333" i="1"/>
  <c r="U333" i="1"/>
  <c r="AB334" i="1"/>
  <c r="P335" i="1"/>
  <c r="R335" i="1"/>
  <c r="AA336" i="1"/>
  <c r="AB329" i="1"/>
  <c r="P330" i="1"/>
  <c r="R330" i="1"/>
  <c r="T330" i="1"/>
  <c r="AA331" i="1"/>
  <c r="O332" i="1"/>
  <c r="S332" i="1"/>
  <c r="U332" i="1"/>
  <c r="AB333" i="1"/>
  <c r="P334" i="1"/>
  <c r="R334" i="1"/>
  <c r="AA335" i="1"/>
  <c r="O336" i="1"/>
  <c r="S336" i="1"/>
  <c r="U336" i="1"/>
  <c r="P329" i="1"/>
  <c r="R329" i="1"/>
  <c r="T329" i="1"/>
  <c r="AA330" i="1"/>
  <c r="O331" i="1"/>
  <c r="S331" i="1"/>
  <c r="U331" i="1"/>
  <c r="P333" i="1"/>
  <c r="R333" i="1"/>
  <c r="AA334" i="1"/>
  <c r="O335" i="1"/>
  <c r="S335" i="1"/>
  <c r="U335" i="1"/>
  <c r="O334" i="1"/>
  <c r="R336" i="1"/>
  <c r="S330" i="1"/>
  <c r="AB331" i="1"/>
  <c r="AA329" i="1"/>
  <c r="U330" i="1"/>
  <c r="P332" i="1"/>
  <c r="S334" i="1"/>
  <c r="AB335" i="1"/>
  <c r="O330" i="1"/>
  <c r="R332" i="1"/>
  <c r="AA333" i="1"/>
  <c r="U334" i="1"/>
  <c r="P336" i="1"/>
  <c r="Z329" i="1" a="1"/>
  <c r="Z329" i="1" s="1"/>
  <c r="Z334" i="1" a="1"/>
  <c r="Z334" i="1" s="1"/>
  <c r="Z331" i="1" a="1"/>
  <c r="Z331" i="1" s="1"/>
  <c r="Z333" i="1" a="1"/>
  <c r="Z333" i="1" s="1"/>
  <c r="Z330" i="1" a="1"/>
  <c r="Z330" i="1" s="1"/>
  <c r="AA5" i="1"/>
  <c r="AA6" i="1"/>
  <c r="AB3" i="1"/>
  <c r="AA109" i="1"/>
  <c r="AB268" i="1"/>
  <c r="AA7" i="1"/>
  <c r="AB84" i="1"/>
  <c r="AA325" i="1"/>
  <c r="AB109" i="1"/>
  <c r="AA269" i="1"/>
  <c r="AA112" i="1"/>
  <c r="AB265" i="1"/>
  <c r="AA270" i="1"/>
  <c r="AB10" i="1"/>
  <c r="AA12" i="1"/>
  <c r="AB15" i="1"/>
  <c r="AA17" i="1"/>
  <c r="AA21" i="1"/>
  <c r="AB11" i="1"/>
  <c r="AA33" i="1"/>
  <c r="AB30" i="1"/>
  <c r="AA32" i="1"/>
  <c r="AB46" i="1"/>
  <c r="AA48" i="1"/>
  <c r="AA3" i="1"/>
  <c r="AA243" i="1"/>
  <c r="AA2" i="1"/>
  <c r="AB267" i="1"/>
  <c r="AA110" i="1"/>
  <c r="AA167" i="1"/>
  <c r="AA323" i="1"/>
  <c r="AB108" i="1"/>
  <c r="AA242" i="1"/>
  <c r="AB266" i="1"/>
  <c r="AB323" i="1"/>
  <c r="AB110" i="1"/>
  <c r="AB14" i="1"/>
  <c r="AA29" i="1"/>
  <c r="AA13" i="1"/>
  <c r="AB9" i="1"/>
  <c r="AA11" i="1"/>
  <c r="AB8" i="1"/>
  <c r="AA10" i="1"/>
  <c r="AA41" i="1"/>
  <c r="AB18" i="1"/>
  <c r="AA20" i="1"/>
  <c r="AB34" i="1"/>
  <c r="AA36" i="1"/>
  <c r="AB50" i="1"/>
  <c r="AA52" i="1"/>
  <c r="AB111" i="1"/>
  <c r="AA111" i="1"/>
  <c r="AB269" i="1"/>
  <c r="AB270" i="1"/>
  <c r="AA108" i="1"/>
  <c r="AB324" i="1"/>
  <c r="AB107" i="1"/>
  <c r="AB166" i="1"/>
  <c r="AA265" i="1"/>
  <c r="AA166" i="1"/>
  <c r="AA268" i="1"/>
  <c r="AB31" i="1"/>
  <c r="AB39" i="1"/>
  <c r="AB47" i="1"/>
  <c r="AA9" i="1"/>
  <c r="AA37" i="1"/>
  <c r="AB13" i="1"/>
  <c r="AB19" i="1"/>
  <c r="AB27" i="1"/>
  <c r="AB35" i="1"/>
  <c r="AB43" i="1"/>
  <c r="AB51" i="1"/>
  <c r="AB12" i="1"/>
  <c r="AA14" i="1"/>
  <c r="AA49" i="1"/>
  <c r="AB22" i="1"/>
  <c r="AA24" i="1"/>
  <c r="AB38" i="1"/>
  <c r="AA40" i="1"/>
  <c r="AB54" i="1"/>
  <c r="AA56" i="1"/>
  <c r="AB112" i="1"/>
  <c r="AB2" i="1"/>
  <c r="AB165" i="1"/>
  <c r="AA84" i="1"/>
  <c r="AA165" i="1"/>
  <c r="AA85" i="1"/>
  <c r="AA267" i="1"/>
  <c r="AA4" i="1"/>
  <c r="AA266" i="1"/>
  <c r="AA107" i="1"/>
  <c r="AA324" i="1"/>
  <c r="AB325" i="1"/>
  <c r="AB242" i="1"/>
  <c r="AB23" i="1"/>
  <c r="AA8" i="1"/>
  <c r="AA45" i="1"/>
  <c r="AA16" i="1"/>
  <c r="AA25" i="1"/>
  <c r="AB26" i="1"/>
  <c r="AA28" i="1"/>
  <c r="AB42" i="1"/>
  <c r="AA44" i="1"/>
  <c r="AB58" i="1"/>
  <c r="AA60" i="1"/>
  <c r="AB62" i="1"/>
  <c r="AA64" i="1"/>
  <c r="AB17" i="1"/>
  <c r="AA19" i="1"/>
  <c r="AB33" i="1"/>
  <c r="AA35" i="1"/>
  <c r="AB49" i="1"/>
  <c r="AA51" i="1"/>
  <c r="AB65" i="1"/>
  <c r="AA67" i="1"/>
  <c r="AB28" i="1"/>
  <c r="AA30" i="1"/>
  <c r="AB44" i="1"/>
  <c r="AA46" i="1"/>
  <c r="AB60" i="1"/>
  <c r="AA62" i="1"/>
  <c r="AA53" i="1"/>
  <c r="AB67" i="1"/>
  <c r="AA69" i="1"/>
  <c r="AB87" i="1"/>
  <c r="AA89" i="1"/>
  <c r="AB103" i="1"/>
  <c r="AA105" i="1"/>
  <c r="AB125" i="1"/>
  <c r="AA127" i="1"/>
  <c r="AB141" i="1"/>
  <c r="AA143" i="1"/>
  <c r="AA88" i="1"/>
  <c r="AB102" i="1"/>
  <c r="AA104" i="1"/>
  <c r="AB124" i="1"/>
  <c r="AA126" i="1"/>
  <c r="AB140" i="1"/>
  <c r="AA142" i="1"/>
  <c r="AB79" i="1"/>
  <c r="AA81" i="1"/>
  <c r="AA87" i="1"/>
  <c r="AA91" i="1"/>
  <c r="AB105" i="1"/>
  <c r="AA113" i="1"/>
  <c r="AB127" i="1"/>
  <c r="AA129" i="1"/>
  <c r="AB143" i="1"/>
  <c r="AA145" i="1"/>
  <c r="AB88" i="1"/>
  <c r="AA90" i="1"/>
  <c r="AB104" i="1"/>
  <c r="AA106" i="1"/>
  <c r="AB126" i="1"/>
  <c r="AA128" i="1"/>
  <c r="AB142" i="1"/>
  <c r="AB151" i="1"/>
  <c r="AA153" i="1"/>
  <c r="AA172" i="1"/>
  <c r="AA176" i="1"/>
  <c r="AB146" i="1"/>
  <c r="AA148" i="1"/>
  <c r="AB162" i="1"/>
  <c r="AA164" i="1"/>
  <c r="AB66" i="1"/>
  <c r="AA68" i="1"/>
  <c r="AB21" i="1"/>
  <c r="AA23" i="1"/>
  <c r="AB37" i="1"/>
  <c r="AA39" i="1"/>
  <c r="AB53" i="1"/>
  <c r="AA55" i="1"/>
  <c r="AB69" i="1"/>
  <c r="AA71" i="1"/>
  <c r="AB16" i="1"/>
  <c r="AA18" i="1"/>
  <c r="AB32" i="1"/>
  <c r="AA34" i="1"/>
  <c r="AB48" i="1"/>
  <c r="AA50" i="1"/>
  <c r="AB64" i="1"/>
  <c r="AA66" i="1"/>
  <c r="AB55" i="1"/>
  <c r="AA57" i="1"/>
  <c r="AB71" i="1"/>
  <c r="AA73" i="1"/>
  <c r="AA93" i="1"/>
  <c r="AB113" i="1"/>
  <c r="AA115" i="1"/>
  <c r="AB129" i="1"/>
  <c r="AA131" i="1"/>
  <c r="AB90" i="1"/>
  <c r="AA92" i="1"/>
  <c r="AB106" i="1"/>
  <c r="AA114" i="1"/>
  <c r="AB128" i="1"/>
  <c r="AA130" i="1"/>
  <c r="AA144" i="1"/>
  <c r="AB93" i="1"/>
  <c r="AA95" i="1"/>
  <c r="AB115" i="1"/>
  <c r="AA117" i="1"/>
  <c r="AB131" i="1"/>
  <c r="AA133" i="1"/>
  <c r="AA76" i="1"/>
  <c r="AB92" i="1"/>
  <c r="AA94" i="1"/>
  <c r="AB114" i="1"/>
  <c r="AA116" i="1"/>
  <c r="AB130" i="1"/>
  <c r="AA132" i="1"/>
  <c r="AB155" i="1"/>
  <c r="AA157" i="1"/>
  <c r="AB150" i="1"/>
  <c r="AA152" i="1"/>
  <c r="AB169" i="1"/>
  <c r="AB70" i="1"/>
  <c r="AA72" i="1"/>
  <c r="AB25" i="1"/>
  <c r="AA27" i="1"/>
  <c r="AB41" i="1"/>
  <c r="AA43" i="1"/>
  <c r="AB57" i="1"/>
  <c r="AA59" i="1"/>
  <c r="AB73" i="1"/>
  <c r="AA75" i="1"/>
  <c r="AB20" i="1"/>
  <c r="AA22" i="1"/>
  <c r="AB36" i="1"/>
  <c r="AA38" i="1"/>
  <c r="AB52" i="1"/>
  <c r="AA54" i="1"/>
  <c r="AB68" i="1"/>
  <c r="AA70" i="1"/>
  <c r="AB59" i="1"/>
  <c r="AA61" i="1"/>
  <c r="AB75" i="1"/>
  <c r="AB77" i="1"/>
  <c r="AA79" i="1"/>
  <c r="AB95" i="1"/>
  <c r="AA97" i="1"/>
  <c r="AB117" i="1"/>
  <c r="AA119" i="1"/>
  <c r="AB133" i="1"/>
  <c r="AA135" i="1"/>
  <c r="AB76" i="1"/>
  <c r="AA78" i="1"/>
  <c r="AB94" i="1"/>
  <c r="AA96" i="1"/>
  <c r="AB116" i="1"/>
  <c r="AA118" i="1"/>
  <c r="AB132" i="1"/>
  <c r="AA134" i="1"/>
  <c r="AB97" i="1"/>
  <c r="AA99" i="1"/>
  <c r="AB119" i="1"/>
  <c r="AA121" i="1"/>
  <c r="AB135" i="1"/>
  <c r="AA137" i="1"/>
  <c r="AB78" i="1"/>
  <c r="AA80" i="1"/>
  <c r="AB96" i="1"/>
  <c r="AA98" i="1"/>
  <c r="AB118" i="1"/>
  <c r="AA120" i="1"/>
  <c r="AB134" i="1"/>
  <c r="AA136" i="1"/>
  <c r="AB159" i="1"/>
  <c r="AA161" i="1"/>
  <c r="AB154" i="1"/>
  <c r="AA156" i="1"/>
  <c r="AB74" i="1"/>
  <c r="AA15" i="1"/>
  <c r="AB29" i="1"/>
  <c r="AA31" i="1"/>
  <c r="AB45" i="1"/>
  <c r="AA47" i="1"/>
  <c r="AB61" i="1"/>
  <c r="AA63" i="1"/>
  <c r="AB24" i="1"/>
  <c r="AA26" i="1"/>
  <c r="AB40" i="1"/>
  <c r="AA42" i="1"/>
  <c r="AB56" i="1"/>
  <c r="AA58" i="1"/>
  <c r="AB72" i="1"/>
  <c r="AA74" i="1"/>
  <c r="AB63" i="1"/>
  <c r="AA65" i="1"/>
  <c r="AB81" i="1"/>
  <c r="AA83" i="1"/>
  <c r="AB99" i="1"/>
  <c r="AA101" i="1"/>
  <c r="AB121" i="1"/>
  <c r="AA123" i="1"/>
  <c r="AB137" i="1"/>
  <c r="AA139" i="1"/>
  <c r="AB80" i="1"/>
  <c r="AA82" i="1"/>
  <c r="AB98" i="1"/>
  <c r="AA100" i="1"/>
  <c r="AB120" i="1"/>
  <c r="AA122" i="1"/>
  <c r="AB136" i="1"/>
  <c r="AA138" i="1"/>
  <c r="AA77" i="1"/>
  <c r="AB101" i="1"/>
  <c r="AA103" i="1"/>
  <c r="AB123" i="1"/>
  <c r="AA125" i="1"/>
  <c r="AB139" i="1"/>
  <c r="AA141" i="1"/>
  <c r="AB82" i="1"/>
  <c r="AA86" i="1"/>
  <c r="AB100" i="1"/>
  <c r="AA102" i="1"/>
  <c r="AB122" i="1"/>
  <c r="AA124" i="1"/>
  <c r="AB138" i="1"/>
  <c r="AA140" i="1"/>
  <c r="AB147" i="1"/>
  <c r="AA149" i="1"/>
  <c r="AB163" i="1"/>
  <c r="AA168" i="1"/>
  <c r="AB158" i="1"/>
  <c r="AA160" i="1"/>
  <c r="AB145" i="1"/>
  <c r="AA147" i="1"/>
  <c r="AB161" i="1"/>
  <c r="AA163" i="1"/>
  <c r="AA170" i="1"/>
  <c r="AB152" i="1"/>
  <c r="AA154" i="1"/>
  <c r="AB171" i="1"/>
  <c r="AA173" i="1"/>
  <c r="AA178" i="1"/>
  <c r="AB192" i="1"/>
  <c r="AA194" i="1"/>
  <c r="AB187" i="1"/>
  <c r="AA189" i="1"/>
  <c r="AB203" i="1"/>
  <c r="AA205" i="1"/>
  <c r="AA180" i="1"/>
  <c r="AB194" i="1"/>
  <c r="AA196" i="1"/>
  <c r="AB185" i="1"/>
  <c r="AA187" i="1"/>
  <c r="AB201" i="1"/>
  <c r="AA203" i="1"/>
  <c r="AB215" i="1"/>
  <c r="AA217" i="1"/>
  <c r="AB231" i="1"/>
  <c r="AA233" i="1"/>
  <c r="AB218" i="1"/>
  <c r="AA220" i="1"/>
  <c r="AB234" i="1"/>
  <c r="AA236" i="1"/>
  <c r="AB221" i="1"/>
  <c r="AA223" i="1"/>
  <c r="AB237" i="1"/>
  <c r="AB208" i="1"/>
  <c r="AA210" i="1"/>
  <c r="AB224" i="1"/>
  <c r="AA226" i="1"/>
  <c r="AB240" i="1"/>
  <c r="AA244" i="1"/>
  <c r="AB258" i="1"/>
  <c r="AA260" i="1"/>
  <c r="AB239" i="1"/>
  <c r="AA241" i="1"/>
  <c r="AB257" i="1"/>
  <c r="AA259" i="1"/>
  <c r="AB238" i="1"/>
  <c r="AA240" i="1"/>
  <c r="AB256" i="1"/>
  <c r="AA258" i="1"/>
  <c r="AB251" i="1"/>
  <c r="AA253" i="1"/>
  <c r="AB273" i="1"/>
  <c r="AA275" i="1"/>
  <c r="AB284" i="1"/>
  <c r="AA286" i="1"/>
  <c r="AB287" i="1"/>
  <c r="AA171" i="1"/>
  <c r="AA175" i="1"/>
  <c r="AB149" i="1"/>
  <c r="AA151" i="1"/>
  <c r="AA174" i="1"/>
  <c r="AB156" i="1"/>
  <c r="AA158" i="1"/>
  <c r="AB175" i="1"/>
  <c r="AA177" i="1"/>
  <c r="AB180" i="1"/>
  <c r="AA182" i="1"/>
  <c r="AB196" i="1"/>
  <c r="AA198" i="1"/>
  <c r="AB191" i="1"/>
  <c r="AA193" i="1"/>
  <c r="AB207" i="1"/>
  <c r="AB182" i="1"/>
  <c r="AA184" i="1"/>
  <c r="AB198" i="1"/>
  <c r="AA200" i="1"/>
  <c r="AB189" i="1"/>
  <c r="AA191" i="1"/>
  <c r="AB205" i="1"/>
  <c r="AA207" i="1"/>
  <c r="AB219" i="1"/>
  <c r="AA221" i="1"/>
  <c r="AB235" i="1"/>
  <c r="AA237" i="1"/>
  <c r="AA208" i="1"/>
  <c r="AB222" i="1"/>
  <c r="AA224" i="1"/>
  <c r="AB209" i="1"/>
  <c r="AA211" i="1"/>
  <c r="AB225" i="1"/>
  <c r="AA227" i="1"/>
  <c r="AB212" i="1"/>
  <c r="AA214" i="1"/>
  <c r="AB228" i="1"/>
  <c r="AA230" i="1"/>
  <c r="AB246" i="1"/>
  <c r="AA248" i="1"/>
  <c r="AB262" i="1"/>
  <c r="AA264" i="1"/>
  <c r="AB245" i="1"/>
  <c r="AA247" i="1"/>
  <c r="AB261" i="1"/>
  <c r="AA263" i="1"/>
  <c r="AB244" i="1"/>
  <c r="AA246" i="1"/>
  <c r="AB260" i="1"/>
  <c r="AA262" i="1"/>
  <c r="AB255" i="1"/>
  <c r="AA257" i="1"/>
  <c r="AB293" i="1"/>
  <c r="AA300" i="1"/>
  <c r="AA277" i="1"/>
  <c r="AB153" i="1"/>
  <c r="AA155" i="1"/>
  <c r="AB176" i="1"/>
  <c r="AB144" i="1"/>
  <c r="AA146" i="1"/>
  <c r="AB160" i="1"/>
  <c r="AA162" i="1"/>
  <c r="AB184" i="1"/>
  <c r="AA186" i="1"/>
  <c r="AB200" i="1"/>
  <c r="AA202" i="1"/>
  <c r="AB179" i="1"/>
  <c r="AA181" i="1"/>
  <c r="AB195" i="1"/>
  <c r="AA197" i="1"/>
  <c r="AB186" i="1"/>
  <c r="AA188" i="1"/>
  <c r="AB202" i="1"/>
  <c r="AA204" i="1"/>
  <c r="AA179" i="1"/>
  <c r="AB193" i="1"/>
  <c r="AA195" i="1"/>
  <c r="AA209" i="1"/>
  <c r="AB223" i="1"/>
  <c r="AA225" i="1"/>
  <c r="AB210" i="1"/>
  <c r="AA212" i="1"/>
  <c r="AB226" i="1"/>
  <c r="AA228" i="1"/>
  <c r="AB213" i="1"/>
  <c r="AA215" i="1"/>
  <c r="AB229" i="1"/>
  <c r="AA231" i="1"/>
  <c r="AB216" i="1"/>
  <c r="AA218" i="1"/>
  <c r="AB232" i="1"/>
  <c r="AA234" i="1"/>
  <c r="AB250" i="1"/>
  <c r="AA252" i="1"/>
  <c r="AB272" i="1"/>
  <c r="AA274" i="1"/>
  <c r="AB249" i="1"/>
  <c r="AA251" i="1"/>
  <c r="AB271" i="1"/>
  <c r="AA273" i="1"/>
  <c r="AB248" i="1"/>
  <c r="AA250" i="1"/>
  <c r="AB264" i="1"/>
  <c r="AA272" i="1"/>
  <c r="AB259" i="1"/>
  <c r="AA261" i="1"/>
  <c r="AB276" i="1"/>
  <c r="AA278" i="1"/>
  <c r="AB279" i="1"/>
  <c r="AA281" i="1"/>
  <c r="AB157" i="1"/>
  <c r="AA159" i="1"/>
  <c r="AB148" i="1"/>
  <c r="AA150" i="1"/>
  <c r="AB164" i="1"/>
  <c r="AA169" i="1"/>
  <c r="AB188" i="1"/>
  <c r="AA190" i="1"/>
  <c r="AB204" i="1"/>
  <c r="AA206" i="1"/>
  <c r="AB183" i="1"/>
  <c r="AA185" i="1"/>
  <c r="AB199" i="1"/>
  <c r="AA201" i="1"/>
  <c r="AB190" i="1"/>
  <c r="AA192" i="1"/>
  <c r="AB206" i="1"/>
  <c r="AB181" i="1"/>
  <c r="AA183" i="1"/>
  <c r="AB197" i="1"/>
  <c r="AA199" i="1"/>
  <c r="AB211" i="1"/>
  <c r="AA213" i="1"/>
  <c r="AB227" i="1"/>
  <c r="AA229" i="1"/>
  <c r="AB214" i="1"/>
  <c r="AA216" i="1"/>
  <c r="AB230" i="1"/>
  <c r="AA232" i="1"/>
  <c r="AB217" i="1"/>
  <c r="AA219" i="1"/>
  <c r="AB233" i="1"/>
  <c r="AA235" i="1"/>
  <c r="AB220" i="1"/>
  <c r="AA222" i="1"/>
  <c r="AB236" i="1"/>
  <c r="AA238" i="1"/>
  <c r="AB254" i="1"/>
  <c r="AA256" i="1"/>
  <c r="AA255" i="1"/>
  <c r="AB275" i="1"/>
  <c r="AB252" i="1"/>
  <c r="AA254" i="1"/>
  <c r="AB274" i="1"/>
  <c r="AA239" i="1"/>
  <c r="AA245" i="1"/>
  <c r="AA249" i="1"/>
  <c r="AB263" i="1"/>
  <c r="AA271" i="1"/>
  <c r="AB280" i="1"/>
  <c r="AA282" i="1"/>
  <c r="AA291" i="1"/>
  <c r="AB283" i="1"/>
  <c r="AA285" i="1"/>
  <c r="AB286" i="1"/>
  <c r="AB288" i="1"/>
  <c r="AA290" i="1"/>
  <c r="AB295" i="1"/>
  <c r="AA297" i="1"/>
  <c r="AB298" i="1"/>
  <c r="AB301" i="1"/>
  <c r="AA303" i="1"/>
  <c r="AB319" i="1"/>
  <c r="AB304" i="1"/>
  <c r="AA306" i="1"/>
  <c r="AB311" i="1"/>
  <c r="AB307" i="1"/>
  <c r="AA309" i="1"/>
  <c r="AA312" i="1"/>
  <c r="AB313" i="1"/>
  <c r="AA315" i="1"/>
  <c r="AB320" i="1"/>
  <c r="AA322" i="1"/>
  <c r="AA276" i="1"/>
  <c r="AB302" i="1"/>
  <c r="AB277" i="1"/>
  <c r="AA279" i="1"/>
  <c r="AA295" i="1"/>
  <c r="AB292" i="1"/>
  <c r="AA294" i="1"/>
  <c r="AB299" i="1"/>
  <c r="AA308" i="1"/>
  <c r="AA288" i="1"/>
  <c r="AB306" i="1"/>
  <c r="AB305" i="1"/>
  <c r="AA307" i="1"/>
  <c r="AB308" i="1"/>
  <c r="AA310" i="1"/>
  <c r="AA317" i="1"/>
  <c r="AB314" i="1"/>
  <c r="AA316" i="1"/>
  <c r="AB317" i="1"/>
  <c r="AA319" i="1"/>
  <c r="AB327" i="1"/>
  <c r="AB289" i="1"/>
  <c r="AB278" i="1"/>
  <c r="AA280" i="1"/>
  <c r="AB281" i="1"/>
  <c r="AA283" i="1"/>
  <c r="AA313" i="1"/>
  <c r="AB296" i="1"/>
  <c r="AA298" i="1"/>
  <c r="AA289" i="1"/>
  <c r="AB290" i="1"/>
  <c r="AA292" i="1"/>
  <c r="AB309" i="1"/>
  <c r="AA311" i="1"/>
  <c r="AA321" i="1"/>
  <c r="AA301" i="1"/>
  <c r="AA328" i="1"/>
  <c r="AB318" i="1"/>
  <c r="AA320" i="1"/>
  <c r="AB321" i="1"/>
  <c r="AA326" i="1"/>
  <c r="AB312" i="1"/>
  <c r="AA314" i="1"/>
  <c r="AB282" i="1"/>
  <c r="AA284" i="1"/>
  <c r="AA299" i="1"/>
  <c r="AB285" i="1"/>
  <c r="AA287" i="1"/>
  <c r="AB297" i="1"/>
  <c r="AB300" i="1"/>
  <c r="AB291" i="1"/>
  <c r="AA293" i="1"/>
  <c r="AB310" i="1"/>
  <c r="AB294" i="1"/>
  <c r="AA296" i="1"/>
  <c r="AA304" i="1"/>
  <c r="AA302" i="1"/>
  <c r="AB315" i="1"/>
  <c r="AB303" i="1"/>
  <c r="AA305" i="1"/>
  <c r="AA327" i="1"/>
  <c r="AB328" i="1"/>
  <c r="AB316" i="1"/>
  <c r="AA318" i="1"/>
  <c r="AB89" i="1"/>
  <c r="AB243" i="1"/>
  <c r="AB326" i="1"/>
  <c r="AB83" i="1"/>
  <c r="AB168" i="1"/>
  <c r="R328" i="1"/>
  <c r="S326" i="1"/>
  <c r="U319" i="1"/>
  <c r="O315" i="1"/>
  <c r="P313" i="1"/>
  <c r="O327" i="1"/>
  <c r="P322" i="1"/>
  <c r="R318" i="1"/>
  <c r="S316" i="1"/>
  <c r="U328" i="1"/>
  <c r="O321" i="1"/>
  <c r="P319" i="1"/>
  <c r="R315" i="1"/>
  <c r="S313" i="1"/>
  <c r="R320" i="1"/>
  <c r="S314" i="1"/>
  <c r="S310" i="1"/>
  <c r="U306" i="1"/>
  <c r="O302" i="1"/>
  <c r="U322" i="1"/>
  <c r="R309" i="1"/>
  <c r="S307" i="1"/>
  <c r="U303" i="1"/>
  <c r="P310" i="1"/>
  <c r="R306" i="1"/>
  <c r="S304" i="1"/>
  <c r="U300" i="1"/>
  <c r="P311" i="1"/>
  <c r="U297" i="1"/>
  <c r="O293" i="1"/>
  <c r="P291" i="1"/>
  <c r="S305" i="1"/>
  <c r="R300" i="1"/>
  <c r="S298" i="1"/>
  <c r="U294" i="1"/>
  <c r="O290" i="1"/>
  <c r="R307" i="1"/>
  <c r="O299" i="1"/>
  <c r="P297" i="1"/>
  <c r="R293" i="1"/>
  <c r="S291" i="1"/>
  <c r="R316" i="1"/>
  <c r="S292" i="1"/>
  <c r="O284" i="1"/>
  <c r="P282" i="1"/>
  <c r="R278" i="1"/>
  <c r="S276" i="1"/>
  <c r="U285" i="1"/>
  <c r="O281" i="1"/>
  <c r="P279" i="1"/>
  <c r="S300" i="1"/>
  <c r="O292" i="1"/>
  <c r="P328" i="1"/>
  <c r="R321" i="1"/>
  <c r="S319" i="1"/>
  <c r="U315" i="1"/>
  <c r="U327" i="1"/>
  <c r="O320" i="1"/>
  <c r="P318" i="1"/>
  <c r="R314" i="1"/>
  <c r="S328" i="1"/>
  <c r="U321" i="1"/>
  <c r="O317" i="1"/>
  <c r="P315" i="1"/>
  <c r="U318" i="1"/>
  <c r="S312" i="1"/>
  <c r="R308" i="1"/>
  <c r="S306" i="1"/>
  <c r="U302" i="1"/>
  <c r="O311" i="1"/>
  <c r="P309" i="1"/>
  <c r="R305" i="1"/>
  <c r="S303" i="1"/>
  <c r="P327" i="1"/>
  <c r="O308" i="1"/>
  <c r="P306" i="1"/>
  <c r="R302" i="1"/>
  <c r="O309" i="1"/>
  <c r="R299" i="1"/>
  <c r="S297" i="1"/>
  <c r="U293" i="1"/>
  <c r="O289" i="1"/>
  <c r="U309" i="1"/>
  <c r="R303" i="1"/>
  <c r="P300" i="1"/>
  <c r="R296" i="1"/>
  <c r="S294" i="1"/>
  <c r="U290" i="1"/>
  <c r="U299" i="1"/>
  <c r="O295" i="1"/>
  <c r="P293" i="1"/>
  <c r="R289" i="1"/>
  <c r="P307" i="1"/>
  <c r="U296" i="1"/>
  <c r="R290" i="1"/>
  <c r="U284" i="1"/>
  <c r="O280" i="1"/>
  <c r="P278" i="1"/>
  <c r="P290" i="1"/>
  <c r="R287" i="1"/>
  <c r="S285" i="1"/>
  <c r="U281" i="1"/>
  <c r="O277" i="1"/>
  <c r="R298" i="1"/>
  <c r="O326" i="1"/>
  <c r="P321" i="1"/>
  <c r="R317" i="1"/>
  <c r="S315" i="1"/>
  <c r="U311" i="1"/>
  <c r="S327" i="1"/>
  <c r="U320" i="1"/>
  <c r="O316" i="1"/>
  <c r="P314" i="1"/>
  <c r="R326" i="1"/>
  <c r="S321" i="1"/>
  <c r="U317" i="1"/>
  <c r="O313" i="1"/>
  <c r="O312" i="1"/>
  <c r="O310" i="1"/>
  <c r="P308" i="1"/>
  <c r="R304" i="1"/>
  <c r="S302" i="1"/>
  <c r="P320" i="1"/>
  <c r="R312" i="1"/>
  <c r="O307" i="1"/>
  <c r="P305" i="1"/>
  <c r="S322" i="1"/>
  <c r="O314" i="1"/>
  <c r="U308" i="1"/>
  <c r="O304" i="1"/>
  <c r="P302" i="1"/>
  <c r="O318" i="1"/>
  <c r="P299" i="1"/>
  <c r="R295" i="1"/>
  <c r="S293" i="1"/>
  <c r="U289" i="1"/>
  <c r="S301" i="1"/>
  <c r="O298" i="1"/>
  <c r="P296" i="1"/>
  <c r="R292" i="1"/>
  <c r="S290" i="1"/>
  <c r="U314" i="1"/>
  <c r="P303" i="1"/>
  <c r="S299" i="1"/>
  <c r="U295" i="1"/>
  <c r="O291" i="1"/>
  <c r="P289" i="1"/>
  <c r="O305" i="1"/>
  <c r="R288" i="1"/>
  <c r="R286" i="1"/>
  <c r="S284" i="1"/>
  <c r="U280" i="1"/>
  <c r="S296" i="1"/>
  <c r="U288" i="1"/>
  <c r="P287" i="1"/>
  <c r="R283" i="1"/>
  <c r="S281" i="1"/>
  <c r="U277" i="1"/>
  <c r="U326" i="1"/>
  <c r="O319" i="1"/>
  <c r="P317" i="1"/>
  <c r="R313" i="1"/>
  <c r="S311" i="1"/>
  <c r="R322" i="1"/>
  <c r="S320" i="1"/>
  <c r="U316" i="1"/>
  <c r="O328" i="1"/>
  <c r="P326" i="1"/>
  <c r="R319" i="1"/>
  <c r="S317" i="1"/>
  <c r="U313" i="1"/>
  <c r="O322" i="1"/>
  <c r="P316" i="1"/>
  <c r="U310" i="1"/>
  <c r="O306" i="1"/>
  <c r="P304" i="1"/>
  <c r="R327" i="1"/>
  <c r="S318" i="1"/>
  <c r="U307" i="1"/>
  <c r="O303" i="1"/>
  <c r="U312" i="1"/>
  <c r="R310" i="1"/>
  <c r="S308" i="1"/>
  <c r="U304" i="1"/>
  <c r="P312" i="1"/>
  <c r="U305" i="1"/>
  <c r="P301" i="1"/>
  <c r="O297" i="1"/>
  <c r="P295" i="1"/>
  <c r="R291" i="1"/>
  <c r="S289" i="1"/>
  <c r="O301" i="1"/>
  <c r="U298" i="1"/>
  <c r="O294" i="1"/>
  <c r="P292" i="1"/>
  <c r="S309" i="1"/>
  <c r="R301" i="1"/>
  <c r="R297" i="1"/>
  <c r="S295" i="1"/>
  <c r="U291" i="1"/>
  <c r="R311" i="1"/>
  <c r="O300" i="1"/>
  <c r="O288" i="1"/>
  <c r="P286" i="1"/>
  <c r="R282" i="1"/>
  <c r="S280" i="1"/>
  <c r="U276" i="1"/>
  <c r="U301" i="1"/>
  <c r="R294" i="1"/>
  <c r="O285" i="1"/>
  <c r="P283" i="1"/>
  <c r="R279" i="1"/>
  <c r="S277" i="1"/>
  <c r="P294" i="1"/>
  <c r="P288" i="1"/>
  <c r="U286" i="1"/>
  <c r="O282" i="1"/>
  <c r="P280" i="1"/>
  <c r="R276" i="1"/>
  <c r="P298" i="1"/>
  <c r="S287" i="1"/>
  <c r="U283" i="1"/>
  <c r="O279" i="1"/>
  <c r="P277" i="1"/>
  <c r="T274" i="1"/>
  <c r="U272" i="1"/>
  <c r="O262" i="1"/>
  <c r="P260" i="1"/>
  <c r="R256" i="1"/>
  <c r="S254" i="1"/>
  <c r="U250" i="1"/>
  <c r="U246" i="1"/>
  <c r="U240" i="1"/>
  <c r="O273" i="1"/>
  <c r="P271" i="1"/>
  <c r="R261" i="1"/>
  <c r="S259" i="1"/>
  <c r="U255" i="1"/>
  <c r="O251" i="1"/>
  <c r="P249" i="1"/>
  <c r="R245" i="1"/>
  <c r="S241" i="1"/>
  <c r="O274" i="1"/>
  <c r="P272" i="1"/>
  <c r="R262" i="1"/>
  <c r="S260" i="1"/>
  <c r="U256" i="1"/>
  <c r="O252" i="1"/>
  <c r="P250" i="1"/>
  <c r="R246" i="1"/>
  <c r="S244" i="1"/>
  <c r="U238" i="1"/>
  <c r="O275" i="1"/>
  <c r="P273" i="1"/>
  <c r="R263" i="1"/>
  <c r="S261" i="1"/>
  <c r="U257" i="1"/>
  <c r="O253" i="1"/>
  <c r="P251" i="1"/>
  <c r="R247" i="1"/>
  <c r="S245" i="1"/>
  <c r="U239" i="1"/>
  <c r="O235" i="1"/>
  <c r="P233" i="1"/>
  <c r="R229" i="1"/>
  <c r="S227" i="1"/>
  <c r="U223" i="1"/>
  <c r="O219" i="1"/>
  <c r="P217" i="1"/>
  <c r="R213" i="1"/>
  <c r="S211" i="1"/>
  <c r="U236" i="1"/>
  <c r="O232" i="1"/>
  <c r="P230" i="1"/>
  <c r="R226" i="1"/>
  <c r="S224" i="1"/>
  <c r="U220" i="1"/>
  <c r="O216" i="1"/>
  <c r="P214" i="1"/>
  <c r="R210" i="1"/>
  <c r="S237" i="1"/>
  <c r="U233" i="1"/>
  <c r="O229" i="1"/>
  <c r="P227" i="1"/>
  <c r="R223" i="1"/>
  <c r="S221" i="1"/>
  <c r="U217" i="1"/>
  <c r="O213" i="1"/>
  <c r="P211" i="1"/>
  <c r="R236" i="1"/>
  <c r="S234" i="1"/>
  <c r="U230" i="1"/>
  <c r="O226" i="1"/>
  <c r="P224" i="1"/>
  <c r="R220" i="1"/>
  <c r="S218" i="1"/>
  <c r="U214" i="1"/>
  <c r="O210" i="1"/>
  <c r="R206" i="1"/>
  <c r="S204" i="1"/>
  <c r="U200" i="1"/>
  <c r="O196" i="1"/>
  <c r="P194" i="1"/>
  <c r="R190" i="1"/>
  <c r="S188" i="1"/>
  <c r="U184" i="1"/>
  <c r="O180" i="1"/>
  <c r="U208" i="1"/>
  <c r="O205" i="1"/>
  <c r="P203" i="1"/>
  <c r="R199" i="1"/>
  <c r="S197" i="1"/>
  <c r="U193" i="1"/>
  <c r="O189" i="1"/>
  <c r="P187" i="1"/>
  <c r="R183" i="1"/>
  <c r="S181" i="1"/>
  <c r="R208" i="1"/>
  <c r="S206" i="1"/>
  <c r="U202" i="1"/>
  <c r="O198" i="1"/>
  <c r="P196" i="1"/>
  <c r="R192" i="1"/>
  <c r="S190" i="1"/>
  <c r="U186" i="1"/>
  <c r="O182" i="1"/>
  <c r="P180" i="1"/>
  <c r="U207" i="1"/>
  <c r="O203" i="1"/>
  <c r="P201" i="1"/>
  <c r="R197" i="1"/>
  <c r="S195" i="1"/>
  <c r="U191" i="1"/>
  <c r="O187" i="1"/>
  <c r="P185" i="1"/>
  <c r="R181" i="1"/>
  <c r="S179" i="1"/>
  <c r="R176" i="1"/>
  <c r="S174" i="1"/>
  <c r="U170" i="1"/>
  <c r="O163" i="1"/>
  <c r="P161" i="1"/>
  <c r="R157" i="1"/>
  <c r="S155" i="1"/>
  <c r="U151" i="1"/>
  <c r="O147" i="1"/>
  <c r="P145" i="1"/>
  <c r="P177" i="1"/>
  <c r="R173" i="1"/>
  <c r="S171" i="1"/>
  <c r="T169" i="1"/>
  <c r="S164" i="1"/>
  <c r="U160" i="1"/>
  <c r="O156" i="1"/>
  <c r="P154" i="1"/>
  <c r="R150" i="1"/>
  <c r="S148" i="1"/>
  <c r="P178" i="1"/>
  <c r="R174" i="1"/>
  <c r="S286" i="1"/>
  <c r="U282" i="1"/>
  <c r="O278" i="1"/>
  <c r="P276" i="1"/>
  <c r="O296" i="1"/>
  <c r="R285" i="1"/>
  <c r="S283" i="1"/>
  <c r="U279" i="1"/>
  <c r="R274" i="1"/>
  <c r="S272" i="1"/>
  <c r="U262" i="1"/>
  <c r="O258" i="1"/>
  <c r="P256" i="1"/>
  <c r="R252" i="1"/>
  <c r="S250" i="1"/>
  <c r="T248" i="1"/>
  <c r="S246" i="1"/>
  <c r="S240" i="1"/>
  <c r="T275" i="1"/>
  <c r="U273" i="1"/>
  <c r="O263" i="1"/>
  <c r="P261" i="1"/>
  <c r="R257" i="1"/>
  <c r="S255" i="1"/>
  <c r="U251" i="1"/>
  <c r="O247" i="1"/>
  <c r="P245" i="1"/>
  <c r="R239" i="1"/>
  <c r="U274" i="1"/>
  <c r="O264" i="1"/>
  <c r="P262" i="1"/>
  <c r="R258" i="1"/>
  <c r="S256" i="1"/>
  <c r="U252" i="1"/>
  <c r="O248" i="1"/>
  <c r="P246" i="1"/>
  <c r="R240" i="1"/>
  <c r="U275" i="1"/>
  <c r="O271" i="1"/>
  <c r="P263" i="1"/>
  <c r="R259" i="1"/>
  <c r="S257" i="1"/>
  <c r="U253" i="1"/>
  <c r="O249" i="1"/>
  <c r="P247" i="1"/>
  <c r="R241" i="1"/>
  <c r="S239" i="1"/>
  <c r="U235" i="1"/>
  <c r="O231" i="1"/>
  <c r="P229" i="1"/>
  <c r="R225" i="1"/>
  <c r="S223" i="1"/>
  <c r="U219" i="1"/>
  <c r="O215" i="1"/>
  <c r="P213" i="1"/>
  <c r="R209" i="1"/>
  <c r="R238" i="1"/>
  <c r="S236" i="1"/>
  <c r="U232" i="1"/>
  <c r="O228" i="1"/>
  <c r="P226" i="1"/>
  <c r="R222" i="1"/>
  <c r="S220" i="1"/>
  <c r="U216" i="1"/>
  <c r="O212" i="1"/>
  <c r="P210" i="1"/>
  <c r="R235" i="1"/>
  <c r="S233" i="1"/>
  <c r="U229" i="1"/>
  <c r="O225" i="1"/>
  <c r="P223" i="1"/>
  <c r="R219" i="1"/>
  <c r="S217" i="1"/>
  <c r="U213" i="1"/>
  <c r="O209" i="1"/>
  <c r="O238" i="1"/>
  <c r="P236" i="1"/>
  <c r="R232" i="1"/>
  <c r="S230" i="1"/>
  <c r="U226" i="1"/>
  <c r="O222" i="1"/>
  <c r="P220" i="1"/>
  <c r="R216" i="1"/>
  <c r="S214" i="1"/>
  <c r="U210" i="1"/>
  <c r="O208" i="1"/>
  <c r="P206" i="1"/>
  <c r="R202" i="1"/>
  <c r="S200" i="1"/>
  <c r="U196" i="1"/>
  <c r="O192" i="1"/>
  <c r="P190" i="1"/>
  <c r="R186" i="1"/>
  <c r="S184" i="1"/>
  <c r="U180" i="1"/>
  <c r="U205" i="1"/>
  <c r="O201" i="1"/>
  <c r="P199" i="1"/>
  <c r="R195" i="1"/>
  <c r="S193" i="1"/>
  <c r="U189" i="1"/>
  <c r="O185" i="1"/>
  <c r="P183" i="1"/>
  <c r="R179" i="1"/>
  <c r="P208" i="1"/>
  <c r="R204" i="1"/>
  <c r="S202" i="1"/>
  <c r="U198" i="1"/>
  <c r="O194" i="1"/>
  <c r="P192" i="1"/>
  <c r="R188" i="1"/>
  <c r="S186" i="1"/>
  <c r="U182" i="1"/>
  <c r="S207" i="1"/>
  <c r="U203" i="1"/>
  <c r="O199" i="1"/>
  <c r="P197" i="1"/>
  <c r="R193" i="1"/>
  <c r="S191" i="1"/>
  <c r="U187" i="1"/>
  <c r="O183" i="1"/>
  <c r="P181" i="1"/>
  <c r="O178" i="1"/>
  <c r="P176" i="1"/>
  <c r="R172" i="1"/>
  <c r="S170" i="1"/>
  <c r="T168" i="1"/>
  <c r="U163" i="1"/>
  <c r="O159" i="1"/>
  <c r="P157" i="1"/>
  <c r="R153" i="1"/>
  <c r="S151" i="1"/>
  <c r="U147" i="1"/>
  <c r="O175" i="1"/>
  <c r="P173" i="1"/>
  <c r="R169" i="1"/>
  <c r="R162" i="1"/>
  <c r="S160" i="1"/>
  <c r="U156" i="1"/>
  <c r="O152" i="1"/>
  <c r="P150" i="1"/>
  <c r="R146" i="1"/>
  <c r="O176" i="1"/>
  <c r="P174" i="1"/>
  <c r="O172" i="1"/>
  <c r="R284" i="1"/>
  <c r="S282" i="1"/>
  <c r="U278" i="1"/>
  <c r="S288" i="1"/>
  <c r="O287" i="1"/>
  <c r="P285" i="1"/>
  <c r="R281" i="1"/>
  <c r="S279" i="1"/>
  <c r="O276" i="1"/>
  <c r="P274" i="1"/>
  <c r="R264" i="1"/>
  <c r="S262" i="1"/>
  <c r="U258" i="1"/>
  <c r="O254" i="1"/>
  <c r="P252" i="1"/>
  <c r="R248" i="1"/>
  <c r="R244" i="1"/>
  <c r="R275" i="1"/>
  <c r="S273" i="1"/>
  <c r="T271" i="1"/>
  <c r="U263" i="1"/>
  <c r="O259" i="1"/>
  <c r="P257" i="1"/>
  <c r="R253" i="1"/>
  <c r="S251" i="1"/>
  <c r="T249" i="1"/>
  <c r="U247" i="1"/>
  <c r="O241" i="1"/>
  <c r="P239" i="1"/>
  <c r="S274" i="1"/>
  <c r="T272" i="1"/>
  <c r="U264" i="1"/>
  <c r="O260" i="1"/>
  <c r="P258" i="1"/>
  <c r="R254" i="1"/>
  <c r="S252" i="1"/>
  <c r="U248" i="1"/>
  <c r="O244" i="1"/>
  <c r="P240" i="1"/>
  <c r="S275" i="1"/>
  <c r="T273" i="1"/>
  <c r="U271" i="1"/>
  <c r="O261" i="1"/>
  <c r="P259" i="1"/>
  <c r="R255" i="1"/>
  <c r="S253" i="1"/>
  <c r="U249" i="1"/>
  <c r="O245" i="1"/>
  <c r="P241" i="1"/>
  <c r="R237" i="1"/>
  <c r="S235" i="1"/>
  <c r="U231" i="1"/>
  <c r="O227" i="1"/>
  <c r="P225" i="1"/>
  <c r="R221" i="1"/>
  <c r="S219" i="1"/>
  <c r="U215" i="1"/>
  <c r="O211" i="1"/>
  <c r="P209" i="1"/>
  <c r="P238" i="1"/>
  <c r="R234" i="1"/>
  <c r="S232" i="1"/>
  <c r="U228" i="1"/>
  <c r="O224" i="1"/>
  <c r="P222" i="1"/>
  <c r="R218" i="1"/>
  <c r="S216" i="1"/>
  <c r="U212" i="1"/>
  <c r="O237" i="1"/>
  <c r="P235" i="1"/>
  <c r="R231" i="1"/>
  <c r="S229" i="1"/>
  <c r="U225" i="1"/>
  <c r="O221" i="1"/>
  <c r="P219" i="1"/>
  <c r="R215" i="1"/>
  <c r="S213" i="1"/>
  <c r="U209" i="1"/>
  <c r="O234" i="1"/>
  <c r="P232" i="1"/>
  <c r="R228" i="1"/>
  <c r="S226" i="1"/>
  <c r="U222" i="1"/>
  <c r="O218" i="1"/>
  <c r="P216" i="1"/>
  <c r="R212" i="1"/>
  <c r="S210" i="1"/>
  <c r="O204" i="1"/>
  <c r="P202" i="1"/>
  <c r="R198" i="1"/>
  <c r="S196" i="1"/>
  <c r="U192" i="1"/>
  <c r="O188" i="1"/>
  <c r="P186" i="1"/>
  <c r="R182" i="1"/>
  <c r="S180" i="1"/>
  <c r="R207" i="1"/>
  <c r="S205" i="1"/>
  <c r="U201" i="1"/>
  <c r="O197" i="1"/>
  <c r="P195" i="1"/>
  <c r="R191" i="1"/>
  <c r="S189" i="1"/>
  <c r="U185" i="1"/>
  <c r="O181" i="1"/>
  <c r="P179" i="1"/>
  <c r="O206" i="1"/>
  <c r="P204" i="1"/>
  <c r="R200" i="1"/>
  <c r="S198" i="1"/>
  <c r="U194" i="1"/>
  <c r="O190" i="1"/>
  <c r="P188" i="1"/>
  <c r="R184" i="1"/>
  <c r="S182" i="1"/>
  <c r="U178" i="1"/>
  <c r="R205" i="1"/>
  <c r="S203" i="1"/>
  <c r="U199" i="1"/>
  <c r="O195" i="1"/>
  <c r="P193" i="1"/>
  <c r="R189" i="1"/>
  <c r="S187" i="1"/>
  <c r="U183" i="1"/>
  <c r="O179" i="1"/>
  <c r="O174" i="1"/>
  <c r="P172" i="1"/>
  <c r="R168" i="1"/>
  <c r="S163" i="1"/>
  <c r="U159" i="1"/>
  <c r="O155" i="1"/>
  <c r="P153" i="1"/>
  <c r="R149" i="1"/>
  <c r="S147" i="1"/>
  <c r="U175" i="1"/>
  <c r="O171" i="1"/>
  <c r="P169" i="1"/>
  <c r="O164" i="1"/>
  <c r="P162" i="1"/>
  <c r="R158" i="1"/>
  <c r="S156" i="1"/>
  <c r="U152" i="1"/>
  <c r="O148" i="1"/>
  <c r="P146" i="1"/>
  <c r="U176" i="1"/>
  <c r="U172" i="1"/>
  <c r="O286" i="1"/>
  <c r="P284" i="1"/>
  <c r="R280" i="1"/>
  <c r="S278" i="1"/>
  <c r="T276" i="1"/>
  <c r="U292" i="1"/>
  <c r="U287" i="1"/>
  <c r="O283" i="1"/>
  <c r="P281" i="1"/>
  <c r="R277" i="1"/>
  <c r="O272" i="1"/>
  <c r="P264" i="1"/>
  <c r="R260" i="1"/>
  <c r="S258" i="1"/>
  <c r="U254" i="1"/>
  <c r="O250" i="1"/>
  <c r="P248" i="1"/>
  <c r="O246" i="1"/>
  <c r="P244" i="1"/>
  <c r="O240" i="1"/>
  <c r="P275" i="1"/>
  <c r="R271" i="1"/>
  <c r="S263" i="1"/>
  <c r="U259" i="1"/>
  <c r="O255" i="1"/>
  <c r="P253" i="1"/>
  <c r="R249" i="1"/>
  <c r="S247" i="1"/>
  <c r="U241" i="1"/>
  <c r="R272" i="1"/>
  <c r="S264" i="1"/>
  <c r="U260" i="1"/>
  <c r="O256" i="1"/>
  <c r="P254" i="1"/>
  <c r="R250" i="1"/>
  <c r="S248" i="1"/>
  <c r="U244" i="1"/>
  <c r="R273" i="1"/>
  <c r="S271" i="1"/>
  <c r="U261" i="1"/>
  <c r="O257" i="1"/>
  <c r="P255" i="1"/>
  <c r="R251" i="1"/>
  <c r="S249" i="1"/>
  <c r="U245" i="1"/>
  <c r="O239" i="1"/>
  <c r="P237" i="1"/>
  <c r="R233" i="1"/>
  <c r="S231" i="1"/>
  <c r="U227" i="1"/>
  <c r="O223" i="1"/>
  <c r="P221" i="1"/>
  <c r="R217" i="1"/>
  <c r="S215" i="1"/>
  <c r="U211" i="1"/>
  <c r="O236" i="1"/>
  <c r="P234" i="1"/>
  <c r="R230" i="1"/>
  <c r="S228" i="1"/>
  <c r="U224" i="1"/>
  <c r="O220" i="1"/>
  <c r="P218" i="1"/>
  <c r="R214" i="1"/>
  <c r="S212" i="1"/>
  <c r="U237" i="1"/>
  <c r="O233" i="1"/>
  <c r="P231" i="1"/>
  <c r="R227" i="1"/>
  <c r="S225" i="1"/>
  <c r="U221" i="1"/>
  <c r="O217" i="1"/>
  <c r="P215" i="1"/>
  <c r="R211" i="1"/>
  <c r="S209" i="1"/>
  <c r="S238" i="1"/>
  <c r="U234" i="1"/>
  <c r="O230" i="1"/>
  <c r="P228" i="1"/>
  <c r="R224" i="1"/>
  <c r="S222" i="1"/>
  <c r="U218" i="1"/>
  <c r="O214" i="1"/>
  <c r="P212" i="1"/>
  <c r="S208" i="1"/>
  <c r="U204" i="1"/>
  <c r="O200" i="1"/>
  <c r="P198" i="1"/>
  <c r="R194" i="1"/>
  <c r="S192" i="1"/>
  <c r="U188" i="1"/>
  <c r="O184" i="1"/>
  <c r="P182" i="1"/>
  <c r="R178" i="1"/>
  <c r="P207" i="1"/>
  <c r="R203" i="1"/>
  <c r="S201" i="1"/>
  <c r="U197" i="1"/>
  <c r="O193" i="1"/>
  <c r="P191" i="1"/>
  <c r="R187" i="1"/>
  <c r="S185" i="1"/>
  <c r="U181" i="1"/>
  <c r="U206" i="1"/>
  <c r="O202" i="1"/>
  <c r="P200" i="1"/>
  <c r="R196" i="1"/>
  <c r="S194" i="1"/>
  <c r="U190" i="1"/>
  <c r="O186" i="1"/>
  <c r="P184" i="1"/>
  <c r="R180" i="1"/>
  <c r="S178" i="1"/>
  <c r="O207" i="1"/>
  <c r="P205" i="1"/>
  <c r="R201" i="1"/>
  <c r="S199" i="1"/>
  <c r="U195" i="1"/>
  <c r="O191" i="1"/>
  <c r="P189" i="1"/>
  <c r="R185" i="1"/>
  <c r="S183" i="1"/>
  <c r="U179" i="1"/>
  <c r="U174" i="1"/>
  <c r="O170" i="1"/>
  <c r="P168" i="1"/>
  <c r="R161" i="1"/>
  <c r="S159" i="1"/>
  <c r="U155" i="1"/>
  <c r="O151" i="1"/>
  <c r="P149" i="1"/>
  <c r="R145" i="1"/>
  <c r="R177" i="1"/>
  <c r="S175" i="1"/>
  <c r="U171" i="1"/>
  <c r="U164" i="1"/>
  <c r="O160" i="1"/>
  <c r="P158" i="1"/>
  <c r="R154" i="1"/>
  <c r="S152" i="1"/>
  <c r="U148" i="1"/>
  <c r="S176" i="1"/>
  <c r="S172" i="1"/>
  <c r="R170" i="1"/>
  <c r="S168" i="1"/>
  <c r="U161" i="1"/>
  <c r="O157" i="1"/>
  <c r="P155" i="1"/>
  <c r="R151" i="1"/>
  <c r="S149" i="1"/>
  <c r="U145" i="1"/>
  <c r="S177" i="1"/>
  <c r="S173" i="1"/>
  <c r="U169" i="1"/>
  <c r="O162" i="1"/>
  <c r="P160" i="1"/>
  <c r="R156" i="1"/>
  <c r="S154" i="1"/>
  <c r="U150" i="1"/>
  <c r="U141" i="1"/>
  <c r="O137" i="1"/>
  <c r="P135" i="1"/>
  <c r="R131" i="1"/>
  <c r="S129" i="1"/>
  <c r="U125" i="1"/>
  <c r="O121" i="1"/>
  <c r="P119" i="1"/>
  <c r="R115" i="1"/>
  <c r="S113" i="1"/>
  <c r="U103" i="1"/>
  <c r="O99" i="1"/>
  <c r="P97" i="1"/>
  <c r="R93" i="1"/>
  <c r="S91" i="1"/>
  <c r="U87" i="1"/>
  <c r="O81" i="1"/>
  <c r="P79" i="1"/>
  <c r="U142" i="1"/>
  <c r="O138" i="1"/>
  <c r="P136" i="1"/>
  <c r="R132" i="1"/>
  <c r="S130" i="1"/>
  <c r="U126" i="1"/>
  <c r="O122" i="1"/>
  <c r="P120" i="1"/>
  <c r="R116" i="1"/>
  <c r="S114" i="1"/>
  <c r="U104" i="1"/>
  <c r="O100" i="1"/>
  <c r="P98" i="1"/>
  <c r="R94" i="1"/>
  <c r="S92" i="1"/>
  <c r="S88" i="1"/>
  <c r="T86" i="1"/>
  <c r="S82" i="1"/>
  <c r="U78" i="1"/>
  <c r="S143" i="1"/>
  <c r="U139" i="1"/>
  <c r="O135" i="1"/>
  <c r="P133" i="1"/>
  <c r="R129" i="1"/>
  <c r="S127" i="1"/>
  <c r="U123" i="1"/>
  <c r="O119" i="1"/>
  <c r="P117" i="1"/>
  <c r="R113" i="1"/>
  <c r="S105" i="1"/>
  <c r="U101" i="1"/>
  <c r="O97" i="1"/>
  <c r="P95" i="1"/>
  <c r="R91" i="1"/>
  <c r="S89" i="1"/>
  <c r="T87" i="1"/>
  <c r="U83" i="1"/>
  <c r="O79" i="1"/>
  <c r="P77" i="1"/>
  <c r="S144" i="1"/>
  <c r="U140" i="1"/>
  <c r="O136" i="1"/>
  <c r="P134" i="1"/>
  <c r="R130" i="1"/>
  <c r="S128" i="1"/>
  <c r="U124" i="1"/>
  <c r="O120" i="1"/>
  <c r="P118" i="1"/>
  <c r="R114" i="1"/>
  <c r="S106" i="1"/>
  <c r="U102" i="1"/>
  <c r="O98" i="1"/>
  <c r="P96" i="1"/>
  <c r="R92" i="1"/>
  <c r="S90" i="1"/>
  <c r="U86" i="1"/>
  <c r="O80" i="1"/>
  <c r="P78" i="1"/>
  <c r="P76" i="1"/>
  <c r="R72" i="1"/>
  <c r="S70" i="1"/>
  <c r="U66" i="1"/>
  <c r="O62" i="1"/>
  <c r="P60" i="1"/>
  <c r="R56" i="1"/>
  <c r="S54" i="1"/>
  <c r="U75" i="1"/>
  <c r="O71" i="1"/>
  <c r="P69" i="1"/>
  <c r="R65" i="1"/>
  <c r="S63" i="1"/>
  <c r="U59" i="1"/>
  <c r="O55" i="1"/>
  <c r="P53" i="1"/>
  <c r="R49" i="1"/>
  <c r="S47" i="1"/>
  <c r="U43" i="1"/>
  <c r="O39" i="1"/>
  <c r="P37" i="1"/>
  <c r="R33" i="1"/>
  <c r="S31" i="1"/>
  <c r="U27" i="1"/>
  <c r="O23" i="1"/>
  <c r="P21" i="1"/>
  <c r="R17" i="1"/>
  <c r="S15" i="1"/>
  <c r="O76" i="1"/>
  <c r="P74" i="1"/>
  <c r="R70" i="1"/>
  <c r="S68" i="1"/>
  <c r="U64" i="1"/>
  <c r="O60" i="1"/>
  <c r="P58" i="1"/>
  <c r="R54" i="1"/>
  <c r="S52" i="1"/>
  <c r="U48" i="1"/>
  <c r="O44" i="1"/>
  <c r="P42" i="1"/>
  <c r="R38" i="1"/>
  <c r="S36" i="1"/>
  <c r="U32" i="1"/>
  <c r="O28" i="1"/>
  <c r="P26" i="1"/>
  <c r="R22" i="1"/>
  <c r="S20" i="1"/>
  <c r="U16" i="1"/>
  <c r="O73" i="1"/>
  <c r="P71" i="1"/>
  <c r="R67" i="1"/>
  <c r="S65" i="1"/>
  <c r="P170" i="1"/>
  <c r="R163" i="1"/>
  <c r="S161" i="1"/>
  <c r="U157" i="1"/>
  <c r="O153" i="1"/>
  <c r="P151" i="1"/>
  <c r="R147" i="1"/>
  <c r="S145" i="1"/>
  <c r="R175" i="1"/>
  <c r="R171" i="1"/>
  <c r="S169" i="1"/>
  <c r="U162" i="1"/>
  <c r="O158" i="1"/>
  <c r="P156" i="1"/>
  <c r="R152" i="1"/>
  <c r="S150" i="1"/>
  <c r="U146" i="1"/>
  <c r="R143" i="1"/>
  <c r="S141" i="1"/>
  <c r="U137" i="1"/>
  <c r="O133" i="1"/>
  <c r="P131" i="1"/>
  <c r="R127" i="1"/>
  <c r="S125" i="1"/>
  <c r="U121" i="1"/>
  <c r="O117" i="1"/>
  <c r="P115" i="1"/>
  <c r="R105" i="1"/>
  <c r="S103" i="1"/>
  <c r="U99" i="1"/>
  <c r="O95" i="1"/>
  <c r="P93" i="1"/>
  <c r="R89" i="1"/>
  <c r="S87" i="1"/>
  <c r="U81" i="1"/>
  <c r="O77" i="1"/>
  <c r="R144" i="1"/>
  <c r="S142" i="1"/>
  <c r="U138" i="1"/>
  <c r="O134" i="1"/>
  <c r="P132" i="1"/>
  <c r="R128" i="1"/>
  <c r="S126" i="1"/>
  <c r="U122" i="1"/>
  <c r="O118" i="1"/>
  <c r="P116" i="1"/>
  <c r="R106" i="1"/>
  <c r="S104" i="1"/>
  <c r="U100" i="1"/>
  <c r="O96" i="1"/>
  <c r="P94" i="1"/>
  <c r="R90" i="1"/>
  <c r="R86" i="1"/>
  <c r="R80" i="1"/>
  <c r="S78" i="1"/>
  <c r="S146" i="1"/>
  <c r="R141" i="1"/>
  <c r="S139" i="1"/>
  <c r="U135" i="1"/>
  <c r="O131" i="1"/>
  <c r="P129" i="1"/>
  <c r="R125" i="1"/>
  <c r="S123" i="1"/>
  <c r="U119" i="1"/>
  <c r="O115" i="1"/>
  <c r="P113" i="1"/>
  <c r="R103" i="1"/>
  <c r="S101" i="1"/>
  <c r="U97" i="1"/>
  <c r="O93" i="1"/>
  <c r="P91" i="1"/>
  <c r="R87" i="1"/>
  <c r="S83" i="1"/>
  <c r="U79" i="1"/>
  <c r="R142" i="1"/>
  <c r="S140" i="1"/>
  <c r="U136" i="1"/>
  <c r="O132" i="1"/>
  <c r="P130" i="1"/>
  <c r="R126" i="1"/>
  <c r="S124" i="1"/>
  <c r="U120" i="1"/>
  <c r="O116" i="1"/>
  <c r="P114" i="1"/>
  <c r="R104" i="1"/>
  <c r="S102" i="1"/>
  <c r="U98" i="1"/>
  <c r="O94" i="1"/>
  <c r="P92" i="1"/>
  <c r="R88" i="1"/>
  <c r="S86" i="1"/>
  <c r="U80" i="1"/>
  <c r="O74" i="1"/>
  <c r="P72" i="1"/>
  <c r="R68" i="1"/>
  <c r="S66" i="1"/>
  <c r="U62" i="1"/>
  <c r="O58" i="1"/>
  <c r="P56" i="1"/>
  <c r="S75" i="1"/>
  <c r="U71" i="1"/>
  <c r="O67" i="1"/>
  <c r="P65" i="1"/>
  <c r="R61" i="1"/>
  <c r="S59" i="1"/>
  <c r="U55" i="1"/>
  <c r="O51" i="1"/>
  <c r="P49" i="1"/>
  <c r="R45" i="1"/>
  <c r="S43" i="1"/>
  <c r="U39" i="1"/>
  <c r="O35" i="1"/>
  <c r="P33" i="1"/>
  <c r="R29" i="1"/>
  <c r="S27" i="1"/>
  <c r="U23" i="1"/>
  <c r="O19" i="1"/>
  <c r="P17" i="1"/>
  <c r="U76" i="1"/>
  <c r="O72" i="1"/>
  <c r="P70" i="1"/>
  <c r="R66" i="1"/>
  <c r="S64" i="1"/>
  <c r="U60" i="1"/>
  <c r="O56" i="1"/>
  <c r="P54" i="1"/>
  <c r="R50" i="1"/>
  <c r="S48" i="1"/>
  <c r="U44" i="1"/>
  <c r="O40" i="1"/>
  <c r="P38" i="1"/>
  <c r="R34" i="1"/>
  <c r="S32" i="1"/>
  <c r="U28" i="1"/>
  <c r="O24" i="1"/>
  <c r="P22" i="1"/>
  <c r="R18" i="1"/>
  <c r="S16" i="1"/>
  <c r="U73" i="1"/>
  <c r="O69" i="1"/>
  <c r="P67" i="1"/>
  <c r="R63" i="1"/>
  <c r="O168" i="1"/>
  <c r="P163" i="1"/>
  <c r="R159" i="1"/>
  <c r="S157" i="1"/>
  <c r="U153" i="1"/>
  <c r="O149" i="1"/>
  <c r="P147" i="1"/>
  <c r="O177" i="1"/>
  <c r="P175" i="1"/>
  <c r="O173" i="1"/>
  <c r="P171" i="1"/>
  <c r="R164" i="1"/>
  <c r="S162" i="1"/>
  <c r="U158" i="1"/>
  <c r="O154" i="1"/>
  <c r="P152" i="1"/>
  <c r="R148" i="1"/>
  <c r="O146" i="1"/>
  <c r="P143" i="1"/>
  <c r="R139" i="1"/>
  <c r="S137" i="1"/>
  <c r="U133" i="1"/>
  <c r="O129" i="1"/>
  <c r="P127" i="1"/>
  <c r="R123" i="1"/>
  <c r="S121" i="1"/>
  <c r="U117" i="1"/>
  <c r="O113" i="1"/>
  <c r="P105" i="1"/>
  <c r="R101" i="1"/>
  <c r="S99" i="1"/>
  <c r="U95" i="1"/>
  <c r="O91" i="1"/>
  <c r="P89" i="1"/>
  <c r="R83" i="1"/>
  <c r="S81" i="1"/>
  <c r="U77" i="1"/>
  <c r="P144" i="1"/>
  <c r="R140" i="1"/>
  <c r="S138" i="1"/>
  <c r="U134" i="1"/>
  <c r="O130" i="1"/>
  <c r="P128" i="1"/>
  <c r="R124" i="1"/>
  <c r="S122" i="1"/>
  <c r="U118" i="1"/>
  <c r="O114" i="1"/>
  <c r="P106" i="1"/>
  <c r="R102" i="1"/>
  <c r="S100" i="1"/>
  <c r="U96" i="1"/>
  <c r="O92" i="1"/>
  <c r="P90" i="1"/>
  <c r="O88" i="1"/>
  <c r="P86" i="1"/>
  <c r="O82" i="1"/>
  <c r="P80" i="1"/>
  <c r="O143" i="1"/>
  <c r="P141" i="1"/>
  <c r="R137" i="1"/>
  <c r="S135" i="1"/>
  <c r="U131" i="1"/>
  <c r="O127" i="1"/>
  <c r="P125" i="1"/>
  <c r="R121" i="1"/>
  <c r="S119" i="1"/>
  <c r="U115" i="1"/>
  <c r="O105" i="1"/>
  <c r="P103" i="1"/>
  <c r="R99" i="1"/>
  <c r="S97" i="1"/>
  <c r="U93" i="1"/>
  <c r="O89" i="1"/>
  <c r="P87" i="1"/>
  <c r="R81" i="1"/>
  <c r="S79" i="1"/>
  <c r="O144" i="1"/>
  <c r="P142" i="1"/>
  <c r="R138" i="1"/>
  <c r="S136" i="1"/>
  <c r="U132" i="1"/>
  <c r="O128" i="1"/>
  <c r="P126" i="1"/>
  <c r="R122" i="1"/>
  <c r="S120" i="1"/>
  <c r="U116" i="1"/>
  <c r="O106" i="1"/>
  <c r="P104" i="1"/>
  <c r="R100" i="1"/>
  <c r="S98" i="1"/>
  <c r="U94" i="1"/>
  <c r="O90" i="1"/>
  <c r="P88" i="1"/>
  <c r="R82" i="1"/>
  <c r="S80" i="1"/>
  <c r="U74" i="1"/>
  <c r="O70" i="1"/>
  <c r="P68" i="1"/>
  <c r="R64" i="1"/>
  <c r="S62" i="1"/>
  <c r="U58" i="1"/>
  <c r="O54" i="1"/>
  <c r="R73" i="1"/>
  <c r="S71" i="1"/>
  <c r="U67" i="1"/>
  <c r="O63" i="1"/>
  <c r="P61" i="1"/>
  <c r="R57" i="1"/>
  <c r="S55" i="1"/>
  <c r="U51" i="1"/>
  <c r="O47" i="1"/>
  <c r="P45" i="1"/>
  <c r="R41" i="1"/>
  <c r="S39" i="1"/>
  <c r="U35" i="1"/>
  <c r="O31" i="1"/>
  <c r="P29" i="1"/>
  <c r="R25" i="1"/>
  <c r="S23" i="1"/>
  <c r="U19" i="1"/>
  <c r="S76" i="1"/>
  <c r="U72" i="1"/>
  <c r="O68" i="1"/>
  <c r="P66" i="1"/>
  <c r="R62" i="1"/>
  <c r="S60" i="1"/>
  <c r="U56" i="1"/>
  <c r="O52" i="1"/>
  <c r="P50" i="1"/>
  <c r="R46" i="1"/>
  <c r="S44" i="1"/>
  <c r="U40" i="1"/>
  <c r="O36" i="1"/>
  <c r="P34" i="1"/>
  <c r="R30" i="1"/>
  <c r="S28" i="1"/>
  <c r="U24" i="1"/>
  <c r="O20" i="1"/>
  <c r="P18" i="1"/>
  <c r="R75" i="1"/>
  <c r="S73" i="1"/>
  <c r="U69" i="1"/>
  <c r="O65" i="1"/>
  <c r="P63" i="1"/>
  <c r="U168" i="1"/>
  <c r="O161" i="1"/>
  <c r="P159" i="1"/>
  <c r="R155" i="1"/>
  <c r="S153" i="1"/>
  <c r="U149" i="1"/>
  <c r="U177" i="1"/>
  <c r="U173" i="1"/>
  <c r="O169" i="1"/>
  <c r="P164" i="1"/>
  <c r="R160" i="1"/>
  <c r="S158" i="1"/>
  <c r="U154" i="1"/>
  <c r="O150" i="1"/>
  <c r="P148" i="1"/>
  <c r="O145" i="1"/>
  <c r="O141" i="1"/>
  <c r="P139" i="1"/>
  <c r="R135" i="1"/>
  <c r="S133" i="1"/>
  <c r="U129" i="1"/>
  <c r="O125" i="1"/>
  <c r="P123" i="1"/>
  <c r="R119" i="1"/>
  <c r="S117" i="1"/>
  <c r="U113" i="1"/>
  <c r="O103" i="1"/>
  <c r="P101" i="1"/>
  <c r="R97" i="1"/>
  <c r="S95" i="1"/>
  <c r="U91" i="1"/>
  <c r="O87" i="1"/>
  <c r="P83" i="1"/>
  <c r="R79" i="1"/>
  <c r="S77" i="1"/>
  <c r="O142" i="1"/>
  <c r="P140" i="1"/>
  <c r="R136" i="1"/>
  <c r="S134" i="1"/>
  <c r="U130" i="1"/>
  <c r="O126" i="1"/>
  <c r="P124" i="1"/>
  <c r="R120" i="1"/>
  <c r="S118" i="1"/>
  <c r="U114" i="1"/>
  <c r="O104" i="1"/>
  <c r="P102" i="1"/>
  <c r="R98" i="1"/>
  <c r="S96" i="1"/>
  <c r="U92" i="1"/>
  <c r="U88" i="1"/>
  <c r="U82" i="1"/>
  <c r="O78" i="1"/>
  <c r="U143" i="1"/>
  <c r="O139" i="1"/>
  <c r="P137" i="1"/>
  <c r="R133" i="1"/>
  <c r="S131" i="1"/>
  <c r="U127" i="1"/>
  <c r="O123" i="1"/>
  <c r="P121" i="1"/>
  <c r="R117" i="1"/>
  <c r="S115" i="1"/>
  <c r="T113" i="1"/>
  <c r="U105" i="1"/>
  <c r="O101" i="1"/>
  <c r="P99" i="1"/>
  <c r="R95" i="1"/>
  <c r="S93" i="1"/>
  <c r="U89" i="1"/>
  <c r="O83" i="1"/>
  <c r="P81" i="1"/>
  <c r="R77" i="1"/>
  <c r="U144" i="1"/>
  <c r="O140" i="1"/>
  <c r="P138" i="1"/>
  <c r="R134" i="1"/>
  <c r="S132" i="1"/>
  <c r="U128" i="1"/>
  <c r="O124" i="1"/>
  <c r="P122" i="1"/>
  <c r="R118" i="1"/>
  <c r="S116" i="1"/>
  <c r="T114" i="1"/>
  <c r="U106" i="1"/>
  <c r="O102" i="1"/>
  <c r="P100" i="1"/>
  <c r="R96" i="1"/>
  <c r="S94" i="1"/>
  <c r="U90" i="1"/>
  <c r="O86" i="1"/>
  <c r="P82" i="1"/>
  <c r="R78" i="1"/>
  <c r="R76" i="1"/>
  <c r="S74" i="1"/>
  <c r="U70" i="1"/>
  <c r="O66" i="1"/>
  <c r="P64" i="1"/>
  <c r="R60" i="1"/>
  <c r="S58" i="1"/>
  <c r="U54" i="1"/>
  <c r="O75" i="1"/>
  <c r="P73" i="1"/>
  <c r="R69" i="1"/>
  <c r="S67" i="1"/>
  <c r="U63" i="1"/>
  <c r="O59" i="1"/>
  <c r="P57" i="1"/>
  <c r="R53" i="1"/>
  <c r="S51" i="1"/>
  <c r="U47" i="1"/>
  <c r="O43" i="1"/>
  <c r="P41" i="1"/>
  <c r="R37" i="1"/>
  <c r="S35" i="1"/>
  <c r="U31" i="1"/>
  <c r="O27" i="1"/>
  <c r="P25" i="1"/>
  <c r="R21" i="1"/>
  <c r="S19" i="1"/>
  <c r="U15" i="1"/>
  <c r="R74" i="1"/>
  <c r="S72" i="1"/>
  <c r="U68" i="1"/>
  <c r="O64" i="1"/>
  <c r="P62" i="1"/>
  <c r="R58" i="1"/>
  <c r="S56" i="1"/>
  <c r="U52" i="1"/>
  <c r="O48" i="1"/>
  <c r="P46" i="1"/>
  <c r="R42" i="1"/>
  <c r="S40" i="1"/>
  <c r="U36" i="1"/>
  <c r="O32" i="1"/>
  <c r="P30" i="1"/>
  <c r="R26" i="1"/>
  <c r="S24" i="1"/>
  <c r="U20" i="1"/>
  <c r="O16" i="1"/>
  <c r="P75" i="1"/>
  <c r="R71" i="1"/>
  <c r="S69" i="1"/>
  <c r="U65" i="1"/>
  <c r="U61" i="1"/>
  <c r="O57" i="1"/>
  <c r="P55" i="1"/>
  <c r="R51" i="1"/>
  <c r="S49" i="1"/>
  <c r="U45" i="1"/>
  <c r="O41" i="1"/>
  <c r="P39" i="1"/>
  <c r="R35" i="1"/>
  <c r="S33" i="1"/>
  <c r="U29" i="1"/>
  <c r="O25" i="1"/>
  <c r="P23" i="1"/>
  <c r="R19" i="1"/>
  <c r="U50" i="1"/>
  <c r="P44" i="1"/>
  <c r="S18" i="1"/>
  <c r="O15" i="1"/>
  <c r="P13" i="1"/>
  <c r="R9" i="1"/>
  <c r="O26" i="1"/>
  <c r="P8" i="1"/>
  <c r="O46" i="1"/>
  <c r="O38" i="1"/>
  <c r="O30" i="1"/>
  <c r="O22" i="1"/>
  <c r="P14" i="1"/>
  <c r="R10" i="1"/>
  <c r="S8" i="1"/>
  <c r="P12" i="1"/>
  <c r="U38" i="1"/>
  <c r="P32" i="1"/>
  <c r="S17" i="1"/>
  <c r="R15" i="1"/>
  <c r="S13" i="1"/>
  <c r="U9" i="1"/>
  <c r="S10" i="1"/>
  <c r="O50" i="1"/>
  <c r="O42" i="1"/>
  <c r="O34" i="1"/>
  <c r="O10" i="1"/>
  <c r="Q108" i="1"/>
  <c r="R110" i="1"/>
  <c r="T111" i="1"/>
  <c r="T109" i="1"/>
  <c r="U243" i="1"/>
  <c r="Q165" i="1"/>
  <c r="O110" i="1"/>
  <c r="Q111" i="1"/>
  <c r="S110" i="1"/>
  <c r="S111" i="1"/>
  <c r="P112" i="1"/>
  <c r="S167" i="1"/>
  <c r="R165" i="1"/>
  <c r="U110" i="1"/>
  <c r="P110" i="1"/>
  <c r="R323" i="1"/>
  <c r="U323" i="1"/>
  <c r="R242" i="1"/>
  <c r="U85" i="1"/>
  <c r="U267" i="1"/>
  <c r="R269" i="1"/>
  <c r="P270" i="1"/>
  <c r="O265" i="1"/>
  <c r="U325" i="1"/>
  <c r="R166" i="1"/>
  <c r="Q166" i="1"/>
  <c r="U7" i="1"/>
  <c r="R324" i="1"/>
  <c r="P267" i="1"/>
  <c r="S270" i="1"/>
  <c r="U266" i="1"/>
  <c r="S242" i="1"/>
  <c r="Q269" i="1"/>
  <c r="R325" i="1"/>
  <c r="O325" i="1"/>
  <c r="Q2" i="1"/>
  <c r="R6" i="1"/>
  <c r="O6" i="1"/>
  <c r="P84" i="1"/>
  <c r="S4" i="1"/>
  <c r="R3" i="1"/>
  <c r="P4" i="1"/>
  <c r="R85" i="1"/>
  <c r="S61" i="1"/>
  <c r="U57" i="1"/>
  <c r="O53" i="1"/>
  <c r="P51" i="1"/>
  <c r="R47" i="1"/>
  <c r="S45" i="1"/>
  <c r="U41" i="1"/>
  <c r="O37" i="1"/>
  <c r="P35" i="1"/>
  <c r="R31" i="1"/>
  <c r="S29" i="1"/>
  <c r="U25" i="1"/>
  <c r="O21" i="1"/>
  <c r="P19" i="1"/>
  <c r="U42" i="1"/>
  <c r="P36" i="1"/>
  <c r="O18" i="1"/>
  <c r="O11" i="1"/>
  <c r="P9" i="1"/>
  <c r="S14" i="1"/>
  <c r="O12" i="1"/>
  <c r="P10" i="1"/>
  <c r="O8" i="1"/>
  <c r="U10" i="1"/>
  <c r="U30" i="1"/>
  <c r="P24" i="1"/>
  <c r="U18" i="1"/>
  <c r="O17" i="1"/>
  <c r="P15" i="1"/>
  <c r="R11" i="1"/>
  <c r="S9" i="1"/>
  <c r="R20" i="1"/>
  <c r="S22" i="1"/>
  <c r="R111" i="1"/>
  <c r="U242" i="1"/>
  <c r="U108" i="1"/>
  <c r="Q112" i="1"/>
  <c r="O107" i="1"/>
  <c r="R109" i="1"/>
  <c r="R108" i="1"/>
  <c r="Q109" i="1"/>
  <c r="U109" i="1"/>
  <c r="P323" i="1"/>
  <c r="T112" i="1"/>
  <c r="S109" i="1"/>
  <c r="U166" i="1"/>
  <c r="U165" i="1"/>
  <c r="P85" i="1"/>
  <c r="O269" i="1"/>
  <c r="S85" i="1"/>
  <c r="Q266" i="1"/>
  <c r="O323" i="1"/>
  <c r="O165" i="1"/>
  <c r="Q324" i="1"/>
  <c r="P242" i="1"/>
  <c r="P167" i="1"/>
  <c r="P325" i="1"/>
  <c r="S265" i="1"/>
  <c r="P7" i="1"/>
  <c r="R266" i="1"/>
  <c r="P243" i="1"/>
  <c r="S324" i="1"/>
  <c r="S84" i="1"/>
  <c r="S323" i="1"/>
  <c r="S7" i="1"/>
  <c r="P5" i="1"/>
  <c r="O7" i="1"/>
  <c r="R2" i="1"/>
  <c r="S6" i="1"/>
  <c r="O3" i="1"/>
  <c r="R59" i="1"/>
  <c r="S57" i="1"/>
  <c r="U53" i="1"/>
  <c r="O49" i="1"/>
  <c r="P47" i="1"/>
  <c r="R43" i="1"/>
  <c r="S41" i="1"/>
  <c r="U37" i="1"/>
  <c r="O33" i="1"/>
  <c r="P31" i="1"/>
  <c r="R27" i="1"/>
  <c r="S25" i="1"/>
  <c r="U21" i="1"/>
  <c r="U34" i="1"/>
  <c r="P28" i="1"/>
  <c r="U17" i="1"/>
  <c r="P16" i="1"/>
  <c r="U11" i="1"/>
  <c r="R12" i="1"/>
  <c r="S50" i="1"/>
  <c r="S42" i="1"/>
  <c r="S34" i="1"/>
  <c r="S26" i="1"/>
  <c r="U12" i="1"/>
  <c r="P48" i="1"/>
  <c r="U22" i="1"/>
  <c r="R16" i="1"/>
  <c r="O13" i="1"/>
  <c r="P11" i="1"/>
  <c r="R8" i="1"/>
  <c r="S46" i="1"/>
  <c r="S38" i="1"/>
  <c r="S30" i="1"/>
  <c r="U14" i="1"/>
  <c r="R112" i="1"/>
  <c r="T167" i="1"/>
  <c r="Q85" i="1"/>
  <c r="S165" i="1"/>
  <c r="P165" i="1"/>
  <c r="P109" i="1"/>
  <c r="O112" i="1"/>
  <c r="Q167" i="1"/>
  <c r="P107" i="1"/>
  <c r="U167" i="1"/>
  <c r="R107" i="1"/>
  <c r="O108" i="1"/>
  <c r="Q110" i="1"/>
  <c r="O111" i="1"/>
  <c r="T110" i="1"/>
  <c r="O166" i="1"/>
  <c r="S266" i="1"/>
  <c r="O243" i="1"/>
  <c r="S166" i="1"/>
  <c r="O270" i="1"/>
  <c r="S268" i="1"/>
  <c r="O84" i="1"/>
  <c r="R167" i="1"/>
  <c r="Q242" i="1"/>
  <c r="Q267" i="1"/>
  <c r="S267" i="1"/>
  <c r="R267" i="1"/>
  <c r="Q268" i="1"/>
  <c r="Q243" i="1"/>
  <c r="U4" i="1"/>
  <c r="P268" i="1"/>
  <c r="S269" i="1"/>
  <c r="U324" i="1"/>
  <c r="O267" i="1"/>
  <c r="R270" i="1"/>
  <c r="Q270" i="1"/>
  <c r="U268" i="1"/>
  <c r="P3" i="1"/>
  <c r="R5" i="1"/>
  <c r="S3" i="1"/>
  <c r="Q84" i="1"/>
  <c r="U5" i="1"/>
  <c r="R7" i="1"/>
  <c r="U3" i="1"/>
  <c r="O5" i="1"/>
  <c r="P6" i="1"/>
  <c r="R4" i="1"/>
  <c r="O4" i="1"/>
  <c r="O61" i="1"/>
  <c r="P59" i="1"/>
  <c r="R55" i="1"/>
  <c r="S53" i="1"/>
  <c r="U49" i="1"/>
  <c r="O45" i="1"/>
  <c r="P43" i="1"/>
  <c r="R39" i="1"/>
  <c r="S37" i="1"/>
  <c r="U33" i="1"/>
  <c r="O29" i="1"/>
  <c r="P27" i="1"/>
  <c r="R23" i="1"/>
  <c r="S21" i="1"/>
  <c r="P52" i="1"/>
  <c r="U26" i="1"/>
  <c r="P20" i="1"/>
  <c r="R13" i="1"/>
  <c r="S11" i="1"/>
  <c r="R48" i="1"/>
  <c r="R40" i="1"/>
  <c r="R32" i="1"/>
  <c r="R24" i="1"/>
  <c r="R14" i="1"/>
  <c r="S12" i="1"/>
  <c r="U8" i="1"/>
  <c r="U46" i="1"/>
  <c r="P40" i="1"/>
  <c r="U13" i="1"/>
  <c r="O9" i="1"/>
  <c r="R52" i="1"/>
  <c r="R44" i="1"/>
  <c r="R36" i="1"/>
  <c r="R28" i="1"/>
  <c r="O14" i="1"/>
  <c r="P111" i="1"/>
  <c r="S112" i="1"/>
  <c r="Q107" i="1"/>
  <c r="O268" i="1"/>
  <c r="U270" i="1"/>
  <c r="O242" i="1"/>
  <c r="U111" i="1"/>
  <c r="S108" i="1"/>
  <c r="U107" i="1"/>
  <c r="U269" i="1"/>
  <c r="O167" i="1"/>
  <c r="U112" i="1"/>
  <c r="O109" i="1"/>
  <c r="P108" i="1"/>
  <c r="P269" i="1"/>
  <c r="S107" i="1"/>
  <c r="P265" i="1"/>
  <c r="P324" i="1"/>
  <c r="P166" i="1"/>
  <c r="U84" i="1"/>
  <c r="R265" i="1"/>
  <c r="Q265" i="1"/>
  <c r="S243" i="1"/>
  <c r="R243" i="1"/>
  <c r="S325" i="1"/>
  <c r="O266" i="1"/>
  <c r="R268" i="1"/>
  <c r="U2" i="1"/>
  <c r="P266" i="1"/>
  <c r="Q323" i="1"/>
  <c r="U265" i="1"/>
  <c r="Q325" i="1"/>
  <c r="O324" i="1"/>
  <c r="S2" i="1"/>
  <c r="O85" i="1"/>
  <c r="P2" i="1"/>
  <c r="O2" i="1"/>
  <c r="R84" i="1"/>
  <c r="S5" i="1"/>
  <c r="U6" i="1"/>
  <c r="Z301" i="1" a="1"/>
  <c r="Z301" i="1" s="1"/>
  <c r="Z286" i="1" a="1"/>
  <c r="Z286" i="1" s="1"/>
  <c r="Z271" i="1" a="1"/>
  <c r="Z271" i="1" s="1"/>
  <c r="Z212" i="1" a="1"/>
  <c r="Z212" i="1" s="1"/>
  <c r="Z196" i="1" a="1"/>
  <c r="Z196" i="1" s="1"/>
  <c r="Z147" i="1" a="1"/>
  <c r="Z147" i="1" s="1"/>
  <c r="Z132" i="1" a="1"/>
  <c r="Z132" i="1" s="1"/>
  <c r="Z116" i="1" a="1"/>
  <c r="Z116" i="1" s="1"/>
  <c r="Z60" i="1" a="1"/>
  <c r="Z60" i="1" s="1"/>
  <c r="Z44" i="1" a="1"/>
  <c r="Z44" i="1" s="1"/>
  <c r="Z28" i="1" a="1"/>
  <c r="Z28" i="1" s="1"/>
  <c r="Z296" i="1" a="1"/>
  <c r="Z296" i="1" s="1"/>
  <c r="Z255" i="1" a="1"/>
  <c r="Z255" i="1" s="1"/>
  <c r="Z193" i="1" a="1"/>
  <c r="Z193" i="1" s="1"/>
  <c r="Z129" i="1" a="1"/>
  <c r="Z129" i="1" s="1"/>
  <c r="Z308" i="1" a="1"/>
  <c r="Z308" i="1" s="1"/>
  <c r="Z292" i="1" a="1"/>
  <c r="Z292" i="1" s="1"/>
  <c r="Z274" i="1" a="1"/>
  <c r="Z274" i="1" s="1"/>
  <c r="Z249" i="1" a="1"/>
  <c r="Z249" i="1" s="1"/>
  <c r="Z215" i="1" a="1"/>
  <c r="Z215" i="1" s="1"/>
  <c r="Z199" i="1" a="1"/>
  <c r="Z199" i="1" s="1"/>
  <c r="Z183" i="1" a="1"/>
  <c r="Z183" i="1" s="1"/>
  <c r="Z150" i="1" a="1"/>
  <c r="Z150" i="1" s="1"/>
  <c r="Z135" i="1" a="1"/>
  <c r="Z135" i="1" s="1"/>
  <c r="Z119" i="1" a="1"/>
  <c r="Z119" i="1" s="1"/>
  <c r="Z94" i="1" a="1"/>
  <c r="Z94" i="1" s="1"/>
  <c r="Z59" i="1" a="1"/>
  <c r="Z59" i="1" s="1"/>
  <c r="Z43" i="1" a="1"/>
  <c r="Z43" i="1" s="1"/>
  <c r="Z27" i="1" a="1"/>
  <c r="Z27" i="1" s="1"/>
  <c r="Z9" i="1" a="1"/>
  <c r="Z9" i="1" s="1"/>
  <c r="Z189" i="1" a="1"/>
  <c r="Z189" i="1" s="1"/>
  <c r="Z100" i="1" a="1"/>
  <c r="Z100" i="1" s="1"/>
  <c r="Z299" i="1" a="1"/>
  <c r="Z299" i="1" s="1"/>
  <c r="Z285" i="1" a="1"/>
  <c r="Z285" i="1" s="1"/>
  <c r="Z226" i="1" a="1"/>
  <c r="Z226" i="1" s="1"/>
  <c r="Z210" i="1" a="1"/>
  <c r="Z210" i="1" s="1"/>
  <c r="Z194" i="1" a="1"/>
  <c r="Z194" i="1" s="1"/>
  <c r="Z176" i="1" a="1"/>
  <c r="Z176" i="1" s="1"/>
  <c r="Z145" i="1" a="1"/>
  <c r="Z145" i="1" s="1"/>
  <c r="Z130" i="1" a="1"/>
  <c r="Z130" i="1" s="1"/>
  <c r="Z114" i="1" a="1"/>
  <c r="Z114" i="1" s="1"/>
  <c r="Z87" i="1" a="1"/>
  <c r="Z87" i="1" s="1"/>
  <c r="Z55" i="1" a="1"/>
  <c r="Z55" i="1" s="1"/>
  <c r="Z39" i="1" a="1"/>
  <c r="Z39" i="1" s="1"/>
  <c r="Z23" i="1" a="1"/>
  <c r="Z23" i="1" s="1"/>
  <c r="Z293" i="1" a="1"/>
  <c r="Z293" i="1" s="1"/>
  <c r="Z251" i="1" a="1"/>
  <c r="Z251" i="1" s="1"/>
  <c r="Z197" i="1" a="1"/>
  <c r="Z197" i="1" s="1"/>
  <c r="Z125" i="1" a="1"/>
  <c r="Z125" i="1" s="1"/>
  <c r="Z32" i="1" a="1"/>
  <c r="Z32" i="1" s="1"/>
  <c r="Z22" i="1" a="1"/>
  <c r="Z22" i="1" s="1"/>
  <c r="Z38" i="1" a="1"/>
  <c r="Z38" i="1" s="1"/>
  <c r="Z35" i="1" a="1"/>
  <c r="Z35" i="1" s="1"/>
  <c r="Z112" i="1" a="1"/>
  <c r="Z112" i="1" s="1"/>
  <c r="Y88" i="1" a="1"/>
  <c r="Y88" i="1" s="1"/>
  <c r="Z298" i="1" a="1"/>
  <c r="Z298" i="1" s="1"/>
  <c r="Z283" i="1" a="1"/>
  <c r="Z283" i="1" s="1"/>
  <c r="Z224" i="1" a="1"/>
  <c r="Z224" i="1" s="1"/>
  <c r="Z208" i="1" a="1"/>
  <c r="Z208" i="1" s="1"/>
  <c r="Z192" i="1" a="1"/>
  <c r="Z192" i="1" s="1"/>
  <c r="Z175" i="1" a="1"/>
  <c r="Z175" i="1" s="1"/>
  <c r="Z144" i="1" a="1"/>
  <c r="Z144" i="1" s="1"/>
  <c r="Z128" i="1" a="1"/>
  <c r="Z128" i="1" s="1"/>
  <c r="Z69" i="1" a="1"/>
  <c r="Z69" i="1" s="1"/>
  <c r="Z53" i="1" a="1"/>
  <c r="Z53" i="1" s="1"/>
  <c r="Z37" i="1" a="1"/>
  <c r="Z37" i="1" s="1"/>
  <c r="Z21" i="1" a="1"/>
  <c r="Z21" i="1" s="1"/>
  <c r="Z287" i="1" a="1"/>
  <c r="Z287" i="1" s="1"/>
  <c r="Z179" i="1" a="1"/>
  <c r="Z179" i="1" s="1"/>
  <c r="Z117" i="1" a="1"/>
  <c r="Z117" i="1" s="1"/>
  <c r="Z303" i="1" a="1"/>
  <c r="Z303" i="1" s="1"/>
  <c r="Z289" i="1" a="1"/>
  <c r="Z289" i="1" s="1"/>
  <c r="Z261" i="1" a="1"/>
  <c r="Z261" i="1" s="1"/>
  <c r="Z227" i="1" a="1"/>
  <c r="Z227" i="1" s="1"/>
  <c r="Z211" i="1" a="1"/>
  <c r="Z211" i="1" s="1"/>
  <c r="Z195" i="1" a="1"/>
  <c r="Z195" i="1" s="1"/>
  <c r="Z146" i="1" a="1"/>
  <c r="Z146" i="1" s="1"/>
  <c r="Z131" i="1" a="1"/>
  <c r="Z131" i="1" s="1"/>
  <c r="Z115" i="1" a="1"/>
  <c r="Z115" i="1" s="1"/>
  <c r="Z56" i="1" a="1"/>
  <c r="Z56" i="1" s="1"/>
  <c r="Z40" i="1" a="1"/>
  <c r="Z40" i="1" s="1"/>
  <c r="Z24" i="1" a="1"/>
  <c r="Z24" i="1" s="1"/>
  <c r="Z307" i="1" a="1"/>
  <c r="Z307" i="1" s="1"/>
  <c r="Z148" i="1" a="1"/>
  <c r="Z148" i="1" s="1"/>
  <c r="Z96" i="1" a="1"/>
  <c r="Z96" i="1" s="1"/>
  <c r="Z294" i="1" a="1"/>
  <c r="Z294" i="1" s="1"/>
  <c r="Z281" i="1" a="1"/>
  <c r="Z281" i="1" s="1"/>
  <c r="Z256" i="1" a="1"/>
  <c r="Z256" i="1" s="1"/>
  <c r="Z222" i="1" a="1"/>
  <c r="Z222" i="1" s="1"/>
  <c r="Z206" i="1" a="1"/>
  <c r="Z206" i="1" s="1"/>
  <c r="Z190" i="1" a="1"/>
  <c r="Z190" i="1" s="1"/>
  <c r="Z171" i="1" a="1"/>
  <c r="Z171" i="1" s="1"/>
  <c r="Z142" i="1" a="1"/>
  <c r="Z142" i="1" s="1"/>
  <c r="Z126" i="1" a="1"/>
  <c r="Z126" i="1" s="1"/>
  <c r="Z101" i="1" a="1"/>
  <c r="Z101" i="1" s="1"/>
  <c r="Z68" i="1" a="1"/>
  <c r="Z68" i="1" s="1"/>
  <c r="Z52" i="1" a="1"/>
  <c r="Z52" i="1" s="1"/>
  <c r="Z36" i="1" a="1"/>
  <c r="Z36" i="1" s="1"/>
  <c r="Z20" i="1" a="1"/>
  <c r="Z20" i="1" s="1"/>
  <c r="Z284" i="1" a="1"/>
  <c r="Z284" i="1" s="1"/>
  <c r="Z225" i="1" a="1"/>
  <c r="Z225" i="1" s="1"/>
  <c r="Z113" i="1" a="1"/>
  <c r="Z113" i="1" s="1"/>
  <c r="Z19" i="1" a="1"/>
  <c r="Z19" i="1" s="1"/>
  <c r="Z57" i="1" a="1"/>
  <c r="Z57" i="1" s="1"/>
  <c r="Z25" i="1" a="1"/>
  <c r="Z25" i="1" s="1"/>
  <c r="Z110" i="1" a="1"/>
  <c r="Z110" i="1" s="1"/>
  <c r="Z2" i="1" a="1"/>
  <c r="Z2" i="1" s="1"/>
  <c r="Z88" i="1" a="1"/>
  <c r="Z88" i="1" s="1"/>
  <c r="Y264" i="1" a="1"/>
  <c r="Y264" i="1" s="1"/>
  <c r="Y228" i="1" a="1"/>
  <c r="Y228" i="1" s="1"/>
  <c r="Y182" i="1" a="1"/>
  <c r="Y182" i="1" s="1"/>
  <c r="Z295" i="1" a="1"/>
  <c r="Z295" i="1" s="1"/>
  <c r="Z279" i="1" a="1"/>
  <c r="Z279" i="1" s="1"/>
  <c r="Z254" i="1" a="1"/>
  <c r="Z254" i="1" s="1"/>
  <c r="Z220" i="1" a="1"/>
  <c r="Z220" i="1" s="1"/>
  <c r="Z204" i="1" a="1"/>
  <c r="Z204" i="1" s="1"/>
  <c r="Z188" i="1" a="1"/>
  <c r="Z188" i="1" s="1"/>
  <c r="Z169" i="1" a="1"/>
  <c r="Z169" i="1" s="1"/>
  <c r="Z140" i="1" a="1"/>
  <c r="Z140" i="1" s="1"/>
  <c r="Z124" i="1" a="1"/>
  <c r="Z124" i="1" s="1"/>
  <c r="Z99" i="1" a="1"/>
  <c r="Z99" i="1" s="1"/>
  <c r="Z66" i="1" a="1"/>
  <c r="Z66" i="1" s="1"/>
  <c r="Z50" i="1" a="1"/>
  <c r="Z50" i="1" s="1"/>
  <c r="Z34" i="1" a="1"/>
  <c r="Z34" i="1" s="1"/>
  <c r="Z18" i="1" a="1"/>
  <c r="Z18" i="1" s="1"/>
  <c r="Z280" i="1" a="1"/>
  <c r="Z280" i="1" s="1"/>
  <c r="Z221" i="1" a="1"/>
  <c r="Z221" i="1" s="1"/>
  <c r="Z300" i="1" a="1"/>
  <c r="Z300" i="1" s="1"/>
  <c r="Z282" i="1" a="1"/>
  <c r="Z282" i="1" s="1"/>
  <c r="Z257" i="1" a="1"/>
  <c r="Z257" i="1" s="1"/>
  <c r="Z223" i="1" a="1"/>
  <c r="Z223" i="1" s="1"/>
  <c r="Z207" i="1" a="1"/>
  <c r="Z207" i="1" s="1"/>
  <c r="Z191" i="1" a="1"/>
  <c r="Z191" i="1" s="1"/>
  <c r="Z143" i="1" a="1"/>
  <c r="Z143" i="1" s="1"/>
  <c r="Z127" i="1" a="1"/>
  <c r="Z127" i="1" s="1"/>
  <c r="Z102" i="1" a="1"/>
  <c r="Z102" i="1" s="1"/>
  <c r="Z65" i="1" a="1"/>
  <c r="Z65" i="1" s="1"/>
  <c r="Z49" i="1" a="1"/>
  <c r="Z49" i="1" s="1"/>
  <c r="Z33" i="1" a="1"/>
  <c r="Z33" i="1" s="1"/>
  <c r="Z17" i="1" a="1"/>
  <c r="Z17" i="1" s="1"/>
  <c r="Z213" i="1" a="1"/>
  <c r="Z213" i="1" s="1"/>
  <c r="Z133" i="1" a="1"/>
  <c r="Z133" i="1" s="1"/>
  <c r="Z67" i="1" a="1"/>
  <c r="Z67" i="1" s="1"/>
  <c r="Z305" i="1" a="1"/>
  <c r="Z305" i="1" s="1"/>
  <c r="Z291" i="1" a="1"/>
  <c r="Z291" i="1" s="1"/>
  <c r="Z277" i="1" a="1"/>
  <c r="Z277" i="1" s="1"/>
  <c r="Z218" i="1" a="1"/>
  <c r="Z218" i="1" s="1"/>
  <c r="Z202" i="1" a="1"/>
  <c r="Z202" i="1" s="1"/>
  <c r="Z153" i="1" a="1"/>
  <c r="Z153" i="1" s="1"/>
  <c r="Z138" i="1" a="1"/>
  <c r="Z138" i="1" s="1"/>
  <c r="Z122" i="1" a="1"/>
  <c r="Z122" i="1" s="1"/>
  <c r="Z97" i="1" a="1"/>
  <c r="Z97" i="1" s="1"/>
  <c r="Z61" i="1" a="1"/>
  <c r="Z61" i="1" s="1"/>
  <c r="Z45" i="1" a="1"/>
  <c r="Z45" i="1" s="1"/>
  <c r="Z29" i="1" a="1"/>
  <c r="Z29" i="1" s="1"/>
  <c r="Z276" i="1" a="1"/>
  <c r="Z276" i="1" s="1"/>
  <c r="Z217" i="1" a="1"/>
  <c r="Z217" i="1" s="1"/>
  <c r="Z152" i="1" a="1"/>
  <c r="Z152" i="1" s="1"/>
  <c r="Z92" i="1" a="1"/>
  <c r="Z92" i="1" s="1"/>
  <c r="Z41" i="1" a="1"/>
  <c r="Z41" i="1" s="1"/>
  <c r="Z8" i="1" a="1"/>
  <c r="Z8" i="1" s="1"/>
  <c r="Z11" i="1" a="1"/>
  <c r="Z11" i="1" s="1"/>
  <c r="Z109" i="1" a="1"/>
  <c r="Z109" i="1" s="1"/>
  <c r="Z3" i="1" a="1"/>
  <c r="Z3" i="1" s="1"/>
  <c r="Y109" i="1" a="1"/>
  <c r="Y109" i="1" s="1"/>
  <c r="Z111" i="1" a="1"/>
  <c r="Z111" i="1" s="1"/>
  <c r="Z89" i="1" a="1"/>
  <c r="Z89" i="1" s="1"/>
  <c r="Z264" i="1" a="1"/>
  <c r="Z264" i="1" s="1"/>
  <c r="Z228" i="1" a="1"/>
  <c r="Z228" i="1" s="1"/>
  <c r="Z182" i="1" a="1"/>
  <c r="Z182" i="1" s="1"/>
  <c r="Z306" i="1" a="1"/>
  <c r="Z306" i="1" s="1"/>
  <c r="Z290" i="1" a="1"/>
  <c r="Z290" i="1" s="1"/>
  <c r="Z275" i="1" a="1"/>
  <c r="Z275" i="1" s="1"/>
  <c r="Z250" i="1" a="1"/>
  <c r="Z250" i="1" s="1"/>
  <c r="Z216" i="1" a="1"/>
  <c r="Z216" i="1" s="1"/>
  <c r="Z200" i="1" a="1"/>
  <c r="Z200" i="1" s="1"/>
  <c r="Z184" i="1" a="1"/>
  <c r="Z184" i="1" s="1"/>
  <c r="Z151" i="1" a="1"/>
  <c r="Z151" i="1" s="1"/>
  <c r="Z136" i="1" a="1"/>
  <c r="Z136" i="1" s="1"/>
  <c r="Z120" i="1" a="1"/>
  <c r="Z120" i="1" s="1"/>
  <c r="Z95" i="1" a="1"/>
  <c r="Z95" i="1" s="1"/>
  <c r="Z63" i="1" a="1"/>
  <c r="Z63" i="1" s="1"/>
  <c r="Z47" i="1" a="1"/>
  <c r="Z47" i="1" s="1"/>
  <c r="Z31" i="1" a="1"/>
  <c r="Z31" i="1" s="1"/>
  <c r="Z10" i="1" a="1"/>
  <c r="Z10" i="1" s="1"/>
  <c r="Z272" i="1" a="1"/>
  <c r="Z272" i="1" s="1"/>
  <c r="Z209" i="1" a="1"/>
  <c r="Z209" i="1" s="1"/>
  <c r="Z137" i="1" a="1"/>
  <c r="Z137" i="1" s="1"/>
  <c r="Z297" i="1" a="1"/>
  <c r="Z297" i="1" s="1"/>
  <c r="Z278" i="1" a="1"/>
  <c r="Z278" i="1" s="1"/>
  <c r="Z219" i="1" a="1"/>
  <c r="Z219" i="1" s="1"/>
  <c r="Z203" i="1" a="1"/>
  <c r="Z203" i="1" s="1"/>
  <c r="Z187" i="1" a="1"/>
  <c r="Z187" i="1" s="1"/>
  <c r="Z139" i="1" a="1"/>
  <c r="Z139" i="1" s="1"/>
  <c r="Z123" i="1" a="1"/>
  <c r="Z123" i="1" s="1"/>
  <c r="Z98" i="1" a="1"/>
  <c r="Z98" i="1" s="1"/>
  <c r="Z62" i="1" a="1"/>
  <c r="Z62" i="1" s="1"/>
  <c r="Z46" i="1" a="1"/>
  <c r="Z46" i="1" s="1"/>
  <c r="Z30" i="1" a="1"/>
  <c r="Z30" i="1" s="1"/>
  <c r="Z201" i="1" a="1"/>
  <c r="Z201" i="1" s="1"/>
  <c r="Z121" i="1" a="1"/>
  <c r="Z121" i="1" s="1"/>
  <c r="Z54" i="1" a="1"/>
  <c r="Z54" i="1" s="1"/>
  <c r="Z302" i="1" a="1"/>
  <c r="Z302" i="1" s="1"/>
  <c r="Z288" i="1" a="1"/>
  <c r="Z288" i="1" s="1"/>
  <c r="Z273" i="1" a="1"/>
  <c r="Z273" i="1" s="1"/>
  <c r="Z248" i="1" a="1"/>
  <c r="Z248" i="1" s="1"/>
  <c r="Z214" i="1" a="1"/>
  <c r="Z214" i="1" s="1"/>
  <c r="Z198" i="1" a="1"/>
  <c r="Z198" i="1" s="1"/>
  <c r="Z149" i="1" a="1"/>
  <c r="Z149" i="1" s="1"/>
  <c r="Z134" i="1" a="1"/>
  <c r="Z134" i="1" s="1"/>
  <c r="Z118" i="1" a="1"/>
  <c r="Z118" i="1" s="1"/>
  <c r="Z93" i="1" a="1"/>
  <c r="Z93" i="1" s="1"/>
  <c r="Z58" i="1" a="1"/>
  <c r="Z58" i="1" s="1"/>
  <c r="Z42" i="1" a="1"/>
  <c r="Z42" i="1" s="1"/>
  <c r="Z26" i="1" a="1"/>
  <c r="Z26" i="1" s="1"/>
  <c r="Z304" i="1" a="1"/>
  <c r="Z304" i="1" s="1"/>
  <c r="Z205" i="1" a="1"/>
  <c r="Z205" i="1" s="1"/>
  <c r="Z141" i="1" a="1"/>
  <c r="Z141" i="1" s="1"/>
  <c r="Z64" i="1" a="1"/>
  <c r="Z64" i="1" s="1"/>
  <c r="Z16" i="1" a="1"/>
  <c r="Z16" i="1" s="1"/>
  <c r="Z51" i="1" a="1"/>
  <c r="Z51" i="1" s="1"/>
  <c r="Z48" i="1" a="1"/>
  <c r="Z48" i="1" s="1"/>
  <c r="B1" i="1"/>
  <c r="Z267" i="1" a="1"/>
  <c r="Z267" i="1" s="1"/>
  <c r="Z262" i="1" a="1"/>
  <c r="Z262" i="1" s="1"/>
  <c r="Z263" i="1" a="1"/>
  <c r="Z263" i="1" s="1"/>
  <c r="Z70" i="1" a="1"/>
  <c r="Z70" i="1" s="1"/>
  <c r="Z168" i="1" a="1"/>
  <c r="Z168" i="1" s="1"/>
  <c r="Y71" i="1" a="1"/>
  <c r="Y71" i="1" s="1"/>
  <c r="Z266" i="1" a="1"/>
  <c r="Z266" i="1" s="1"/>
  <c r="Z71" i="1" a="1"/>
  <c r="Z71" i="1" s="1"/>
  <c r="Y265" i="1" a="1"/>
  <c r="Y265" i="1" s="1"/>
  <c r="Y262" i="1" a="1"/>
  <c r="Y262" i="1" s="1"/>
  <c r="Y263" i="1" a="1"/>
  <c r="Y263" i="1" s="1"/>
  <c r="Y70" i="1" a="1"/>
  <c r="Y70" i="1" s="1"/>
  <c r="Z265" i="1" a="1"/>
  <c r="Z265" i="1" s="1"/>
  <c r="AC336" i="1" a="1"/>
  <c r="AC334" i="1" a="1"/>
  <c r="AC327" i="1" a="1"/>
  <c r="AC293" i="1" a="1"/>
  <c r="AC299" i="1" a="1"/>
  <c r="AC320" i="1" a="1"/>
  <c r="AC311" i="1" a="1"/>
  <c r="AC309" i="1" a="1"/>
  <c r="AC289" i="1" a="1"/>
  <c r="AC295" i="1" a="1"/>
  <c r="AC312" i="1" a="1"/>
  <c r="AC304" i="1" a="1"/>
  <c r="AC298" i="1" a="1"/>
  <c r="AC291" i="1" a="1"/>
  <c r="AC294" i="1" a="1"/>
  <c r="AC300" i="1" a="1"/>
  <c r="AC285" i="1" a="1"/>
  <c r="AC273" i="1" a="1"/>
  <c r="AC253" i="1" a="1"/>
  <c r="AC216" i="1" a="1"/>
  <c r="AC210" i="1" a="1"/>
  <c r="AC196" i="1" a="1"/>
  <c r="AC189" i="1" a="1"/>
  <c r="AC182" i="1" a="1"/>
  <c r="AC187" i="1" a="1"/>
  <c r="AC147" i="1" a="1"/>
  <c r="AC156" i="1" a="1"/>
  <c r="AC278" i="1" a="1"/>
  <c r="AC248" i="1" a="1"/>
  <c r="AC271" i="1" a="1"/>
  <c r="AC209" i="1" a="1"/>
  <c r="AC192" i="1" a="1"/>
  <c r="AC178" i="1" a="1"/>
  <c r="AC176" i="1" a="1"/>
  <c r="AC254" i="1" a="1"/>
  <c r="AC259" i="1" a="1"/>
  <c r="AC244" i="1" a="1"/>
  <c r="AC211" i="1" a="1"/>
  <c r="AC221" i="1" a="1"/>
  <c r="AC174" i="1" a="1"/>
  <c r="AC164" i="1" a="1"/>
  <c r="AC283" i="1" a="1"/>
  <c r="AC250" i="1" a="1"/>
  <c r="AC240" i="1" a="1"/>
  <c r="AC236" i="1" a="1"/>
  <c r="AC202" i="1" a="1"/>
  <c r="AC170" i="1" a="1"/>
  <c r="AC160" i="1" a="1"/>
  <c r="AC137" i="1" a="1"/>
  <c r="AC100" i="1" a="1"/>
  <c r="AC97" i="1" a="1"/>
  <c r="AC98" i="1" a="1"/>
  <c r="AC71" i="1" a="1"/>
  <c r="AC60" i="1" a="1"/>
  <c r="AC117" i="1" a="1"/>
  <c r="AC96" i="1" a="1"/>
  <c r="AC93" i="1" a="1"/>
  <c r="AC132" i="1" a="1"/>
  <c r="AC58" i="1" a="1"/>
  <c r="AC67" i="1" a="1"/>
  <c r="AC40" i="1" a="1"/>
  <c r="AC177" i="1" a="1"/>
  <c r="AC113" i="1" a="1"/>
  <c r="AC92" i="1" a="1"/>
  <c r="AC82" i="1" a="1"/>
  <c r="AC105" i="1" a="1"/>
  <c r="AC90" i="1" a="1"/>
  <c r="AC31" i="1" a="1"/>
  <c r="AC52" i="1" a="1"/>
  <c r="AC145" i="1" a="1"/>
  <c r="AC87" i="1" a="1"/>
  <c r="AC142" i="1" a="1"/>
  <c r="AC123" i="1" a="1"/>
  <c r="AC124" i="1" a="1"/>
  <c r="AC43" i="1" a="1"/>
  <c r="AC16" i="1" a="1"/>
  <c r="AC25" i="1" a="1"/>
  <c r="AC38" i="1" a="1"/>
  <c r="AC34" i="1" a="1"/>
  <c r="AC110" i="1" a="1"/>
  <c r="AC265" i="1" a="1"/>
  <c r="AC325" i="1" a="1"/>
  <c r="AC37" i="1" a="1"/>
  <c r="AC17" i="1" a="1"/>
  <c r="AC323" i="1" a="1"/>
  <c r="AC108" i="1" a="1"/>
  <c r="AC166" i="1" a="1"/>
  <c r="AC270" i="1" a="1"/>
  <c r="AC4" i="1" a="1"/>
  <c r="AC109" i="1" a="1"/>
  <c r="AC324" i="1" a="1"/>
  <c r="AC2" i="1" a="1"/>
  <c r="AC329" i="1" a="1"/>
  <c r="AC333" i="1" a="1"/>
  <c r="AC332" i="1" a="1"/>
  <c r="AC335" i="1" a="1"/>
  <c r="AC330" i="1" a="1"/>
  <c r="AC321" i="1" a="1"/>
  <c r="AC302" i="1" a="1"/>
  <c r="AC317" i="1" a="1"/>
  <c r="AC308" i="1" a="1"/>
  <c r="AC277" i="1" a="1"/>
  <c r="AC310" i="1" a="1"/>
  <c r="AC328" i="1" a="1"/>
  <c r="AC306" i="1" a="1"/>
  <c r="AC288" i="1" a="1"/>
  <c r="AC279" i="1" a="1"/>
  <c r="AC262" i="1" a="1"/>
  <c r="AC251" i="1" a="1"/>
  <c r="AC274" i="1" a="1"/>
  <c r="AC235" i="1" a="1"/>
  <c r="AC229" i="1" a="1"/>
  <c r="AC180" i="1" a="1"/>
  <c r="AC258" i="1" a="1"/>
  <c r="AC249" i="1" a="1"/>
  <c r="AC228" i="1" a="1"/>
  <c r="AC238" i="1" a="1"/>
  <c r="AC199" i="1" a="1"/>
  <c r="AC152" i="1" a="1"/>
  <c r="AC261" i="1" a="1"/>
  <c r="AC234" i="1" a="1"/>
  <c r="AC206" i="1" a="1"/>
  <c r="AC155" i="1" a="1"/>
  <c r="AC148" i="1" a="1"/>
  <c r="AC286" i="1" a="1"/>
  <c r="AC255" i="1" a="1"/>
  <c r="AC256" i="1" a="1"/>
  <c r="AC257" i="1" a="1"/>
  <c r="AC220" i="1" a="1"/>
  <c r="AC230" i="1" a="1"/>
  <c r="AC186" i="1" a="1"/>
  <c r="AC207" i="1" a="1"/>
  <c r="AC151" i="1" a="1"/>
  <c r="AC121" i="1" a="1"/>
  <c r="AC80" i="1" a="1"/>
  <c r="AC55" i="1" a="1"/>
  <c r="AC44" i="1" a="1"/>
  <c r="AC95" i="1" a="1"/>
  <c r="AC116" i="1" a="1"/>
  <c r="AC51" i="1" a="1"/>
  <c r="AC24" i="1" a="1"/>
  <c r="AC168" i="1" a="1"/>
  <c r="AC91" i="1" a="1"/>
  <c r="AC89" i="1" a="1"/>
  <c r="AC144" i="1" a="1"/>
  <c r="AC70" i="1" a="1"/>
  <c r="AC36" i="1" a="1"/>
  <c r="AC169" i="1" a="1"/>
  <c r="AC141" i="1" a="1"/>
  <c r="AC126" i="1" a="1"/>
  <c r="AC78" i="1" a="1"/>
  <c r="AC66" i="1" a="1"/>
  <c r="AC27" i="1" a="1"/>
  <c r="AC64" i="1" a="1"/>
  <c r="AC26" i="1" a="1"/>
  <c r="AC30" i="1" a="1"/>
  <c r="AC10" i="1" a="1"/>
  <c r="AC21" i="1" a="1"/>
  <c r="AC18" i="1" a="1"/>
  <c r="AC12" i="1" a="1"/>
  <c r="AC269" i="1" a="1"/>
  <c r="AC165" i="1" a="1"/>
  <c r="AC5" i="1" a="1"/>
  <c r="AC61" i="1" a="1"/>
  <c r="AC242" i="1" a="1"/>
  <c r="AC266" i="1" a="1"/>
  <c r="AC315" i="1" a="1"/>
  <c r="AC290" i="1" a="1"/>
  <c r="AC284" i="1" a="1"/>
  <c r="AC292" i="1" a="1"/>
  <c r="AC316" i="1" a="1"/>
  <c r="AC314" i="1" a="1"/>
  <c r="AC318" i="1" a="1"/>
  <c r="AC305" i="1" a="1"/>
  <c r="AC319" i="1" a="1"/>
  <c r="AC322" i="1" a="1"/>
  <c r="AC303" i="1" a="1"/>
  <c r="AC297" i="1" a="1"/>
  <c r="AC301" i="1" a="1"/>
  <c r="AC252" i="1" a="1"/>
  <c r="AC219" i="1" a="1"/>
  <c r="AC213" i="1" a="1"/>
  <c r="AC296" i="1" a="1"/>
  <c r="AC263" i="1" a="1"/>
  <c r="AC231" i="1" a="1"/>
  <c r="AC212" i="1" a="1"/>
  <c r="AC222" i="1" a="1"/>
  <c r="AC201" i="1" a="1"/>
  <c r="AC194" i="1" a="1"/>
  <c r="AC183" i="1" a="1"/>
  <c r="AC159" i="1" a="1"/>
  <c r="AC172" i="1" a="1"/>
  <c r="AC241" i="1" a="1"/>
  <c r="AC245" i="1" a="1"/>
  <c r="AC224" i="1" a="1"/>
  <c r="AC218" i="1" a="1"/>
  <c r="AC204" i="1" a="1"/>
  <c r="AC197" i="1" a="1"/>
  <c r="AC190" i="1" a="1"/>
  <c r="AC195" i="1" a="1"/>
  <c r="AC171" i="1" a="1"/>
  <c r="AC246" i="1" a="1"/>
  <c r="AC239" i="1" a="1"/>
  <c r="AC233" i="1" a="1"/>
  <c r="AC214" i="1" a="1"/>
  <c r="AC200" i="1" a="1"/>
  <c r="AC193" i="1" a="1"/>
  <c r="AC191" i="1" a="1"/>
  <c r="AC157" i="1" a="1"/>
  <c r="AC162" i="1" a="1"/>
  <c r="AC99" i="1" a="1"/>
  <c r="AC138" i="1" a="1"/>
  <c r="AC135" i="1" a="1"/>
  <c r="AC79" i="1" a="1"/>
  <c r="AC136" i="1" a="1"/>
  <c r="AC39" i="1" a="1"/>
  <c r="AC28" i="1" a="1"/>
  <c r="AC77" i="1" a="1"/>
  <c r="AC134" i="1" a="1"/>
  <c r="AC131" i="1" a="1"/>
  <c r="AC94" i="1" a="1"/>
  <c r="AC35" i="1" a="1"/>
  <c r="AC72" i="1" a="1"/>
  <c r="AC69" i="1" a="1"/>
  <c r="AC149" i="1" a="1"/>
  <c r="AC173" i="1" a="1"/>
  <c r="AC146" i="1" a="1"/>
  <c r="AC130" i="1" a="1"/>
  <c r="AC88" i="1" a="1"/>
  <c r="AC143" i="1" a="1"/>
  <c r="AC128" i="1" a="1"/>
  <c r="AC54" i="1" a="1"/>
  <c r="AC63" i="1" a="1"/>
  <c r="AC20" i="1" a="1"/>
  <c r="AC161" i="1" a="1"/>
  <c r="AC150" i="1" a="1"/>
  <c r="AC125" i="1" a="1"/>
  <c r="AC104" i="1" a="1"/>
  <c r="AC101" i="1" a="1"/>
  <c r="AC102" i="1" a="1"/>
  <c r="AC75" i="1" a="1"/>
  <c r="AC48" i="1" a="1"/>
  <c r="AC57" i="1" a="1"/>
  <c r="AC15" i="1" a="1"/>
  <c r="AC22" i="1" a="1"/>
  <c r="AC50" i="1" a="1"/>
  <c r="AC11" i="1" a="1"/>
  <c r="AC107" i="1" a="1"/>
  <c r="AC3" i="1" a="1"/>
  <c r="AC49" i="1" a="1"/>
  <c r="AC13" i="1" a="1"/>
  <c r="AC111" i="1" a="1"/>
  <c r="AC243" i="1" a="1"/>
  <c r="AC84" i="1" a="1"/>
  <c r="AC267" i="1" a="1"/>
  <c r="AC45" i="1" a="1"/>
  <c r="AC9" i="1" a="1"/>
  <c r="AC167" i="1" a="1"/>
  <c r="AC85" i="1" a="1"/>
  <c r="AC331" i="1" a="1"/>
  <c r="AC281" i="1" a="1"/>
  <c r="AC280" i="1" a="1"/>
  <c r="AC326" i="1" a="1"/>
  <c r="AC313" i="1" a="1"/>
  <c r="AC307" i="1" a="1"/>
  <c r="AC282" i="1" a="1"/>
  <c r="AC275" i="1" a="1"/>
  <c r="AC232" i="1" a="1"/>
  <c r="AC226" i="1" a="1"/>
  <c r="AC205" i="1" a="1"/>
  <c r="AC198" i="1" a="1"/>
  <c r="AC203" i="1" a="1"/>
  <c r="AC163" i="1" a="1"/>
  <c r="AC247" i="1" a="1"/>
  <c r="AC264" i="1" a="1"/>
  <c r="AC215" i="1" a="1"/>
  <c r="AC225" i="1" a="1"/>
  <c r="AC208" i="1" a="1"/>
  <c r="AC185" i="1" a="1"/>
  <c r="AC175" i="1" a="1"/>
  <c r="AC287" i="1" a="1"/>
  <c r="AC276" i="1" a="1"/>
  <c r="AC260" i="1" a="1"/>
  <c r="AC227" i="1" a="1"/>
  <c r="AC237" i="1" a="1"/>
  <c r="AC188" i="1" a="1"/>
  <c r="AC181" i="1" a="1"/>
  <c r="AC179" i="1" a="1"/>
  <c r="AC272" i="1" a="1"/>
  <c r="AC223" i="1" a="1"/>
  <c r="AC217" i="1" a="1"/>
  <c r="AC184" i="1" a="1"/>
  <c r="AC81" i="1" a="1"/>
  <c r="AC122" i="1" a="1"/>
  <c r="AC119" i="1" a="1"/>
  <c r="AC120" i="1" a="1"/>
  <c r="AC62" i="1" a="1"/>
  <c r="AC23" i="1" a="1"/>
  <c r="AC76" i="1" a="1"/>
  <c r="AC73" i="1" a="1"/>
  <c r="AC153" i="1" a="1"/>
  <c r="AC158" i="1" a="1"/>
  <c r="AC133" i="1" a="1"/>
  <c r="AC118" i="1" a="1"/>
  <c r="AC115" i="1" a="1"/>
  <c r="AC74" i="1" a="1"/>
  <c r="AC19" i="1" a="1"/>
  <c r="AC56" i="1" a="1"/>
  <c r="AC154" i="1" a="1"/>
  <c r="AC129" i="1" a="1"/>
  <c r="AC114" i="1" a="1"/>
  <c r="AC127" i="1" a="1"/>
  <c r="AC106" i="1" a="1"/>
  <c r="AC47" i="1" a="1"/>
  <c r="AC68" i="1" a="1"/>
  <c r="AC65" i="1" a="1"/>
  <c r="AC103" i="1" a="1"/>
  <c r="AC139" i="1" a="1"/>
  <c r="AC83" i="1" a="1"/>
  <c r="AC140" i="1" a="1"/>
  <c r="AC86" i="1" a="1"/>
  <c r="AC59" i="1" a="1"/>
  <c r="AC32" i="1" a="1"/>
  <c r="AC41" i="1" a="1"/>
  <c r="AC46" i="1" a="1"/>
  <c r="AC42" i="1" a="1"/>
  <c r="AC6" i="1" a="1"/>
  <c r="AC53" i="1" a="1"/>
  <c r="AC8" i="1" a="1"/>
  <c r="AC7" i="1" a="1"/>
  <c r="AC33" i="1" a="1"/>
  <c r="AC112" i="1" a="1"/>
  <c r="AC29" i="1" a="1"/>
  <c r="AC14" i="1" a="1"/>
  <c r="AC268" i="1" a="1"/>
  <c r="X336" i="1" a="1"/>
  <c r="X329" i="1" a="1"/>
  <c r="Y335" i="1" a="1"/>
  <c r="Z335" i="1" a="1"/>
  <c r="V334" i="1" a="1"/>
  <c r="V336" i="1" a="1"/>
  <c r="X335" i="1" a="1"/>
  <c r="X334" i="1" a="1"/>
  <c r="V335" i="1" a="1"/>
  <c r="V330" i="1" a="1"/>
  <c r="Z336" i="1" a="1"/>
  <c r="X331" i="1" a="1"/>
  <c r="X330" i="1" a="1"/>
  <c r="AB332" i="1" a="1"/>
  <c r="Y332" i="1" a="1"/>
  <c r="AB336" i="1" a="1"/>
  <c r="Y336" i="1" a="1"/>
  <c r="V332" i="1" a="1"/>
  <c r="X333" i="1" a="1"/>
  <c r="X332" i="1" a="1"/>
  <c r="V329" i="1" a="1"/>
  <c r="V333" i="1" a="1"/>
  <c r="V331" i="1" a="1"/>
  <c r="Z332" i="1" a="1"/>
  <c r="AB5" i="1" a="1"/>
  <c r="Y253" i="1" a="1"/>
  <c r="Y244" i="1" a="1"/>
  <c r="Y245" i="1" a="1"/>
  <c r="Y170" i="1" a="1"/>
  <c r="Y269" i="1" a="1"/>
  <c r="Y270" i="1" a="1"/>
  <c r="V8" i="1" a="1"/>
  <c r="V269" i="1" a="1"/>
  <c r="V265" i="1" a="1"/>
  <c r="Z328" i="1" a="1"/>
  <c r="Z244" i="1" a="1"/>
  <c r="Z327" i="1" a="1"/>
  <c r="Y325" i="1" a="1"/>
  <c r="Z177" i="1" a="1"/>
  <c r="Z90" i="1" a="1"/>
  <c r="Y107" i="1" a="1"/>
  <c r="Y108" i="1" a="1"/>
  <c r="Y106" i="1" a="1"/>
  <c r="Z268" i="1" a="1"/>
  <c r="Z269" i="1" a="1"/>
  <c r="Z320" i="1" a="1"/>
  <c r="Z72" i="1" a="1"/>
  <c r="Y243" i="1" a="1"/>
  <c r="Y321" i="1" a="1"/>
  <c r="Z12" i="1" a="1"/>
  <c r="Z324" i="1" a="1"/>
  <c r="Z321" i="1" a="1"/>
  <c r="Y324" i="1" a="1"/>
  <c r="Y326" i="1" a="1"/>
  <c r="Z242" i="1" a="1"/>
  <c r="AB4" i="1" a="1"/>
  <c r="AB170" i="1" a="1"/>
  <c r="AB253" i="1" a="1"/>
  <c r="Y327" i="1" a="1"/>
  <c r="Y178" i="1" a="1"/>
  <c r="Y177" i="1" a="1"/>
  <c r="V26" i="1" a="1"/>
  <c r="V111" i="1" a="1"/>
  <c r="V6" i="1" a="1"/>
  <c r="Y319" i="1" a="1"/>
  <c r="Z165" i="1" a="1"/>
  <c r="Z186" i="1" a="1"/>
  <c r="Z166" i="1" a="1"/>
  <c r="Y247" i="1" a="1"/>
  <c r="Y13" i="1" a="1"/>
  <c r="Z4" i="1" a="1"/>
  <c r="Z174" i="1" a="1"/>
  <c r="Z5" i="1" a="1"/>
  <c r="Z164" i="1" a="1"/>
  <c r="Y320" i="1" a="1"/>
  <c r="Z247" i="1" a="1"/>
  <c r="Y323" i="1" a="1"/>
  <c r="AB178" i="1" a="1"/>
  <c r="Y328" i="1" a="1"/>
  <c r="Y252" i="1" a="1"/>
  <c r="Y90" i="1" a="1"/>
  <c r="Y268" i="1" a="1"/>
  <c r="V112" i="1" a="1"/>
  <c r="V84" i="1" a="1"/>
  <c r="V2" i="1" a="1"/>
  <c r="Z270" i="1" a="1"/>
  <c r="Z325" i="1" a="1"/>
  <c r="Y166" i="1" a="1"/>
  <c r="Z319" i="1" a="1"/>
  <c r="Z170" i="1" a="1"/>
  <c r="Z252" i="1" a="1"/>
  <c r="Z108" i="1" a="1"/>
  <c r="Y174" i="1" a="1"/>
  <c r="Z246" i="1" a="1"/>
  <c r="Y12" i="1" a="1"/>
  <c r="Z243" i="1" a="1"/>
  <c r="Y164" i="1" a="1"/>
  <c r="Y72" i="1" a="1"/>
  <c r="Z323" i="1" a="1"/>
  <c r="AB85" i="1" a="1"/>
  <c r="AB91" i="1" a="1"/>
  <c r="AB174" i="1" a="1"/>
  <c r="AB177" i="1" a="1"/>
  <c r="AB247" i="1" a="1"/>
  <c r="Y185" i="1" a="1"/>
  <c r="Y186" i="1" a="1"/>
  <c r="Y91" i="1" a="1"/>
  <c r="V46" i="1" a="1"/>
  <c r="V13" i="1" a="1"/>
  <c r="V270" i="1" a="1"/>
  <c r="V107" i="1" a="1"/>
  <c r="Z178" i="1" a="1"/>
  <c r="Z91" i="1" a="1"/>
  <c r="Z107" i="1" a="1"/>
  <c r="Z326" i="1" a="1"/>
  <c r="Z245" i="1" a="1"/>
  <c r="Z185" i="1" a="1"/>
  <c r="Y165" i="1" a="1"/>
  <c r="Z106" i="1" a="1"/>
  <c r="Z253" i="1" a="1"/>
  <c r="Z73" i="1" a="1"/>
  <c r="Z13" i="1" a="1"/>
  <c r="Y4" i="1" a="1"/>
  <c r="Y242" i="1" a="1"/>
  <c r="Y73" i="1" a="1"/>
  <c r="Y246" i="1" a="1"/>
  <c r="Y5" i="1" a="1"/>
  <c r="AB172" i="1" a="1"/>
  <c r="AB86" i="1" a="1"/>
  <c r="AB322" i="1" a="1"/>
  <c r="V322" i="1" a="1"/>
  <c r="V297" i="1" a="1"/>
  <c r="V294" i="1" a="1"/>
  <c r="X310" i="1" a="1"/>
  <c r="V302" i="1" a="1"/>
  <c r="X307" i="1" a="1"/>
  <c r="X298" i="1" a="1"/>
  <c r="V290" i="1" a="1"/>
  <c r="V296" i="1" a="1"/>
  <c r="V281" i="1" a="1"/>
  <c r="V320" i="1" a="1"/>
  <c r="X296" i="1" a="1"/>
  <c r="X321" i="1" a="1"/>
  <c r="V313" i="1" a="1"/>
  <c r="V312" i="1" a="1"/>
  <c r="V304" i="1" a="1"/>
  <c r="V298" i="1" a="1"/>
  <c r="X284" i="1" a="1"/>
  <c r="V276" i="1" a="1"/>
  <c r="V286" i="1" a="1"/>
  <c r="V283" i="1" a="1"/>
  <c r="V272" i="1" a="1"/>
  <c r="V246" i="1" a="1"/>
  <c r="X263" i="1" a="1"/>
  <c r="V255" i="1" a="1"/>
  <c r="X248" i="1" a="1"/>
  <c r="V238" i="1" a="1"/>
  <c r="X215" i="1" a="1"/>
  <c r="X228" i="1" a="1"/>
  <c r="V220" i="1" a="1"/>
  <c r="V208" i="1" a="1"/>
  <c r="X194" i="1" a="1"/>
  <c r="V186" i="1" a="1"/>
  <c r="X178" i="1" a="1"/>
  <c r="V170" i="1" a="1"/>
  <c r="X152" i="1" a="1"/>
  <c r="Y258" i="1" a="1"/>
  <c r="X241" i="1" a="1"/>
  <c r="X244" i="1" a="1"/>
  <c r="X245" i="1" a="1"/>
  <c r="V235" i="1" a="1"/>
  <c r="X221" i="1" a="1"/>
  <c r="V213" i="1" a="1"/>
  <c r="X234" i="1" a="1"/>
  <c r="V226" i="1" a="1"/>
  <c r="X206" i="1" a="1"/>
  <c r="V198" i="1" a="1"/>
  <c r="X179" i="1" a="1"/>
  <c r="X250" i="1" a="1"/>
  <c r="X240" i="1" a="1"/>
  <c r="V263" i="1" a="1"/>
  <c r="V264" i="1" a="1"/>
  <c r="V271" i="1" a="1"/>
  <c r="X220" i="1" a="1"/>
  <c r="V212" i="1" a="1"/>
  <c r="X214" i="1" a="1"/>
  <c r="V201" i="1" a="1"/>
  <c r="X202" i="1" a="1"/>
  <c r="V194" i="1" a="1"/>
  <c r="X207" i="1" a="1"/>
  <c r="V199" i="1" a="1"/>
  <c r="X160" i="1" a="1"/>
  <c r="V152" i="1" a="1"/>
  <c r="V172" i="1" a="1"/>
  <c r="V292" i="1" a="1"/>
  <c r="X279" i="1" a="1"/>
  <c r="X262" i="1" a="1"/>
  <c r="V254" i="1" a="1"/>
  <c r="X219" i="1" a="1"/>
  <c r="V211" i="1" a="1"/>
  <c r="X213" i="1" a="1"/>
  <c r="X226" i="1" a="1"/>
  <c r="V218" i="1" a="1"/>
  <c r="X180" i="1" a="1"/>
  <c r="X95" i="1" a="1"/>
  <c r="V87" i="1" a="1"/>
  <c r="X134" i="1" a="1"/>
  <c r="V126" i="1" a="1"/>
  <c r="X131" i="1" a="1"/>
  <c r="V123" i="1" a="1"/>
  <c r="X94" i="1" a="1"/>
  <c r="V86" i="1" a="1"/>
  <c r="X74" i="1" a="1"/>
  <c r="V66" i="1" a="1"/>
  <c r="X51" i="1" a="1"/>
  <c r="V43" i="1" a="1"/>
  <c r="X24" i="1" a="1"/>
  <c r="V16" i="1" a="1"/>
  <c r="X168" i="1" a="1"/>
  <c r="V157" i="1" a="1"/>
  <c r="X173" i="1" a="1"/>
  <c r="V162" i="1" a="1"/>
  <c r="X91" i="1" a="1"/>
  <c r="V81" i="1" a="1"/>
  <c r="X130" i="1" a="1"/>
  <c r="V122" i="1" a="1"/>
  <c r="X88" i="1" a="1"/>
  <c r="X105" i="1" a="1"/>
  <c r="V97" i="1" a="1"/>
  <c r="X144" i="1" a="1"/>
  <c r="V136" i="1" a="1"/>
  <c r="X70" i="1" a="1"/>
  <c r="V62" i="1" a="1"/>
  <c r="X47" i="1" a="1"/>
  <c r="V39" i="1" a="1"/>
  <c r="X52" i="1" a="1"/>
  <c r="V44" i="1" a="1"/>
  <c r="X145" i="1" a="1"/>
  <c r="X150" i="1" a="1"/>
  <c r="X141" i="1" a="1"/>
  <c r="V133" i="1" a="1"/>
  <c r="X78" i="1" a="1"/>
  <c r="X83" i="1" a="1"/>
  <c r="X146" i="1" a="1"/>
  <c r="AB6" i="1" a="1"/>
  <c r="AB7" i="1" a="1"/>
  <c r="AB173" i="1" a="1"/>
  <c r="AB241" i="1" a="1"/>
  <c r="X311" i="1" a="1"/>
  <c r="V303" i="1" a="1"/>
  <c r="X308" i="1" a="1"/>
  <c r="V300" i="1" a="1"/>
  <c r="X295" i="1" a="1"/>
  <c r="X292" i="1" a="1"/>
  <c r="X313" i="1" a="1"/>
  <c r="X314" i="1" a="1"/>
  <c r="V309" i="1" a="1"/>
  <c r="X305" i="1" a="1"/>
  <c r="X291" i="1" a="1"/>
  <c r="X319" i="1" a="1"/>
  <c r="V311" i="1" a="1"/>
  <c r="X306" i="1" a="1"/>
  <c r="X303" i="1" a="1"/>
  <c r="V308" i="1" a="1"/>
  <c r="V288" i="1" a="1"/>
  <c r="X327" i="1" a="1"/>
  <c r="V316" i="1" a="1"/>
  <c r="X322" i="1" a="1"/>
  <c r="V301" i="1" a="1"/>
  <c r="X301" i="1" a="1"/>
  <c r="V240" i="1" a="1"/>
  <c r="X264" i="1" a="1"/>
  <c r="V256" i="1" a="1"/>
  <c r="X231" i="1" a="1"/>
  <c r="V223" i="1" a="1"/>
  <c r="V236" i="1" a="1"/>
  <c r="X209" i="1" a="1"/>
  <c r="X222" i="1" a="1"/>
  <c r="V214" i="1" a="1"/>
  <c r="V202" i="1" a="1"/>
  <c r="X183" i="1" a="1"/>
  <c r="V160" i="1" a="1"/>
  <c r="X176" i="1" a="1"/>
  <c r="X259" i="1" a="1"/>
  <c r="V251" i="1" a="1"/>
  <c r="X260" i="1" a="1"/>
  <c r="V252" i="1" a="1"/>
  <c r="X261" i="1" a="1"/>
  <c r="V253" i="1" a="1"/>
  <c r="X237" i="1" a="1"/>
  <c r="V229" i="1" a="1"/>
  <c r="X188" i="1" a="1"/>
  <c r="V180" i="1" a="1"/>
  <c r="X181" i="1" a="1"/>
  <c r="X195" i="1" a="1"/>
  <c r="V187" i="1" a="1"/>
  <c r="X171" i="1" a="1"/>
  <c r="X272" i="1" a="1"/>
  <c r="V258" i="1" a="1"/>
  <c r="Y259" i="1" a="1"/>
  <c r="Y260" i="1" a="1"/>
  <c r="X223" i="1" a="1"/>
  <c r="V215" i="1" a="1"/>
  <c r="X236" i="1" a="1"/>
  <c r="V228" i="1" a="1"/>
  <c r="X230" i="1" a="1"/>
  <c r="V222" i="1" a="1"/>
  <c r="X184" i="1" a="1"/>
  <c r="V287" i="1" a="1"/>
  <c r="X235" i="1" a="1"/>
  <c r="V227" i="1" a="1"/>
  <c r="X229" i="1" a="1"/>
  <c r="V221" i="1" a="1"/>
  <c r="V234" i="1" a="1"/>
  <c r="X196" i="1" a="1"/>
  <c r="V188" i="1" a="1"/>
  <c r="X182" i="1" a="1"/>
  <c r="X187" i="1" a="1"/>
  <c r="V179" i="1" a="1"/>
  <c r="X147" i="1" a="1"/>
  <c r="X153" i="1" a="1"/>
  <c r="V145" i="1" a="1"/>
  <c r="X158" i="1" a="1"/>
  <c r="V150" i="1" a="1"/>
  <c r="X117" i="1" a="1"/>
  <c r="V103" i="1" a="1"/>
  <c r="V142" i="1" a="1"/>
  <c r="V139" i="1" a="1"/>
  <c r="X116" i="1" a="1"/>
  <c r="V102" i="1" a="1"/>
  <c r="X67" i="1" a="1"/>
  <c r="V59" i="1" a="1"/>
  <c r="X40" i="1" a="1"/>
  <c r="V32" i="1" a="1"/>
  <c r="X113" i="1" a="1"/>
  <c r="V99" i="1" a="1"/>
  <c r="V138" i="1" a="1"/>
  <c r="X127" i="1" a="1"/>
  <c r="V119" i="1" a="1"/>
  <c r="X90" i="1" a="1"/>
  <c r="V80" i="1" a="1"/>
  <c r="X63" i="1" a="1"/>
  <c r="V55" i="1" a="1"/>
  <c r="X68" i="1" a="1"/>
  <c r="V60" i="1" a="1"/>
  <c r="X65" i="1" a="1"/>
  <c r="X161" i="1" a="1"/>
  <c r="V153" i="1" a="1"/>
  <c r="X169" i="1" a="1"/>
  <c r="V158" i="1" a="1"/>
  <c r="X87" i="1" a="1"/>
  <c r="V77" i="1" a="1"/>
  <c r="X104" i="1" a="1"/>
  <c r="V96" i="1" a="1"/>
  <c r="X101" i="1" a="1"/>
  <c r="V93" i="1" a="1"/>
  <c r="AB167" i="1" a="1"/>
  <c r="V319" i="1" a="1"/>
  <c r="X317" i="1" a="1"/>
  <c r="V306" i="1" a="1"/>
  <c r="X318" i="1" a="1"/>
  <c r="X309" i="1" a="1"/>
  <c r="X280" i="1" a="1"/>
  <c r="X277" i="1" a="1"/>
  <c r="X326" i="1" a="1"/>
  <c r="V315" i="1" a="1"/>
  <c r="X316" i="1" a="1"/>
  <c r="V321" i="1" a="1"/>
  <c r="V318" i="1" a="1"/>
  <c r="Y311" i="1" a="1"/>
  <c r="Y309" i="1" a="1"/>
  <c r="V299" i="1" a="1"/>
  <c r="X276" i="1" a="1"/>
  <c r="Y312" i="1" a="1"/>
  <c r="V314" i="1" a="1"/>
  <c r="V295" i="1" a="1"/>
  <c r="X315" i="1" a="1"/>
  <c r="X302" i="1" a="1"/>
  <c r="V307" i="1" a="1"/>
  <c r="V305" i="1" a="1"/>
  <c r="X293" i="1" a="1"/>
  <c r="X299" i="1" a="1"/>
  <c r="V291" i="1" a="1"/>
  <c r="X281" i="1" a="1"/>
  <c r="X249" i="1" a="1"/>
  <c r="V239" i="1" a="1"/>
  <c r="X225" i="1" a="1"/>
  <c r="V217" i="1" a="1"/>
  <c r="X238" i="1" a="1"/>
  <c r="V230" i="1" a="1"/>
  <c r="X192" i="1" a="1"/>
  <c r="V184" i="1" a="1"/>
  <c r="X185" i="1" a="1"/>
  <c r="X199" i="1" a="1"/>
  <c r="V191" i="1" a="1"/>
  <c r="V282" i="1" a="1"/>
  <c r="X254" i="1" a="1"/>
  <c r="V273" i="1" a="1"/>
  <c r="V274" i="1" a="1"/>
  <c r="V275" i="1" a="1"/>
  <c r="X211" i="1" a="1"/>
  <c r="X224" i="1" a="1"/>
  <c r="V216" i="1" a="1"/>
  <c r="X204" i="1" a="1"/>
  <c r="V196" i="1" a="1"/>
  <c r="X197" i="1" a="1"/>
  <c r="V189" i="1" a="1"/>
  <c r="V203" i="1" a="1"/>
  <c r="X155" i="1" a="1"/>
  <c r="V147" i="1" a="1"/>
  <c r="X148" i="1" a="1"/>
  <c r="Y172" i="1" a="1"/>
  <c r="X246" i="1" a="1"/>
  <c r="X239" i="1" a="1"/>
  <c r="V231" i="1" a="1"/>
  <c r="X217" i="1" a="1"/>
  <c r="V209" i="1" a="1"/>
  <c r="X200" i="1" a="1"/>
  <c r="V192" i="1" a="1"/>
  <c r="X151" i="1" a="1"/>
  <c r="X251" i="1" a="1"/>
  <c r="V241" i="1" a="1"/>
  <c r="X252" i="1" a="1"/>
  <c r="V244" i="1" a="1"/>
  <c r="X253" i="1" a="1"/>
  <c r="V245" i="1" a="1"/>
  <c r="X216" i="1" a="1"/>
  <c r="V237" i="1" a="1"/>
  <c r="V204" i="1" a="1"/>
  <c r="X189" i="1" a="1"/>
  <c r="V181" i="1" a="1"/>
  <c r="X198" i="1" a="1"/>
  <c r="V190" i="1" a="1"/>
  <c r="X203" i="1" a="1"/>
  <c r="V195" i="1" a="1"/>
  <c r="X163" i="1" a="1"/>
  <c r="V155" i="1" a="1"/>
  <c r="V171" i="1" a="1"/>
  <c r="X156" i="1" a="1"/>
  <c r="V148" i="1" a="1"/>
  <c r="V161" i="1" a="1"/>
  <c r="V169" i="1" a="1"/>
  <c r="X133" i="1" a="1"/>
  <c r="V125" i="1" a="1"/>
  <c r="X96" i="1" a="1"/>
  <c r="V78" i="1" a="1"/>
  <c r="X93" i="1" a="1"/>
  <c r="V83" i="1" a="1"/>
  <c r="X132" i="1" a="1"/>
  <c r="V124" i="1" a="1"/>
  <c r="V75" i="1" a="1"/>
  <c r="X19" i="1" a="1"/>
  <c r="X56" i="1" a="1"/>
  <c r="V48" i="1" a="1"/>
  <c r="X177" i="1" a="1"/>
  <c r="X129" i="1" a="1"/>
  <c r="V121" i="1" a="1"/>
  <c r="X92" i="1" a="1"/>
  <c r="X82" i="1" a="1"/>
  <c r="X143" i="1" a="1"/>
  <c r="V135" i="1" a="1"/>
  <c r="X106" i="1" a="1"/>
  <c r="V98" i="1" a="1"/>
  <c r="V71" i="1" a="1"/>
  <c r="V76" i="1" a="1"/>
  <c r="X20" i="1" a="1"/>
  <c r="V73" i="1" a="1"/>
  <c r="Y154" i="1" a="1"/>
  <c r="X103" i="1" a="1"/>
  <c r="V95" i="1" a="1"/>
  <c r="X126" i="1" a="1"/>
  <c r="V118" i="1" a="1"/>
  <c r="X123" i="1" a="1"/>
  <c r="V115" i="1" a="1"/>
  <c r="X124" i="1" a="1"/>
  <c r="X320" i="1" a="1"/>
  <c r="V328" i="1" a="1"/>
  <c r="X312" i="1" a="1"/>
  <c r="X289" i="1" a="1"/>
  <c r="V285" i="1" a="1"/>
  <c r="V327" i="1" a="1"/>
  <c r="X304" i="1" a="1"/>
  <c r="V293" i="1" a="1"/>
  <c r="V284" i="1" a="1"/>
  <c r="X328" i="1" a="1"/>
  <c r="V317" i="1" a="1"/>
  <c r="Y310" i="1" a="1"/>
  <c r="X297" i="1" a="1"/>
  <c r="V289" i="1" a="1"/>
  <c r="X294" i="1" a="1"/>
  <c r="V280" i="1" a="1"/>
  <c r="X285" i="1" a="1"/>
  <c r="V277" i="1" a="1"/>
  <c r="V326" i="1" a="1"/>
  <c r="V310" i="1" a="1"/>
  <c r="X290" i="1" a="1"/>
  <c r="X288" i="1" a="1"/>
  <c r="X278" i="1" a="1"/>
  <c r="X258" i="1" a="1"/>
  <c r="V250" i="1" a="1"/>
  <c r="X247" i="1" a="1"/>
  <c r="X271" i="1" a="1"/>
  <c r="V257" i="1" a="1"/>
  <c r="X212" i="1" a="1"/>
  <c r="V233" i="1" a="1"/>
  <c r="X208" i="1" a="1"/>
  <c r="V200" i="1" a="1"/>
  <c r="Y180" i="1" a="1"/>
  <c r="X201" i="1" a="1"/>
  <c r="V193" i="1" a="1"/>
  <c r="V207" i="1" a="1"/>
  <c r="X159" i="1" a="1"/>
  <c r="V151" i="1" a="1"/>
  <c r="X175" i="1" a="1"/>
  <c r="X172" i="1" a="1"/>
  <c r="X287" i="1" a="1"/>
  <c r="V279" i="1" a="1"/>
  <c r="V262" i="1" a="1"/>
  <c r="X227" i="1" a="1"/>
  <c r="V219" i="1" a="1"/>
  <c r="V232" i="1" a="1"/>
  <c r="X218" i="1" a="1"/>
  <c r="V210" i="1" a="1"/>
  <c r="V205" i="1" a="1"/>
  <c r="X190" i="1" a="1"/>
  <c r="V182" i="1" a="1"/>
  <c r="X174" i="1" a="1"/>
  <c r="V163" i="1" a="1"/>
  <c r="X164" i="1" a="1"/>
  <c r="V156" i="1" a="1"/>
  <c r="X286" i="1" a="1"/>
  <c r="V278" i="1" a="1"/>
  <c r="X283" i="1" a="1"/>
  <c r="X255" i="1" a="1"/>
  <c r="V247" i="1" a="1"/>
  <c r="X256" i="1" a="1"/>
  <c r="V248" i="1" a="1"/>
  <c r="X257" i="1" a="1"/>
  <c r="V249" i="1" a="1"/>
  <c r="X233" i="1" a="1"/>
  <c r="V225" i="1" a="1"/>
  <c r="X193" i="1" a="1"/>
  <c r="V185" i="1" a="1"/>
  <c r="X186" i="1" a="1"/>
  <c r="V178" i="1" a="1"/>
  <c r="X191" i="1" a="1"/>
  <c r="V183" i="1" a="1"/>
  <c r="X170" i="1" a="1"/>
  <c r="V159" i="1" a="1"/>
  <c r="V175" i="1" a="1"/>
  <c r="V176" i="1" a="1"/>
  <c r="X282" i="1" a="1"/>
  <c r="X300" i="1" a="1"/>
  <c r="X273" i="1" a="1"/>
  <c r="V259" i="1" a="1"/>
  <c r="X274" i="1" a="1"/>
  <c r="V260" i="1" a="1"/>
  <c r="X275" i="1" a="1"/>
  <c r="V261" i="1" a="1"/>
  <c r="X232" i="1" a="1"/>
  <c r="V224" i="1" a="1"/>
  <c r="X210" i="1" a="1"/>
  <c r="X205" i="1" a="1"/>
  <c r="V197" i="1" a="1"/>
  <c r="V206" i="1" a="1"/>
  <c r="V174" i="1" a="1"/>
  <c r="V164" i="1" a="1"/>
  <c r="V141" i="1" a="1"/>
  <c r="X77" i="1" a="1"/>
  <c r="X118" i="1" a="1"/>
  <c r="V104" i="1" a="1"/>
  <c r="X115" i="1" a="1"/>
  <c r="V101" i="1" a="1"/>
  <c r="V140" i="1" a="1"/>
  <c r="X58" i="1" a="1"/>
  <c r="X35" i="1" a="1"/>
  <c r="V27" i="1" a="1"/>
  <c r="X72" i="1" a="1"/>
  <c r="V64" i="1" a="1"/>
  <c r="X69" i="1" a="1"/>
  <c r="X149" i="1" a="1"/>
  <c r="X154" i="1" a="1"/>
  <c r="V146" i="1" a="1"/>
  <c r="V137" i="1" a="1"/>
  <c r="X114" i="1" a="1"/>
  <c r="V100" i="1" a="1"/>
  <c r="X89" i="1" a="1"/>
  <c r="V79" i="1" a="1"/>
  <c r="X128" i="1" a="1"/>
  <c r="V120" i="1" a="1"/>
  <c r="X54" i="1" a="1"/>
  <c r="X31" i="1" a="1"/>
  <c r="V23" i="1" a="1"/>
  <c r="X36" i="1" a="1"/>
  <c r="V28" i="1" a="1"/>
  <c r="X125" i="1" a="1"/>
  <c r="V117" i="1" a="1"/>
  <c r="X142" i="1" a="1"/>
  <c r="V134" i="1" a="1"/>
  <c r="X139" i="1" a="1"/>
  <c r="V131" i="1" a="1"/>
  <c r="X140" i="1" a="1"/>
  <c r="X86" i="1" a="1"/>
  <c r="X66" i="1" a="1"/>
  <c r="V58" i="1" a="1"/>
  <c r="X43" i="1" a="1"/>
  <c r="V35" i="1" a="1"/>
  <c r="X48" i="1" a="1"/>
  <c r="V40" i="1" a="1"/>
  <c r="X157" i="1" a="1"/>
  <c r="V149" i="1" a="1"/>
  <c r="X81" i="1" a="1"/>
  <c r="X122" i="1" a="1"/>
  <c r="V114" i="1" a="1"/>
  <c r="V88" i="1" a="1"/>
  <c r="X97" i="1" a="1"/>
  <c r="V89" i="1" a="1"/>
  <c r="X136" i="1" a="1"/>
  <c r="V128" i="1" a="1"/>
  <c r="X71" i="1" a="1"/>
  <c r="V63" i="1" a="1"/>
  <c r="X44" i="1" a="1"/>
  <c r="V36" i="1" a="1"/>
  <c r="X21" i="1" a="1"/>
  <c r="X38" i="1" a="1"/>
  <c r="X111" i="1" a="1"/>
  <c r="V85" i="1" a="1"/>
  <c r="X166" i="1" a="1"/>
  <c r="X269" i="1" a="1"/>
  <c r="V57" i="1" a="1"/>
  <c r="V30" i="1" a="1"/>
  <c r="V108" i="1" a="1"/>
  <c r="V109" i="1" a="1"/>
  <c r="X5" i="1" a="1"/>
  <c r="V12" i="1" a="1"/>
  <c r="V14" i="1" a="1"/>
  <c r="X167" i="1" a="1"/>
  <c r="X242" i="1" a="1"/>
  <c r="X268" i="1" a="1"/>
  <c r="X57" i="1" a="1"/>
  <c r="V49" i="1" a="1"/>
  <c r="X15" i="1" a="1"/>
  <c r="X8" i="1" a="1"/>
  <c r="X265" i="1" a="1"/>
  <c r="X4" i="1" a="1"/>
  <c r="W80" i="1"/>
  <c r="W93" i="1"/>
  <c r="W39" i="1"/>
  <c r="W252" i="1"/>
  <c r="W45" i="1"/>
  <c r="W152" i="1"/>
  <c r="W291" i="1"/>
  <c r="W63" i="1"/>
  <c r="W182" i="1"/>
  <c r="W318" i="1"/>
  <c r="W44" i="1"/>
  <c r="W121" i="1"/>
  <c r="W188" i="1"/>
  <c r="W254" i="1"/>
  <c r="W327" i="1"/>
  <c r="W66" i="1"/>
  <c r="W138" i="1"/>
  <c r="W205" i="1"/>
  <c r="W277" i="1"/>
  <c r="W32" i="1"/>
  <c r="W27" i="1"/>
  <c r="W7" i="1"/>
  <c r="W226" i="1"/>
  <c r="W29" i="1"/>
  <c r="W128" i="1"/>
  <c r="W261" i="1"/>
  <c r="W47" i="1"/>
  <c r="W155" i="1"/>
  <c r="W294" i="1"/>
  <c r="W12" i="1"/>
  <c r="W290" i="1"/>
  <c r="W176" i="1"/>
  <c r="W240" i="1"/>
  <c r="W312" i="1"/>
  <c r="W54" i="1"/>
  <c r="W126" i="1"/>
  <c r="W193" i="1"/>
  <c r="W259" i="1"/>
  <c r="W98" i="1"/>
  <c r="W48" i="1"/>
  <c r="W17" i="1"/>
  <c r="W234" i="1"/>
  <c r="W35" i="1"/>
  <c r="W136" i="1"/>
  <c r="W275" i="1"/>
  <c r="W52" i="1"/>
  <c r="W163" i="1"/>
  <c r="W302" i="1"/>
  <c r="W23" i="1"/>
  <c r="W113" i="1"/>
  <c r="W180" i="1"/>
  <c r="W246" i="1"/>
  <c r="W316" i="1"/>
  <c r="W58" i="1"/>
  <c r="W130" i="1"/>
  <c r="W197" i="1"/>
  <c r="W263" i="1"/>
  <c r="W37" i="1"/>
  <c r="W69" i="1"/>
  <c r="W28" i="1"/>
  <c r="W244" i="1"/>
  <c r="W40" i="1"/>
  <c r="W144" i="1"/>
  <c r="W283" i="1"/>
  <c r="W57" i="1"/>
  <c r="W174" i="1"/>
  <c r="W310" i="1"/>
  <c r="W33" i="1"/>
  <c r="W117" i="1"/>
  <c r="W184" i="1"/>
  <c r="X102" i="1" a="1"/>
  <c r="V94" i="1" a="1"/>
  <c r="V74" i="1" a="1"/>
  <c r="X59" i="1" a="1"/>
  <c r="V51" i="1" a="1"/>
  <c r="X64" i="1" a="1"/>
  <c r="V56" i="1" a="1"/>
  <c r="V168" i="1" a="1"/>
  <c r="V177" i="1" a="1"/>
  <c r="X162" i="1" a="1"/>
  <c r="V154" i="1" a="1"/>
  <c r="X99" i="1" a="1"/>
  <c r="V91" i="1" a="1"/>
  <c r="X138" i="1" a="1"/>
  <c r="V130" i="1" a="1"/>
  <c r="V82" i="1" a="1"/>
  <c r="X119" i="1" a="1"/>
  <c r="V105" i="1" a="1"/>
  <c r="V144" i="1" a="1"/>
  <c r="X80" i="1" a="1"/>
  <c r="X62" i="1" a="1"/>
  <c r="V54" i="1" a="1"/>
  <c r="X23" i="1" a="1"/>
  <c r="V15" i="1" a="1"/>
  <c r="X60" i="1" a="1"/>
  <c r="V52" i="1" a="1"/>
  <c r="X37" i="1" a="1"/>
  <c r="V29" i="1" a="1"/>
  <c r="X11" i="1" a="1"/>
  <c r="X26" i="1" a="1"/>
  <c r="X108" i="1" a="1"/>
  <c r="V243" i="1" a="1"/>
  <c r="V7" i="1" a="1"/>
  <c r="V42" i="1" a="1"/>
  <c r="V10" i="1" a="1"/>
  <c r="X13" i="1" a="1"/>
  <c r="X112" i="1" a="1"/>
  <c r="V166" i="1" a="1"/>
  <c r="X7" i="1" a="1"/>
  <c r="X29" i="1" a="1"/>
  <c r="V21" i="1" a="1"/>
  <c r="X22" i="1" a="1"/>
  <c r="V11" i="1" a="1"/>
  <c r="X10" i="1" a="1"/>
  <c r="V22" i="1" a="1"/>
  <c r="X110" i="1" a="1"/>
  <c r="X267" i="1" a="1"/>
  <c r="X270" i="1" a="1"/>
  <c r="V3" i="1" a="1"/>
  <c r="X34" i="1" a="1"/>
  <c r="X14" i="1" a="1"/>
  <c r="X107" i="1" a="1"/>
  <c r="X325" i="1" a="1"/>
  <c r="X6" i="1" a="1"/>
  <c r="W87" i="1"/>
  <c r="W175" i="1"/>
  <c r="W89" i="1"/>
  <c r="W298" i="1"/>
  <c r="W67" i="1"/>
  <c r="W187" i="1"/>
  <c r="W326" i="1"/>
  <c r="W86" i="1"/>
  <c r="W214" i="1"/>
  <c r="W183" i="1"/>
  <c r="W81" i="1"/>
  <c r="W137" i="1"/>
  <c r="W204" i="1"/>
  <c r="W276" i="1"/>
  <c r="W18" i="1"/>
  <c r="W82" i="1"/>
  <c r="W154" i="1"/>
  <c r="W221" i="1"/>
  <c r="W293" i="1"/>
  <c r="W21" i="1"/>
  <c r="W124" i="1"/>
  <c r="W49" i="1"/>
  <c r="W260" i="1"/>
  <c r="W51" i="1"/>
  <c r="W160" i="1"/>
  <c r="W299" i="1"/>
  <c r="W68" i="1"/>
  <c r="W190" i="1"/>
  <c r="W132" i="1"/>
  <c r="W55" i="1"/>
  <c r="W125" i="1"/>
  <c r="W192" i="1"/>
  <c r="W258" i="1"/>
  <c r="W6" i="1"/>
  <c r="W70" i="1"/>
  <c r="W142" i="1"/>
  <c r="W209" i="1"/>
  <c r="W281" i="1"/>
  <c r="W43" i="1"/>
  <c r="W140" i="1"/>
  <c r="W60" i="1"/>
  <c r="W274" i="1"/>
  <c r="W56" i="1"/>
  <c r="W171" i="1"/>
  <c r="W307" i="1"/>
  <c r="W73" i="1"/>
  <c r="W198" i="1"/>
  <c r="W148" i="1"/>
  <c r="W65" i="1"/>
  <c r="W129" i="1"/>
  <c r="W196" i="1"/>
  <c r="W262" i="1"/>
  <c r="W10" i="1"/>
  <c r="W74" i="1"/>
  <c r="W146" i="1"/>
  <c r="W213" i="1"/>
  <c r="W285" i="1"/>
  <c r="W64" i="1"/>
  <c r="W156" i="1"/>
  <c r="W71" i="1"/>
  <c r="W282" i="1"/>
  <c r="W61" i="1"/>
  <c r="W179" i="1"/>
  <c r="W315" i="1"/>
  <c r="W79" i="1"/>
  <c r="W206" i="1"/>
  <c r="W164" i="1"/>
  <c r="W76" i="1"/>
  <c r="W133" i="1"/>
  <c r="W200" i="1"/>
  <c r="W272" i="1"/>
  <c r="W14" i="1"/>
  <c r="W78" i="1"/>
  <c r="V116" i="1" a="1"/>
  <c r="X75" i="1" a="1"/>
  <c r="V67" i="1" a="1"/>
  <c r="V72" i="1" a="1"/>
  <c r="X16" i="1" a="1"/>
  <c r="V69" i="1" a="1"/>
  <c r="V173" i="1" a="1"/>
  <c r="X121" i="1" a="1"/>
  <c r="V113" i="1" a="1"/>
  <c r="X135" i="1" a="1"/>
  <c r="V127" i="1" a="1"/>
  <c r="X98" i="1" a="1"/>
  <c r="V90" i="1" a="1"/>
  <c r="V70" i="1" a="1"/>
  <c r="X39" i="1" a="1"/>
  <c r="V31" i="1" a="1"/>
  <c r="X76" i="1" a="1"/>
  <c r="V68" i="1" a="1"/>
  <c r="X73" i="1" a="1"/>
  <c r="V65" i="1" a="1"/>
  <c r="X53" i="1" a="1"/>
  <c r="V45" i="1" a="1"/>
  <c r="V50" i="1" a="1"/>
  <c r="X12" i="1" a="1"/>
  <c r="X165" i="1" a="1"/>
  <c r="V323" i="1" a="1"/>
  <c r="V267" i="1" a="1"/>
  <c r="V325" i="1" a="1"/>
  <c r="V266" i="1" a="1"/>
  <c r="X3" i="1" a="1"/>
  <c r="X33" i="1" a="1"/>
  <c r="V25" i="1" a="1"/>
  <c r="X50" i="1" a="1"/>
  <c r="V18" i="1" a="1"/>
  <c r="X109" i="1" a="1"/>
  <c r="V165" i="1" a="1"/>
  <c r="Y7" i="1" a="1"/>
  <c r="X45" i="1" a="1"/>
  <c r="V37" i="1" a="1"/>
  <c r="V17" i="1" a="1"/>
  <c r="X18" i="1" a="1"/>
  <c r="X9" i="1" a="1"/>
  <c r="V167" i="1" a="1"/>
  <c r="X243" i="1" a="1"/>
  <c r="V324" i="1" a="1"/>
  <c r="V268" i="1" a="1"/>
  <c r="X84" i="1" a="1"/>
  <c r="X25" i="1" a="1"/>
  <c r="Y14" i="1" a="1"/>
  <c r="X323" i="1" a="1"/>
  <c r="W75" i="1"/>
  <c r="W239" i="1"/>
  <c r="W159" i="1"/>
  <c r="W3" i="1"/>
  <c r="W90" i="1"/>
  <c r="W219" i="1"/>
  <c r="W20" i="1"/>
  <c r="W115" i="1"/>
  <c r="W248" i="1"/>
  <c r="W249" i="1"/>
  <c r="W143" i="1"/>
  <c r="W153" i="1"/>
  <c r="W220" i="1"/>
  <c r="W292" i="1"/>
  <c r="W34" i="1"/>
  <c r="W100" i="1"/>
  <c r="W173" i="1"/>
  <c r="W237" i="1"/>
  <c r="W309" i="1"/>
  <c r="W116" i="1"/>
  <c r="W191" i="1"/>
  <c r="W99" i="1"/>
  <c r="W306" i="1"/>
  <c r="W72" i="1"/>
  <c r="W195" i="1"/>
  <c r="W4" i="1"/>
  <c r="W91" i="1"/>
  <c r="W222" i="1"/>
  <c r="W199" i="1"/>
  <c r="W94" i="1"/>
  <c r="W141" i="1"/>
  <c r="W208" i="1"/>
  <c r="W280" i="1"/>
  <c r="W22" i="1"/>
  <c r="W88" i="1"/>
  <c r="W158" i="1"/>
  <c r="W225" i="1"/>
  <c r="W297" i="1"/>
  <c r="W11" i="1"/>
  <c r="W207" i="1"/>
  <c r="W119" i="1"/>
  <c r="W314" i="1"/>
  <c r="W77" i="1"/>
  <c r="W203" i="1"/>
  <c r="W9" i="1"/>
  <c r="W97" i="1"/>
  <c r="W230" i="1"/>
  <c r="W215" i="1"/>
  <c r="W105" i="1"/>
  <c r="W145" i="1"/>
  <c r="W212" i="1"/>
  <c r="W284" i="1"/>
  <c r="W26" i="1"/>
  <c r="W92" i="1"/>
  <c r="W162" i="1"/>
  <c r="W229" i="1"/>
  <c r="W301" i="1"/>
  <c r="W53" i="1"/>
  <c r="W223" i="1"/>
  <c r="W135" i="1"/>
  <c r="W322" i="1"/>
  <c r="W83" i="1"/>
  <c r="W211" i="1"/>
  <c r="W15" i="1"/>
  <c r="W102" i="1"/>
  <c r="W238" i="1"/>
  <c r="W231" i="1"/>
  <c r="W127" i="1"/>
  <c r="W149" i="1"/>
  <c r="W216" i="1"/>
  <c r="W288" i="1"/>
  <c r="W30" i="1"/>
  <c r="W96" i="1"/>
  <c r="W169" i="1"/>
  <c r="V132" i="1" a="1"/>
  <c r="X27" i="1" a="1"/>
  <c r="V19" i="1" a="1"/>
  <c r="X32" i="1" a="1"/>
  <c r="V24" i="1" a="1"/>
  <c r="X137" i="1" a="1"/>
  <c r="V129" i="1" a="1"/>
  <c r="Y103" i="1" a="1"/>
  <c r="X100" i="1" a="1"/>
  <c r="V92" i="1" a="1"/>
  <c r="V143" i="1" a="1"/>
  <c r="X79" i="1" a="1"/>
  <c r="X120" i="1" a="1"/>
  <c r="V106" i="1" a="1"/>
  <c r="Y86" i="1" a="1"/>
  <c r="X55" i="1" a="1"/>
  <c r="V47" i="1" a="1"/>
  <c r="X28" i="1" a="1"/>
  <c r="V20" i="1" a="1"/>
  <c r="V61" i="1" a="1"/>
  <c r="Y15" i="1" a="1"/>
  <c r="V38" i="1" a="1"/>
  <c r="V9" i="1" a="1"/>
  <c r="V110" i="1" a="1"/>
  <c r="X2" i="1" a="1"/>
  <c r="Y6" i="1" a="1"/>
  <c r="X49" i="1" a="1"/>
  <c r="V41" i="1" a="1"/>
  <c r="X30" i="1" a="1"/>
  <c r="V242" i="1" a="1"/>
  <c r="X266" i="1" a="1"/>
  <c r="X324" i="1" a="1"/>
  <c r="X61" i="1" a="1"/>
  <c r="V53" i="1" a="1"/>
  <c r="V34" i="1" a="1"/>
  <c r="X42" i="1" a="1"/>
  <c r="X85" i="1" a="1"/>
  <c r="V4" i="1" a="1"/>
  <c r="V5" i="1" a="1"/>
  <c r="X41" i="1" a="1"/>
  <c r="V33" i="1" a="1"/>
  <c r="X46" i="1" a="1"/>
  <c r="X17" i="1" a="1"/>
  <c r="W24" i="1"/>
  <c r="W147" i="1"/>
  <c r="W172" i="1"/>
  <c r="W122" i="1"/>
  <c r="W16" i="1"/>
  <c r="W95" i="1"/>
  <c r="W256" i="1"/>
  <c r="W224" i="1"/>
  <c r="W177" i="1"/>
  <c r="W279" i="1"/>
  <c r="W235" i="1"/>
  <c r="W287" i="1"/>
  <c r="W300" i="1"/>
  <c r="W247" i="1"/>
  <c r="W202" i="1"/>
  <c r="W36" i="1"/>
  <c r="W194" i="1"/>
  <c r="W304" i="1"/>
  <c r="W118" i="1"/>
  <c r="W201" i="1"/>
  <c r="W273" i="1"/>
  <c r="Z85" i="1" a="1"/>
  <c r="Y162" i="1" a="1"/>
  <c r="Z322" i="1" a="1"/>
  <c r="Y234" i="1" a="1"/>
  <c r="Z172" i="1" a="1"/>
  <c r="Z235" i="1" a="1"/>
  <c r="Z234" i="1" a="1"/>
  <c r="Z154" i="1" a="1"/>
  <c r="Z167" i="1" a="1"/>
  <c r="Z163" i="1" a="1"/>
  <c r="Y231" i="1" a="1"/>
  <c r="Z83" i="1" a="1"/>
  <c r="Z233" i="1" a="1"/>
  <c r="Y77" i="1" a="1"/>
  <c r="Z173" i="1" a="1"/>
  <c r="Z74" i="1" a="1"/>
  <c r="W84" i="1"/>
  <c r="W325" i="1"/>
  <c r="Y82" i="1" a="1"/>
  <c r="Y155" i="1" a="1"/>
  <c r="Y76" i="1" a="1"/>
  <c r="Z156" i="1" a="1"/>
  <c r="W166" i="1"/>
  <c r="Z81" i="1" a="1"/>
  <c r="Y229" i="1" a="1"/>
  <c r="W266" i="1"/>
  <c r="Y161" i="1" a="1"/>
  <c r="W243" i="1"/>
  <c r="W242" i="1"/>
  <c r="Y238" i="1" a="1"/>
  <c r="Z105" i="1" a="1"/>
  <c r="Z161" i="1" a="1"/>
  <c r="W270" i="1"/>
  <c r="Z318" i="1" a="1"/>
  <c r="W2" i="1"/>
  <c r="W167" i="1"/>
  <c r="Z82" i="1" a="1"/>
  <c r="Y236" i="1" a="1"/>
  <c r="W269" i="1"/>
  <c r="Y79" i="1" a="1"/>
  <c r="Z229" i="1" a="1"/>
  <c r="Y75" i="1" a="1"/>
  <c r="W250" i="1"/>
  <c r="Z260" i="1" a="1"/>
  <c r="Z317" i="1" a="1"/>
  <c r="Z312" i="1" a="1"/>
  <c r="Z310" i="1" a="1"/>
  <c r="Y241" i="1" a="1"/>
  <c r="Z241" i="1" a="1"/>
  <c r="Y315" i="1" a="1"/>
  <c r="Y157" i="1" a="1"/>
  <c r="W108" i="1"/>
  <c r="Y230" i="1" a="1"/>
  <c r="Z155" i="1" a="1"/>
  <c r="W265" i="1"/>
  <c r="Y233" i="1" a="1"/>
  <c r="W165" i="1"/>
  <c r="W5" i="1"/>
  <c r="W120" i="1"/>
  <c r="W286" i="1"/>
  <c r="W236" i="1"/>
  <c r="W189" i="1"/>
  <c r="W257" i="1"/>
  <c r="W227" i="1"/>
  <c r="W271" i="1"/>
  <c r="W296" i="1"/>
  <c r="W241" i="1"/>
  <c r="W186" i="1"/>
  <c r="W31" i="1"/>
  <c r="W170" i="1"/>
  <c r="W42" i="1"/>
  <c r="W317" i="1"/>
  <c r="W19" i="1"/>
  <c r="W139" i="1"/>
  <c r="W168" i="1"/>
  <c r="W320" i="1"/>
  <c r="W134" i="1"/>
  <c r="W217" i="1"/>
  <c r="W289" i="1"/>
  <c r="Y84" i="1" a="1"/>
  <c r="Z316" i="1" a="1"/>
  <c r="Y104" i="1" a="1"/>
  <c r="Z237" i="1" a="1"/>
  <c r="Z103" i="1" a="1"/>
  <c r="Y240" i="1" a="1"/>
  <c r="Y80" i="1" a="1"/>
  <c r="Z86" i="1" a="1"/>
  <c r="Z14" i="1" a="1"/>
  <c r="Y239" i="1" a="1"/>
  <c r="Y163" i="1" a="1"/>
  <c r="Z80" i="1" a="1"/>
  <c r="Z311" i="1" a="1"/>
  <c r="Z180" i="1" a="1"/>
  <c r="Y317" i="1" a="1"/>
  <c r="Y173" i="1" a="1"/>
  <c r="Z78" i="1" a="1"/>
  <c r="Y156" i="1" a="1"/>
  <c r="W111" i="1"/>
  <c r="Z160" i="1" a="1"/>
  <c r="W85" i="1"/>
  <c r="Z76" i="1" a="1"/>
  <c r="W107" i="1"/>
  <c r="W303" i="1"/>
  <c r="Z6" i="1" a="1"/>
  <c r="Y322" i="1" a="1"/>
  <c r="Z162" i="1" a="1"/>
  <c r="Z7" i="1" a="1"/>
  <c r="Y237" i="1" a="1"/>
  <c r="Z79" i="1" a="1"/>
  <c r="W311" i="1"/>
  <c r="W253" i="1"/>
  <c r="W319" i="1"/>
  <c r="W308" i="1"/>
  <c r="W255" i="1"/>
  <c r="W178" i="1"/>
  <c r="W25" i="1"/>
  <c r="W151" i="1"/>
  <c r="W38" i="1"/>
  <c r="W313" i="1"/>
  <c r="W13" i="1"/>
  <c r="W131" i="1"/>
  <c r="W161" i="1"/>
  <c r="W114" i="1"/>
  <c r="W103" i="1"/>
  <c r="W106" i="1"/>
  <c r="W278" i="1"/>
  <c r="W232" i="1"/>
  <c r="W46" i="1"/>
  <c r="W150" i="1"/>
  <c r="W233" i="1"/>
  <c r="W305" i="1"/>
  <c r="Z238" i="1" a="1"/>
  <c r="Z231" i="1" a="1"/>
  <c r="Z258" i="1" a="1"/>
  <c r="Y235" i="1" a="1"/>
  <c r="Z104" i="1" a="1"/>
  <c r="Z240" i="1" a="1"/>
  <c r="Y105" i="1" a="1"/>
  <c r="Y313" i="1" a="1"/>
  <c r="Z259" i="1" a="1"/>
  <c r="Y167" i="1" a="1"/>
  <c r="Z84" i="1" a="1"/>
  <c r="Y316" i="1" a="1"/>
  <c r="Y232" i="1" a="1"/>
  <c r="Z313" i="1" a="1"/>
  <c r="Z158" i="1" a="1"/>
  <c r="Y318" i="1" a="1"/>
  <c r="Y160" i="1" a="1"/>
  <c r="Z181" i="1" a="1"/>
  <c r="Z159" i="1" a="1"/>
  <c r="Z315" i="1" a="1"/>
  <c r="Z77" i="1" a="1"/>
  <c r="Z157" i="1" a="1"/>
  <c r="W112" i="1"/>
  <c r="Z230" i="1" a="1"/>
  <c r="W267" i="1"/>
  <c r="Y158" i="1" a="1"/>
  <c r="Y78" i="1" a="1"/>
  <c r="Z236" i="1" a="1"/>
  <c r="Y74" i="1" a="1"/>
  <c r="W268" i="1"/>
  <c r="W210" i="1"/>
  <c r="W41" i="1"/>
  <c r="W218" i="1"/>
  <c r="W50" i="1"/>
  <c r="W328" i="1"/>
  <c r="W8" i="1"/>
  <c r="W123" i="1"/>
  <c r="W157" i="1"/>
  <c r="W104" i="1"/>
  <c r="W59" i="1"/>
  <c r="W101" i="1"/>
  <c r="W264" i="1"/>
  <c r="W228" i="1"/>
  <c r="W181" i="1"/>
  <c r="W295" i="1"/>
  <c r="W245" i="1"/>
  <c r="W62" i="1"/>
  <c r="W185" i="1"/>
  <c r="W251" i="1"/>
  <c r="W321" i="1"/>
  <c r="Z232" i="1" a="1"/>
  <c r="Z309" i="1" a="1"/>
  <c r="Y85" i="1" a="1"/>
  <c r="Z15" i="1" a="1"/>
  <c r="Z239" i="1" a="1"/>
  <c r="Y159" i="1" a="1"/>
  <c r="Z75" i="1" a="1"/>
  <c r="W110" i="1"/>
  <c r="Y81" i="1" a="1"/>
  <c r="Y83" i="1" a="1"/>
  <c r="W109" i="1"/>
  <c r="Y314" i="1" a="1"/>
  <c r="Z314" i="1" a="1"/>
  <c r="Y181" i="1" a="1"/>
  <c r="W324" i="1"/>
  <c r="W323" i="1"/>
  <c r="AC268" i="1" l="1"/>
  <c r="AC14" i="1"/>
  <c r="AC29" i="1"/>
  <c r="AC112" i="1"/>
  <c r="AC33" i="1"/>
  <c r="AC7" i="1"/>
  <c r="AC8" i="1"/>
  <c r="AC53" i="1"/>
  <c r="AC6" i="1"/>
  <c r="AC42" i="1"/>
  <c r="AC46" i="1"/>
  <c r="AC41" i="1"/>
  <c r="AC32" i="1"/>
  <c r="AC59" i="1"/>
  <c r="AC86" i="1"/>
  <c r="AC140" i="1"/>
  <c r="AC83" i="1"/>
  <c r="AC139" i="1"/>
  <c r="AC103" i="1"/>
  <c r="AC65" i="1"/>
  <c r="AC68" i="1"/>
  <c r="AC47" i="1"/>
  <c r="AC106" i="1"/>
  <c r="AC127" i="1"/>
  <c r="AC114" i="1"/>
  <c r="AC129" i="1"/>
  <c r="AC154" i="1"/>
  <c r="AC56" i="1"/>
  <c r="AC19" i="1"/>
  <c r="AC74" i="1"/>
  <c r="AC115" i="1"/>
  <c r="AC118" i="1"/>
  <c r="AC133" i="1"/>
  <c r="AC158" i="1"/>
  <c r="AC153" i="1"/>
  <c r="AC73" i="1"/>
  <c r="AC76" i="1"/>
  <c r="AC23" i="1"/>
  <c r="AC62" i="1"/>
  <c r="AC120" i="1"/>
  <c r="AC119" i="1"/>
  <c r="AC122" i="1"/>
  <c r="AC81" i="1"/>
  <c r="AC184" i="1"/>
  <c r="AC217" i="1"/>
  <c r="AC223" i="1"/>
  <c r="AC272" i="1"/>
  <c r="AC179" i="1"/>
  <c r="AC181" i="1"/>
  <c r="AC188" i="1"/>
  <c r="AC237" i="1"/>
  <c r="AC227" i="1"/>
  <c r="AC260" i="1"/>
  <c r="AC276" i="1"/>
  <c r="AC287" i="1"/>
  <c r="AC175" i="1"/>
  <c r="AC185" i="1"/>
  <c r="AC208" i="1"/>
  <c r="AC225" i="1"/>
  <c r="AC215" i="1"/>
  <c r="AC264" i="1"/>
  <c r="AC247" i="1"/>
  <c r="AC163" i="1"/>
  <c r="AC203" i="1"/>
  <c r="AC198" i="1"/>
  <c r="AC205" i="1"/>
  <c r="AC226" i="1"/>
  <c r="AC232" i="1"/>
  <c r="AC275" i="1"/>
  <c r="AC282" i="1"/>
  <c r="AC307" i="1"/>
  <c r="AC313" i="1"/>
  <c r="AC326" i="1"/>
  <c r="AC280" i="1"/>
  <c r="AC281" i="1"/>
  <c r="AC331" i="1"/>
  <c r="AC85" i="1"/>
  <c r="AC167" i="1"/>
  <c r="AC9" i="1"/>
  <c r="AC45" i="1"/>
  <c r="AC267" i="1"/>
  <c r="AC84" i="1"/>
  <c r="AC243" i="1"/>
  <c r="AC111" i="1"/>
  <c r="AC13" i="1"/>
  <c r="AC49" i="1"/>
  <c r="AC3" i="1"/>
  <c r="AC107" i="1"/>
  <c r="AC11" i="1"/>
  <c r="AC50" i="1"/>
  <c r="AC22" i="1"/>
  <c r="AC15" i="1"/>
  <c r="AC57" i="1"/>
  <c r="AC48" i="1"/>
  <c r="AC75" i="1"/>
  <c r="AC102" i="1"/>
  <c r="AC101" i="1"/>
  <c r="AC104" i="1"/>
  <c r="AC125" i="1"/>
  <c r="AC150" i="1"/>
  <c r="AC161" i="1"/>
  <c r="AC20" i="1"/>
  <c r="AC63" i="1"/>
  <c r="AC54" i="1"/>
  <c r="AC128" i="1"/>
  <c r="AC143" i="1"/>
  <c r="AC88" i="1"/>
  <c r="AC130" i="1"/>
  <c r="AC146" i="1"/>
  <c r="AC173" i="1"/>
  <c r="AC149" i="1"/>
  <c r="AC69" i="1"/>
  <c r="AC72" i="1"/>
  <c r="AC35" i="1"/>
  <c r="AC94" i="1"/>
  <c r="AC131" i="1"/>
  <c r="AC134" i="1"/>
  <c r="AC77" i="1"/>
  <c r="AC28" i="1"/>
  <c r="AC39" i="1"/>
  <c r="AC136" i="1"/>
  <c r="AC79" i="1"/>
  <c r="AC135" i="1"/>
  <c r="AC138" i="1"/>
  <c r="AC99" i="1"/>
  <c r="AC162" i="1"/>
  <c r="AC157" i="1"/>
  <c r="AC191" i="1"/>
  <c r="AC193" i="1"/>
  <c r="AC200" i="1"/>
  <c r="AC214" i="1"/>
  <c r="AC233" i="1"/>
  <c r="AC239" i="1"/>
  <c r="AC246" i="1"/>
  <c r="AC171" i="1"/>
  <c r="AC195" i="1"/>
  <c r="AC190" i="1"/>
  <c r="AC197" i="1"/>
  <c r="AC204" i="1"/>
  <c r="AC218" i="1"/>
  <c r="AC224" i="1"/>
  <c r="AC245" i="1"/>
  <c r="AC241" i="1"/>
  <c r="AC172" i="1"/>
  <c r="AC159" i="1"/>
  <c r="AC183" i="1"/>
  <c r="AC194" i="1"/>
  <c r="AC201" i="1"/>
  <c r="AC222" i="1"/>
  <c r="AC212" i="1"/>
  <c r="AC231" i="1"/>
  <c r="AC263" i="1"/>
  <c r="AC296" i="1"/>
  <c r="AC213" i="1"/>
  <c r="AC219" i="1"/>
  <c r="AC252" i="1"/>
  <c r="AC301" i="1"/>
  <c r="AC297" i="1"/>
  <c r="AC303" i="1"/>
  <c r="AC322" i="1"/>
  <c r="AC319" i="1"/>
  <c r="AC305" i="1"/>
  <c r="AC318" i="1"/>
  <c r="AC314" i="1"/>
  <c r="AC316" i="1"/>
  <c r="AC292" i="1"/>
  <c r="AC284" i="1"/>
  <c r="AC290" i="1"/>
  <c r="AC315" i="1"/>
  <c r="AC266" i="1"/>
  <c r="AC242" i="1"/>
  <c r="AC61" i="1"/>
  <c r="AC5" i="1"/>
  <c r="AC165" i="1"/>
  <c r="AC269" i="1"/>
  <c r="AC12" i="1"/>
  <c r="AC18" i="1"/>
  <c r="AC21" i="1"/>
  <c r="AC10" i="1"/>
  <c r="AC30" i="1"/>
  <c r="AC26" i="1"/>
  <c r="AC64" i="1"/>
  <c r="AC27" i="1"/>
  <c r="AC66" i="1"/>
  <c r="AC78" i="1"/>
  <c r="AC126" i="1"/>
  <c r="AC141" i="1"/>
  <c r="AC169" i="1"/>
  <c r="AC36" i="1"/>
  <c r="AC70" i="1"/>
  <c r="AC144" i="1"/>
  <c r="AC89" i="1"/>
  <c r="AC91" i="1"/>
  <c r="AC168" i="1"/>
  <c r="AC24" i="1"/>
  <c r="AC51" i="1"/>
  <c r="AC116" i="1"/>
  <c r="AC95" i="1"/>
  <c r="AC44" i="1"/>
  <c r="AC55" i="1"/>
  <c r="AC80" i="1"/>
  <c r="AC121" i="1"/>
  <c r="AC151" i="1"/>
  <c r="AC207" i="1"/>
  <c r="AC186" i="1"/>
  <c r="AC230" i="1"/>
  <c r="AC220" i="1"/>
  <c r="AC257" i="1"/>
  <c r="AC256" i="1"/>
  <c r="AC255" i="1"/>
  <c r="AC286" i="1"/>
  <c r="AC148" i="1"/>
  <c r="AC155" i="1"/>
  <c r="AC206" i="1"/>
  <c r="AC234" i="1"/>
  <c r="AC261" i="1"/>
  <c r="AC152" i="1"/>
  <c r="AC199" i="1"/>
  <c r="AC238" i="1"/>
  <c r="AC228" i="1"/>
  <c r="AC249" i="1"/>
  <c r="AC258" i="1"/>
  <c r="AC180" i="1"/>
  <c r="AC229" i="1"/>
  <c r="AC235" i="1"/>
  <c r="AC274" i="1"/>
  <c r="AC251" i="1"/>
  <c r="AC262" i="1"/>
  <c r="AC279" i="1"/>
  <c r="AC288" i="1"/>
  <c r="AC306" i="1"/>
  <c r="AC328" i="1"/>
  <c r="AC310" i="1"/>
  <c r="AC277" i="1"/>
  <c r="AC308" i="1"/>
  <c r="AC317" i="1"/>
  <c r="AC302" i="1"/>
  <c r="AC321" i="1"/>
  <c r="AC330" i="1"/>
  <c r="AC335" i="1"/>
  <c r="AC332" i="1"/>
  <c r="AC333" i="1"/>
  <c r="AC329" i="1"/>
  <c r="AC2" i="1"/>
  <c r="AC324" i="1"/>
  <c r="AC109" i="1"/>
  <c r="AC4" i="1"/>
  <c r="AC270" i="1"/>
  <c r="AC166" i="1"/>
  <c r="AC108" i="1"/>
  <c r="AC323" i="1"/>
  <c r="AC17" i="1"/>
  <c r="AC37" i="1"/>
  <c r="AC325" i="1"/>
  <c r="AC265" i="1"/>
  <c r="AC110" i="1"/>
  <c r="AC34" i="1"/>
  <c r="AC38" i="1"/>
  <c r="AC25" i="1"/>
  <c r="AC16" i="1"/>
  <c r="AC43" i="1"/>
  <c r="AC124" i="1"/>
  <c r="AC123" i="1"/>
  <c r="AC142" i="1"/>
  <c r="AC87" i="1"/>
  <c r="AC145" i="1"/>
  <c r="AC52" i="1"/>
  <c r="AC31" i="1"/>
  <c r="AC90" i="1"/>
  <c r="AC105" i="1"/>
  <c r="AC82" i="1"/>
  <c r="AC92" i="1"/>
  <c r="AC113" i="1"/>
  <c r="AC177" i="1"/>
  <c r="AC40" i="1"/>
  <c r="AC67" i="1"/>
  <c r="AC58" i="1"/>
  <c r="AC132" i="1"/>
  <c r="AC93" i="1"/>
  <c r="AC96" i="1"/>
  <c r="AC117" i="1"/>
  <c r="AC60" i="1"/>
  <c r="AC71" i="1"/>
  <c r="AC98" i="1"/>
  <c r="AC97" i="1"/>
  <c r="AC100" i="1"/>
  <c r="AC137" i="1"/>
  <c r="AC160" i="1"/>
  <c r="AC170" i="1"/>
  <c r="AC202" i="1"/>
  <c r="AC236" i="1"/>
  <c r="AC240" i="1"/>
  <c r="AC250" i="1"/>
  <c r="AC283" i="1"/>
  <c r="AC164" i="1"/>
  <c r="AC174" i="1"/>
  <c r="AC221" i="1"/>
  <c r="AC211" i="1"/>
  <c r="AC244" i="1"/>
  <c r="AC259" i="1"/>
  <c r="AC254" i="1"/>
  <c r="AC176" i="1"/>
  <c r="AC178" i="1"/>
  <c r="AC192" i="1"/>
  <c r="AC209" i="1"/>
  <c r="AC271" i="1"/>
  <c r="AC248" i="1"/>
  <c r="AC278" i="1"/>
  <c r="AC156" i="1"/>
  <c r="AC147" i="1"/>
  <c r="AC187" i="1"/>
  <c r="AC182" i="1"/>
  <c r="AC189" i="1"/>
  <c r="AC196" i="1"/>
  <c r="AC210" i="1"/>
  <c r="AC216" i="1"/>
  <c r="AC253" i="1"/>
  <c r="AC273" i="1"/>
  <c r="AC285" i="1"/>
  <c r="AC300" i="1"/>
  <c r="AC294" i="1"/>
  <c r="AC291" i="1"/>
  <c r="AC298" i="1"/>
  <c r="AC304" i="1"/>
  <c r="AC312" i="1"/>
  <c r="AC295" i="1"/>
  <c r="AC289" i="1"/>
  <c r="AC309" i="1"/>
  <c r="AC311" i="1"/>
  <c r="AC320" i="1"/>
  <c r="AC299" i="1"/>
  <c r="AC293" i="1"/>
  <c r="AC327" i="1"/>
  <c r="AC334" i="1"/>
  <c r="AC336" i="1"/>
  <c r="Y111" i="1" a="1"/>
  <c r="Y111" i="1" s="1"/>
  <c r="Y29" i="1" a="1"/>
  <c r="Y29" i="1" s="1"/>
  <c r="Y112" i="1" a="1"/>
  <c r="Y112" i="1" s="1"/>
  <c r="Y33" i="1" a="1"/>
  <c r="Y33" i="1" s="1"/>
  <c r="Y8" i="1" a="1"/>
  <c r="Y8" i="1" s="1"/>
  <c r="Y53" i="1" a="1"/>
  <c r="Y53" i="1" s="1"/>
  <c r="Y42" i="1" a="1"/>
  <c r="Y42" i="1" s="1"/>
  <c r="Y46" i="1" a="1"/>
  <c r="Y46" i="1" s="1"/>
  <c r="Y41" i="1" a="1"/>
  <c r="Y41" i="1" s="1"/>
  <c r="Y32" i="1" a="1"/>
  <c r="Y32" i="1" s="1"/>
  <c r="Y59" i="1" a="1"/>
  <c r="Y59" i="1" s="1"/>
  <c r="Y140" i="1" a="1"/>
  <c r="Y140" i="1" s="1"/>
  <c r="Y139" i="1" a="1"/>
  <c r="Y139" i="1" s="1"/>
  <c r="Y65" i="1" a="1"/>
  <c r="Y65" i="1" s="1"/>
  <c r="Y68" i="1" a="1"/>
  <c r="Y68" i="1" s="1"/>
  <c r="Y47" i="1" a="1"/>
  <c r="Y47" i="1" s="1"/>
  <c r="Y127" i="1" a="1"/>
  <c r="Y127" i="1" s="1"/>
  <c r="Y114" i="1" a="1"/>
  <c r="Y114" i="1" s="1"/>
  <c r="Y129" i="1" a="1"/>
  <c r="Y129" i="1" s="1"/>
  <c r="Y56" i="1" a="1"/>
  <c r="Y56" i="1" s="1"/>
  <c r="Y19" i="1" a="1"/>
  <c r="Y19" i="1" s="1"/>
  <c r="Y115" i="1" a="1"/>
  <c r="Y115" i="1" s="1"/>
  <c r="Y118" i="1" a="1"/>
  <c r="Y118" i="1" s="1"/>
  <c r="Y133" i="1" a="1"/>
  <c r="Y133" i="1" s="1"/>
  <c r="Y153" i="1" a="1"/>
  <c r="Y153" i="1" s="1"/>
  <c r="Y23" i="1" a="1"/>
  <c r="Y23" i="1" s="1"/>
  <c r="Y62" i="1" a="1"/>
  <c r="Y62" i="1" s="1"/>
  <c r="Y120" i="1" a="1"/>
  <c r="Y120" i="1" s="1"/>
  <c r="Y119" i="1" a="1"/>
  <c r="Y119" i="1" s="1"/>
  <c r="Y122" i="1" a="1"/>
  <c r="Y122" i="1" s="1"/>
  <c r="Y184" i="1" a="1"/>
  <c r="Y184" i="1" s="1"/>
  <c r="Y217" i="1" a="1"/>
  <c r="Y217" i="1" s="1"/>
  <c r="Y223" i="1" a="1"/>
  <c r="Y223" i="1" s="1"/>
  <c r="Y272" i="1" a="1"/>
  <c r="Y272" i="1" s="1"/>
  <c r="Y179" i="1" a="1"/>
  <c r="Y179" i="1" s="1"/>
  <c r="Y188" i="1" a="1"/>
  <c r="Y188" i="1" s="1"/>
  <c r="Y227" i="1" a="1"/>
  <c r="Y227" i="1" s="1"/>
  <c r="Y276" i="1" a="1"/>
  <c r="Y276" i="1" s="1"/>
  <c r="Y287" i="1" a="1"/>
  <c r="Y287" i="1" s="1"/>
  <c r="Y175" i="1" a="1"/>
  <c r="Y175" i="1" s="1"/>
  <c r="Y208" i="1" a="1"/>
  <c r="Y208" i="1" s="1"/>
  <c r="Y225" i="1" a="1"/>
  <c r="Y225" i="1" s="1"/>
  <c r="Y215" i="1" a="1"/>
  <c r="Y215" i="1" s="1"/>
  <c r="Y203" i="1" a="1"/>
  <c r="Y203" i="1" s="1"/>
  <c r="Y198" i="1" a="1"/>
  <c r="Y198" i="1" s="1"/>
  <c r="Y205" i="1" a="1"/>
  <c r="Y205" i="1" s="1"/>
  <c r="Y226" i="1" a="1"/>
  <c r="Y226" i="1" s="1"/>
  <c r="Y275" i="1" a="1"/>
  <c r="Y275" i="1" s="1"/>
  <c r="Y282" i="1" a="1"/>
  <c r="Y282" i="1" s="1"/>
  <c r="Y307" i="1" a="1"/>
  <c r="Y307" i="1" s="1"/>
  <c r="Y280" i="1" a="1"/>
  <c r="Y280" i="1" s="1"/>
  <c r="Y281" i="1" a="1"/>
  <c r="Y281" i="1" s="1"/>
  <c r="Y331" i="1" a="1"/>
  <c r="Y331" i="1" s="1"/>
  <c r="Y9" i="1" a="1"/>
  <c r="Y9" i="1" s="1"/>
  <c r="Y45" i="1" a="1"/>
  <c r="Y45" i="1" s="1"/>
  <c r="Y267" i="1" a="1"/>
  <c r="Y267" i="1" s="1"/>
  <c r="Y49" i="1" a="1"/>
  <c r="Y49" i="1" s="1"/>
  <c r="Y3" i="1" a="1"/>
  <c r="Y3" i="1" s="1"/>
  <c r="Y11" i="1" a="1"/>
  <c r="Y11" i="1" s="1"/>
  <c r="Y50" i="1" a="1"/>
  <c r="Y50" i="1" s="1"/>
  <c r="Y22" i="1" a="1"/>
  <c r="Y22" i="1" s="1"/>
  <c r="Y57" i="1" a="1"/>
  <c r="Y57" i="1" s="1"/>
  <c r="Y48" i="1" a="1"/>
  <c r="Y48" i="1" s="1"/>
  <c r="Y102" i="1" a="1"/>
  <c r="Y102" i="1" s="1"/>
  <c r="Y101" i="1" a="1"/>
  <c r="Y101" i="1" s="1"/>
  <c r="Y125" i="1" a="1"/>
  <c r="Y125" i="1" s="1"/>
  <c r="Y150" i="1" a="1"/>
  <c r="Y150" i="1" s="1"/>
  <c r="Y20" i="1" a="1"/>
  <c r="Y20" i="1" s="1"/>
  <c r="Y63" i="1" a="1"/>
  <c r="Y63" i="1" s="1"/>
  <c r="Y54" i="1" a="1"/>
  <c r="Y54" i="1" s="1"/>
  <c r="Y128" i="1" a="1"/>
  <c r="Y128" i="1" s="1"/>
  <c r="Y143" i="1" a="1"/>
  <c r="Y143" i="1" s="1"/>
  <c r="Y130" i="1" a="1"/>
  <c r="Y130" i="1" s="1"/>
  <c r="Y146" i="1" a="1"/>
  <c r="Y146" i="1" s="1"/>
  <c r="Y149" i="1" a="1"/>
  <c r="Y149" i="1" s="1"/>
  <c r="Y69" i="1" a="1"/>
  <c r="Y69" i="1" s="1"/>
  <c r="Y35" i="1" a="1"/>
  <c r="Y35" i="1" s="1"/>
  <c r="Y94" i="1" a="1"/>
  <c r="Y94" i="1" s="1"/>
  <c r="Y131" i="1" a="1"/>
  <c r="Y131" i="1" s="1"/>
  <c r="Y134" i="1" a="1"/>
  <c r="Y134" i="1" s="1"/>
  <c r="Y28" i="1" a="1"/>
  <c r="Y28" i="1" s="1"/>
  <c r="Y39" i="1" a="1"/>
  <c r="Y39" i="1" s="1"/>
  <c r="Y136" i="1" a="1"/>
  <c r="Y136" i="1" s="1"/>
  <c r="Y135" i="1" a="1"/>
  <c r="Y135" i="1" s="1"/>
  <c r="Y138" i="1" a="1"/>
  <c r="Y138" i="1" s="1"/>
  <c r="Y99" i="1" a="1"/>
  <c r="Y99" i="1" s="1"/>
  <c r="Y191" i="1" a="1"/>
  <c r="Y191" i="1" s="1"/>
  <c r="Y193" i="1" a="1"/>
  <c r="Y193" i="1" s="1"/>
  <c r="Y200" i="1" a="1"/>
  <c r="Y200" i="1" s="1"/>
  <c r="Y214" i="1" a="1"/>
  <c r="Y214" i="1" s="1"/>
  <c r="Y171" i="1" a="1"/>
  <c r="Y171" i="1" s="1"/>
  <c r="Y195" i="1" a="1"/>
  <c r="Y195" i="1" s="1"/>
  <c r="Y190" i="1" a="1"/>
  <c r="Y190" i="1" s="1"/>
  <c r="Y197" i="1" a="1"/>
  <c r="Y197" i="1" s="1"/>
  <c r="Y204" i="1" a="1"/>
  <c r="Y204" i="1" s="1"/>
  <c r="Y218" i="1" a="1"/>
  <c r="Y218" i="1" s="1"/>
  <c r="Y224" i="1" a="1"/>
  <c r="Y224" i="1" s="1"/>
  <c r="Y183" i="1" a="1"/>
  <c r="Y183" i="1" s="1"/>
  <c r="Y194" i="1" a="1"/>
  <c r="Y194" i="1" s="1"/>
  <c r="Y201" i="1" a="1"/>
  <c r="Y201" i="1" s="1"/>
  <c r="Y222" i="1" a="1"/>
  <c r="Y222" i="1" s="1"/>
  <c r="Y212" i="1" a="1"/>
  <c r="Y212" i="1" s="1"/>
  <c r="Y296" i="1" a="1"/>
  <c r="Y296" i="1" s="1"/>
  <c r="Y213" i="1" a="1"/>
  <c r="Y213" i="1" s="1"/>
  <c r="Y219" i="1" a="1"/>
  <c r="Y219" i="1" s="1"/>
  <c r="Y301" i="1" a="1"/>
  <c r="Y301" i="1" s="1"/>
  <c r="Y297" i="1" a="1"/>
  <c r="Y297" i="1" s="1"/>
  <c r="Y303" i="1" a="1"/>
  <c r="Y303" i="1" s="1"/>
  <c r="Y305" i="1" a="1"/>
  <c r="Y305" i="1" s="1"/>
  <c r="Y292" i="1" a="1"/>
  <c r="Y292" i="1" s="1"/>
  <c r="Y284" i="1" a="1"/>
  <c r="Y284" i="1" s="1"/>
  <c r="Y290" i="1" a="1"/>
  <c r="Y290" i="1" s="1"/>
  <c r="Y266" i="1" a="1"/>
  <c r="Y266" i="1" s="1"/>
  <c r="Y61" i="1" a="1"/>
  <c r="Y61" i="1" s="1"/>
  <c r="Y18" i="1" a="1"/>
  <c r="Y18" i="1" s="1"/>
  <c r="Y21" i="1" a="1"/>
  <c r="Y21" i="1" s="1"/>
  <c r="Y10" i="1" a="1"/>
  <c r="Y10" i="1" s="1"/>
  <c r="Y30" i="1" a="1"/>
  <c r="Y30" i="1" s="1"/>
  <c r="Y26" i="1" a="1"/>
  <c r="Y26" i="1" s="1"/>
  <c r="Y64" i="1" a="1"/>
  <c r="Y64" i="1" s="1"/>
  <c r="Y27" i="1" a="1"/>
  <c r="Y27" i="1" s="1"/>
  <c r="Y66" i="1" a="1"/>
  <c r="Y66" i="1" s="1"/>
  <c r="Y126" i="1" a="1"/>
  <c r="Y126" i="1" s="1"/>
  <c r="Y141" i="1" a="1"/>
  <c r="Y141" i="1" s="1"/>
  <c r="Y169" i="1" a="1"/>
  <c r="Y169" i="1" s="1"/>
  <c r="Y36" i="1" a="1"/>
  <c r="Y36" i="1" s="1"/>
  <c r="Y144" i="1" a="1"/>
  <c r="Y144" i="1" s="1"/>
  <c r="Y89" i="1" a="1"/>
  <c r="Y89" i="1" s="1"/>
  <c r="Y168" i="1" a="1"/>
  <c r="Y168" i="1" s="1"/>
  <c r="Y24" i="1" a="1"/>
  <c r="Y24" i="1" s="1"/>
  <c r="Y51" i="1" a="1"/>
  <c r="Y51" i="1" s="1"/>
  <c r="Y116" i="1" a="1"/>
  <c r="Y116" i="1" s="1"/>
  <c r="Y95" i="1" a="1"/>
  <c r="Y95" i="1" s="1"/>
  <c r="Y44" i="1" a="1"/>
  <c r="Y44" i="1" s="1"/>
  <c r="Y55" i="1" a="1"/>
  <c r="Y55" i="1" s="1"/>
  <c r="Y121" i="1" a="1"/>
  <c r="Y121" i="1" s="1"/>
  <c r="Y151" i="1" a="1"/>
  <c r="Y151" i="1" s="1"/>
  <c r="Y207" i="1" a="1"/>
  <c r="Y207" i="1" s="1"/>
  <c r="Y220" i="1" a="1"/>
  <c r="Y220" i="1" s="1"/>
  <c r="Y257" i="1" a="1"/>
  <c r="Y257" i="1" s="1"/>
  <c r="Y256" i="1" a="1"/>
  <c r="Y256" i="1" s="1"/>
  <c r="Y255" i="1" a="1"/>
  <c r="Y255" i="1" s="1"/>
  <c r="Y286" i="1" a="1"/>
  <c r="Y286" i="1" s="1"/>
  <c r="Y148" i="1" a="1"/>
  <c r="Y148" i="1" s="1"/>
  <c r="Y206" i="1" a="1"/>
  <c r="Y206" i="1" s="1"/>
  <c r="Y261" i="1" a="1"/>
  <c r="Y261" i="1" s="1"/>
  <c r="Y152" i="1" a="1"/>
  <c r="Y152" i="1" s="1"/>
  <c r="Y199" i="1" a="1"/>
  <c r="Y199" i="1" s="1"/>
  <c r="Y249" i="1" a="1"/>
  <c r="Y249" i="1" s="1"/>
  <c r="Y274" i="1" a="1"/>
  <c r="Y274" i="1" s="1"/>
  <c r="Y251" i="1" a="1"/>
  <c r="Y251" i="1" s="1"/>
  <c r="Y279" i="1" a="1"/>
  <c r="Y279" i="1" s="1"/>
  <c r="Y288" i="1" a="1"/>
  <c r="Y288" i="1" s="1"/>
  <c r="Y306" i="1" a="1"/>
  <c r="Y306" i="1" s="1"/>
  <c r="Y277" i="1" a="1"/>
  <c r="Y277" i="1" s="1"/>
  <c r="Y308" i="1" a="1"/>
  <c r="Y308" i="1" s="1"/>
  <c r="Y302" i="1" a="1"/>
  <c r="Y302" i="1" s="1"/>
  <c r="Y330" i="1" a="1"/>
  <c r="Y330" i="1" s="1"/>
  <c r="Y333" i="1" a="1"/>
  <c r="Y333" i="1" s="1"/>
  <c r="Y329" i="1" a="1"/>
  <c r="Y329" i="1" s="1"/>
  <c r="Y2" i="1" a="1"/>
  <c r="Y2" i="1" s="1"/>
  <c r="Y17" i="1" a="1"/>
  <c r="Y17" i="1" s="1"/>
  <c r="Y37" i="1" a="1"/>
  <c r="Y37" i="1" s="1"/>
  <c r="Y110" i="1" a="1"/>
  <c r="Y110" i="1" s="1"/>
  <c r="Y34" i="1" a="1"/>
  <c r="Y34" i="1" s="1"/>
  <c r="Y38" i="1" a="1"/>
  <c r="Y38" i="1" s="1"/>
  <c r="Y25" i="1" a="1"/>
  <c r="Y25" i="1" s="1"/>
  <c r="Y16" i="1" a="1"/>
  <c r="Y16" i="1" s="1"/>
  <c r="Y43" i="1" a="1"/>
  <c r="Y43" i="1" s="1"/>
  <c r="Y124" i="1" a="1"/>
  <c r="Y124" i="1" s="1"/>
  <c r="Y123" i="1" a="1"/>
  <c r="Y123" i="1" s="1"/>
  <c r="Y142" i="1" a="1"/>
  <c r="Y142" i="1" s="1"/>
  <c r="Y87" i="1" a="1"/>
  <c r="Y87" i="1" s="1"/>
  <c r="Y145" i="1" a="1"/>
  <c r="Y145" i="1" s="1"/>
  <c r="Y52" i="1" a="1"/>
  <c r="Y52" i="1" s="1"/>
  <c r="Y31" i="1" a="1"/>
  <c r="Y31" i="1" s="1"/>
  <c r="Y92" i="1" a="1"/>
  <c r="Y92" i="1" s="1"/>
  <c r="Y113" i="1" a="1"/>
  <c r="Y113" i="1" s="1"/>
  <c r="Y40" i="1" a="1"/>
  <c r="Y40" i="1" s="1"/>
  <c r="Y67" i="1" a="1"/>
  <c r="Y67" i="1" s="1"/>
  <c r="Y58" i="1" a="1"/>
  <c r="Y58" i="1" s="1"/>
  <c r="Y132" i="1" a="1"/>
  <c r="Y132" i="1" s="1"/>
  <c r="Y93" i="1" a="1"/>
  <c r="Y93" i="1" s="1"/>
  <c r="Y96" i="1" a="1"/>
  <c r="Y96" i="1" s="1"/>
  <c r="Y117" i="1" a="1"/>
  <c r="Y117" i="1" s="1"/>
  <c r="Y60" i="1" a="1"/>
  <c r="Y60" i="1" s="1"/>
  <c r="Y98" i="1" a="1"/>
  <c r="Y98" i="1" s="1"/>
  <c r="Y97" i="1" a="1"/>
  <c r="Y97" i="1" s="1"/>
  <c r="Y100" i="1" a="1"/>
  <c r="Y100" i="1" s="1"/>
  <c r="Y137" i="1" a="1"/>
  <c r="Y137" i="1" s="1"/>
  <c r="Y202" i="1" a="1"/>
  <c r="Y202" i="1" s="1"/>
  <c r="Y250" i="1" a="1"/>
  <c r="Y250" i="1" s="1"/>
  <c r="Y283" i="1" a="1"/>
  <c r="Y283" i="1" s="1"/>
  <c r="Y221" i="1" a="1"/>
  <c r="Y221" i="1" s="1"/>
  <c r="Y211" i="1" a="1"/>
  <c r="Y211" i="1" s="1"/>
  <c r="Y254" i="1" a="1"/>
  <c r="Y254" i="1" s="1"/>
  <c r="Y176" i="1" a="1"/>
  <c r="Y176" i="1" s="1"/>
  <c r="Y192" i="1" a="1"/>
  <c r="Y192" i="1" s="1"/>
  <c r="Y209" i="1" a="1"/>
  <c r="Y209" i="1" s="1"/>
  <c r="Y271" i="1" a="1"/>
  <c r="Y271" i="1" s="1"/>
  <c r="Y248" i="1" a="1"/>
  <c r="Y248" i="1" s="1"/>
  <c r="Y278" i="1" a="1"/>
  <c r="Y278" i="1" s="1"/>
  <c r="Y147" i="1" a="1"/>
  <c r="Y147" i="1" s="1"/>
  <c r="Y187" i="1" a="1"/>
  <c r="Y187" i="1" s="1"/>
  <c r="Y189" i="1" a="1"/>
  <c r="Y189" i="1" s="1"/>
  <c r="Y196" i="1" a="1"/>
  <c r="Y196" i="1" s="1"/>
  <c r="Y210" i="1" a="1"/>
  <c r="Y210" i="1" s="1"/>
  <c r="Y216" i="1" a="1"/>
  <c r="Y216" i="1" s="1"/>
  <c r="Y273" i="1" a="1"/>
  <c r="Y273" i="1" s="1"/>
  <c r="Y285" i="1" a="1"/>
  <c r="Y285" i="1" s="1"/>
  <c r="Y300" i="1" a="1"/>
  <c r="Y300" i="1" s="1"/>
  <c r="Y294" i="1" a="1"/>
  <c r="Y294" i="1" s="1"/>
  <c r="Y291" i="1" a="1"/>
  <c r="Y291" i="1" s="1"/>
  <c r="Y298" i="1" a="1"/>
  <c r="Y298" i="1" s="1"/>
  <c r="Y304" i="1" a="1"/>
  <c r="Y304" i="1" s="1"/>
  <c r="Y295" i="1" a="1"/>
  <c r="Y295" i="1" s="1"/>
  <c r="Y289" i="1" a="1"/>
  <c r="Y289" i="1" s="1"/>
  <c r="Y299" i="1" a="1"/>
  <c r="Y299" i="1" s="1"/>
  <c r="Y293" i="1" a="1"/>
  <c r="Y293" i="1" s="1"/>
  <c r="Y334" i="1" a="1"/>
  <c r="Y334" i="1" s="1"/>
  <c r="Z332" i="1"/>
  <c r="V331" i="1"/>
  <c r="V333" i="1"/>
  <c r="V329" i="1"/>
  <c r="X332" i="1"/>
  <c r="X333" i="1"/>
  <c r="V332" i="1"/>
  <c r="Y336" i="1"/>
  <c r="AB336" i="1"/>
  <c r="Y332" i="1"/>
  <c r="AB332" i="1"/>
  <c r="X330" i="1"/>
  <c r="X331" i="1"/>
  <c r="Z336" i="1"/>
  <c r="V330" i="1"/>
  <c r="V335" i="1"/>
  <c r="X334" i="1"/>
  <c r="X335" i="1"/>
  <c r="V336" i="1"/>
  <c r="V334" i="1"/>
  <c r="Z335" i="1"/>
  <c r="Y335" i="1"/>
  <c r="X329" i="1"/>
  <c r="X336" i="1"/>
  <c r="Y5" i="1"/>
  <c r="Y246" i="1"/>
  <c r="Y73" i="1"/>
  <c r="Y242" i="1"/>
  <c r="Y4" i="1"/>
  <c r="Z13" i="1"/>
  <c r="Z73" i="1"/>
  <c r="Z253" i="1"/>
  <c r="Z106" i="1"/>
  <c r="Y165" i="1"/>
  <c r="Z185" i="1"/>
  <c r="Z245" i="1"/>
  <c r="Z326" i="1"/>
  <c r="Z107" i="1"/>
  <c r="Z91" i="1"/>
  <c r="Z178" i="1"/>
  <c r="V107" i="1"/>
  <c r="V270" i="1"/>
  <c r="V13" i="1"/>
  <c r="V46" i="1"/>
  <c r="Y91" i="1"/>
  <c r="Y186" i="1"/>
  <c r="Y185" i="1"/>
  <c r="AB247" i="1"/>
  <c r="AB177" i="1"/>
  <c r="AB174" i="1"/>
  <c r="AB91" i="1"/>
  <c r="AB85" i="1"/>
  <c r="Z323" i="1"/>
  <c r="Y72" i="1"/>
  <c r="Y164" i="1"/>
  <c r="Z243" i="1"/>
  <c r="Y12" i="1"/>
  <c r="Z246" i="1"/>
  <c r="Y174" i="1"/>
  <c r="Z108" i="1"/>
  <c r="Z252" i="1"/>
  <c r="Z170" i="1"/>
  <c r="Z319" i="1"/>
  <c r="Y166" i="1"/>
  <c r="Z325" i="1"/>
  <c r="Z270" i="1"/>
  <c r="V2" i="1"/>
  <c r="V84" i="1"/>
  <c r="V112" i="1"/>
  <c r="Y268" i="1"/>
  <c r="Y90" i="1"/>
  <c r="Y252" i="1"/>
  <c r="Y328" i="1"/>
  <c r="AB178" i="1"/>
  <c r="Y323" i="1"/>
  <c r="Z247" i="1"/>
  <c r="Y320" i="1"/>
  <c r="Z164" i="1"/>
  <c r="Z5" i="1"/>
  <c r="Z174" i="1"/>
  <c r="Z4" i="1"/>
  <c r="Y13" i="1"/>
  <c r="Y247" i="1"/>
  <c r="Z166" i="1"/>
  <c r="Z186" i="1"/>
  <c r="Z165" i="1"/>
  <c r="Y319" i="1"/>
  <c r="V6" i="1"/>
  <c r="V111" i="1"/>
  <c r="V26" i="1"/>
  <c r="Y177" i="1"/>
  <c r="Y178" i="1"/>
  <c r="Y327" i="1"/>
  <c r="AB253" i="1"/>
  <c r="AB170" i="1"/>
  <c r="AB4" i="1"/>
  <c r="Z242" i="1"/>
  <c r="Y326" i="1"/>
  <c r="Y324" i="1"/>
  <c r="Z321" i="1"/>
  <c r="Z324" i="1"/>
  <c r="Z12" i="1"/>
  <c r="Y321" i="1"/>
  <c r="Y243" i="1"/>
  <c r="Z72" i="1"/>
  <c r="Z320" i="1"/>
  <c r="Z269" i="1"/>
  <c r="Z268" i="1"/>
  <c r="Y106" i="1"/>
  <c r="Y108" i="1"/>
  <c r="Y107" i="1"/>
  <c r="Z90" i="1"/>
  <c r="Z177" i="1"/>
  <c r="Y325" i="1"/>
  <c r="Z327" i="1"/>
  <c r="Z244" i="1"/>
  <c r="Z328" i="1"/>
  <c r="V265" i="1"/>
  <c r="V269" i="1"/>
  <c r="V8" i="1"/>
  <c r="Y270" i="1"/>
  <c r="Y269" i="1"/>
  <c r="Y170" i="1"/>
  <c r="Y245" i="1"/>
  <c r="Y244" i="1"/>
  <c r="Y253" i="1"/>
  <c r="AB5" i="1"/>
  <c r="Y181" i="1"/>
  <c r="Z314" i="1"/>
  <c r="Y314" i="1"/>
  <c r="Y83" i="1"/>
  <c r="Y81" i="1"/>
  <c r="Z75" i="1"/>
  <c r="Y159" i="1"/>
  <c r="Z239" i="1"/>
  <c r="Z15" i="1"/>
  <c r="Y85" i="1"/>
  <c r="Z309" i="1"/>
  <c r="Z232" i="1"/>
  <c r="Y74" i="1"/>
  <c r="Z236" i="1"/>
  <c r="Y78" i="1"/>
  <c r="Y158" i="1"/>
  <c r="Z230" i="1"/>
  <c r="Z157" i="1"/>
  <c r="Z77" i="1"/>
  <c r="Z315" i="1"/>
  <c r="Z159" i="1"/>
  <c r="Z181" i="1"/>
  <c r="Y160" i="1"/>
  <c r="Y318" i="1"/>
  <c r="Z158" i="1"/>
  <c r="Z313" i="1"/>
  <c r="Y232" i="1"/>
  <c r="Y316" i="1"/>
  <c r="Z84" i="1"/>
  <c r="Y167" i="1"/>
  <c r="Z259" i="1"/>
  <c r="Y313" i="1"/>
  <c r="Y105" i="1"/>
  <c r="Z240" i="1"/>
  <c r="Z104" i="1"/>
  <c r="Y235" i="1"/>
  <c r="Z258" i="1"/>
  <c r="Z231" i="1"/>
  <c r="Z238" i="1"/>
  <c r="Z79" i="1"/>
  <c r="Y237" i="1"/>
  <c r="Z7" i="1"/>
  <c r="Z162" i="1"/>
  <c r="Y322" i="1"/>
  <c r="Z6" i="1"/>
  <c r="Z76" i="1"/>
  <c r="Z160" i="1"/>
  <c r="Y156" i="1"/>
  <c r="Z78" i="1"/>
  <c r="Y173" i="1"/>
  <c r="Y317" i="1"/>
  <c r="Z180" i="1"/>
  <c r="Z311" i="1"/>
  <c r="Z80" i="1"/>
  <c r="Y163" i="1"/>
  <c r="Y239" i="1"/>
  <c r="Z14" i="1"/>
  <c r="Z86" i="1"/>
  <c r="Y80" i="1"/>
  <c r="Y240" i="1"/>
  <c r="Z103" i="1"/>
  <c r="Z237" i="1"/>
  <c r="Y104" i="1"/>
  <c r="Z316" i="1"/>
  <c r="Y84" i="1"/>
  <c r="Y233" i="1"/>
  <c r="Z155" i="1"/>
  <c r="Y230" i="1"/>
  <c r="Y157" i="1"/>
  <c r="Y315" i="1"/>
  <c r="Z241" i="1"/>
  <c r="Y241" i="1"/>
  <c r="Z310" i="1"/>
  <c r="Z312" i="1"/>
  <c r="Z317" i="1"/>
  <c r="Z260" i="1"/>
  <c r="Y75" i="1"/>
  <c r="Z229" i="1"/>
  <c r="Y79" i="1"/>
  <c r="Y236" i="1"/>
  <c r="Z82" i="1"/>
  <c r="Z318" i="1"/>
  <c r="Z161" i="1"/>
  <c r="Z105" i="1"/>
  <c r="Y238" i="1"/>
  <c r="Y161" i="1"/>
  <c r="Y229" i="1"/>
  <c r="Z81" i="1"/>
  <c r="Z156" i="1"/>
  <c r="Y76" i="1"/>
  <c r="Y155" i="1"/>
  <c r="Y82" i="1"/>
  <c r="Z74" i="1"/>
  <c r="Z173" i="1"/>
  <c r="Y77" i="1"/>
  <c r="Z233" i="1"/>
  <c r="Z83" i="1"/>
  <c r="Y231" i="1"/>
  <c r="Z163" i="1"/>
  <c r="Z167" i="1"/>
  <c r="Z154" i="1"/>
  <c r="Z234" i="1"/>
  <c r="Z235" i="1"/>
  <c r="Z172" i="1"/>
  <c r="Y234" i="1"/>
  <c r="Z322" i="1"/>
  <c r="Y162" i="1"/>
  <c r="Z85" i="1"/>
  <c r="X17" i="1"/>
  <c r="X46" i="1"/>
  <c r="V33" i="1"/>
  <c r="X41" i="1"/>
  <c r="V5" i="1"/>
  <c r="V4" i="1"/>
  <c r="X85" i="1"/>
  <c r="X42" i="1"/>
  <c r="V34" i="1"/>
  <c r="V53" i="1"/>
  <c r="X61" i="1"/>
  <c r="X324" i="1"/>
  <c r="X266" i="1"/>
  <c r="V242" i="1"/>
  <c r="X30" i="1"/>
  <c r="V41" i="1"/>
  <c r="X49" i="1"/>
  <c r="Y6" i="1"/>
  <c r="X2" i="1"/>
  <c r="V110" i="1"/>
  <c r="V9" i="1"/>
  <c r="V38" i="1"/>
  <c r="Y15" i="1"/>
  <c r="V61" i="1"/>
  <c r="V20" i="1"/>
  <c r="X28" i="1"/>
  <c r="V47" i="1"/>
  <c r="X55" i="1"/>
  <c r="Y86" i="1"/>
  <c r="V106" i="1"/>
  <c r="X120" i="1"/>
  <c r="X79" i="1"/>
  <c r="V143" i="1"/>
  <c r="V92" i="1"/>
  <c r="X100" i="1"/>
  <c r="Y103" i="1"/>
  <c r="V129" i="1"/>
  <c r="X137" i="1"/>
  <c r="V24" i="1"/>
  <c r="X32" i="1"/>
  <c r="V19" i="1"/>
  <c r="X27" i="1"/>
  <c r="V132" i="1"/>
  <c r="X323" i="1"/>
  <c r="Y14" i="1"/>
  <c r="X25" i="1"/>
  <c r="X84" i="1"/>
  <c r="V268" i="1"/>
  <c r="V324" i="1"/>
  <c r="X243" i="1"/>
  <c r="V167" i="1"/>
  <c r="X9" i="1"/>
  <c r="X18" i="1"/>
  <c r="V17" i="1"/>
  <c r="V37" i="1"/>
  <c r="X45" i="1"/>
  <c r="Y7" i="1"/>
  <c r="V165" i="1"/>
  <c r="X109" i="1"/>
  <c r="V18" i="1"/>
  <c r="X50" i="1"/>
  <c r="V25" i="1"/>
  <c r="X33" i="1"/>
  <c r="X3" i="1"/>
  <c r="V266" i="1"/>
  <c r="V325" i="1"/>
  <c r="V267" i="1"/>
  <c r="V323" i="1"/>
  <c r="X165" i="1"/>
  <c r="X12" i="1"/>
  <c r="V50" i="1"/>
  <c r="V45" i="1"/>
  <c r="X53" i="1"/>
  <c r="V65" i="1"/>
  <c r="X73" i="1"/>
  <c r="V68" i="1"/>
  <c r="X76" i="1"/>
  <c r="V31" i="1"/>
  <c r="X39" i="1"/>
  <c r="V70" i="1"/>
  <c r="V90" i="1"/>
  <c r="X98" i="1"/>
  <c r="V127" i="1"/>
  <c r="X135" i="1"/>
  <c r="V113" i="1"/>
  <c r="X121" i="1"/>
  <c r="V173" i="1"/>
  <c r="V69" i="1"/>
  <c r="X16" i="1"/>
  <c r="V72" i="1"/>
  <c r="V67" i="1"/>
  <c r="X75" i="1"/>
  <c r="V116" i="1"/>
  <c r="X6" i="1"/>
  <c r="X325" i="1"/>
  <c r="X107" i="1"/>
  <c r="X14" i="1"/>
  <c r="X34" i="1"/>
  <c r="V3" i="1"/>
  <c r="X270" i="1"/>
  <c r="X267" i="1"/>
  <c r="X110" i="1"/>
  <c r="V22" i="1"/>
  <c r="X10" i="1"/>
  <c r="V11" i="1"/>
  <c r="X22" i="1"/>
  <c r="V21" i="1"/>
  <c r="X29" i="1"/>
  <c r="X7" i="1"/>
  <c r="V166" i="1"/>
  <c r="X112" i="1"/>
  <c r="X13" i="1"/>
  <c r="V10" i="1"/>
  <c r="V42" i="1"/>
  <c r="V7" i="1"/>
  <c r="V243" i="1"/>
  <c r="X108" i="1"/>
  <c r="X26" i="1"/>
  <c r="X11" i="1"/>
  <c r="V29" i="1"/>
  <c r="X37" i="1"/>
  <c r="V52" i="1"/>
  <c r="X60" i="1"/>
  <c r="V15" i="1"/>
  <c r="X23" i="1"/>
  <c r="V54" i="1"/>
  <c r="X62" i="1"/>
  <c r="X80" i="1"/>
  <c r="V144" i="1"/>
  <c r="V105" i="1"/>
  <c r="X119" i="1"/>
  <c r="V82" i="1"/>
  <c r="V130" i="1"/>
  <c r="X138" i="1"/>
  <c r="V91" i="1"/>
  <c r="X99" i="1"/>
  <c r="V154" i="1"/>
  <c r="X162" i="1"/>
  <c r="V177" i="1"/>
  <c r="V168" i="1"/>
  <c r="V56" i="1"/>
  <c r="X64" i="1"/>
  <c r="V51" i="1"/>
  <c r="X59" i="1"/>
  <c r="V74" i="1"/>
  <c r="V94" i="1"/>
  <c r="X102" i="1"/>
  <c r="X4" i="1"/>
  <c r="X265" i="1"/>
  <c r="X8" i="1"/>
  <c r="X15" i="1"/>
  <c r="V49" i="1"/>
  <c r="X57" i="1"/>
  <c r="X268" i="1"/>
  <c r="X242" i="1"/>
  <c r="X167" i="1"/>
  <c r="V14" i="1"/>
  <c r="V12" i="1"/>
  <c r="X5" i="1"/>
  <c r="V109" i="1"/>
  <c r="V108" i="1"/>
  <c r="V30" i="1"/>
  <c r="V57" i="1"/>
  <c r="X269" i="1"/>
  <c r="X166" i="1"/>
  <c r="V85" i="1"/>
  <c r="X111" i="1"/>
  <c r="X38" i="1"/>
  <c r="X21" i="1"/>
  <c r="V36" i="1"/>
  <c r="X44" i="1"/>
  <c r="V63" i="1"/>
  <c r="X71" i="1"/>
  <c r="V128" i="1"/>
  <c r="X136" i="1"/>
  <c r="V89" i="1"/>
  <c r="X97" i="1"/>
  <c r="V88" i="1"/>
  <c r="V114" i="1"/>
  <c r="X122" i="1"/>
  <c r="X81" i="1"/>
  <c r="V149" i="1"/>
  <c r="X157" i="1"/>
  <c r="V40" i="1"/>
  <c r="X48" i="1"/>
  <c r="V35" i="1"/>
  <c r="X43" i="1"/>
  <c r="V58" i="1"/>
  <c r="X66" i="1"/>
  <c r="X86" i="1"/>
  <c r="X140" i="1"/>
  <c r="V131" i="1"/>
  <c r="X139" i="1"/>
  <c r="V134" i="1"/>
  <c r="X142" i="1"/>
  <c r="V117" i="1"/>
  <c r="X125" i="1"/>
  <c r="V28" i="1"/>
  <c r="X36" i="1"/>
  <c r="V23" i="1"/>
  <c r="X31" i="1"/>
  <c r="X54" i="1"/>
  <c r="V120" i="1"/>
  <c r="X128" i="1"/>
  <c r="V79" i="1"/>
  <c r="X89" i="1"/>
  <c r="V100" i="1"/>
  <c r="X114" i="1"/>
  <c r="V137" i="1"/>
  <c r="V146" i="1"/>
  <c r="X154" i="1"/>
  <c r="X149" i="1"/>
  <c r="X69" i="1"/>
  <c r="V64" i="1"/>
  <c r="X72" i="1"/>
  <c r="V27" i="1"/>
  <c r="X35" i="1"/>
  <c r="X58" i="1"/>
  <c r="V140" i="1"/>
  <c r="V101" i="1"/>
  <c r="X115" i="1"/>
  <c r="V104" i="1"/>
  <c r="X118" i="1"/>
  <c r="X77" i="1"/>
  <c r="V141" i="1"/>
  <c r="V164" i="1"/>
  <c r="V174" i="1"/>
  <c r="V206" i="1"/>
  <c r="V197" i="1"/>
  <c r="X205" i="1"/>
  <c r="X210" i="1"/>
  <c r="V224" i="1"/>
  <c r="X232" i="1"/>
  <c r="V261" i="1"/>
  <c r="X275" i="1"/>
  <c r="V260" i="1"/>
  <c r="X274" i="1"/>
  <c r="V259" i="1"/>
  <c r="X273" i="1"/>
  <c r="X300" i="1"/>
  <c r="X282" i="1"/>
  <c r="V176" i="1"/>
  <c r="V175" i="1"/>
  <c r="V159" i="1"/>
  <c r="X170" i="1"/>
  <c r="V183" i="1"/>
  <c r="X191" i="1"/>
  <c r="V178" i="1"/>
  <c r="X186" i="1"/>
  <c r="V185" i="1"/>
  <c r="X193" i="1"/>
  <c r="V225" i="1"/>
  <c r="X233" i="1"/>
  <c r="V249" i="1"/>
  <c r="X257" i="1"/>
  <c r="V248" i="1"/>
  <c r="X256" i="1"/>
  <c r="V247" i="1"/>
  <c r="X255" i="1"/>
  <c r="X283" i="1"/>
  <c r="V278" i="1"/>
  <c r="X286" i="1"/>
  <c r="V156" i="1"/>
  <c r="X164" i="1"/>
  <c r="V163" i="1"/>
  <c r="X174" i="1"/>
  <c r="V182" i="1"/>
  <c r="X190" i="1"/>
  <c r="V205" i="1"/>
  <c r="V210" i="1"/>
  <c r="X218" i="1"/>
  <c r="V232" i="1"/>
  <c r="V219" i="1"/>
  <c r="X227" i="1"/>
  <c r="V262" i="1"/>
  <c r="V279" i="1"/>
  <c r="X287" i="1"/>
  <c r="X172" i="1"/>
  <c r="X175" i="1"/>
  <c r="V151" i="1"/>
  <c r="X159" i="1"/>
  <c r="V207" i="1"/>
  <c r="V193" i="1"/>
  <c r="X201" i="1"/>
  <c r="Y180" i="1"/>
  <c r="V200" i="1"/>
  <c r="X208" i="1"/>
  <c r="V233" i="1"/>
  <c r="X212" i="1"/>
  <c r="V257" i="1"/>
  <c r="X271" i="1"/>
  <c r="X247" i="1"/>
  <c r="V250" i="1"/>
  <c r="X258" i="1"/>
  <c r="X278" i="1"/>
  <c r="X288" i="1"/>
  <c r="X290" i="1"/>
  <c r="V310" i="1"/>
  <c r="V326" i="1"/>
  <c r="V277" i="1"/>
  <c r="X285" i="1"/>
  <c r="V280" i="1"/>
  <c r="X294" i="1"/>
  <c r="V289" i="1"/>
  <c r="X297" i="1"/>
  <c r="Y310" i="1"/>
  <c r="V317" i="1"/>
  <c r="X328" i="1"/>
  <c r="V284" i="1"/>
  <c r="V293" i="1"/>
  <c r="X304" i="1"/>
  <c r="V327" i="1"/>
  <c r="V285" i="1"/>
  <c r="X289" i="1"/>
  <c r="X312" i="1"/>
  <c r="V328" i="1"/>
  <c r="X320" i="1"/>
  <c r="X124" i="1"/>
  <c r="V115" i="1"/>
  <c r="X123" i="1"/>
  <c r="V118" i="1"/>
  <c r="X126" i="1"/>
  <c r="V95" i="1"/>
  <c r="X103" i="1"/>
  <c r="Y154" i="1"/>
  <c r="V73" i="1"/>
  <c r="X20" i="1"/>
  <c r="V76" i="1"/>
  <c r="V71" i="1"/>
  <c r="V98" i="1"/>
  <c r="X106" i="1"/>
  <c r="V135" i="1"/>
  <c r="X143" i="1"/>
  <c r="X82" i="1"/>
  <c r="X92" i="1"/>
  <c r="V121" i="1"/>
  <c r="X129" i="1"/>
  <c r="X177" i="1"/>
  <c r="V48" i="1"/>
  <c r="X56" i="1"/>
  <c r="X19" i="1"/>
  <c r="V75" i="1"/>
  <c r="V124" i="1"/>
  <c r="X132" i="1"/>
  <c r="V83" i="1"/>
  <c r="X93" i="1"/>
  <c r="V78" i="1"/>
  <c r="X96" i="1"/>
  <c r="V125" i="1"/>
  <c r="X133" i="1"/>
  <c r="V169" i="1"/>
  <c r="V161" i="1"/>
  <c r="V148" i="1"/>
  <c r="X156" i="1"/>
  <c r="V171" i="1"/>
  <c r="V155" i="1"/>
  <c r="X163" i="1"/>
  <c r="V195" i="1"/>
  <c r="X203" i="1"/>
  <c r="V190" i="1"/>
  <c r="X198" i="1"/>
  <c r="V181" i="1"/>
  <c r="X189" i="1"/>
  <c r="V204" i="1"/>
  <c r="V237" i="1"/>
  <c r="X216" i="1"/>
  <c r="V245" i="1"/>
  <c r="X253" i="1"/>
  <c r="V244" i="1"/>
  <c r="X252" i="1"/>
  <c r="V241" i="1"/>
  <c r="X251" i="1"/>
  <c r="X151" i="1"/>
  <c r="V192" i="1"/>
  <c r="X200" i="1"/>
  <c r="V209" i="1"/>
  <c r="X217" i="1"/>
  <c r="V231" i="1"/>
  <c r="X239" i="1"/>
  <c r="X246" i="1"/>
  <c r="Y172" i="1"/>
  <c r="X148" i="1"/>
  <c r="V147" i="1"/>
  <c r="X155" i="1"/>
  <c r="V203" i="1"/>
  <c r="V189" i="1"/>
  <c r="X197" i="1"/>
  <c r="V196" i="1"/>
  <c r="X204" i="1"/>
  <c r="V216" i="1"/>
  <c r="X224" i="1"/>
  <c r="X211" i="1"/>
  <c r="V275" i="1"/>
  <c r="V274" i="1"/>
  <c r="V273" i="1"/>
  <c r="X254" i="1"/>
  <c r="V282" i="1"/>
  <c r="V191" i="1"/>
  <c r="X199" i="1"/>
  <c r="X185" i="1"/>
  <c r="V184" i="1"/>
  <c r="X192" i="1"/>
  <c r="V230" i="1"/>
  <c r="X238" i="1"/>
  <c r="V217" i="1"/>
  <c r="X225" i="1"/>
  <c r="V239" i="1"/>
  <c r="X249" i="1"/>
  <c r="X281" i="1"/>
  <c r="V291" i="1"/>
  <c r="X299" i="1"/>
  <c r="X293" i="1"/>
  <c r="V305" i="1"/>
  <c r="V307" i="1"/>
  <c r="X302" i="1"/>
  <c r="X315" i="1"/>
  <c r="V295" i="1"/>
  <c r="V314" i="1"/>
  <c r="Y312" i="1"/>
  <c r="X276" i="1"/>
  <c r="V299" i="1"/>
  <c r="Y309" i="1"/>
  <c r="Y311" i="1"/>
  <c r="V318" i="1"/>
  <c r="V321" i="1"/>
  <c r="X316" i="1"/>
  <c r="V315" i="1"/>
  <c r="X326" i="1"/>
  <c r="X277" i="1"/>
  <c r="X280" i="1"/>
  <c r="X309" i="1"/>
  <c r="X318" i="1"/>
  <c r="V306" i="1"/>
  <c r="X317" i="1"/>
  <c r="V319" i="1"/>
  <c r="AB167" i="1"/>
  <c r="V93" i="1"/>
  <c r="X101" i="1"/>
  <c r="V96" i="1"/>
  <c r="X104" i="1"/>
  <c r="V77" i="1"/>
  <c r="X87" i="1"/>
  <c r="V158" i="1"/>
  <c r="X169" i="1"/>
  <c r="V153" i="1"/>
  <c r="X161" i="1"/>
  <c r="X65" i="1"/>
  <c r="V60" i="1"/>
  <c r="X68" i="1"/>
  <c r="V55" i="1"/>
  <c r="X63" i="1"/>
  <c r="V80" i="1"/>
  <c r="X90" i="1"/>
  <c r="V119" i="1"/>
  <c r="X127" i="1"/>
  <c r="V138" i="1"/>
  <c r="V99" i="1"/>
  <c r="X113" i="1"/>
  <c r="V32" i="1"/>
  <c r="X40" i="1"/>
  <c r="V59" i="1"/>
  <c r="X67" i="1"/>
  <c r="V102" i="1"/>
  <c r="X116" i="1"/>
  <c r="V139" i="1"/>
  <c r="V142" i="1"/>
  <c r="V103" i="1"/>
  <c r="X117" i="1"/>
  <c r="V150" i="1"/>
  <c r="X158" i="1"/>
  <c r="V145" i="1"/>
  <c r="X153" i="1"/>
  <c r="X147" i="1"/>
  <c r="V179" i="1"/>
  <c r="X187" i="1"/>
  <c r="X182" i="1"/>
  <c r="V188" i="1"/>
  <c r="X196" i="1"/>
  <c r="V234" i="1"/>
  <c r="V221" i="1"/>
  <c r="X229" i="1"/>
  <c r="V227" i="1"/>
  <c r="X235" i="1"/>
  <c r="V287" i="1"/>
  <c r="X184" i="1"/>
  <c r="V222" i="1"/>
  <c r="X230" i="1"/>
  <c r="V228" i="1"/>
  <c r="X236" i="1"/>
  <c r="V215" i="1"/>
  <c r="X223" i="1"/>
  <c r="Y260" i="1"/>
  <c r="Y259" i="1"/>
  <c r="V258" i="1"/>
  <c r="X272" i="1"/>
  <c r="X171" i="1"/>
  <c r="V187" i="1"/>
  <c r="X195" i="1"/>
  <c r="X181" i="1"/>
  <c r="V180" i="1"/>
  <c r="X188" i="1"/>
  <c r="V229" i="1"/>
  <c r="X237" i="1"/>
  <c r="V253" i="1"/>
  <c r="X261" i="1"/>
  <c r="V252" i="1"/>
  <c r="X260" i="1"/>
  <c r="V251" i="1"/>
  <c r="X259" i="1"/>
  <c r="X176" i="1"/>
  <c r="V160" i="1"/>
  <c r="X183" i="1"/>
  <c r="V202" i="1"/>
  <c r="V214" i="1"/>
  <c r="X222" i="1"/>
  <c r="X209" i="1"/>
  <c r="V236" i="1"/>
  <c r="V223" i="1"/>
  <c r="X231" i="1"/>
  <c r="V256" i="1"/>
  <c r="X264" i="1"/>
  <c r="V240" i="1"/>
  <c r="X301" i="1"/>
  <c r="V301" i="1"/>
  <c r="X322" i="1"/>
  <c r="V316" i="1"/>
  <c r="X327" i="1"/>
  <c r="V288" i="1"/>
  <c r="V308" i="1"/>
  <c r="X303" i="1"/>
  <c r="X306" i="1"/>
  <c r="V311" i="1"/>
  <c r="X319" i="1"/>
  <c r="X291" i="1"/>
  <c r="X305" i="1"/>
  <c r="V309" i="1"/>
  <c r="X314" i="1"/>
  <c r="X313" i="1"/>
  <c r="X292" i="1"/>
  <c r="X295" i="1"/>
  <c r="V300" i="1"/>
  <c r="X308" i="1"/>
  <c r="V303" i="1"/>
  <c r="X311" i="1"/>
  <c r="AB241" i="1"/>
  <c r="AB173" i="1"/>
  <c r="AB7" i="1"/>
  <c r="AB6" i="1"/>
  <c r="X146" i="1"/>
  <c r="X83" i="1"/>
  <c r="X78" i="1"/>
  <c r="V133" i="1"/>
  <c r="X141" i="1"/>
  <c r="X150" i="1"/>
  <c r="X145" i="1"/>
  <c r="V44" i="1"/>
  <c r="X52" i="1"/>
  <c r="V39" i="1"/>
  <c r="X47" i="1"/>
  <c r="V62" i="1"/>
  <c r="X70" i="1"/>
  <c r="V136" i="1"/>
  <c r="X144" i="1"/>
  <c r="V97" i="1"/>
  <c r="X105" i="1"/>
  <c r="X88" i="1"/>
  <c r="V122" i="1"/>
  <c r="X130" i="1"/>
  <c r="V81" i="1"/>
  <c r="X91" i="1"/>
  <c r="V162" i="1"/>
  <c r="X173" i="1"/>
  <c r="V157" i="1"/>
  <c r="X168" i="1"/>
  <c r="V16" i="1"/>
  <c r="X24" i="1"/>
  <c r="V43" i="1"/>
  <c r="X51" i="1"/>
  <c r="V66" i="1"/>
  <c r="X74" i="1"/>
  <c r="V86" i="1"/>
  <c r="X94" i="1"/>
  <c r="V123" i="1"/>
  <c r="X131" i="1"/>
  <c r="V126" i="1"/>
  <c r="X134" i="1"/>
  <c r="V87" i="1"/>
  <c r="X95" i="1"/>
  <c r="X180" i="1"/>
  <c r="V218" i="1"/>
  <c r="X226" i="1"/>
  <c r="X213" i="1"/>
  <c r="V211" i="1"/>
  <c r="X219" i="1"/>
  <c r="V254" i="1"/>
  <c r="X262" i="1"/>
  <c r="X279" i="1"/>
  <c r="V292" i="1"/>
  <c r="V172" i="1"/>
  <c r="V152" i="1"/>
  <c r="X160" i="1"/>
  <c r="V199" i="1"/>
  <c r="X207" i="1"/>
  <c r="V194" i="1"/>
  <c r="X202" i="1"/>
  <c r="V201" i="1"/>
  <c r="X214" i="1"/>
  <c r="V212" i="1"/>
  <c r="X220" i="1"/>
  <c r="V271" i="1"/>
  <c r="V264" i="1"/>
  <c r="V263" i="1"/>
  <c r="X240" i="1"/>
  <c r="X250" i="1"/>
  <c r="X179" i="1"/>
  <c r="V198" i="1"/>
  <c r="X206" i="1"/>
  <c r="V226" i="1"/>
  <c r="X234" i="1"/>
  <c r="V213" i="1"/>
  <c r="X221" i="1"/>
  <c r="V235" i="1"/>
  <c r="X245" i="1"/>
  <c r="X244" i="1"/>
  <c r="X241" i="1"/>
  <c r="Y258" i="1"/>
  <c r="X152" i="1"/>
  <c r="V170" i="1"/>
  <c r="X178" i="1"/>
  <c r="V186" i="1"/>
  <c r="X194" i="1"/>
  <c r="V208" i="1"/>
  <c r="V220" i="1"/>
  <c r="X228" i="1"/>
  <c r="X215" i="1"/>
  <c r="V238" i="1"/>
  <c r="X248" i="1"/>
  <c r="V255" i="1"/>
  <c r="X263" i="1"/>
  <c r="V246" i="1"/>
  <c r="V272" i="1"/>
  <c r="V283" i="1"/>
  <c r="V286" i="1"/>
  <c r="V276" i="1"/>
  <c r="X284" i="1"/>
  <c r="V298" i="1"/>
  <c r="V304" i="1"/>
  <c r="V312" i="1"/>
  <c r="V313" i="1"/>
  <c r="X321" i="1"/>
  <c r="X296" i="1"/>
  <c r="V320" i="1"/>
  <c r="V281" i="1"/>
  <c r="V296" i="1"/>
  <c r="V290" i="1"/>
  <c r="X298" i="1"/>
  <c r="X307" i="1"/>
  <c r="V302" i="1"/>
  <c r="X310" i="1"/>
  <c r="V294" i="1"/>
  <c r="V297" i="1"/>
  <c r="V322" i="1"/>
  <c r="AB322" i="1"/>
  <c r="AB86" i="1"/>
  <c r="AB17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<sst xmlns="http://schemas.openxmlformats.org/spreadsheetml/2006/main" count="15" uniqueCount="15">
  <si>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PV01</t>
  </si>
  <si>
    <t>Trd PV01</t>
  </si>
  <si>
    <t>Yield</t>
  </si>
  <si>
    <t>Chg Yld</t>
  </si>
  <si>
    <t>|10Y|</t>
  </si>
  <si>
    <t>Crv210</t>
  </si>
  <si>
    <t>Crv PnL</t>
  </si>
  <si>
    <t>RCPNL</t>
  </si>
  <si>
    <t>Core Trd PV01</t>
  </si>
  <si>
    <t>Open PnL</t>
  </si>
  <si>
    <t>BasisPnL</t>
  </si>
  <si>
    <t>Trade PnL</t>
  </si>
  <si>
    <t>Open PV01</t>
  </si>
  <si>
    <t>PNL</t>
  </si>
  <si>
    <t>CDT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</si>
</sst>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3" formatCode="_(* #,##0.00_);_(* \(#,##0.00\);_(* &quot;-&quot;??_);_(@_)"/>
    <numFmt numFmtId="164" formatCode="_(* #,##0_);_(* \(#,##0\);_(* &quot;-&quot;??_);_(@_)"/>
    <numFmt numFmtId="165" formatCode="0.000%"/>
    <numFmt numFmtId="166" formatCode="0.00000000"/>
    <numFmt numFmtId="167" formatCode="0.000000000"/>
    <numFmt numFmtId="168" formatCode="0.00000000%"/>
    <numFmt numFmtId="170" formatCode="_(* #,##0.000_);_(* \(#,##0.0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164" fontId="0" fillId="0" borderId="0" xfId="1" applyNumberFormat="1" applyFont="1"/>
    <xf numFmtId="0" fontId="3" fillId="0" borderId="0" xfId="0" applyFont="1"/>
    <xf numFmtId="6" fontId="0" fillId="0" borderId="0" xfId="0" applyNumberFormat="1"/>
    <xf numFmtId="168" fontId="0" fillId="0" borderId="0" xfId="2" applyNumberFormat="1" applyFont="1"/>
    <xf numFmtId="43" fontId="0" fillId="0" borderId="0" xfId="1" applyFont="1"/>
    <xf numFmtId="164" fontId="0" fillId="2" borderId="0" xfId="1" applyNumberFormat="1" applyFont="1" applyFill="1"/>
    <xf numFmtId="0" fontId="0" fillId="2" borderId="0" xfId="0" applyFill="1"/>
    <xf numFmtId="165" fontId="0" fillId="2" borderId="0" xfId="2" applyNumberFormat="1" applyFont="1" applyFill="1"/>
    <xf numFmtId="43" fontId="0" fillId="2" borderId="0" xfId="0" applyNumberFormat="1" applyFill="1"/>
    <xf numFmtId="0" fontId="3" fillId="2" borderId="0" xfId="0" applyFont="1" applyFill="1"/>
    <xf numFmtId="167" fontId="3" fillId="2" borderId="0" xfId="0" applyNumberFormat="1" applyFont="1" applyFill="1"/>
    <xf numFmtId="167" fontId="0" fillId="2" borderId="0" xfId="0" applyNumberFormat="1" applyFill="1"/>
    <xf numFmtId="166" fontId="0" fillId="2" borderId="0" xfId="0" applyNumberFormat="1" applyFill="1"/>
    <xf numFmtId="43" fontId="0" fillId="2" borderId="0" xfId="1" applyFont="1" applyFill="1"/>
    <xf numFmtId="164" fontId="0" fillId="2" borderId="0" xfId="0" applyNumberFormat="1" applyFill="1"/>
    <xf numFmtId="0" fontId="2" fillId="2" borderId="0" xfId="0" applyFont="1" applyFill="1"/>
    <xf numFmtId="6" fontId="0" fillId="2" borderId="0" xfId="0" applyNumberFormat="1" applyFill="1"/>
    <xf numFmtId="0" fontId="4" fillId="2" borderId="0" xfId="0" applyFont="1" applyFill="1"/>
    <xf numFmtId="0" fontId="0" fillId="3" borderId="0" xfId="0" applyFill="1"/>
    <xf numFmtId="170" fontId="0" fillId="2" borderId="0" xfId="1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395"/>
  <sheetViews>
    <sheetView tabSelected="1" topLeftCell="Z1" zoomScale="85" zoomScaleNormal="85" workbookViewId="0">
      <selection activeCell="AC2" sqref="AC2:AC336"/>
    </sheetView>
  </sheetViews>
  <sheetFormatPr defaultRowHeight="14.5" x14ac:dyDescent="0.35"/>
  <cols>
    <col min="1" max="1" width="18.7265625" customWidth="1"/>
    <col min="4" max="4" width="67.453125" customWidth="1"/>
    <col min="5" max="5" width="37.1796875" customWidth="1"/>
    <col min="6" max="6" width="14.54296875" bestFit="1" customWidth="1"/>
    <col min="8" max="8" width="12" bestFit="1" customWidth="1"/>
    <col min="9" max="9" width="13.7265625" bestFit="1" customWidth="1"/>
    <col min="10" max="10" width="12" bestFit="1" customWidth="1"/>
    <col min="11" max="11" width="12" customWidth="1"/>
    <col min="14" max="14" width="11.81640625" customWidth="1"/>
    <col min="15" max="15" width="17.81640625" style="1" bestFit="1" customWidth="1"/>
    <col min="16" max="16" width="18.7265625" style="1" bestFit="1" customWidth="1"/>
    <col min="17" max="17" width="10.81640625" style="1" bestFit="1" customWidth="1"/>
    <col min="18" max="18" width="9.453125" style="1" bestFit="1" customWidth="1"/>
    <col min="19" max="19" width="13.81640625" style="1" bestFit="1" customWidth="1"/>
    <col min="20" max="20" width="13" style="1" customWidth="1"/>
    <col min="21" max="21" width="8.26953125" bestFit="1" customWidth="1"/>
    <col min="22" max="22" width="12" bestFit="1" customWidth="1"/>
    <col min="23" max="23" width="10.81640625" style="1" bestFit="1" customWidth="1"/>
    <col min="24" max="24" width="11.453125" style="1" customWidth="1"/>
    <col min="25" max="25" width="16.26953125" style="1" bestFit="1" customWidth="1"/>
    <col min="26" max="26" width="18.54296875" style="1" bestFit="1" customWidth="1"/>
    <col min="27" max="27" width="18.54296875" customWidth="1"/>
    <col min="28" max="28" width="11.1796875" style="1" bestFit="1" customWidth="1"/>
    <col min="29" max="29" width="11.81640625" bestFit="1" customWidth="1"/>
    <col min="30" max="30" width="25.26953125" bestFit="1" customWidth="1"/>
    <col min="31" max="31" width="10.26953125" bestFit="1" customWidth="1"/>
    <col min="32" max="32" width="15.54296875" bestFit="1" customWidth="1"/>
    <col min="33" max="33" width="15.7265625" bestFit="1" customWidth="1"/>
    <col min="34" max="34" width="16.453125" bestFit="1" customWidth="1"/>
    <col min="35" max="35" width="21.453125" bestFit="1" customWidth="1"/>
    <col min="36" max="36" width="18.453125" bestFit="1" customWidth="1"/>
    <col min="38" max="38" width="10.453125" bestFit="1" customWidth="1"/>
  </cols>
  <sheetData>
    <row r="1" spans="1:38" ht="16" x14ac:dyDescent="0.4">
      <c r="A1" t="str" cm="1">
        <f t="array" ref="A1">_xll.qwCtxTrade()</f>
        <v>ctx.46309.Close</v>
      </c>
      <c r="B1" t="str" cm="1">
        <f t="array" ref="B1:N336">_xll.qwTblData(A2)</f>
        <v>Fund</v>
      </c>
      <c r="C1" t="str">
        <v>MIGFund</v>
      </c>
      <c r="D1" t="str">
        <v>PositionID</v>
      </c>
      <c r="E1" t="str">
        <v>Strategy</v>
      </c>
      <c r="F1" t="str">
        <v>SecID</v>
      </c>
      <c r="G1" t="str">
        <v>Quantity</v>
      </c>
      <c r="H1" t="str">
        <v>QuantityTAS</v>
      </c>
      <c r="I1" t="str">
        <v>OpenQuantity</v>
      </c>
      <c r="J1" t="str">
        <v>ChgQuantity</v>
      </c>
      <c r="K1" t="str">
        <v>Price</v>
      </c>
      <c r="L1" t="str">
        <v>Realized</v>
      </c>
      <c r="M1" t="str">
        <v>MV</v>
      </c>
      <c r="N1" t="str">
        <v>SecType</v>
      </c>
      <c r="O1" s="1" t="s">
        <v>9</v>
      </c>
      <c r="P1" s="1" t="s">
        <v>12</v>
      </c>
      <c r="Q1" s="1" t="s">
        <v>0</v>
      </c>
      <c r="R1" s="1" t="s">
        <v>1</v>
      </c>
      <c r="S1" s="1" t="s">
        <v>8</v>
      </c>
      <c r="T1" s="1" t="s">
        <v>11</v>
      </c>
      <c r="U1" t="s">
        <v>2</v>
      </c>
      <c r="V1" t="s">
        <v>3</v>
      </c>
      <c r="W1" s="1" t="s">
        <v>5</v>
      </c>
      <c r="X1" s="1" t="s">
        <v>4</v>
      </c>
      <c r="Y1" s="1" t="s">
        <v>6</v>
      </c>
      <c r="Z1" s="1" t="s">
        <v>7</v>
      </c>
      <c r="AA1" s="1" t="s">
        <v>14</v>
      </c>
      <c r="AB1" s="1" t="s">
        <v>10</v>
      </c>
      <c r="AC1" s="1" t="s">
        <v>13</v>
      </c>
      <c r="AD1" s="1"/>
      <c r="AE1" s="4"/>
      <c r="AF1" s="4"/>
      <c r="AG1" s="1"/>
      <c r="AH1" s="5"/>
      <c r="AI1" s="2"/>
      <c r="AJ1" s="2"/>
      <c r="AK1" s="2"/>
      <c r="AL1" s="2"/>
    </row>
    <row r="2" spans="1:38" s="7" customFormat="1" ht="16" x14ac:dyDescent="0.4">
      <c r="A2" s="7" t="str" cm="1">
        <f t="array" ref="A2">_xll.qwPositionTable(A1)</f>
        <v>tbl.PositionTable.1182128497|383756507358</v>
      </c>
      <c r="B2" s="7" t="str">
        <v>jcleary</v>
      </c>
      <c r="C2" s="7" t="str">
        <v>MAMS</v>
      </c>
      <c r="D2" s="7" t="str">
        <v>jcleary|MAMS|RV_EU_Spreads_SpreadCurve|246887501</v>
      </c>
      <c r="E2" s="7" t="str">
        <v>RV_EU_Spreads_SpreadCurve</v>
      </c>
      <c r="F2" s="7" t="str">
        <v>246887501</v>
      </c>
      <c r="G2" s="7">
        <v>31.62</v>
      </c>
      <c r="H2" s="7">
        <v>0</v>
      </c>
      <c r="I2" s="7">
        <v>31.62</v>
      </c>
      <c r="J2" s="7">
        <v>0</v>
      </c>
      <c r="K2" s="7">
        <v>0</v>
      </c>
      <c r="L2" s="7">
        <v>0</v>
      </c>
      <c r="M2" s="7">
        <v>0</v>
      </c>
      <c r="N2" s="7" t="str">
        <v>SwapTrade</v>
      </c>
      <c r="O2" s="6" cm="1">
        <f t="array" ref="O2">(_xll.qwPrice($A$1,F2)-_xll.qwPrice($A$4,F2))*_xll.qwMVFactor($A$1,F2)*I2*_xll.qwFXRate($A$1,F2)</f>
        <v>114886.17352745979</v>
      </c>
      <c r="P2" s="6" cm="1">
        <f t="array" ref="P2">IF(ISNUMBER(_xll.qwDV01($A$1,F2)*I2*_xll.qwMVFactor($A$1,F2)*_xll.qwFXRate($A$1,F2)),_xll.qwDV01($A$1,F2)*I2*_xll.qwMVFactor($A$1,F2)*_xll.qwFXRate($A$1,F2),0)</f>
        <v>-63688.593415339565</v>
      </c>
      <c r="Q2" s="6" cm="1">
        <f t="array" ref="Q2">IF(ISNUMBER(_xll.qwDV01($A$1,F2)*G2*_xll.qwMVFactor($A$1,F2)*_xll.qwFXRate($A$1,F2)),_xll.qwDV01($A$1,F2)*G2*_xll.qwMVFactor($A$1,F2)*_xll.qwFXRate($A$1,F2),0)</f>
        <v>-63688.593415339565</v>
      </c>
      <c r="R2" s="6" cm="1">
        <f t="array" ref="R2">IF(ISNUMBER(_xll.qwDV01($A$1,F2)*J2*_xll.qwMVFactor($A$1,F2)*_xll.qwFXRate($A$1,F2)),_xll.qwDV01($A$1,F2)*J2*_xll.qwMVFactor($A$1,F2)*_xll.qwFXRate($A$1,F2),0)</f>
        <v>0</v>
      </c>
      <c r="S2" s="6" cm="1">
        <f t="array" ref="S2">IF(ISNUMBER(_xll.qwDV01($A$1,F2)*J2*_xll.qwMVFactor($A$1,F2)*_xll.qwFXRate($A$1,F2)),_xll.qwDV01($A$1,F2)*J2*_xll.qwMVFactor($A$1,F2)*_xll.qwFXRate($A$1,F2),0)</f>
        <v>0</v>
      </c>
      <c r="T2" s="6" cm="1">
        <f t="array" ref="T2">_xll.qwFXRate($A$1,F2)*J2*(_xll.qwPrice($A$1,F2)-M2)*_xll.qwMVFactor($A$1,F2)+L2</f>
        <v>0</v>
      </c>
      <c r="U2" s="8" cm="1">
        <f t="array" ref="U2">_xll.qwYield($A$1,F2)</f>
        <v>3.3450225710341445E-2</v>
      </c>
      <c r="V2" s="8" cm="1">
        <f t="array" ref="V2">100*(_xll.qwYield($A$4,F2)-U2)</f>
        <v>-1.8131897055933405E-2</v>
      </c>
      <c r="W2" s="6">
        <f>IF(ISNA(G2*INDEX(_xll.qwTblData(_xll.qwCurveScenariosPerSecurity($A$1,F2,"Crv210")),2,2)),0,(G2*INDEX(_xll.qwTblData(_xll.qwCurveScenariosPerSecurity($A$1,F2,"Crv210")),2,2)))</f>
        <v>192781.41394895228</v>
      </c>
      <c r="X2" s="20" cm="1">
        <f t="array" ref="X2">ABS(Q2/_xll.qwMV01($A$1,"CT10"))</f>
        <v>85.737013760955776</v>
      </c>
      <c r="Y2" s="6" cm="1">
        <f t="array" ref="Y2">IF(N2="BondFuture",-(_xll.qwCurveYield($A$1,_xll.qwSecVal($A$1,AA2,"CreditCurveName()"),AA2)-_xll.qwCurveYield($A$4,_xll.qwSecVal($A$4,AA2,"CreditCurveName()"),AA2))*P2*10000,IF(N2="Bond",-(_xll.qwCurveYield($A$1,_xll.qwSecVal($A$1,F2,"CreditCurveName()"),F2)-_xll.qwCurveYield($A$4,_xll.qwSecVal($A$4,F2,"CreditCurveName()"),F2))*P2*10000,O2))</f>
        <v>114886.17352745979</v>
      </c>
      <c r="Z2" s="6" cm="1">
        <f t="array" ref="Z2">IF(OR(N2="BondFuture",N2="Bond"),P2*(_xll.qwCurveZSpread($A$4,_xll.qwSecVal($A$1,AA2,"CreditCurveName()"),AA2)-_xll.qwCurveZSpread($A$1,_xll.qwSecVal($A$1,AA2,"CreditCurveName()"),AA2)),0)</f>
        <v>0</v>
      </c>
      <c r="AA2" s="9" cm="1">
        <f t="array" ref="AA2">IF(_xll.qwSecType(F2)="Bond",F2,IF(_xll.qwSecType(F2)="BondFuture",_xll.qwFutCTD($A$1,F2),0))</f>
        <v>0</v>
      </c>
      <c r="AB2" s="6" cm="1">
        <f t="array" ref="AB2">IF(_xll.qwSecType(F2)="BondFuture",-(I2*_xll.qwDelta($A$4,F2)*_xll.qwMVFactor($A$1,F2)/_xll.qwMVFactor($A$1,_xll.qwFutCTD($A$1,F2)))*(_xll.qwFXRate($A$1,F2)*_xll.qwMVFactor($A$1,_xll.qwFutCTD($A$1,F2))*(_xll.qwIncome($A$4,_xll.qwFutCTD($A$4,F2),_xll.qwBondSettle($A$4,_xll.qwFutCTD($A$4,F2)),_xll.qwBondSettle($A$1,_xll.qwFutCTD($A$1,F2)))+(_xll.qwSecVal($A$1,AA2,"Price")-_xll.qwSecVal($A$4,AA2,"Price"))-_xll.qwBondRepoFromTo($A$1,AA2,_xll.qwBondSettle($A$4,AA2),_xll.qwBondSettle($A$1,AA2))*_xll.qwSecVal($A$1,AA2,"Price")*(_xll.qwBondSettle($A$1,AA2)-_xll.qwBondSettle($A$4,AA2))/360))+O2,0)</f>
        <v>0</v>
      </c>
      <c r="AC2" s="9" cm="1">
        <f t="array" ref="AC2">O2+T2+IF(ISNUMBER(_xll.qwIncome($A$1,F2,_xll.qwSettle($A$4,F2),_xll.qwSettle($A$1,F2))*_xll.qwMVFactor($A$1,F2)*_xll.qwFXRate($A$1,F2)*I2),_xll.qwIncome($A$1,F2,_xll.qwSettle($A$4,F2),_xll.qwSettle($A$1,F2))*_xll.qwMVFactor($A$1,F2)*_xll.qwFXRate($A$1,F2)*I2,0)+IF(ISNUMBER(-(_xll.qwBondRepoFromTo($A$1,F2,_xll.qwSettle($A$4,F2),_xll.qwSettle($A$1,F2))*_xll.qwSecVal($A$1,F2,"Price")*(_xll.qwSettle($A$1,F2)-_xll.qwSettle($A$4,F2))/360)*_xll.qwMVFactor($A$1,F2)*_xll.qwFXRate($A$1,F2)*I2),-(_xll.qwBondRepoFromTo($A$1,F2,_xll.qwSettle($A$4,F2),_xll.qwSettle($A$1,F2))*_xll.qwSecVal($A$1,F2,"Price")*(_xll.qwSettle($A$1,F2)-_xll.qwSettle($A$4,F2))/360)*_xll.qwMVFactor($A$1,F2)*_xll.qwFXRate($A$1,F2)*I2,0)</f>
        <v>114886.17352745979</v>
      </c>
      <c r="AD2" s="6"/>
      <c r="AE2" s="10"/>
      <c r="AF2" s="10"/>
      <c r="AG2" s="11"/>
    </row>
    <row r="3" spans="1:38" s="7" customFormat="1" x14ac:dyDescent="0.35">
      <c r="B3" s="7" t="str">
        <v>jcleary</v>
      </c>
      <c r="C3" s="7" t="str">
        <v>MAMS</v>
      </c>
      <c r="D3" s="7" t="str">
        <v>jcleary|MAMS|RV_EU_Spreads_SpreadCurve|246889747</v>
      </c>
      <c r="E3" s="7" t="str">
        <v>RV_EU_Spreads_SpreadCurve</v>
      </c>
      <c r="F3" s="7" t="str">
        <v>246889747</v>
      </c>
      <c r="G3" s="7">
        <v>78.244</v>
      </c>
      <c r="H3" s="7">
        <v>0</v>
      </c>
      <c r="I3" s="7">
        <v>78.244</v>
      </c>
      <c r="J3" s="7">
        <v>0</v>
      </c>
      <c r="K3" s="7">
        <v>0</v>
      </c>
      <c r="L3" s="7">
        <v>0</v>
      </c>
      <c r="M3" s="7">
        <v>0</v>
      </c>
      <c r="N3" s="7" t="str">
        <v>SwapTrade</v>
      </c>
      <c r="O3" s="6" cm="1">
        <f t="array" ref="O3">(_xll.qwPrice($A$1,F3)-_xll.qwPrice($A$4,F3))*_xll.qwMVFactor($A$1,F3)*I3*_xll.qwFXRate($A$1,F3)</f>
        <v>-111983.59455673861</v>
      </c>
      <c r="P3" s="6" cm="1">
        <f t="array" ref="P3">IF(ISNUMBER(_xll.qwDV01($A$1,F3)*I3*_xll.qwMVFactor($A$1,F3)*_xll.qwFXRate($A$1,F3)),_xll.qwDV01($A$1,F3)*I3*_xll.qwMVFactor($A$1,F3)*_xll.qwFXRate($A$1,F3),0)</f>
        <v>65234.587871231539</v>
      </c>
      <c r="Q3" s="6" cm="1">
        <f t="array" ref="Q3">IF(ISNUMBER(_xll.qwDV01($A$1,F3)*G3*_xll.qwMVFactor($A$1,F3)*_xll.qwFXRate($A$1,F3)),_xll.qwDV01($A$1,F3)*G3*_xll.qwMVFactor($A$1,F3)*_xll.qwFXRate($A$1,F3),0)</f>
        <v>65234.587871231539</v>
      </c>
      <c r="R3" s="6" cm="1">
        <f t="array" ref="R3">IF(ISNUMBER(_xll.qwDV01($A$1,F3)*J3*_xll.qwMVFactor($A$1,F3)*_xll.qwFXRate($A$1,F3)),_xll.qwDV01($A$1,F3)*J3*_xll.qwMVFactor($A$1,F3)*_xll.qwFXRate($A$1,F3),0)</f>
        <v>0</v>
      </c>
      <c r="S3" s="6" cm="1">
        <f t="array" ref="S3">IF(ISNUMBER(_xll.qwDV01($A$1,F3)*J3*_xll.qwMVFactor($A$1,F3)*_xll.qwFXRate($A$1,F3)),_xll.qwDV01($A$1,F3)*J3*_xll.qwMVFactor($A$1,F3)*_xll.qwFXRate($A$1,F3),0)</f>
        <v>0</v>
      </c>
      <c r="T3" s="6" cm="1">
        <f t="array" ref="T3">_xll.qwFXRate($A$1,F3)*J3*(_xll.qwPrice($A$1,F3)-M3)*_xll.qwMVFactor($A$1,F3)+L3</f>
        <v>0</v>
      </c>
      <c r="U3" s="8" cm="1">
        <f t="array" ref="U3">_xll.qwYield($A$1,F3)</f>
        <v>3.2818369606720833E-2</v>
      </c>
      <c r="V3" s="8" cm="1">
        <f t="array" ref="V3">100*(_xll.qwYield($A$4,F3)-U3)</f>
        <v>-1.7240045906818241E-2</v>
      </c>
      <c r="W3" s="6">
        <f>IF(ISNA(G3*INDEX(_xll.qwTblData(_xll.qwCurveScenariosPerSecurity($A$1,F3,"Crv210")),2,2)),0,(G3*INDEX(_xll.qwTblData(_xll.qwCurveScenariosPerSecurity($A$1,F3,"Crv210")),2,2)))</f>
        <v>-23609.02767507343</v>
      </c>
      <c r="X3" s="20" cm="1">
        <f t="array" ref="X3">ABS(Q3/_xll.qwMV01($A$1,"CT10"))</f>
        <v>87.818217644275435</v>
      </c>
      <c r="Y3" s="6" cm="1">
        <f t="array" ref="Y3">IF(N3="BondFuture",-(_xll.qwCurveYield($A$1,_xll.qwSecVal($A$1,AA3,"CreditCurveName()"),AA3)-_xll.qwCurveYield($A$4,_xll.qwSecVal($A$4,AA3,"CreditCurveName()"),AA3))*P3*10000,IF(N3="Bond",-(_xll.qwCurveYield($A$1,_xll.qwSecVal($A$1,F3,"CreditCurveName()"),F3)-_xll.qwCurveYield($A$4,_xll.qwSecVal($A$4,F3,"CreditCurveName()"),F3))*P3*10000,O3))</f>
        <v>-111983.59455673861</v>
      </c>
      <c r="Z3" s="6" cm="1">
        <f t="array" ref="Z3">IF(OR(N3="BondFuture",N3="Bond"),P3*(_xll.qwCurveZSpread($A$4,_xll.qwSecVal($A$1,AA3,"CreditCurveName()"),AA3)-_xll.qwCurveZSpread($A$1,_xll.qwSecVal($A$1,AA3,"CreditCurveName()"),AA3)),0)</f>
        <v>0</v>
      </c>
      <c r="AA3" s="9" cm="1">
        <f t="array" ref="AA3">IF(_xll.qwSecType(F3)="Bond",F3,IF(_xll.qwSecType(F3)="BondFuture",_xll.qwFutCTD($A$1,F3),0))</f>
        <v>0</v>
      </c>
      <c r="AB3" s="6" cm="1">
        <f t="array" ref="AB3">IF(_xll.qwSecType(F3)="BondFuture",-(I3*_xll.qwDelta($A$4,F3)*_xll.qwMVFactor($A$1,F3)/_xll.qwMVFactor($A$1,_xll.qwFutCTD($A$1,F3)))*(_xll.qwFXRate($A$1,F3)*_xll.qwMVFactor($A$1,_xll.qwFutCTD($A$1,F3))*(_xll.qwIncome($A$4,_xll.qwFutCTD($A$4,F3),_xll.qwBondSettle($A$4,_xll.qwFutCTD($A$4,F3)),_xll.qwBondSettle($A$1,_xll.qwFutCTD($A$1,F3)))+(_xll.qwSecVal($A$1,AA3,"Price")-_xll.qwSecVal($A$4,AA3,"Price"))-_xll.qwBondRepoFromTo($A$1,AA3,_xll.qwBondSettle($A$4,AA3),_xll.qwBondSettle($A$1,AA3))*_xll.qwSecVal($A$1,AA3,"Price")*(_xll.qwBondSettle($A$1,AA3)-_xll.qwBondSettle($A$4,AA3))/360))+O3,0)</f>
        <v>0</v>
      </c>
      <c r="AC3" s="9" cm="1">
        <f t="array" ref="AC3">O3+T3+IF(ISNUMBER(_xll.qwIncome($A$1,F3,_xll.qwSettle($A$4,F3),_xll.qwSettle($A$1,F3))*_xll.qwMVFactor($A$1,F3)*_xll.qwFXRate($A$1,F3)*I3),_xll.qwIncome($A$1,F3,_xll.qwSettle($A$4,F3),_xll.qwSettle($A$1,F3))*_xll.qwMVFactor($A$1,F3)*_xll.qwFXRate($A$1,F3)*I3,0)+IF(ISNUMBER(-(_xll.qwBondRepoFromTo($A$1,F3,_xll.qwSettle($A$4,F3),_xll.qwSettle($A$1,F3))*_xll.qwSecVal($A$1,F3,"Price")*(_xll.qwSettle($A$1,F3)-_xll.qwSettle($A$4,F3))/360)*_xll.qwMVFactor($A$1,F3)*_xll.qwFXRate($A$1,F3)*I3),-(_xll.qwBondRepoFromTo($A$1,F3,_xll.qwSettle($A$4,F3),_xll.qwSettle($A$1,F3))*_xll.qwSecVal($A$1,F3,"Price")*(_xll.qwSettle($A$1,F3)-_xll.qwSettle($A$4,F3))/360)*_xll.qwMVFactor($A$1,F3)*_xll.qwFXRate($A$1,F3)*I3,0)</f>
        <v>-111983.59455673861</v>
      </c>
      <c r="AD3" s="6"/>
    </row>
    <row r="4" spans="1:38" s="7" customFormat="1" x14ac:dyDescent="0.35">
      <c r="A4" s="7" t="str" cm="1">
        <f t="array" ref="A4">_xll.qwCtxPrev()</f>
        <v>ctx.46308.Close</v>
      </c>
      <c r="B4" s="7" t="str">
        <v>jcleary</v>
      </c>
      <c r="C4" s="7" t="str">
        <v>MAMS</v>
      </c>
      <c r="D4" s="7" t="str">
        <v>jcleary|MAMS|RV_EU_Spreads_SpreadCurve|RXZ6</v>
      </c>
      <c r="E4" s="7" t="str">
        <v>RV_EU_Spreads_SpreadCurve</v>
      </c>
      <c r="F4" s="7" t="str">
        <v>RXZ6</v>
      </c>
      <c r="G4" s="7">
        <v>-626</v>
      </c>
      <c r="H4" s="7">
        <v>0</v>
      </c>
      <c r="I4" s="7">
        <v>-626</v>
      </c>
      <c r="J4" s="7">
        <v>0</v>
      </c>
      <c r="K4" s="7">
        <v>0</v>
      </c>
      <c r="L4" s="7">
        <v>0</v>
      </c>
      <c r="M4" s="7">
        <v>0</v>
      </c>
      <c r="N4" s="7" t="str">
        <v>BondFuture</v>
      </c>
      <c r="O4" s="6" cm="1">
        <f t="array" ref="O4">(_xll.qwPrice($A$1,F4)-_xll.qwPrice($A$4,F4))*_xll.qwMVFactor($A$1,F4)*I4*_xll.qwFXRate($A$1,F4)</f>
        <v>90470.146000006716</v>
      </c>
      <c r="P4" s="6" cm="1">
        <f t="array" ref="P4">IF(ISNUMBER(_xll.qwDV01($A$1,F4)*I4*_xll.qwMVFactor($A$1,F4)*_xll.qwFXRate($A$1,F4)),_xll.qwDV01($A$1,F4)*I4*_xll.qwMVFactor($A$1,F4)*_xll.qwFXRate($A$1,F4),0)</f>
        <v>-65169.951784733676</v>
      </c>
      <c r="Q4" s="6" cm="1">
        <f t="array" ref="Q4">IF(ISNUMBER(_xll.qwDV01($A$1,F4)*G4*_xll.qwMVFactor($A$1,F4)*_xll.qwFXRate($A$1,F4)),_xll.qwDV01($A$1,F4)*G4*_xll.qwMVFactor($A$1,F4)*_xll.qwFXRate($A$1,F4),0)</f>
        <v>-65169.951784733676</v>
      </c>
      <c r="R4" s="6" cm="1">
        <f t="array" ref="R4">IF(ISNUMBER(_xll.qwDV01($A$1,F4)*J4*_xll.qwMVFactor($A$1,F4)*_xll.qwFXRate($A$1,F4)),_xll.qwDV01($A$1,F4)*J4*_xll.qwMVFactor($A$1,F4)*_xll.qwFXRate($A$1,F4),0)</f>
        <v>0</v>
      </c>
      <c r="S4" s="6" cm="1">
        <f t="array" ref="S4">IF(ISNUMBER(_xll.qwDV01($A$1,F4)*J4*_xll.qwMVFactor($A$1,F4)*_xll.qwFXRate($A$1,F4)),_xll.qwDV01($A$1,F4)*J4*_xll.qwMVFactor($A$1,F4)*_xll.qwFXRate($A$1,F4),0)</f>
        <v>0</v>
      </c>
      <c r="T4" s="6" cm="1">
        <f t="array" ref="T4">_xll.qwFXRate($A$1,F4)*J4*(_xll.qwPrice($A$1,F4)-M4)*_xll.qwMVFactor($A$1,F4)+L4</f>
        <v>0</v>
      </c>
      <c r="U4" s="8" cm="1">
        <f t="array" ref="U4">_xll.qwYield($A$1,F4)</f>
        <v>3.4305704799564789E-2</v>
      </c>
      <c r="V4" s="8" cm="1">
        <f t="array" ref="V4">100*(_xll.qwYield($A$4,F4)-U4)</f>
        <v>-1.4180309961804582E-2</v>
      </c>
      <c r="W4" s="6">
        <f>IF(ISNA(G4*INDEX(_xll.qwTblData(_xll.qwCurveScenariosPerSecurity($A$1,F4,"Crv210")),2,2)),0,(G4*INDEX(_xll.qwTblData(_xll.qwCurveScenariosPerSecurity($A$1,F4,"Crv210")),2,2)))</f>
        <v>24360.236154775357</v>
      </c>
      <c r="X4" s="20" cm="1">
        <f t="array" ref="X4">ABS(Q4/_xll.qwMV01($A$1,"CT10"))</f>
        <v>87.731205123816991</v>
      </c>
      <c r="Y4" s="6" cm="1">
        <f t="array" ref="Y4">IF(N4="BondFuture",-(_xll.qwCurveYield($A$1,_xll.qwSecVal($A$1,AA4,"CreditCurveName()"),AA4)-_xll.qwCurveYield($A$4,_xll.qwSecVal($A$4,AA4,"CreditCurveName()"),AA4))*P4*10000,IF(N4="Bond",-(_xll.qwCurveYield($A$1,_xll.qwSecVal($A$1,F4,"CreditCurveName()"),F4)-_xll.qwCurveYield($A$4,_xll.qwSecVal($A$4,F4,"CreditCurveName()"),F4))*P4*10000,O4))</f>
        <v>84122.309402071012</v>
      </c>
      <c r="Z4" s="6" cm="1">
        <f t="array" ref="Z4">IF(OR(N4="BondFuture",N4="Bond"),P4*(_xll.qwCurveZSpread($A$4,_xll.qwSecVal($A$1,AA4,"CreditCurveName()"),AA4)-_xll.qwCurveZSpread($A$1,_xll.qwSecVal($A$1,AA4,"CreditCurveName()"),AA4)),0)</f>
        <v>2994.3931341263278</v>
      </c>
      <c r="AA4" s="9" t="str" cm="1">
        <f t="array" ref="AA4">IF(_xll.qwSecType(F4)="Bond",F4,IF(_xll.qwSecType(F4)="BondFuture",_xll.qwFutCTD($A$1,F4),0))</f>
        <v>DE000BU2Z056</v>
      </c>
      <c r="AB4" s="6" cm="1">
        <f t="array" ref="AB4">IF(_xll.qwSecType(F4)="BondFuture",-(I4*_xll.qwDelta($A$4,F4)*_xll.qwMVFactor($A$1,F4)/_xll.qwMVFactor($A$1,_xll.qwFutCTD($A$1,F4)))*(_xll.qwFXRate($A$1,F4)*_xll.qwMVFactor($A$1,_xll.qwFutCTD($A$1,F4))*(_xll.qwIncome($A$4,_xll.qwFutCTD($A$4,F4),_xll.qwBondSettle($A$4,_xll.qwFutCTD($A$4,F4)),_xll.qwBondSettle($A$1,_xll.qwFutCTD($A$1,F4)))+(_xll.qwSecVal($A$1,AA4,"Price")-_xll.qwSecVal($A$4,AA4,"Price"))-_xll.qwBondRepoFromTo($A$1,AA4,_xll.qwBondSettle($A$4,AA4),_xll.qwBondSettle($A$1,AA4))*_xll.qwSecVal($A$1,AA4,"Price")*(_xll.qwBondSettle($A$1,AA4)-_xll.qwBondSettle($A$4,AA4))/360))+O4,0)</f>
        <v>5148.7167726992629</v>
      </c>
      <c r="AC4" s="9" cm="1">
        <f t="array" ref="AC4">O4+T4+IF(ISNUMBER(_xll.qwIncome($A$1,F4,_xll.qwSettle($A$4,F4),_xll.qwSettle($A$1,F4))*_xll.qwMVFactor($A$1,F4)*_xll.qwFXRate($A$1,F4)*I4),_xll.qwIncome($A$1,F4,_xll.qwSettle($A$4,F4),_xll.qwSettle($A$1,F4))*_xll.qwMVFactor($A$1,F4)*_xll.qwFXRate($A$1,F4)*I4,0)+IF(ISNUMBER(-(_xll.qwBondRepoFromTo($A$1,F4,_xll.qwSettle($A$4,F4),_xll.qwSettle($A$1,F4))*_xll.qwSecVal($A$1,F4,"Price")*(_xll.qwSettle($A$1,F4)-_xll.qwSettle($A$4,F4))/360)*_xll.qwMVFactor($A$1,F4)*_xll.qwFXRate($A$1,F4)*I4),-(_xll.qwBondRepoFromTo($A$1,F4,_xll.qwSettle($A$4,F4),_xll.qwSettle($A$1,F4))*_xll.qwSecVal($A$1,F4,"Price")*(_xll.qwSettle($A$1,F4)-_xll.qwSettle($A$4,F4))/360)*_xll.qwMVFactor($A$1,F4)*_xll.qwFXRate($A$1,F4)*I4,0)</f>
        <v>90470.146000006716</v>
      </c>
      <c r="AD4" s="6"/>
      <c r="AG4" s="12"/>
      <c r="AI4" s="13"/>
      <c r="AJ4" s="12"/>
    </row>
    <row r="5" spans="1:38" s="7" customFormat="1" x14ac:dyDescent="0.35">
      <c r="B5" s="7" t="str">
        <v>jcleary</v>
      </c>
      <c r="C5" s="7" t="str">
        <v>MAMS</v>
      </c>
      <c r="D5" s="7" t="str">
        <v>jcleary|MAMS|RV_EU_Spreads_SpreadCurve|UBZ6</v>
      </c>
      <c r="E5" s="7" t="str">
        <v>RV_EU_Spreads_SpreadCurve</v>
      </c>
      <c r="F5" s="7" t="str">
        <v>UBZ6</v>
      </c>
      <c r="G5" s="7">
        <v>298</v>
      </c>
      <c r="H5" s="7">
        <v>0</v>
      </c>
      <c r="I5" s="7">
        <v>298</v>
      </c>
      <c r="J5" s="7">
        <v>0</v>
      </c>
      <c r="K5" s="7">
        <v>0</v>
      </c>
      <c r="L5" s="7">
        <v>0</v>
      </c>
      <c r="M5" s="7">
        <v>0</v>
      </c>
      <c r="N5" s="7" t="str">
        <v>BondFuture</v>
      </c>
      <c r="O5" s="6" cm="1">
        <f t="array" ref="O5">(_xll.qwPrice($A$1,F5)-_xll.qwPrice($A$4,F5))*_xll.qwMVFactor($A$1,F5)*I5*_xll.qwFXRate($A$1,F5)</f>
        <v>-92760.247999995656</v>
      </c>
      <c r="P5" s="6" cm="1">
        <f t="array" ref="P5">IF(ISNUMBER(_xll.qwDV01($A$1,F5)*I5*_xll.qwMVFactor($A$1,F5)*_xll.qwFXRate($A$1,F5)),_xll.qwDV01($A$1,F5)*I5*_xll.qwMVFactor($A$1,F5)*_xll.qwFXRate($A$1,F5),0)</f>
        <v>63180.243715837838</v>
      </c>
      <c r="Q5" s="6" cm="1">
        <f t="array" ref="Q5">IF(ISNUMBER(_xll.qwDV01($A$1,F5)*G5*_xll.qwMVFactor($A$1,F5)*_xll.qwFXRate($A$1,F5)),_xll.qwDV01($A$1,F5)*G5*_xll.qwMVFactor($A$1,F5)*_xll.qwFXRate($A$1,F5),0)</f>
        <v>63180.243715837838</v>
      </c>
      <c r="R5" s="6" cm="1">
        <f t="array" ref="R5">IF(ISNUMBER(_xll.qwDV01($A$1,F5)*J5*_xll.qwMVFactor($A$1,F5)*_xll.qwFXRate($A$1,F5)),_xll.qwDV01($A$1,F5)*J5*_xll.qwMVFactor($A$1,F5)*_xll.qwFXRate($A$1,F5),0)</f>
        <v>0</v>
      </c>
      <c r="S5" s="6" cm="1">
        <f t="array" ref="S5">IF(ISNUMBER(_xll.qwDV01($A$1,F5)*J5*_xll.qwMVFactor($A$1,F5)*_xll.qwFXRate($A$1,F5)),_xll.qwDV01($A$1,F5)*J5*_xll.qwMVFactor($A$1,F5)*_xll.qwFXRate($A$1,F5),0)</f>
        <v>0</v>
      </c>
      <c r="T5" s="6" cm="1">
        <f t="array" ref="T5">_xll.qwFXRate($A$1,F5)*J5*(_xll.qwPrice($A$1,F5)-M5)*_xll.qwMVFactor($A$1,F5)+L5</f>
        <v>0</v>
      </c>
      <c r="U5" s="8" cm="1">
        <f t="array" ref="U5">_xll.qwYield($A$1,F5)</f>
        <v>3.8531932380258885E-2</v>
      </c>
      <c r="V5" s="8" cm="1">
        <f t="array" ref="V5">100*(_xll.qwYield($A$4,F5)-U5)</f>
        <v>-1.4874578616543011E-2</v>
      </c>
      <c r="W5" s="6">
        <f>IF(ISNA(G5*INDEX(_xll.qwTblData(_xll.qwCurveScenariosPerSecurity($A$1,F5,"Crv210")),2,2)),0,(G5*INDEX(_xll.qwTblData(_xll.qwCurveScenariosPerSecurity($A$1,F5,"Crv210")),2,2)))</f>
        <v>-187417.57131116919</v>
      </c>
      <c r="X5" s="20" cm="1">
        <f t="array" ref="X5">ABS(Q5/_xll.qwMV01($A$1,"CT10"))</f>
        <v>85.052677950658861</v>
      </c>
      <c r="Y5" s="6" cm="1">
        <f t="array" ref="Y5">IF(N5="BondFuture",-(_xll.qwCurveYield($A$1,_xll.qwSecVal($A$1,AA5,"CreditCurveName()"),AA5)-_xll.qwCurveYield($A$4,_xll.qwSecVal($A$4,AA5,"CreditCurveName()"),AA5))*P5*10000,IF(N5="Bond",-(_xll.qwCurveYield($A$1,_xll.qwSecVal($A$1,F5,"CreditCurveName()"),F5)-_xll.qwCurveYield($A$4,_xll.qwSecVal($A$4,F5,"CreditCurveName()"),F5))*P5*10000,O5))</f>
        <v>-113927.37220112329</v>
      </c>
      <c r="Z5" s="6" cm="1">
        <f t="array" ref="Z5">IF(OR(N5="BondFuture",N5="Bond"),P5*(_xll.qwCurveZSpread($A$4,_xll.qwSecVal($A$1,AA5,"CreditCurveName()"),AA5)-_xll.qwCurveZSpread($A$1,_xll.qwSecVal($A$1,AA5,"CreditCurveName()"),AA5)),0)</f>
        <v>2050.634067325816</v>
      </c>
      <c r="AA5" s="9" t="str" cm="1">
        <f t="array" ref="AA5">IF(_xll.qwSecType(F5)="Bond",F5,IF(_xll.qwSecType(F5)="BondFuture",_xll.qwFutCTD($A$1,F5),0))</f>
        <v>DE000BU2D004</v>
      </c>
      <c r="AB5" s="6" cm="1">
        <f t="array" ref="AB5">IF(_xll.qwSecType(F5)="BondFuture",-(I5*_xll.qwDelta($A$4,F5)*_xll.qwMVFactor($A$1,F5)/_xll.qwMVFactor($A$1,_xll.qwFutCTD($A$1,F5)))*(_xll.qwFXRate($A$1,F5)*_xll.qwMVFactor($A$1,_xll.qwFutCTD($A$1,F5))*(_xll.qwIncome($A$4,_xll.qwFutCTD($A$4,F5),_xll.qwBondSettle($A$4,_xll.qwFutCTD($A$4,F5)),_xll.qwBondSettle($A$1,_xll.qwFutCTD($A$1,F5)))+(_xll.qwSecVal($A$1,AA5,"Price")-_xll.qwSecVal($A$4,AA5,"Price"))-_xll.qwBondRepoFromTo($A$1,AA5,_xll.qwBondSettle($A$4,AA5),_xll.qwBondSettle($A$1,AA5))*_xll.qwSecVal($A$1,AA5,"Price")*(_xll.qwBondSettle($A$1,AA5)-_xll.qwBondSettle($A$4,AA5))/360))+O5,0)</f>
        <v>18229.281555437992</v>
      </c>
      <c r="AC5" s="9" cm="1">
        <f t="array" ref="AC5">O5+T5+IF(ISNUMBER(_xll.qwIncome($A$1,F5,_xll.qwSettle($A$4,F5),_xll.qwSettle($A$1,F5))*_xll.qwMVFactor($A$1,F5)*_xll.qwFXRate($A$1,F5)*I5),_xll.qwIncome($A$1,F5,_xll.qwSettle($A$4,F5),_xll.qwSettle($A$1,F5))*_xll.qwMVFactor($A$1,F5)*_xll.qwFXRate($A$1,F5)*I5,0)+IF(ISNUMBER(-(_xll.qwBondRepoFromTo($A$1,F5,_xll.qwSettle($A$4,F5),_xll.qwSettle($A$1,F5))*_xll.qwSecVal($A$1,F5,"Price")*(_xll.qwSettle($A$1,F5)-_xll.qwSettle($A$4,F5))/360)*_xll.qwMVFactor($A$1,F5)*_xll.qwFXRate($A$1,F5)*I5),-(_xll.qwBondRepoFromTo($A$1,F5,_xll.qwSettle($A$4,F5),_xll.qwSettle($A$1,F5))*_xll.qwSecVal($A$1,F5,"Price")*(_xll.qwSettle($A$1,F5)-_xll.qwSettle($A$4,F5))/360)*_xll.qwMVFactor($A$1,F5)*_xll.qwFXRate($A$1,F5)*I5,0)</f>
        <v>-92760.247999995656</v>
      </c>
      <c r="AD5" s="6"/>
      <c r="AI5" s="13"/>
    </row>
    <row r="6" spans="1:38" s="7" customFormat="1" x14ac:dyDescent="0.35">
      <c r="B6" s="7" t="str">
        <v>jcleary</v>
      </c>
      <c r="C6" s="7" t="str">
        <v>MAMS</v>
      </c>
      <c r="D6" s="7" t="str">
        <v>jcleary|MAMS|RV_US_20Y_Spread|251537861</v>
      </c>
      <c r="E6" s="7" t="str">
        <v>RV_US_20Y_Spread</v>
      </c>
      <c r="F6" s="7" t="str">
        <v>251537861</v>
      </c>
      <c r="G6" s="7">
        <v>46.9</v>
      </c>
      <c r="H6" s="7">
        <v>0</v>
      </c>
      <c r="I6" s="7">
        <v>46.9</v>
      </c>
      <c r="J6" s="7">
        <v>0</v>
      </c>
      <c r="K6" s="7">
        <v>0</v>
      </c>
      <c r="L6" s="7">
        <v>0</v>
      </c>
      <c r="M6" s="7">
        <v>0</v>
      </c>
      <c r="N6" s="7" t="str">
        <v>SwapTrade</v>
      </c>
      <c r="O6" s="6" cm="1">
        <f t="array" ref="O6">(_xll.qwPrice($A$1,F6)-_xll.qwPrice($A$4,F6))*_xll.qwMVFactor($A$1,F6)*I6*_xll.qwFXRate($A$1,F6)</f>
        <v>-116166.38525097938</v>
      </c>
      <c r="P6" s="6" cm="1">
        <f t="array" ref="P6">IF(ISNUMBER(_xll.qwDV01($A$1,F6)*I6*_xll.qwMVFactor($A$1,F6)*_xll.qwFXRate($A$1,F6)),_xll.qwDV01($A$1,F6)*I6*_xll.qwMVFactor($A$1,F6)*_xll.qwFXRate($A$1,F6),0)</f>
        <v>-57112.133321174908</v>
      </c>
      <c r="Q6" s="6" cm="1">
        <f t="array" ref="Q6">IF(ISNUMBER(_xll.qwDV01($A$1,F6)*G6*_xll.qwMVFactor($A$1,F6)*_xll.qwFXRate($A$1,F6)),_xll.qwDV01($A$1,F6)*G6*_xll.qwMVFactor($A$1,F6)*_xll.qwFXRate($A$1,F6),0)</f>
        <v>-57112.133321174908</v>
      </c>
      <c r="R6" s="6" cm="1">
        <f t="array" ref="R6">IF(ISNUMBER(_xll.qwDV01($A$1,F6)*J6*_xll.qwMVFactor($A$1,F6)*_xll.qwFXRate($A$1,F6)),_xll.qwDV01($A$1,F6)*J6*_xll.qwMVFactor($A$1,F6)*_xll.qwFXRate($A$1,F6),0)</f>
        <v>0</v>
      </c>
      <c r="S6" s="6" cm="1">
        <f t="array" ref="S6">IF(ISNUMBER(_xll.qwDV01($A$1,F6)*J6*_xll.qwMVFactor($A$1,F6)*_xll.qwFXRate($A$1,F6)),_xll.qwDV01($A$1,F6)*J6*_xll.qwMVFactor($A$1,F6)*_xll.qwFXRate($A$1,F6),0)</f>
        <v>0</v>
      </c>
      <c r="T6" s="6" cm="1">
        <f t="array" ref="T6">_xll.qwFXRate($A$1,F6)*J6*(_xll.qwPrice($A$1,F6)-M6)*_xll.qwMVFactor($A$1,F6)+L6</f>
        <v>0</v>
      </c>
      <c r="U6" s="8" cm="1">
        <f t="array" ref="U6">_xll.qwYield($A$1,F6)</f>
        <v>4.9639045301813137E-2</v>
      </c>
      <c r="V6" s="8" cm="1">
        <f t="array" ref="V6">100*(_xll.qwYield($A$4,F6)-U6)</f>
        <v>2.0220187694078989E-2</v>
      </c>
      <c r="W6" s="6">
        <f>IF(ISNA(G6*INDEX(_xll.qwTblData(_xll.qwCurveScenariosPerSecurity($A$1,F6,"Crv210")),2,2)),0,(G6*INDEX(_xll.qwTblData(_xll.qwCurveScenariosPerSecurity($A$1,F6,"Crv210")),2,2)))</f>
        <v>101139.59561927852</v>
      </c>
      <c r="X6" s="6" cm="1">
        <f t="array" ref="X6">ABS(Q6/_xll.qwMV01($A$1,"CT10"))</f>
        <v>76.883842111918099</v>
      </c>
      <c r="Y6" s="6" cm="1">
        <f t="array" ref="Y6">IF(N6="BondFuture",-(_xll.qwCurveYield($A$1,_xll.qwSecVal($A$1,AA6,"CreditCurveName()"),AA6)-_xll.qwCurveYield($A$4,_xll.qwSecVal($A$4,AA6,"CreditCurveName()"),AA6))*P6*10000,IF(N6="Bond",-(_xll.qwCurveYield($A$1,_xll.qwSecVal($A$1,F6,"CreditCurveName()"),F6)-_xll.qwCurveYield($A$4,_xll.qwSecVal($A$4,F6,"CreditCurveName()"),F6))*P6*10000,O6))</f>
        <v>-116166.38525097938</v>
      </c>
      <c r="Z6" s="6" cm="1">
        <f t="array" ref="Z6">IF(OR(N6="BondFuture",N6="Bond"),P6*(_xll.qwCurveZSpread($A$4,_xll.qwSecVal($A$1,AA6,"CreditCurveName()"),AA6)-_xll.qwCurveZSpread($A$1,_xll.qwSecVal($A$1,AA6,"CreditCurveName()"),AA6)),0)</f>
        <v>0</v>
      </c>
      <c r="AA6" s="9" cm="1">
        <f t="array" ref="AA6">IF(_xll.qwSecType(F6)="Bond",F6,IF(_xll.qwSecType(F6)="BondFuture",_xll.qwFutCTD($A$1,F6),0))</f>
        <v>0</v>
      </c>
      <c r="AB6" s="6" cm="1">
        <f t="array" ref="AB6">IF(_xll.qwSecType(F6)="BondFuture",-(I6*_xll.qwDelta($A$4,F6)*_xll.qwMVFactor($A$1,F6)/_xll.qwMVFactor($A$1,_xll.qwFutCTD($A$1,F6)))*(_xll.qwFXRate($A$1,F6)*_xll.qwMVFactor($A$1,_xll.qwFutCTD($A$1,F6))*(_xll.qwIncome($A$4,_xll.qwFutCTD($A$4,F6),_xll.qwBondSettle($A$4,_xll.qwFutCTD($A$4,F6)),_xll.qwBondSettle($A$1,_xll.qwFutCTD($A$1,F6)))+(_xll.qwSecVal($A$1,AA6,"Price")-_xll.qwSecVal($A$4,AA6,"Price"))-_xll.qwBondRepoFromTo($A$1,AA6,_xll.qwBondSettle($A$4,AA6),_xll.qwBondSettle($A$1,AA6))*_xll.qwSecVal($A$1,AA6,"Price")*(_xll.qwBondSettle($A$1,AA6)-_xll.qwBondSettle($A$4,AA6))/360))+O6,0)</f>
        <v>0</v>
      </c>
      <c r="AC6" s="9" cm="1">
        <f t="array" ref="AC6">O6+T6+IF(ISNUMBER(_xll.qwIncome($A$1,F6,_xll.qwSettle($A$4,F6),_xll.qwSettle($A$1,F6))*_xll.qwMVFactor($A$1,F6)*_xll.qwFXRate($A$1,F6)*I6),_xll.qwIncome($A$1,F6,_xll.qwSettle($A$4,F6),_xll.qwSettle($A$1,F6))*_xll.qwMVFactor($A$1,F6)*_xll.qwFXRate($A$1,F6)*I6,0)+IF(ISNUMBER(-(_xll.qwBondRepoFromTo($A$1,F6,_xll.qwSettle($A$4,F6),_xll.qwSettle($A$1,F6))*_xll.qwSecVal($A$1,F6,"Price")*(_xll.qwSettle($A$1,F6)-_xll.qwSettle($A$4,F6))/360)*_xll.qwMVFactor($A$1,F6)*_xll.qwFXRate($A$1,F6)*I6),-(_xll.qwBondRepoFromTo($A$1,F6,_xll.qwSettle($A$4,F6),_xll.qwSettle($A$1,F6))*_xll.qwSecVal($A$1,F6,"Price")*(_xll.qwSettle($A$1,F6)-_xll.qwSettle($A$4,F6))/360)*_xll.qwMVFactor($A$1,F6)*_xll.qwFXRate($A$1,F6)*I6,0)</f>
        <v>-116166.38525097938</v>
      </c>
      <c r="AD6" s="6"/>
    </row>
    <row r="7" spans="1:38" s="7" customFormat="1" x14ac:dyDescent="0.35">
      <c r="B7" s="7" t="str">
        <v>jcleary</v>
      </c>
      <c r="C7" s="7" t="str">
        <v>MAMS</v>
      </c>
      <c r="D7" s="7" t="str">
        <v>jcleary|MAMS|RV_US_20Y_Spread|251537871</v>
      </c>
      <c r="E7" s="7" t="str">
        <v>RV_US_20Y_Spread</v>
      </c>
      <c r="F7" s="7" t="str">
        <v>251537871</v>
      </c>
      <c r="G7" s="7">
        <v>37.799999999999997</v>
      </c>
      <c r="H7" s="7">
        <v>0</v>
      </c>
      <c r="I7" s="7">
        <v>37.799999999999997</v>
      </c>
      <c r="J7" s="7">
        <v>0</v>
      </c>
      <c r="K7" s="7">
        <v>0</v>
      </c>
      <c r="L7" s="7">
        <v>0</v>
      </c>
      <c r="M7" s="7">
        <v>0</v>
      </c>
      <c r="N7" s="7" t="str">
        <v>SwapTrade</v>
      </c>
      <c r="O7" s="6" cm="1">
        <f t="array" ref="O7">(_xll.qwPrice($A$1,F7)-_xll.qwPrice($A$4,F7))*_xll.qwMVFactor($A$1,F7)*I7*_xll.qwFXRate($A$1,F7)</f>
        <v>113803.25772217083</v>
      </c>
      <c r="P7" s="6" cm="1">
        <f t="array" ref="P7">IF(ISNUMBER(_xll.qwDV01($A$1,F7)*I7*_xll.qwMVFactor($A$1,F7)*_xll.qwFXRate($A$1,F7)),_xll.qwDV01($A$1,F7)*I7*_xll.qwMVFactor($A$1,F7)*_xll.qwFXRate($A$1,F7),0)</f>
        <v>56393.540890057557</v>
      </c>
      <c r="Q7" s="6" cm="1">
        <f t="array" ref="Q7">IF(ISNUMBER(_xll.qwDV01($A$1,F7)*G7*_xll.qwMVFactor($A$1,F7)*_xll.qwFXRate($A$1,F7)),_xll.qwDV01($A$1,F7)*G7*_xll.qwMVFactor($A$1,F7)*_xll.qwFXRate($A$1,F7),0)</f>
        <v>56393.540890057557</v>
      </c>
      <c r="R7" s="6" cm="1">
        <f t="array" ref="R7">IF(ISNUMBER(_xll.qwDV01($A$1,F7)*J7*_xll.qwMVFactor($A$1,F7)*_xll.qwFXRate($A$1,F7)),_xll.qwDV01($A$1,F7)*J7*_xll.qwMVFactor($A$1,F7)*_xll.qwFXRate($A$1,F7),0)</f>
        <v>0</v>
      </c>
      <c r="S7" s="6" cm="1">
        <f t="array" ref="S7">IF(ISNUMBER(_xll.qwDV01($A$1,F7)*J7*_xll.qwMVFactor($A$1,F7)*_xll.qwFXRate($A$1,F7)),_xll.qwDV01($A$1,F7)*J7*_xll.qwMVFactor($A$1,F7)*_xll.qwFXRate($A$1,F7),0)</f>
        <v>0</v>
      </c>
      <c r="T7" s="6" cm="1">
        <f t="array" ref="T7">_xll.qwFXRate($A$1,F7)*J7*(_xll.qwPrice($A$1,F7)-M7)*_xll.qwMVFactor($A$1,F7)+L7</f>
        <v>0</v>
      </c>
      <c r="U7" s="8" cm="1">
        <f t="array" ref="U7">_xll.qwYield($A$1,F7)</f>
        <v>4.888613746506925E-2</v>
      </c>
      <c r="V7" s="8" cm="1">
        <f t="array" ref="V7">100*(_xll.qwYield($A$4,F7)-U7)</f>
        <v>2.0160951363486224E-2</v>
      </c>
      <c r="W7" s="6">
        <f>IF(ISNA(G7*INDEX(_xll.qwTblData(_xll.qwCurveScenariosPerSecurity($A$1,F7,"Crv210")),2,2)),0,(G7*INDEX(_xll.qwTblData(_xll.qwCurveScenariosPerSecurity($A$1,F7,"Crv210")),2,2)))</f>
        <v>-173647.64802794618</v>
      </c>
      <c r="X7" s="6" cm="1">
        <f t="array" ref="X7">ABS(Q7/_xll.qwMV01($A$1,"CT10"))</f>
        <v>75.91647942024359</v>
      </c>
      <c r="Y7" s="6" cm="1">
        <f t="array" ref="Y7">IF(N7="BondFuture",-(_xll.qwCurveYield($A$1,_xll.qwSecVal($A$1,AA7,"CreditCurveName()"),AA7)-_xll.qwCurveYield($A$4,_xll.qwSecVal($A$4,AA7,"CreditCurveName()"),AA7))*P7*10000,IF(N7="Bond",-(_xll.qwCurveYield($A$1,_xll.qwSecVal($A$1,F7,"CreditCurveName()"),F7)-_xll.qwCurveYield($A$4,_xll.qwSecVal($A$4,F7,"CreditCurveName()"),F7))*P7*10000,O7))</f>
        <v>113803.25772217083</v>
      </c>
      <c r="Z7" s="6" cm="1">
        <f t="array" ref="Z7">IF(OR(N7="BondFuture",N7="Bond"),P7*(_xll.qwCurveZSpread($A$4,_xll.qwSecVal($A$1,AA7,"CreditCurveName()"),AA7)-_xll.qwCurveZSpread($A$1,_xll.qwSecVal($A$1,AA7,"CreditCurveName()"),AA7)),0)</f>
        <v>0</v>
      </c>
      <c r="AA7" s="9" cm="1">
        <f t="array" ref="AA7">IF(_xll.qwSecType(F7)="Bond",F7,IF(_xll.qwSecType(F7)="BondFuture",_xll.qwFutCTD($A$1,F7),0))</f>
        <v>0</v>
      </c>
      <c r="AB7" s="6" cm="1">
        <f t="array" ref="AB7">IF(_xll.qwSecType(F7)="BondFuture",-(I7*_xll.qwDelta($A$4,F7)*_xll.qwMVFactor($A$1,F7)/_xll.qwMVFactor($A$1,_xll.qwFutCTD($A$1,F7)))*(_xll.qwFXRate($A$1,F7)*_xll.qwMVFactor($A$1,_xll.qwFutCTD($A$1,F7))*(_xll.qwIncome($A$4,_xll.qwFutCTD($A$4,F7),_xll.qwBondSettle($A$4,_xll.qwFutCTD($A$4,F7)),_xll.qwBondSettle($A$1,_xll.qwFutCTD($A$1,F7)))+(_xll.qwSecVal($A$1,AA7,"Price")-_xll.qwSecVal($A$4,AA7,"Price"))-_xll.qwBondRepoFromTo($A$1,AA7,_xll.qwBondSettle($A$4,AA7),_xll.qwBondSettle($A$1,AA7))*_xll.qwSecVal($A$1,AA7,"Price")*(_xll.qwBondSettle($A$1,AA7)-_xll.qwBondSettle($A$4,AA7))/360))+O7,0)</f>
        <v>0</v>
      </c>
      <c r="AC7" s="9" cm="1">
        <f t="array" ref="AC7">O7+T7+IF(ISNUMBER(_xll.qwIncome($A$1,F7,_xll.qwSettle($A$4,F7),_xll.qwSettle($A$1,F7))*_xll.qwMVFactor($A$1,F7)*_xll.qwFXRate($A$1,F7)*I7),_xll.qwIncome($A$1,F7,_xll.qwSettle($A$4,F7),_xll.qwSettle($A$1,F7))*_xll.qwMVFactor($A$1,F7)*_xll.qwFXRate($A$1,F7)*I7,0)+IF(ISNUMBER(-(_xll.qwBondRepoFromTo($A$1,F7,_xll.qwSettle($A$4,F7),_xll.qwSettle($A$1,F7))*_xll.qwSecVal($A$1,F7,"Price")*(_xll.qwSettle($A$1,F7)-_xll.qwSettle($A$4,F7))/360)*_xll.qwMVFactor($A$1,F7)*_xll.qwFXRate($A$1,F7)*I7),-(_xll.qwBondRepoFromTo($A$1,F7,_xll.qwSettle($A$4,F7),_xll.qwSettle($A$1,F7))*_xll.qwSecVal($A$1,F7,"Price")*(_xll.qwSettle($A$1,F7)-_xll.qwSettle($A$4,F7))/360)*_xll.qwMVFactor($A$1,F7)*_xll.qwFXRate($A$1,F7)*I7,0)</f>
        <v>113803.25772217083</v>
      </c>
      <c r="AD7" s="6"/>
    </row>
    <row r="8" spans="1:38" s="7" customFormat="1" x14ac:dyDescent="0.35">
      <c r="B8" s="7" t="str">
        <v>jcleary</v>
      </c>
      <c r="C8" s="7" t="str">
        <v>MAMS</v>
      </c>
      <c r="D8" s="7" t="str">
        <v>jcleary|MAMS|RV_US_20Y_Spread|252972750</v>
      </c>
      <c r="E8" s="7" t="str">
        <v>RV_US_20Y_Spread</v>
      </c>
      <c r="F8" s="7" t="str">
        <v>252972750</v>
      </c>
      <c r="G8" s="7">
        <v>48.2</v>
      </c>
      <c r="H8" s="7">
        <v>0</v>
      </c>
      <c r="I8" s="7">
        <v>48.2</v>
      </c>
      <c r="J8" s="7">
        <v>0</v>
      </c>
      <c r="K8" s="7">
        <v>0</v>
      </c>
      <c r="L8" s="7">
        <v>0</v>
      </c>
      <c r="M8" s="7">
        <v>0</v>
      </c>
      <c r="N8" s="7" t="str">
        <v>SwapTrade</v>
      </c>
      <c r="O8" s="6" cm="1">
        <f t="array" ref="O8">(_xll.qwPrice($A$1,F8)-_xll.qwPrice($A$4,F8))*_xll.qwMVFactor($A$1,F8)*I8*_xll.qwFXRate($A$1,F8)</f>
        <v>-121817.60950149345</v>
      </c>
      <c r="P8" s="6" cm="1">
        <f t="array" ref="P8">IF(ISNUMBER(_xll.qwDV01($A$1,F8)*I8*_xll.qwMVFactor($A$1,F8)*_xll.qwFXRate($A$1,F8)),_xll.qwDV01($A$1,F8)*I8*_xll.qwMVFactor($A$1,F8)*_xll.qwFXRate($A$1,F8),0)</f>
        <v>-59880.912010792592</v>
      </c>
      <c r="Q8" s="6" cm="1">
        <f t="array" ref="Q8">IF(ISNUMBER(_xll.qwDV01($A$1,F8)*G8*_xll.qwMVFactor($A$1,F8)*_xll.qwFXRate($A$1,F8)),_xll.qwDV01($A$1,F8)*G8*_xll.qwMVFactor($A$1,F8)*_xll.qwFXRate($A$1,F8),0)</f>
        <v>-59880.912010792592</v>
      </c>
      <c r="R8" s="6" cm="1">
        <f t="array" ref="R8">IF(ISNUMBER(_xll.qwDV01($A$1,F8)*J8*_xll.qwMVFactor($A$1,F8)*_xll.qwFXRate($A$1,F8)),_xll.qwDV01($A$1,F8)*J8*_xll.qwMVFactor($A$1,F8)*_xll.qwFXRate($A$1,F8),0)</f>
        <v>0</v>
      </c>
      <c r="S8" s="6" cm="1">
        <f t="array" ref="S8">IF(ISNUMBER(_xll.qwDV01($A$1,F8)*J8*_xll.qwMVFactor($A$1,F8)*_xll.qwFXRate($A$1,F8)),_xll.qwDV01($A$1,F8)*J8*_xll.qwMVFactor($A$1,F8)*_xll.qwFXRate($A$1,F8),0)</f>
        <v>0</v>
      </c>
      <c r="T8" s="6" cm="1">
        <f t="array" ref="T8">_xll.qwFXRate($A$1,F8)*J8*(_xll.qwPrice($A$1,F8)-M8)*_xll.qwMVFactor($A$1,F8)+L8</f>
        <v>0</v>
      </c>
      <c r="U8" s="8" cm="1">
        <f t="array" ref="U8">_xll.qwYield($A$1,F8)</f>
        <v>4.9639045301813137E-2</v>
      </c>
      <c r="V8" s="8" cm="1">
        <f t="array" ref="V8">100*(_xll.qwYield($A$4,F8)-U8)</f>
        <v>2.0220187694078989E-2</v>
      </c>
      <c r="W8" s="6">
        <f>IF(ISNA(G8*INDEX(_xll.qwTblData(_xll.qwCurveScenariosPerSecurity($A$1,F8,"Crv210")),2,2)),0,(G8*INDEX(_xll.qwTblData(_xll.qwCurveScenariosPerSecurity($A$1,F8,"Crv210")),2,2)))</f>
        <v>105166.73149286139</v>
      </c>
      <c r="X8" s="6" cm="1">
        <f t="array" ref="X8">ABS(Q8/_xll.qwMV01($A$1,"CT10"))</f>
        <v>80.611147173669039</v>
      </c>
      <c r="Y8" s="6" cm="1">
        <f t="array" ref="Y8">IF(N8="BondFuture",-(_xll.qwCurveYield($A$1,_xll.qwSecVal($A$1,AA8,"CreditCurveName()"),AA8)-_xll.qwCurveYield($A$4,_xll.qwSecVal($A$4,AA8,"CreditCurveName()"),AA8))*P8*10000,IF(N8="Bond",-(_xll.qwCurveYield($A$1,_xll.qwSecVal($A$1,F8,"CreditCurveName()"),F8)-_xll.qwCurveYield($A$4,_xll.qwSecVal($A$4,F8,"CreditCurveName()"),F8))*P8*10000,O8))</f>
        <v>-121817.60950149345</v>
      </c>
      <c r="Z8" s="6" cm="1">
        <f t="array" ref="Z8">IF(OR(N8="BondFuture",N8="Bond"),P8*(_xll.qwCurveZSpread($A$4,_xll.qwSecVal($A$1,AA8,"CreditCurveName()"),AA8)-_xll.qwCurveZSpread($A$1,_xll.qwSecVal($A$1,AA8,"CreditCurveName()"),AA8)),0)</f>
        <v>0</v>
      </c>
      <c r="AA8" s="9" cm="1">
        <f t="array" ref="AA8">IF(_xll.qwSecType(F8)="Bond",F8,IF(_xll.qwSecType(F8)="BondFuture",_xll.qwFutCTD($A$1,F8),0))</f>
        <v>0</v>
      </c>
      <c r="AB8" s="6" cm="1">
        <f t="array" ref="AB8">IF(_xll.qwSecType(F8)="BondFuture",-(I8*_xll.qwDelta($A$4,F8)*_xll.qwMVFactor($A$1,F8)/_xll.qwMVFactor($A$1,_xll.qwFutCTD($A$1,F8)))*(_xll.qwFXRate($A$1,F8)*_xll.qwMVFactor($A$1,_xll.qwFutCTD($A$1,F8))*(_xll.qwIncome($A$4,_xll.qwFutCTD($A$4,F8),_xll.qwBondSettle($A$4,_xll.qwFutCTD($A$4,F8)),_xll.qwBondSettle($A$1,_xll.qwFutCTD($A$1,F8)))+(_xll.qwSecVal($A$1,AA8,"Price")-_xll.qwSecVal($A$4,AA8,"Price"))-_xll.qwBondRepoFromTo($A$1,AA8,_xll.qwBondSettle($A$4,AA8),_xll.qwBondSettle($A$1,AA8))*_xll.qwSecVal($A$1,AA8,"Price")*(_xll.qwBondSettle($A$1,AA8)-_xll.qwBondSettle($A$4,AA8))/360))+O8,0)</f>
        <v>0</v>
      </c>
      <c r="AC8" s="9" cm="1">
        <f t="array" ref="AC8">O8+T8+IF(ISNUMBER(_xll.qwIncome($A$1,F8,_xll.qwSettle($A$4,F8),_xll.qwSettle($A$1,F8))*_xll.qwMVFactor($A$1,F8)*_xll.qwFXRate($A$1,F8)*I8),_xll.qwIncome($A$1,F8,_xll.qwSettle($A$4,F8),_xll.qwSettle($A$1,F8))*_xll.qwMVFactor($A$1,F8)*_xll.qwFXRate($A$1,F8)*I8,0)+IF(ISNUMBER(-(_xll.qwBondRepoFromTo($A$1,F8,_xll.qwSettle($A$4,F8),_xll.qwSettle($A$1,F8))*_xll.qwSecVal($A$1,F8,"Price")*(_xll.qwSettle($A$1,F8)-_xll.qwSettle($A$4,F8))/360)*_xll.qwMVFactor($A$1,F8)*_xll.qwFXRate($A$1,F8)*I8),-(_xll.qwBondRepoFromTo($A$1,F8,_xll.qwSettle($A$4,F8),_xll.qwSettle($A$1,F8))*_xll.qwSecVal($A$1,F8,"Price")*(_xll.qwSettle($A$1,F8)-_xll.qwSettle($A$4,F8))/360)*_xll.qwMVFactor($A$1,F8)*_xll.qwFXRate($A$1,F8)*I8,0)</f>
        <v>-121817.60950149345</v>
      </c>
      <c r="AD8" s="6"/>
    </row>
    <row r="9" spans="1:38" s="7" customFormat="1" x14ac:dyDescent="0.35">
      <c r="B9" s="7" t="str">
        <v>jcleary</v>
      </c>
      <c r="C9" s="7" t="str">
        <v>MAMS</v>
      </c>
      <c r="D9" s="7" t="str">
        <v>jcleary|MAMS|RV_US_20Y_Spread|252973724</v>
      </c>
      <c r="E9" s="7" t="str">
        <v>RV_US_20Y_Spread</v>
      </c>
      <c r="F9" s="7" t="str">
        <v>252973724</v>
      </c>
      <c r="G9" s="7">
        <v>38.799999999999997</v>
      </c>
      <c r="H9" s="7">
        <v>0</v>
      </c>
      <c r="I9" s="7">
        <v>38.799999999999997</v>
      </c>
      <c r="J9" s="7">
        <v>0</v>
      </c>
      <c r="K9" s="7">
        <v>0</v>
      </c>
      <c r="L9" s="7">
        <v>0</v>
      </c>
      <c r="M9" s="7">
        <v>0</v>
      </c>
      <c r="N9" s="7" t="str">
        <v>SwapTrade</v>
      </c>
      <c r="O9" s="6" cm="1">
        <f t="array" ref="O9">(_xll.qwPrice($A$1,F9)-_xll.qwPrice($A$4,F9))*_xll.qwMVFactor($A$1,F9)*I9*_xll.qwFXRate($A$1,F9)</f>
        <v>119475.50513693478</v>
      </c>
      <c r="P9" s="6" cm="1">
        <f t="array" ref="P9">IF(ISNUMBER(_xll.qwDV01($A$1,F9)*I9*_xll.qwMVFactor($A$1,F9)*_xll.qwFXRate($A$1,F9)),_xll.qwDV01($A$1,F9)*I9*_xll.qwMVFactor($A$1,F9)*_xll.qwFXRate($A$1,F9),0)</f>
        <v>59146.843079547019</v>
      </c>
      <c r="Q9" s="6" cm="1">
        <f t="array" ref="Q9">IF(ISNUMBER(_xll.qwDV01($A$1,F9)*G9*_xll.qwMVFactor($A$1,F9)*_xll.qwFXRate($A$1,F9)),_xll.qwDV01($A$1,F9)*G9*_xll.qwMVFactor($A$1,F9)*_xll.qwFXRate($A$1,F9),0)</f>
        <v>59146.843079547019</v>
      </c>
      <c r="R9" s="6" cm="1">
        <f t="array" ref="R9">IF(ISNUMBER(_xll.qwDV01($A$1,F9)*J9*_xll.qwMVFactor($A$1,F9)*_xll.qwFXRate($A$1,F9)),_xll.qwDV01($A$1,F9)*J9*_xll.qwMVFactor($A$1,F9)*_xll.qwFXRate($A$1,F9),0)</f>
        <v>0</v>
      </c>
      <c r="S9" s="6" cm="1">
        <f t="array" ref="S9">IF(ISNUMBER(_xll.qwDV01($A$1,F9)*J9*_xll.qwMVFactor($A$1,F9)*_xll.qwFXRate($A$1,F9)),_xll.qwDV01($A$1,F9)*J9*_xll.qwMVFactor($A$1,F9)*_xll.qwFXRate($A$1,F9),0)</f>
        <v>0</v>
      </c>
      <c r="T9" s="6" cm="1">
        <f t="array" ref="T9">_xll.qwFXRate($A$1,F9)*J9*(_xll.qwPrice($A$1,F9)-M9)*_xll.qwMVFactor($A$1,F9)+L9</f>
        <v>0</v>
      </c>
      <c r="U9" s="8" cm="1">
        <f t="array" ref="U9">_xll.qwYield($A$1,F9)</f>
        <v>4.888613746506925E-2</v>
      </c>
      <c r="V9" s="8" cm="1">
        <f t="array" ref="V9">100*(_xll.qwYield($A$4,F9)-U9)</f>
        <v>2.0160951363486224E-2</v>
      </c>
      <c r="W9" s="6">
        <f>IF(ISNA(G9*INDEX(_xll.qwTblData(_xll.qwCurveScenariosPerSecurity($A$1,F9,"Crv210")),2,2)),0,(G9*INDEX(_xll.qwTblData(_xll.qwCurveScenariosPerSecurity($A$1,F9,"Crv210")),2,2)))</f>
        <v>-180758.41254548545</v>
      </c>
      <c r="X9" s="6" cm="1">
        <f t="array" ref="X9">ABS(Q9/_xll.qwMV01($A$1,"CT10"))</f>
        <v>79.622950156202279</v>
      </c>
      <c r="Y9" s="6" cm="1">
        <f t="array" ref="Y9">IF(N9="BondFuture",-(_xll.qwCurveYield($A$1,_xll.qwSecVal($A$1,AA9,"CreditCurveName()"),AA9)-_xll.qwCurveYield($A$4,_xll.qwSecVal($A$4,AA9,"CreditCurveName()"),AA9))*P9*10000,IF(N9="Bond",-(_xll.qwCurveYield($A$1,_xll.qwSecVal($A$1,F9,"CreditCurveName()"),F9)-_xll.qwCurveYield($A$4,_xll.qwSecVal($A$4,F9,"CreditCurveName()"),F9))*P9*10000,O9))</f>
        <v>119475.50513693478</v>
      </c>
      <c r="Z9" s="6" cm="1">
        <f t="array" ref="Z9">IF(OR(N9="BondFuture",N9="Bond"),P9*(_xll.qwCurveZSpread($A$4,_xll.qwSecVal($A$1,AA9,"CreditCurveName()"),AA9)-_xll.qwCurveZSpread($A$1,_xll.qwSecVal($A$1,AA9,"CreditCurveName()"),AA9)),0)</f>
        <v>0</v>
      </c>
      <c r="AA9" s="9" cm="1">
        <f t="array" ref="AA9">IF(_xll.qwSecType(F9)="Bond",F9,IF(_xll.qwSecType(F9)="BondFuture",_xll.qwFutCTD($A$1,F9),0))</f>
        <v>0</v>
      </c>
      <c r="AB9" s="6" cm="1">
        <f t="array" ref="AB9">IF(_xll.qwSecType(F9)="BondFuture",-(I9*_xll.qwDelta($A$4,F9)*_xll.qwMVFactor($A$1,F9)/_xll.qwMVFactor($A$1,_xll.qwFutCTD($A$1,F9)))*(_xll.qwFXRate($A$1,F9)*_xll.qwMVFactor($A$1,_xll.qwFutCTD($A$1,F9))*(_xll.qwIncome($A$4,_xll.qwFutCTD($A$4,F9),_xll.qwBondSettle($A$4,_xll.qwFutCTD($A$4,F9)),_xll.qwBondSettle($A$1,_xll.qwFutCTD($A$1,F9)))+(_xll.qwSecVal($A$1,AA9,"Price")-_xll.qwSecVal($A$4,AA9,"Price"))-_xll.qwBondRepoFromTo($A$1,AA9,_xll.qwBondSettle($A$4,AA9),_xll.qwBondSettle($A$1,AA9))*_xll.qwSecVal($A$1,AA9,"Price")*(_xll.qwBondSettle($A$1,AA9)-_xll.qwBondSettle($A$4,AA9))/360))+O9,0)</f>
        <v>0</v>
      </c>
      <c r="AC9" s="9" cm="1">
        <f t="array" ref="AC9">O9+T9+IF(ISNUMBER(_xll.qwIncome($A$1,F9,_xll.qwSettle($A$4,F9),_xll.qwSettle($A$1,F9))*_xll.qwMVFactor($A$1,F9)*_xll.qwFXRate($A$1,F9)*I9),_xll.qwIncome($A$1,F9,_xll.qwSettle($A$4,F9),_xll.qwSettle($A$1,F9))*_xll.qwMVFactor($A$1,F9)*_xll.qwFXRate($A$1,F9)*I9,0)+IF(ISNUMBER(-(_xll.qwBondRepoFromTo($A$1,F9,_xll.qwSettle($A$4,F9),_xll.qwSettle($A$1,F9))*_xll.qwSecVal($A$1,F9,"Price")*(_xll.qwSettle($A$1,F9)-_xll.qwSettle($A$4,F9))/360)*_xll.qwMVFactor($A$1,F9)*_xll.qwFXRate($A$1,F9)*I9),-(_xll.qwBondRepoFromTo($A$1,F9,_xll.qwSettle($A$4,F9),_xll.qwSettle($A$1,F9))*_xll.qwSecVal($A$1,F9,"Price")*(_xll.qwSettle($A$1,F9)-_xll.qwSettle($A$4,F9))/360)*_xll.qwMVFactor($A$1,F9)*_xll.qwFXRate($A$1,F9)*I9,0)</f>
        <v>119475.50513693478</v>
      </c>
      <c r="AD9" s="6"/>
    </row>
    <row r="10" spans="1:38" s="7" customFormat="1" x14ac:dyDescent="0.35">
      <c r="B10" s="7" t="str">
        <v>jcleary</v>
      </c>
      <c r="C10" s="7" t="str">
        <v>MAMS</v>
      </c>
      <c r="D10" s="7" t="str">
        <v>jcleary|MAMS|RV_US_20Y_Spread|253291819</v>
      </c>
      <c r="E10" s="7" t="str">
        <v>RV_US_20Y_Spread</v>
      </c>
      <c r="F10" s="7" t="str">
        <v>253291819</v>
      </c>
      <c r="G10" s="7">
        <v>48.1</v>
      </c>
      <c r="H10" s="7">
        <v>0</v>
      </c>
      <c r="I10" s="7">
        <v>48.1</v>
      </c>
      <c r="J10" s="7">
        <v>0</v>
      </c>
      <c r="K10" s="7">
        <v>0</v>
      </c>
      <c r="L10" s="7">
        <v>0</v>
      </c>
      <c r="M10" s="7">
        <v>0</v>
      </c>
      <c r="N10" s="7" t="str">
        <v>SwapTrade</v>
      </c>
      <c r="O10" s="6" cm="1">
        <f t="array" ref="O10">(_xll.qwPrice($A$1,F10)-_xll.qwPrice($A$4,F10))*_xll.qwMVFactor($A$1,F10)*I10*_xll.qwFXRate($A$1,F10)</f>
        <v>-121046.29700759827</v>
      </c>
      <c r="P10" s="6" cm="1">
        <f t="array" ref="P10">IF(ISNUMBER(_xll.qwDV01($A$1,F10)*I10*_xll.qwMVFactor($A$1,F10)*_xll.qwFXRate($A$1,F10)),_xll.qwDV01($A$1,F10)*I10*_xll.qwMVFactor($A$1,F10)*_xll.qwFXRate($A$1,F10),0)</f>
        <v>-59492.602009428701</v>
      </c>
      <c r="Q10" s="6" cm="1">
        <f t="array" ref="Q10">IF(ISNUMBER(_xll.qwDV01($A$1,F10)*G10*_xll.qwMVFactor($A$1,F10)*_xll.qwFXRate($A$1,F10)),_xll.qwDV01($A$1,F10)*G10*_xll.qwMVFactor($A$1,F10)*_xll.qwFXRate($A$1,F10),0)</f>
        <v>-59492.602009428701</v>
      </c>
      <c r="R10" s="6" cm="1">
        <f t="array" ref="R10">IF(ISNUMBER(_xll.qwDV01($A$1,F10)*J10*_xll.qwMVFactor($A$1,F10)*_xll.qwFXRate($A$1,F10)),_xll.qwDV01($A$1,F10)*J10*_xll.qwMVFactor($A$1,F10)*_xll.qwFXRate($A$1,F10),0)</f>
        <v>0</v>
      </c>
      <c r="S10" s="6" cm="1">
        <f t="array" ref="S10">IF(ISNUMBER(_xll.qwDV01($A$1,F10)*J10*_xll.qwMVFactor($A$1,F10)*_xll.qwFXRate($A$1,F10)),_xll.qwDV01($A$1,F10)*J10*_xll.qwMVFactor($A$1,F10)*_xll.qwFXRate($A$1,F10),0)</f>
        <v>0</v>
      </c>
      <c r="T10" s="6" cm="1">
        <f t="array" ref="T10">_xll.qwFXRate($A$1,F10)*J10*(_xll.qwPrice($A$1,F10)-M10)*_xll.qwMVFactor($A$1,F10)+L10</f>
        <v>0</v>
      </c>
      <c r="U10" s="8" cm="1">
        <f t="array" ref="U10">_xll.qwYield($A$1,F10)</f>
        <v>4.9639045301813137E-2</v>
      </c>
      <c r="V10" s="8" cm="1">
        <f t="array" ref="V10">100*(_xll.qwYield($A$4,F10)-U10)</f>
        <v>2.0220187694078989E-2</v>
      </c>
      <c r="W10" s="6">
        <f>IF(ISNA(G10*INDEX(_xll.qwTblData(_xll.qwCurveScenariosPerSecurity($A$1,F10,"Crv210")),2,2)),0,(G10*INDEX(_xll.qwTblData(_xll.qwCurveScenariosPerSecurity($A$1,F10,"Crv210")),2,2)))</f>
        <v>104684.27761743907</v>
      </c>
      <c r="X10" s="6" cm="1">
        <f t="array" ref="X10">ABS(Q10/_xll.qwMV01($A$1,"CT10"))</f>
        <v>80.088407729364818</v>
      </c>
      <c r="Y10" s="6" cm="1">
        <f t="array" ref="Y10">IF(N10="BondFuture",-(_xll.qwCurveYield($A$1,_xll.qwSecVal($A$1,AA10,"CreditCurveName()"),AA10)-_xll.qwCurveYield($A$4,_xll.qwSecVal($A$4,AA10,"CreditCurveName()"),AA10))*P10*10000,IF(N10="Bond",-(_xll.qwCurveYield($A$1,_xll.qwSecVal($A$1,F10,"CreditCurveName()"),F10)-_xll.qwCurveYield($A$4,_xll.qwSecVal($A$4,F10,"CreditCurveName()"),F10))*P10*10000,O10))</f>
        <v>-121046.29700759827</v>
      </c>
      <c r="Z10" s="6" cm="1">
        <f t="array" ref="Z10">IF(OR(N10="BondFuture",N10="Bond"),P10*(_xll.qwCurveZSpread($A$4,_xll.qwSecVal($A$1,AA10,"CreditCurveName()"),AA10)-_xll.qwCurveZSpread($A$1,_xll.qwSecVal($A$1,AA10,"CreditCurveName()"),AA10)),0)</f>
        <v>0</v>
      </c>
      <c r="AA10" s="9" cm="1">
        <f t="array" ref="AA10">IF(_xll.qwSecType(F10)="Bond",F10,IF(_xll.qwSecType(F10)="BondFuture",_xll.qwFutCTD($A$1,F10),0))</f>
        <v>0</v>
      </c>
      <c r="AB10" s="6" cm="1">
        <f t="array" ref="AB10">IF(_xll.qwSecType(F10)="BondFuture",-(I10*_xll.qwDelta($A$4,F10)*_xll.qwMVFactor($A$1,F10)/_xll.qwMVFactor($A$1,_xll.qwFutCTD($A$1,F10)))*(_xll.qwFXRate($A$1,F10)*_xll.qwMVFactor($A$1,_xll.qwFutCTD($A$1,F10))*(_xll.qwIncome($A$4,_xll.qwFutCTD($A$4,F10),_xll.qwBondSettle($A$4,_xll.qwFutCTD($A$4,F10)),_xll.qwBondSettle($A$1,_xll.qwFutCTD($A$1,F10)))+(_xll.qwSecVal($A$1,AA10,"Price")-_xll.qwSecVal($A$4,AA10,"Price"))-_xll.qwBondRepoFromTo($A$1,AA10,_xll.qwBondSettle($A$4,AA10),_xll.qwBondSettle($A$1,AA10))*_xll.qwSecVal($A$1,AA10,"Price")*(_xll.qwBondSettle($A$1,AA10)-_xll.qwBondSettle($A$4,AA10))/360))+O10,0)</f>
        <v>0</v>
      </c>
      <c r="AC10" s="9" cm="1">
        <f t="array" ref="AC10">O10+T10+IF(ISNUMBER(_xll.qwIncome($A$1,F10,_xll.qwSettle($A$4,F10),_xll.qwSettle($A$1,F10))*_xll.qwMVFactor($A$1,F10)*_xll.qwFXRate($A$1,F10)*I10),_xll.qwIncome($A$1,F10,_xll.qwSettle($A$4,F10),_xll.qwSettle($A$1,F10))*_xll.qwMVFactor($A$1,F10)*_xll.qwFXRate($A$1,F10)*I10,0)+IF(ISNUMBER(-(_xll.qwBondRepoFromTo($A$1,F10,_xll.qwSettle($A$4,F10),_xll.qwSettle($A$1,F10))*_xll.qwSecVal($A$1,F10,"Price")*(_xll.qwSettle($A$1,F10)-_xll.qwSettle($A$4,F10))/360)*_xll.qwMVFactor($A$1,F10)*_xll.qwFXRate($A$1,F10)*I10),-(_xll.qwBondRepoFromTo($A$1,F10,_xll.qwSettle($A$4,F10),_xll.qwSettle($A$1,F10))*_xll.qwSecVal($A$1,F10,"Price")*(_xll.qwSettle($A$1,F10)-_xll.qwSettle($A$4,F10))/360)*_xll.qwMVFactor($A$1,F10)*_xll.qwFXRate($A$1,F10)*I10,0)</f>
        <v>-121046.29700759827</v>
      </c>
      <c r="AD10" s="6"/>
    </row>
    <row r="11" spans="1:38" s="7" customFormat="1" x14ac:dyDescent="0.35">
      <c r="B11" s="7" t="str">
        <v>jcleary</v>
      </c>
      <c r="C11" s="7" t="str">
        <v>MAMS</v>
      </c>
      <c r="D11" s="7" t="str">
        <v>jcleary|MAMS|RV_US_20Y_Spread|253291823</v>
      </c>
      <c r="E11" s="7" t="str">
        <v>RV_US_20Y_Spread</v>
      </c>
      <c r="F11" s="7" t="str">
        <v>253291823</v>
      </c>
      <c r="G11" s="7">
        <v>38.6</v>
      </c>
      <c r="H11" s="7">
        <v>0</v>
      </c>
      <c r="I11" s="7">
        <v>38.6</v>
      </c>
      <c r="J11" s="7">
        <v>0</v>
      </c>
      <c r="K11" s="7">
        <v>0</v>
      </c>
      <c r="L11" s="7">
        <v>0</v>
      </c>
      <c r="M11" s="7">
        <v>0</v>
      </c>
      <c r="N11" s="7" t="str">
        <v>SwapTrade</v>
      </c>
      <c r="O11" s="6" cm="1">
        <f t="array" ref="O11">(_xll.qwPrice($A$1,F11)-_xll.qwPrice($A$4,F11))*_xll.qwMVFactor($A$1,F11)*I11*_xll.qwFXRate($A$1,F11)</f>
        <v>118155.79586382574</v>
      </c>
      <c r="P11" s="6" cm="1">
        <f t="array" ref="P11">IF(ISNUMBER(_xll.qwDV01($A$1,F11)*I11*_xll.qwMVFactor($A$1,F11)*_xll.qwFXRate($A$1,F11)),_xll.qwDV01($A$1,F11)*I11*_xll.qwMVFactor($A$1,F11)*_xll.qwFXRate($A$1,F11),0)</f>
        <v>58498.958670808359</v>
      </c>
      <c r="Q11" s="6" cm="1">
        <f t="array" ref="Q11">IF(ISNUMBER(_xll.qwDV01($A$1,F11)*G11*_xll.qwMVFactor($A$1,F11)*_xll.qwFXRate($A$1,F11)),_xll.qwDV01($A$1,F11)*G11*_xll.qwMVFactor($A$1,F11)*_xll.qwFXRate($A$1,F11),0)</f>
        <v>58498.958670808359</v>
      </c>
      <c r="R11" s="6" cm="1">
        <f t="array" ref="R11">IF(ISNUMBER(_xll.qwDV01($A$1,F11)*J11*_xll.qwMVFactor($A$1,F11)*_xll.qwFXRate($A$1,F11)),_xll.qwDV01($A$1,F11)*J11*_xll.qwMVFactor($A$1,F11)*_xll.qwFXRate($A$1,F11),0)</f>
        <v>0</v>
      </c>
      <c r="S11" s="6" cm="1">
        <f t="array" ref="S11">IF(ISNUMBER(_xll.qwDV01($A$1,F11)*J11*_xll.qwMVFactor($A$1,F11)*_xll.qwFXRate($A$1,F11)),_xll.qwDV01($A$1,F11)*J11*_xll.qwMVFactor($A$1,F11)*_xll.qwFXRate($A$1,F11),0)</f>
        <v>0</v>
      </c>
      <c r="T11" s="6" cm="1">
        <f t="array" ref="T11">_xll.qwFXRate($A$1,F11)*J11*(_xll.qwPrice($A$1,F11)-M11)*_xll.qwMVFactor($A$1,F11)+L11</f>
        <v>0</v>
      </c>
      <c r="U11" s="8" cm="1">
        <f t="array" ref="U11">_xll.qwYield($A$1,F11)</f>
        <v>4.888613746506925E-2</v>
      </c>
      <c r="V11" s="8" cm="1">
        <f t="array" ref="V11">100*(_xll.qwYield($A$4,F11)-U11)</f>
        <v>2.0160951363486224E-2</v>
      </c>
      <c r="W11" s="6">
        <f>IF(ISNA(G11*INDEX(_xll.qwTblData(_xll.qwCurveScenariosPerSecurity($A$1,F11,"Crv210")),2,2)),0,(G11*INDEX(_xll.qwTblData(_xll.qwCurveScenariosPerSecurity($A$1,F11,"Crv210")),2,2)))</f>
        <v>-179152.96305776565</v>
      </c>
      <c r="X11" s="6" cm="1">
        <f t="array" ref="X11">ABS(Q11/_xll.qwMV01($A$1,"CT10"))</f>
        <v>78.750773970660134</v>
      </c>
      <c r="Y11" s="6" cm="1">
        <f t="array" ref="Y11">IF(N11="BondFuture",-(_xll.qwCurveYield($A$1,_xll.qwSecVal($A$1,AA11,"CreditCurveName()"),AA11)-_xll.qwCurveYield($A$4,_xll.qwSecVal($A$4,AA11,"CreditCurveName()"),AA11))*P11*10000,IF(N11="Bond",-(_xll.qwCurveYield($A$1,_xll.qwSecVal($A$1,F11,"CreditCurveName()"),F11)-_xll.qwCurveYield($A$4,_xll.qwSecVal($A$4,F11,"CreditCurveName()"),F11))*P11*10000,O11))</f>
        <v>118155.79586382574</v>
      </c>
      <c r="Z11" s="6" cm="1">
        <f t="array" ref="Z11">IF(OR(N11="BondFuture",N11="Bond"),P11*(_xll.qwCurveZSpread($A$4,_xll.qwSecVal($A$1,AA11,"CreditCurveName()"),AA11)-_xll.qwCurveZSpread($A$1,_xll.qwSecVal($A$1,AA11,"CreditCurveName()"),AA11)),0)</f>
        <v>0</v>
      </c>
      <c r="AA11" s="9" cm="1">
        <f t="array" ref="AA11">IF(_xll.qwSecType(F11)="Bond",F11,IF(_xll.qwSecType(F11)="BondFuture",_xll.qwFutCTD($A$1,F11),0))</f>
        <v>0</v>
      </c>
      <c r="AB11" s="6" cm="1">
        <f t="array" ref="AB11">IF(_xll.qwSecType(F11)="BondFuture",-(I11*_xll.qwDelta($A$4,F11)*_xll.qwMVFactor($A$1,F11)/_xll.qwMVFactor($A$1,_xll.qwFutCTD($A$1,F11)))*(_xll.qwFXRate($A$1,F11)*_xll.qwMVFactor($A$1,_xll.qwFutCTD($A$1,F11))*(_xll.qwIncome($A$4,_xll.qwFutCTD($A$4,F11),_xll.qwBondSettle($A$4,_xll.qwFutCTD($A$4,F11)),_xll.qwBondSettle($A$1,_xll.qwFutCTD($A$1,F11)))+(_xll.qwSecVal($A$1,AA11,"Price")-_xll.qwSecVal($A$4,AA11,"Price"))-_xll.qwBondRepoFromTo($A$1,AA11,_xll.qwBondSettle($A$4,AA11),_xll.qwBondSettle($A$1,AA11))*_xll.qwSecVal($A$1,AA11,"Price")*(_xll.qwBondSettle($A$1,AA11)-_xll.qwBondSettle($A$4,AA11))/360))+O11,0)</f>
        <v>0</v>
      </c>
      <c r="AC11" s="9" cm="1">
        <f t="array" ref="AC11">O11+T11+IF(ISNUMBER(_xll.qwIncome($A$1,F11,_xll.qwSettle($A$4,F11),_xll.qwSettle($A$1,F11))*_xll.qwMVFactor($A$1,F11)*_xll.qwFXRate($A$1,F11)*I11),_xll.qwIncome($A$1,F11,_xll.qwSettle($A$4,F11),_xll.qwSettle($A$1,F11))*_xll.qwMVFactor($A$1,F11)*_xll.qwFXRate($A$1,F11)*I11,0)+IF(ISNUMBER(-(_xll.qwBondRepoFromTo($A$1,F11,_xll.qwSettle($A$4,F11),_xll.qwSettle($A$1,F11))*_xll.qwSecVal($A$1,F11,"Price")*(_xll.qwSettle($A$1,F11)-_xll.qwSettle($A$4,F11))/360)*_xll.qwMVFactor($A$1,F11)*_xll.qwFXRate($A$1,F11)*I11),-(_xll.qwBondRepoFromTo($A$1,F11,_xll.qwSettle($A$4,F11),_xll.qwSettle($A$1,F11))*_xll.qwSecVal($A$1,F11,"Price")*(_xll.qwSettle($A$1,F11)-_xll.qwSettle($A$4,F11))/360)*_xll.qwMVFactor($A$1,F11)*_xll.qwFXRate($A$1,F11)*I11,0)</f>
        <v>118155.79586382574</v>
      </c>
      <c r="AD11" s="6"/>
      <c r="AG11" s="14"/>
    </row>
    <row r="12" spans="1:38" s="7" customFormat="1" x14ac:dyDescent="0.35">
      <c r="B12" s="7" t="str">
        <v>jcleary</v>
      </c>
      <c r="C12" s="7" t="str">
        <v>MAMS</v>
      </c>
      <c r="D12" s="7" t="str">
        <v>jcleary|MAMS|RV_US_20Y_Spread|912810UW6</v>
      </c>
      <c r="E12" s="7" t="str">
        <v>RV_US_20Y_Spread</v>
      </c>
      <c r="F12" s="7" t="str">
        <v>912810UW6</v>
      </c>
      <c r="G12" s="7">
        <v>-126.8</v>
      </c>
      <c r="H12" s="7">
        <v>0</v>
      </c>
      <c r="I12" s="7">
        <v>-126.8</v>
      </c>
      <c r="J12" s="7">
        <v>0</v>
      </c>
      <c r="K12" s="7">
        <v>0</v>
      </c>
      <c r="L12" s="7">
        <v>0</v>
      </c>
      <c r="M12" s="7">
        <v>0</v>
      </c>
      <c r="N12" s="7" t="str">
        <v>Bond</v>
      </c>
      <c r="O12" s="6" cm="1">
        <f t="array" ref="O12">(_xll.qwPrice($A$1,F12)-_xll.qwPrice($A$4,F12))*_xll.qwMVFactor($A$1,F12)*I12*_xll.qwFXRate($A$1,F12)</f>
        <v>-673625.00000039651</v>
      </c>
      <c r="P12" s="6" cm="1">
        <f t="array" ref="P12">IF(ISNUMBER(_xll.qwDV01($A$1,F12)*I12*_xll.qwMVFactor($A$1,F12)*_xll.qwFXRate($A$1,F12)),_xll.qwDV01($A$1,F12)*I12*_xll.qwMVFactor($A$1,F12)*_xll.qwFXRate($A$1,F12),0)</f>
        <v>-176321.2945320447</v>
      </c>
      <c r="Q12" s="6" cm="1">
        <f t="array" ref="Q12">IF(ISNUMBER(_xll.qwDV01($A$1,F12)*G12*_xll.qwMVFactor($A$1,F12)*_xll.qwFXRate($A$1,F12)),_xll.qwDV01($A$1,F12)*G12*_xll.qwMVFactor($A$1,F12)*_xll.qwFXRate($A$1,F12),0)</f>
        <v>-176321.2945320447</v>
      </c>
      <c r="R12" s="6" cm="1">
        <f t="array" ref="R12">IF(ISNUMBER(_xll.qwDV01($A$1,F12)*J12*_xll.qwMVFactor($A$1,F12)*_xll.qwFXRate($A$1,F12)),_xll.qwDV01($A$1,F12)*J12*_xll.qwMVFactor($A$1,F12)*_xll.qwFXRate($A$1,F12),0)</f>
        <v>0</v>
      </c>
      <c r="S12" s="6" cm="1">
        <f t="array" ref="S12">IF(ISNUMBER(_xll.qwDV01($A$1,F12)*J12*_xll.qwMVFactor($A$1,F12)*_xll.qwFXRate($A$1,F12)),_xll.qwDV01($A$1,F12)*J12*_xll.qwMVFactor($A$1,F12)*_xll.qwFXRate($A$1,F12),0)</f>
        <v>0</v>
      </c>
      <c r="T12" s="6" cm="1">
        <f t="array" ref="T12">_xll.qwFXRate($A$1,F12)*J12*(_xll.qwPrice($A$1,F12)-M12)*_xll.qwMVFactor($A$1,F12)+L12</f>
        <v>0</v>
      </c>
      <c r="U12" s="8" cm="1">
        <f t="array" ref="U12">_xll.qwYield($A$1,F12)</f>
        <v>5.523658204135673E-2</v>
      </c>
      <c r="V12" s="8" cm="1">
        <f t="array" ref="V12">100*(_xll.qwYield($A$4,F12)-U12)</f>
        <v>3.8355584894027295E-2</v>
      </c>
      <c r="W12" s="6">
        <f>IF(ISNA(G12*INDEX(_xll.qwTblData(_xll.qwCurveScenariosPerSecurity($A$1,F12,"Crv210")),2,2)),0,(G12*INDEX(_xll.qwTblData(_xll.qwCurveScenariosPerSecurity($A$1,F12,"Crv210")),2,2)))</f>
        <v>533164.62671536743</v>
      </c>
      <c r="X12" s="6" cm="1">
        <f t="array" ref="X12">ABS(Q12/_xll.qwMV01($A$1,"CT10"))</f>
        <v>237.36214673572022</v>
      </c>
      <c r="Y12" s="6" cm="1">
        <f t="array" ref="Y12">IF(N12="BondFuture",-(_xll.qwCurveYield($A$1,_xll.qwSecVal($A$1,AA12,"CreditCurveName()"),AA12)-_xll.qwCurveYield($A$4,_xll.qwSecVal($A$4,AA12,"CreditCurveName()"),AA12))*P12*10000,IF(N12="Bond",-(_xll.qwCurveYield($A$1,_xll.qwSecVal($A$1,F12,"CreditCurveName()"),F12)-_xll.qwCurveYield($A$4,_xll.qwSecVal($A$4,F12,"CreditCurveName()"),F12))*P12*10000,O12))</f>
        <v>-685243.56214963249</v>
      </c>
      <c r="Z12" s="6" cm="1">
        <f t="array" ref="Z12">IF(OR(N12="BondFuture",N12="Bond"),P12*(_xll.qwCurveZSpread($A$4,_xll.qwSecVal($A$1,AA12,"CreditCurveName()"),AA12)-_xll.qwCurveZSpread($A$1,_xll.qwSecVal($A$1,AA12,"CreditCurveName()"),AA12)),0)</f>
        <v>8952.924044769441</v>
      </c>
      <c r="AA12" s="9" t="str" cm="1">
        <f t="array" ref="AA12">IF(_xll.qwSecType(F12)="Bond",F12,IF(_xll.qwSecType(F12)="BondFuture",_xll.qwFutCTD($A$1,F12),0))</f>
        <v>912810UW6</v>
      </c>
      <c r="AB12" s="6" cm="1">
        <f t="array" ref="AB12">IF(_xll.qwSecType(F12)="BondFuture",-(I12*_xll.qwDelta($A$4,F12)*_xll.qwMVFactor($A$1,F12)/_xll.qwMVFactor($A$1,_xll.qwFutCTD($A$1,F12)))*(_xll.qwFXRate($A$1,F12)*_xll.qwMVFactor($A$1,_xll.qwFutCTD($A$1,F12))*(_xll.qwIncome($A$4,_xll.qwFutCTD($A$4,F12),_xll.qwBondSettle($A$4,_xll.qwFutCTD($A$4,F12)),_xll.qwBondSettle($A$1,_xll.qwFutCTD($A$1,F12)))+(_xll.qwSecVal($A$1,AA12,"Price")-_xll.qwSecVal($A$4,AA12,"Price"))-_xll.qwBondRepoFromTo($A$1,AA12,_xll.qwBondSettle($A$4,AA12),_xll.qwBondSettle($A$1,AA12))*_xll.qwSecVal($A$1,AA12,"Price")*(_xll.qwBondSettle($A$1,AA12)-_xll.qwBondSettle($A$4,AA12))/360))+O12,0)</f>
        <v>0</v>
      </c>
      <c r="AC12" s="9" cm="1">
        <f t="array" ref="AC12">O12+T12+IF(ISNUMBER(_xll.qwIncome($A$1,F12,_xll.qwSettle($A$4,F12),_xll.qwSettle($A$1,F12))*_xll.qwMVFactor($A$1,F12)*_xll.qwFXRate($A$1,F12)*I12),_xll.qwIncome($A$1,F12,_xll.qwSettle($A$4,F12),_xll.qwSettle($A$1,F12))*_xll.qwMVFactor($A$1,F12)*_xll.qwFXRate($A$1,F12)*I12,0)+IF(ISNUMBER(-(_xll.qwBondRepoFromTo($A$1,F12,_xll.qwSettle($A$4,F12),_xll.qwSettle($A$1,F12))*_xll.qwSecVal($A$1,F12,"Price")*(_xll.qwSettle($A$1,F12)-_xll.qwSettle($A$4,F12))/360)*_xll.qwMVFactor($A$1,F12)*_xll.qwFXRate($A$1,F12)*I12),-(_xll.qwBondRepoFromTo($A$1,F12,_xll.qwSettle($A$4,F12),_xll.qwSettle($A$1,F12))*_xll.qwSecVal($A$1,F12,"Price")*(_xll.qwSettle($A$1,F12)-_xll.qwSettle($A$4,F12))/360)*_xll.qwMVFactor($A$1,F12)*_xll.qwFXRate($A$1,F12)*I12,0)</f>
        <v>-678329.05827100039</v>
      </c>
      <c r="AD12" s="6"/>
      <c r="AG12" s="15"/>
      <c r="AH12" s="15"/>
    </row>
    <row r="13" spans="1:38" s="7" customFormat="1" x14ac:dyDescent="0.35">
      <c r="B13" s="7" t="str">
        <v>jcleary</v>
      </c>
      <c r="C13" s="7" t="str">
        <v>MAMS</v>
      </c>
      <c r="D13" s="7" t="str">
        <v>jcleary|MAMS|RV_US_20Y_Spread|912810UX4</v>
      </c>
      <c r="E13" s="7" t="str">
        <v>RV_US_20Y_Spread</v>
      </c>
      <c r="F13" s="7" t="str">
        <v>912810UX4</v>
      </c>
      <c r="G13" s="7">
        <v>154.9</v>
      </c>
      <c r="H13" s="7">
        <v>0</v>
      </c>
      <c r="I13" s="7">
        <v>154.9</v>
      </c>
      <c r="J13" s="7">
        <v>0</v>
      </c>
      <c r="K13" s="7">
        <v>0</v>
      </c>
      <c r="L13" s="7">
        <v>0</v>
      </c>
      <c r="M13" s="7">
        <v>0</v>
      </c>
      <c r="N13" s="7" t="str">
        <v>Bond</v>
      </c>
      <c r="O13" s="6" cm="1">
        <f t="array" ref="O13">(_xll.qwPrice($A$1,F13)-_xll.qwPrice($A$4,F13))*_xll.qwMVFactor($A$1,F13)*I13*_xll.qwFXRate($A$1,F13)</f>
        <v>580874.99999920756</v>
      </c>
      <c r="P13" s="6" cm="1">
        <f t="array" ref="P13">IF(ISNUMBER(_xll.qwDV01($A$1,F13)*I13*_xll.qwMVFactor($A$1,F13)*_xll.qwFXRate($A$1,F13)),_xll.qwDV01($A$1,F13)*I13*_xll.qwMVFactor($A$1,F13)*_xll.qwFXRate($A$1,F13),0)</f>
        <v>177786.15332986193</v>
      </c>
      <c r="Q13" s="6" cm="1">
        <f t="array" ref="Q13">IF(ISNUMBER(_xll.qwDV01($A$1,F13)*G13*_xll.qwMVFactor($A$1,F13)*_xll.qwFXRate($A$1,F13)),_xll.qwDV01($A$1,F13)*G13*_xll.qwMVFactor($A$1,F13)*_xll.qwFXRate($A$1,F13),0)</f>
        <v>177786.15332986193</v>
      </c>
      <c r="R13" s="6" cm="1">
        <f t="array" ref="R13">IF(ISNUMBER(_xll.qwDV01($A$1,F13)*J13*_xll.qwMVFactor($A$1,F13)*_xll.qwFXRate($A$1,F13)),_xll.qwDV01($A$1,F13)*J13*_xll.qwMVFactor($A$1,F13)*_xll.qwFXRate($A$1,F13),0)</f>
        <v>0</v>
      </c>
      <c r="S13" s="6" cm="1">
        <f t="array" ref="S13">IF(ISNUMBER(_xll.qwDV01($A$1,F13)*J13*_xll.qwMVFactor($A$1,F13)*_xll.qwFXRate($A$1,F13)),_xll.qwDV01($A$1,F13)*J13*_xll.qwMVFactor($A$1,F13)*_xll.qwFXRate($A$1,F13),0)</f>
        <v>0</v>
      </c>
      <c r="T13" s="6" cm="1">
        <f t="array" ref="T13">_xll.qwFXRate($A$1,F13)*J13*(_xll.qwPrice($A$1,F13)-M13)*_xll.qwMVFactor($A$1,F13)+L13</f>
        <v>0</v>
      </c>
      <c r="U13" s="8" cm="1">
        <f t="array" ref="U13">_xll.qwYield($A$1,F13)</f>
        <v>5.5729398215671688E-2</v>
      </c>
      <c r="V13" s="8" cm="1">
        <f t="array" ref="V13">100*(_xll.qwYield($A$4,F13)-U13)</f>
        <v>3.2729164654660831E-2</v>
      </c>
      <c r="W13" s="6">
        <f>IF(ISNA(G13*INDEX(_xll.qwTblData(_xll.qwCurveScenariosPerSecurity($A$1,F13,"Crv210")),2,2)),0,(G13*INDEX(_xll.qwTblData(_xll.qwCurveScenariosPerSecurity($A$1,F13,"Crv210")),2,2)))</f>
        <v>-312509.43186667649</v>
      </c>
      <c r="X13" s="6" cm="1">
        <f t="array" ref="X13">ABS(Q13/_xll.qwMV01($A$1,"CT10"))</f>
        <v>239.33412652317244</v>
      </c>
      <c r="Y13" s="6" cm="1">
        <f t="array" ref="Y13">IF(N13="BondFuture",-(_xll.qwCurveYield($A$1,_xll.qwSecVal($A$1,AA13,"CreditCurveName()"),AA13)-_xll.qwCurveYield($A$4,_xll.qwSecVal($A$4,AA13,"CreditCurveName()"),AA13))*P13*10000,IF(N13="Bond",-(_xll.qwCurveYield($A$1,_xll.qwSecVal($A$1,F13,"CreditCurveName()"),F13)-_xll.qwCurveYield($A$4,_xll.qwSecVal($A$4,F13,"CreditCurveName()"),F13))*P13*10000,O13))</f>
        <v>577331.11589056603</v>
      </c>
      <c r="Z13" s="6" cm="1">
        <f t="array" ref="Z13">IF(OR(N13="BondFuture",N13="Bond"),P13*(_xll.qwCurveZSpread($A$4,_xll.qwSecVal($A$1,AA13,"CreditCurveName()"),AA13)-_xll.qwCurveZSpread($A$1,_xll.qwSecVal($A$1,AA13,"CreditCurveName()"),AA13)),0)</f>
        <v>4548.1126746167647</v>
      </c>
      <c r="AA13" s="9" t="str" cm="1">
        <f t="array" ref="AA13">IF(_xll.qwSecType(F13)="Bond",F13,IF(_xll.qwSecType(F13)="BondFuture",_xll.qwFutCTD($A$1,F13),0))</f>
        <v>912810UX4</v>
      </c>
      <c r="AB13" s="6" cm="1">
        <f t="array" ref="AB13">IF(_xll.qwSecType(F13)="BondFuture",-(I13*_xll.qwDelta($A$4,F13)*_xll.qwMVFactor($A$1,F13)/_xll.qwMVFactor($A$1,_xll.qwFutCTD($A$1,F13)))*(_xll.qwFXRate($A$1,F13)*_xll.qwMVFactor($A$1,_xll.qwFutCTD($A$1,F13))*(_xll.qwIncome($A$4,_xll.qwFutCTD($A$4,F13),_xll.qwBondSettle($A$4,_xll.qwFutCTD($A$4,F13)),_xll.qwBondSettle($A$1,_xll.qwFutCTD($A$1,F13)))+(_xll.qwSecVal($A$1,AA13,"Price")-_xll.qwSecVal($A$4,AA13,"Price"))-_xll.qwBondRepoFromTo($A$1,AA13,_xll.qwBondSettle($A$4,AA13),_xll.qwBondSettle($A$1,AA13))*_xll.qwSecVal($A$1,AA13,"Price")*(_xll.qwBondSettle($A$1,AA13)-_xll.qwBondSettle($A$4,AA13))/360))+O13,0)</f>
        <v>0</v>
      </c>
      <c r="AC13" s="9" cm="1">
        <f t="array" ref="AC13">O13+T13+IF(ISNUMBER(_xll.qwIncome($A$1,F13,_xll.qwSettle($A$4,F13),_xll.qwSettle($A$1,F13))*_xll.qwMVFactor($A$1,F13)*_xll.qwFXRate($A$1,F13)*I13),_xll.qwIncome($A$1,F13,_xll.qwSettle($A$4,F13),_xll.qwSettle($A$1,F13))*_xll.qwMVFactor($A$1,F13)*_xll.qwFXRate($A$1,F13)*I13,0)+IF(ISNUMBER(-(_xll.qwBondRepoFromTo($A$1,F13,_xll.qwSettle($A$4,F13),_xll.qwSettle($A$1,F13))*_xll.qwSecVal($A$1,F13,"Price")*(_xll.qwSettle($A$1,F13)-_xll.qwSettle($A$4,F13))/360)*_xll.qwMVFactor($A$1,F13)*_xll.qwFXRate($A$1,F13)*I13),-(_xll.qwBondRepoFromTo($A$1,F13,_xll.qwSettle($A$4,F13),_xll.qwSettle($A$1,F13))*_xll.qwSecVal($A$1,F13,"Price")*(_xll.qwSettle($A$1,F13)-_xll.qwSettle($A$4,F13))/360)*_xll.qwMVFactor($A$1,F13)*_xll.qwFXRate($A$1,F13)*I13,0)</f>
        <v>586951.36145569128</v>
      </c>
      <c r="AD13" s="6"/>
      <c r="AG13" s="15"/>
      <c r="AH13" s="15"/>
    </row>
    <row r="14" spans="1:38" s="7" customFormat="1" x14ac:dyDescent="0.35">
      <c r="B14" s="7" t="str">
        <v>jcleary</v>
      </c>
      <c r="C14" s="7" t="str">
        <v>MAMS</v>
      </c>
      <c r="D14" s="7" t="str">
        <v>jcleary|MAMS|RV_US_FV_Spread|221085184</v>
      </c>
      <c r="E14" s="7" t="str">
        <v>RV_US_FV_Spread</v>
      </c>
      <c r="F14" s="7" t="str">
        <v>221085184</v>
      </c>
      <c r="G14" s="7">
        <v>1799.4</v>
      </c>
      <c r="H14" s="7">
        <v>0</v>
      </c>
      <c r="I14" s="7">
        <v>1799.4</v>
      </c>
      <c r="J14" s="7">
        <v>0</v>
      </c>
      <c r="K14" s="7">
        <v>0</v>
      </c>
      <c r="L14" s="7">
        <v>0</v>
      </c>
      <c r="M14" s="7">
        <v>0</v>
      </c>
      <c r="N14" s="7" t="str">
        <v>SwapTrade</v>
      </c>
      <c r="O14" s="6" cm="1">
        <f t="array" ref="O14">(_xll.qwPrice($A$1,F14)-_xll.qwPrice($A$4,F14))*_xll.qwMVFactor($A$1,F14)*I14*_xll.qwFXRate($A$1,F14)</f>
        <v>33168.870564515579</v>
      </c>
      <c r="P14" s="6" cm="1">
        <f t="array" ref="P14">IF(ISNUMBER(_xll.qwDV01($A$1,F14)*I14*_xll.qwMVFactor($A$1,F14)*_xll.qwFXRate($A$1,F14)),_xll.qwDV01($A$1,F14)*I14*_xll.qwMVFactor($A$1,F14)*_xll.qwFXRate($A$1,F14),0)</f>
        <v>-399492.88557458884</v>
      </c>
      <c r="Q14" s="6" cm="1">
        <f t="array" ref="Q14">IF(ISNUMBER(_xll.qwDV01($A$1,F14)*G14*_xll.qwMVFactor($A$1,F14)*_xll.qwFXRate($A$1,F14)),_xll.qwDV01($A$1,F14)*G14*_xll.qwMVFactor($A$1,F14)*_xll.qwFXRate($A$1,F14),0)</f>
        <v>-399492.88557458884</v>
      </c>
      <c r="R14" s="6" cm="1">
        <f t="array" ref="R14">IF(ISNUMBER(_xll.qwDV01($A$1,F14)*J14*_xll.qwMVFactor($A$1,F14)*_xll.qwFXRate($A$1,F14)),_xll.qwDV01($A$1,F14)*J14*_xll.qwMVFactor($A$1,F14)*_xll.qwFXRate($A$1,F14),0)</f>
        <v>0</v>
      </c>
      <c r="S14" s="6" cm="1">
        <f t="array" ref="S14">IF(ISNUMBER(_xll.qwDV01($A$1,F14)*J14*_xll.qwMVFactor($A$1,F14)*_xll.qwFXRate($A$1,F14)),_xll.qwDV01($A$1,F14)*J14*_xll.qwMVFactor($A$1,F14)*_xll.qwFXRate($A$1,F14),0)</f>
        <v>0</v>
      </c>
      <c r="T14" s="6" cm="1">
        <f t="array" ref="T14">_xll.qwFXRate($A$1,F14)*J14*(_xll.qwPrice($A$1,F14)-M14)*_xll.qwMVFactor($A$1,F14)+L14</f>
        <v>0</v>
      </c>
      <c r="U14" s="8" cm="1">
        <f t="array" ref="U14">_xll.qwYield($A$1,F14)</f>
        <v>4.6722755410412667E-2</v>
      </c>
      <c r="V14" s="8" cm="1">
        <f t="array" ref="V14">100*(_xll.qwYield($A$4,F14)-U14)</f>
        <v>-1.5608404081816907E-3</v>
      </c>
      <c r="W14" s="6">
        <f>IF(ISNA(G14*INDEX(_xll.qwTblData(_xll.qwCurveScenariosPerSecurity($A$1,F14,"Crv210")),2,2)),0,(G14*INDEX(_xll.qwTblData(_xll.qwCurveScenariosPerSecurity($A$1,F14,"Crv210")),2,2)))</f>
        <v>-181537.49941983222</v>
      </c>
      <c r="X14" s="6" cm="1">
        <f t="array" ref="X14">ABS(Q14/_xll.qwMV01($A$1,"CT10"))</f>
        <v>537.793742822132</v>
      </c>
      <c r="Y14" s="6" cm="1">
        <f t="array" ref="Y14">IF(N14="BondFuture",-(_xll.qwCurveYield($A$1,_xll.qwSecVal($A$1,AA14,"CreditCurveName()"),AA14)-_xll.qwCurveYield($A$4,_xll.qwSecVal($A$4,AA14,"CreditCurveName()"),AA14))*P14*10000,IF(N14="Bond",-(_xll.qwCurveYield($A$1,_xll.qwSecVal($A$1,F14,"CreditCurveName()"),F14)-_xll.qwCurveYield($A$4,_xll.qwSecVal($A$4,F14,"CreditCurveName()"),F14))*P14*10000,O14))</f>
        <v>33168.870564515579</v>
      </c>
      <c r="Z14" s="6" cm="1">
        <f t="array" ref="Z14">IF(OR(N14="BondFuture",N14="Bond"),P14*(_xll.qwCurveZSpread($A$4,_xll.qwSecVal($A$1,AA14,"CreditCurveName()"),AA14)-_xll.qwCurveZSpread($A$1,_xll.qwSecVal($A$1,AA14,"CreditCurveName()"),AA14)),0)</f>
        <v>0</v>
      </c>
      <c r="AA14" s="9" cm="1">
        <f t="array" ref="AA14">IF(_xll.qwSecType(F14)="Bond",F14,IF(_xll.qwSecType(F14)="BondFuture",_xll.qwFutCTD($A$1,F14),0))</f>
        <v>0</v>
      </c>
      <c r="AB14" s="6" cm="1">
        <f t="array" ref="AB14">IF(_xll.qwSecType(F14)="BondFuture",-(I14*_xll.qwDelta($A$4,F14)*_xll.qwMVFactor($A$1,F14)/_xll.qwMVFactor($A$1,_xll.qwFutCTD($A$1,F14)))*(_xll.qwFXRate($A$1,F14)*_xll.qwMVFactor($A$1,_xll.qwFutCTD($A$1,F14))*(_xll.qwIncome($A$4,_xll.qwFutCTD($A$4,F14),_xll.qwBondSettle($A$4,_xll.qwFutCTD($A$4,F14)),_xll.qwBondSettle($A$1,_xll.qwFutCTD($A$1,F14)))+(_xll.qwSecVal($A$1,AA14,"Price")-_xll.qwSecVal($A$4,AA14,"Price"))-_xll.qwBondRepoFromTo($A$1,AA14,_xll.qwBondSettle($A$4,AA14),_xll.qwBondSettle($A$1,AA14))*_xll.qwSecVal($A$1,AA14,"Price")*(_xll.qwBondSettle($A$1,AA14)-_xll.qwBondSettle($A$4,AA14))/360))+O14,0)</f>
        <v>0</v>
      </c>
      <c r="AC14" s="9" cm="1">
        <f t="array" ref="AC14">O14+T14+IF(ISNUMBER(_xll.qwIncome($A$1,F14,_xll.qwSettle($A$4,F14),_xll.qwSettle($A$1,F14))*_xll.qwMVFactor($A$1,F14)*_xll.qwFXRate($A$1,F14)*I14),_xll.qwIncome($A$1,F14,_xll.qwSettle($A$4,F14),_xll.qwSettle($A$1,F14))*_xll.qwMVFactor($A$1,F14)*_xll.qwFXRate($A$1,F14)*I14,0)+IF(ISNUMBER(-(_xll.qwBondRepoFromTo($A$1,F14,_xll.qwSettle($A$4,F14),_xll.qwSettle($A$1,F14))*_xll.qwSecVal($A$1,F14,"Price")*(_xll.qwSettle($A$1,F14)-_xll.qwSettle($A$4,F14))/360)*_xll.qwMVFactor($A$1,F14)*_xll.qwFXRate($A$1,F14)*I14),-(_xll.qwBondRepoFromTo($A$1,F14,_xll.qwSettle($A$4,F14),_xll.qwSettle($A$1,F14))*_xll.qwSecVal($A$1,F14,"Price")*(_xll.qwSettle($A$1,F14)-_xll.qwSettle($A$4,F14))/360)*_xll.qwMVFactor($A$1,F14)*_xll.qwFXRate($A$1,F14)*I14,0)</f>
        <v>33168.870564515579</v>
      </c>
      <c r="AD14" s="6"/>
    </row>
    <row r="15" spans="1:38" s="7" customFormat="1" x14ac:dyDescent="0.35">
      <c r="B15" s="7" t="str">
        <v>jcleary</v>
      </c>
      <c r="C15" s="7" t="str">
        <v>MAMS</v>
      </c>
      <c r="D15" s="7" t="str">
        <v>jcleary|MAMS|RV_US_FV_Spread|221085185</v>
      </c>
      <c r="E15" s="7" t="str">
        <v>RV_US_FV_Spread</v>
      </c>
      <c r="F15" s="7" t="str">
        <v>221085185</v>
      </c>
      <c r="G15" s="7">
        <v>1250.5999999999999</v>
      </c>
      <c r="H15" s="7">
        <v>0</v>
      </c>
      <c r="I15" s="7">
        <v>1250.5999999999999</v>
      </c>
      <c r="J15" s="7">
        <v>0</v>
      </c>
      <c r="K15" s="7">
        <v>0</v>
      </c>
      <c r="L15" s="7">
        <v>0</v>
      </c>
      <c r="M15" s="7">
        <v>0</v>
      </c>
      <c r="N15" s="7" t="str">
        <v>SwapTrade</v>
      </c>
      <c r="O15" s="6" cm="1">
        <f t="array" ref="O15">(_xll.qwPrice($A$1,F15)-_xll.qwPrice($A$4,F15))*_xll.qwMVFactor($A$1,F15)*I15*_xll.qwFXRate($A$1,F15)</f>
        <v>23031.333336692122</v>
      </c>
      <c r="P15" s="6" cm="1">
        <f t="array" ref="P15">IF(ISNUMBER(_xll.qwDV01($A$1,F15)*I15*_xll.qwMVFactor($A$1,F15)*_xll.qwFXRate($A$1,F15)),_xll.qwDV01($A$1,F15)*I15*_xll.qwMVFactor($A$1,F15)*_xll.qwFXRate($A$1,F15),0)</f>
        <v>-277163.05433420616</v>
      </c>
      <c r="Q15" s="6" cm="1">
        <f t="array" ref="Q15">IF(ISNUMBER(_xll.qwDV01($A$1,F15)*G15*_xll.qwMVFactor($A$1,F15)*_xll.qwFXRate($A$1,F15)),_xll.qwDV01($A$1,F15)*G15*_xll.qwMVFactor($A$1,F15)*_xll.qwFXRate($A$1,F15),0)</f>
        <v>-277163.05433420616</v>
      </c>
      <c r="R15" s="6" cm="1">
        <f t="array" ref="R15">IF(ISNUMBER(_xll.qwDV01($A$1,F15)*J15*_xll.qwMVFactor($A$1,F15)*_xll.qwFXRate($A$1,F15)),_xll.qwDV01($A$1,F15)*J15*_xll.qwMVFactor($A$1,F15)*_xll.qwFXRate($A$1,F15),0)</f>
        <v>0</v>
      </c>
      <c r="S15" s="6" cm="1">
        <f t="array" ref="S15">IF(ISNUMBER(_xll.qwDV01($A$1,F15)*J15*_xll.qwMVFactor($A$1,F15)*_xll.qwFXRate($A$1,F15)),_xll.qwDV01($A$1,F15)*J15*_xll.qwMVFactor($A$1,F15)*_xll.qwFXRate($A$1,F15),0)</f>
        <v>0</v>
      </c>
      <c r="T15" s="6" cm="1">
        <f t="array" ref="T15">_xll.qwFXRate($A$1,F15)*J15*(_xll.qwPrice($A$1,F15)-M15)*_xll.qwMVFactor($A$1,F15)+L15</f>
        <v>0</v>
      </c>
      <c r="U15" s="8" cm="1">
        <f t="array" ref="U15">_xll.qwYield($A$1,F15)</f>
        <v>4.6722755410412667E-2</v>
      </c>
      <c r="V15" s="8" cm="1">
        <f t="array" ref="V15">100*(_xll.qwYield($A$4,F15)-U15)</f>
        <v>-1.5608404081816907E-3</v>
      </c>
      <c r="W15" s="6">
        <f>IF(ISNA(G15*INDEX(_xll.qwTblData(_xll.qwCurveScenariosPerSecurity($A$1,F15,"Crv210")),2,2)),0,(G15*INDEX(_xll.qwTblData(_xll.qwCurveScenariosPerSecurity($A$1,F15,"Crv210")),2,2)))</f>
        <v>-125916.22178798061</v>
      </c>
      <c r="X15" s="6" cm="1">
        <f t="array" ref="X15">ABS(Q15/_xll.qwMV01($A$1,"CT10"))</f>
        <v>373.11442016800697</v>
      </c>
      <c r="Y15" s="6" cm="1">
        <f t="array" ref="Y15">IF(N15="BondFuture",-(_xll.qwCurveYield($A$1,_xll.qwSecVal($A$1,AA15,"CreditCurveName()"),AA15)-_xll.qwCurveYield($A$4,_xll.qwSecVal($A$4,AA15,"CreditCurveName()"),AA15))*P15*10000,IF(N15="Bond",-(_xll.qwCurveYield($A$1,_xll.qwSecVal($A$1,F15,"CreditCurveName()"),F15)-_xll.qwCurveYield($A$4,_xll.qwSecVal($A$4,F15,"CreditCurveName()"),F15))*P15*10000,O15))</f>
        <v>23031.333336692122</v>
      </c>
      <c r="Z15" s="6" cm="1">
        <f t="array" ref="Z15">IF(OR(N15="BondFuture",N15="Bond"),P15*(_xll.qwCurveZSpread($A$4,_xll.qwSecVal($A$1,AA15,"CreditCurveName()"),AA15)-_xll.qwCurveZSpread($A$1,_xll.qwSecVal($A$1,AA15,"CreditCurveName()"),AA15)),0)</f>
        <v>0</v>
      </c>
      <c r="AA15" s="9" cm="1">
        <f t="array" ref="AA15">IF(_xll.qwSecType(F15)="Bond",F15,IF(_xll.qwSecType(F15)="BondFuture",_xll.qwFutCTD($A$1,F15),0))</f>
        <v>0</v>
      </c>
      <c r="AB15" s="6" cm="1">
        <f t="array" ref="AB15">IF(_xll.qwSecType(F15)="BondFuture",-(I15*_xll.qwDelta($A$4,F15)*_xll.qwMVFactor($A$1,F15)/_xll.qwMVFactor($A$1,_xll.qwFutCTD($A$1,F15)))*(_xll.qwFXRate($A$1,F15)*_xll.qwMVFactor($A$1,_xll.qwFutCTD($A$1,F15))*(_xll.qwIncome($A$4,_xll.qwFutCTD($A$4,F15),_xll.qwBondSettle($A$4,_xll.qwFutCTD($A$4,F15)),_xll.qwBondSettle($A$1,_xll.qwFutCTD($A$1,F15)))+(_xll.qwSecVal($A$1,AA15,"Price")-_xll.qwSecVal($A$4,AA15,"Price"))-_xll.qwBondRepoFromTo($A$1,AA15,_xll.qwBondSettle($A$4,AA15),_xll.qwBondSettle($A$1,AA15))*_xll.qwSecVal($A$1,AA15,"Price")*(_xll.qwBondSettle($A$1,AA15)-_xll.qwBondSettle($A$4,AA15))/360))+O15,0)</f>
        <v>0</v>
      </c>
      <c r="AC15" s="9" cm="1">
        <f t="array" ref="AC15">O15+T15+IF(ISNUMBER(_xll.qwIncome($A$1,F15,_xll.qwSettle($A$4,F15),_xll.qwSettle($A$1,F15))*_xll.qwMVFactor($A$1,F15)*_xll.qwFXRate($A$1,F15)*I15),_xll.qwIncome($A$1,F15,_xll.qwSettle($A$4,F15),_xll.qwSettle($A$1,F15))*_xll.qwMVFactor($A$1,F15)*_xll.qwFXRate($A$1,F15)*I15,0)+IF(ISNUMBER(-(_xll.qwBondRepoFromTo($A$1,F15,_xll.qwSettle($A$4,F15),_xll.qwSettle($A$1,F15))*_xll.qwSecVal($A$1,F15,"Price")*(_xll.qwSettle($A$1,F15)-_xll.qwSettle($A$4,F15))/360)*_xll.qwMVFactor($A$1,F15)*_xll.qwFXRate($A$1,F15)*I15),-(_xll.qwBondRepoFromTo($A$1,F15,_xll.qwSettle($A$4,F15),_xll.qwSettle($A$1,F15))*_xll.qwSecVal($A$1,F15,"Price")*(_xll.qwSettle($A$1,F15)-_xll.qwSettle($A$4,F15))/360)*_xll.qwMVFactor($A$1,F15)*_xll.qwFXRate($A$1,F15)*I15,0)</f>
        <v>23031.333336692122</v>
      </c>
      <c r="AD15" s="6"/>
    </row>
    <row r="16" spans="1:38" s="7" customFormat="1" x14ac:dyDescent="0.35">
      <c r="B16" s="7" t="str">
        <v>jcleary</v>
      </c>
      <c r="C16" s="7" t="str">
        <v>MAMS</v>
      </c>
      <c r="D16" s="7" t="str">
        <v>jcleary|MAMS|RV_US_FV_Spread|221085189</v>
      </c>
      <c r="E16" s="7" t="str">
        <v>RV_US_FV_Spread</v>
      </c>
      <c r="F16" s="7" t="str">
        <v>221085189</v>
      </c>
      <c r="G16" s="7">
        <v>696.9</v>
      </c>
      <c r="H16" s="7">
        <v>0</v>
      </c>
      <c r="I16" s="7">
        <v>696.9</v>
      </c>
      <c r="J16" s="7">
        <v>0</v>
      </c>
      <c r="K16" s="7">
        <v>0</v>
      </c>
      <c r="L16" s="7">
        <v>0</v>
      </c>
      <c r="M16" s="7">
        <v>0</v>
      </c>
      <c r="N16" s="7" t="str">
        <v>SwapTrade</v>
      </c>
      <c r="O16" s="6" cm="1">
        <f t="array" ref="O16">(_xll.qwPrice($A$1,F16)-_xll.qwPrice($A$4,F16))*_xll.qwMVFactor($A$1,F16)*I16*_xll.qwFXRate($A$1,F16)</f>
        <v>12839.442548071565</v>
      </c>
      <c r="P16" s="6" cm="1">
        <f t="array" ref="P16">IF(ISNUMBER(_xll.qwDV01($A$1,F16)*I16*_xll.qwMVFactor($A$1,F16)*_xll.qwFXRate($A$1,F16)),_xll.qwDV01($A$1,F16)*I16*_xll.qwMVFactor($A$1,F16)*_xll.qwFXRate($A$1,F16),0)</f>
        <v>-154568.1678619773</v>
      </c>
      <c r="Q16" s="6" cm="1">
        <f t="array" ref="Q16">IF(ISNUMBER(_xll.qwDV01($A$1,F16)*G16*_xll.qwMVFactor($A$1,F16)*_xll.qwFXRate($A$1,F16)),_xll.qwDV01($A$1,F16)*G16*_xll.qwMVFactor($A$1,F16)*_xll.qwFXRate($A$1,F16),0)</f>
        <v>-154568.1678619773</v>
      </c>
      <c r="R16" s="6" cm="1">
        <f t="array" ref="R16">IF(ISNUMBER(_xll.qwDV01($A$1,F16)*J16*_xll.qwMVFactor($A$1,F16)*_xll.qwFXRate($A$1,F16)),_xll.qwDV01($A$1,F16)*J16*_xll.qwMVFactor($A$1,F16)*_xll.qwFXRate($A$1,F16),0)</f>
        <v>0</v>
      </c>
      <c r="S16" s="6" cm="1">
        <f t="array" ref="S16">IF(ISNUMBER(_xll.qwDV01($A$1,F16)*J16*_xll.qwMVFactor($A$1,F16)*_xll.qwFXRate($A$1,F16)),_xll.qwDV01($A$1,F16)*J16*_xll.qwMVFactor($A$1,F16)*_xll.qwFXRate($A$1,F16),0)</f>
        <v>0</v>
      </c>
      <c r="T16" s="6" cm="1">
        <f t="array" ref="T16">_xll.qwFXRate($A$1,F16)*J16*(_xll.qwPrice($A$1,F16)-M16)*_xll.qwMVFactor($A$1,F16)+L16</f>
        <v>0</v>
      </c>
      <c r="U16" s="8" cm="1">
        <f t="array" ref="U16">_xll.qwYield($A$1,F16)</f>
        <v>4.6722755410412667E-2</v>
      </c>
      <c r="V16" s="8" cm="1">
        <f t="array" ref="V16">100*(_xll.qwYield($A$4,F16)-U16)</f>
        <v>-1.5608404081816907E-3</v>
      </c>
      <c r="W16" s="6">
        <f>IF(ISNA(G16*INDEX(_xll.qwTblData(_xll.qwCurveScenariosPerSecurity($A$1,F16,"Crv210")),2,2)),0,(G16*INDEX(_xll.qwTblData(_xll.qwCurveScenariosPerSecurity($A$1,F16,"Crv210")),2,2)))</f>
        <v>-70228.714654868279</v>
      </c>
      <c r="X16" s="6" cm="1">
        <f t="array" ref="X16">ABS(Q16/_xll.qwMV01($A$1,"CT10"))</f>
        <v>208.07828253585265</v>
      </c>
      <c r="Y16" s="6" cm="1">
        <f t="array" ref="Y16">IF(N16="BondFuture",-(_xll.qwCurveYield($A$1,_xll.qwSecVal($A$1,AA16,"CreditCurveName()"),AA16)-_xll.qwCurveYield($A$4,_xll.qwSecVal($A$4,AA16,"CreditCurveName()"),AA16))*P16*10000,IF(N16="Bond",-(_xll.qwCurveYield($A$1,_xll.qwSecVal($A$1,F16,"CreditCurveName()"),F16)-_xll.qwCurveYield($A$4,_xll.qwSecVal($A$4,F16,"CreditCurveName()"),F16))*P16*10000,O16))</f>
        <v>12839.442548071565</v>
      </c>
      <c r="Z16" s="6" cm="1">
        <f t="array" ref="Z16">IF(OR(N16="BondFuture",N16="Bond"),P16*(_xll.qwCurveZSpread($A$4,_xll.qwSecVal($A$1,AA16,"CreditCurveName()"),AA16)-_xll.qwCurveZSpread($A$1,_xll.qwSecVal($A$1,AA16,"CreditCurveName()"),AA16)),0)</f>
        <v>0</v>
      </c>
      <c r="AA16" s="9" cm="1">
        <f t="array" ref="AA16">IF(_xll.qwSecType(F16)="Bond",F16,IF(_xll.qwSecType(F16)="BondFuture",_xll.qwFutCTD($A$1,F16),0))</f>
        <v>0</v>
      </c>
      <c r="AB16" s="6" cm="1">
        <f t="array" ref="AB16">IF(_xll.qwSecType(F16)="BondFuture",-(I16*_xll.qwDelta($A$4,F16)*_xll.qwMVFactor($A$1,F16)/_xll.qwMVFactor($A$1,_xll.qwFutCTD($A$1,F16)))*(_xll.qwFXRate($A$1,F16)*_xll.qwMVFactor($A$1,_xll.qwFutCTD($A$1,F16))*(_xll.qwIncome($A$4,_xll.qwFutCTD($A$4,F16),_xll.qwBondSettle($A$4,_xll.qwFutCTD($A$4,F16)),_xll.qwBondSettle($A$1,_xll.qwFutCTD($A$1,F16)))+(_xll.qwSecVal($A$1,AA16,"Price")-_xll.qwSecVal($A$4,AA16,"Price"))-_xll.qwBondRepoFromTo($A$1,AA16,_xll.qwBondSettle($A$4,AA16),_xll.qwBondSettle($A$1,AA16))*_xll.qwSecVal($A$1,AA16,"Price")*(_xll.qwBondSettle($A$1,AA16)-_xll.qwBondSettle($A$4,AA16))/360))+O16,0)</f>
        <v>0</v>
      </c>
      <c r="AC16" s="9" cm="1">
        <f t="array" ref="AC16">O16+T16+IF(ISNUMBER(_xll.qwIncome($A$1,F16,_xll.qwSettle($A$4,F16),_xll.qwSettle($A$1,F16))*_xll.qwMVFactor($A$1,F16)*_xll.qwFXRate($A$1,F16)*I16),_xll.qwIncome($A$1,F16,_xll.qwSettle($A$4,F16),_xll.qwSettle($A$1,F16))*_xll.qwMVFactor($A$1,F16)*_xll.qwFXRate($A$1,F16)*I16,0)+IF(ISNUMBER(-(_xll.qwBondRepoFromTo($A$1,F16,_xll.qwSettle($A$4,F16),_xll.qwSettle($A$1,F16))*_xll.qwSecVal($A$1,F16,"Price")*(_xll.qwSettle($A$1,F16)-_xll.qwSettle($A$4,F16))/360)*_xll.qwMVFactor($A$1,F16)*_xll.qwFXRate($A$1,F16)*I16),-(_xll.qwBondRepoFromTo($A$1,F16,_xll.qwSettle($A$4,F16),_xll.qwSettle($A$1,F16))*_xll.qwSecVal($A$1,F16,"Price")*(_xll.qwSettle($A$1,F16)-_xll.qwSettle($A$4,F16))/360)*_xll.qwMVFactor($A$1,F16)*_xll.qwFXRate($A$1,F16)*I16,0)</f>
        <v>12839.442548071565</v>
      </c>
      <c r="AD16" s="6"/>
    </row>
    <row r="17" spans="2:30" s="7" customFormat="1" x14ac:dyDescent="0.35">
      <c r="B17" s="7" t="str">
        <v>jcleary</v>
      </c>
      <c r="C17" s="7" t="str">
        <v>MAMS</v>
      </c>
      <c r="D17" s="7" t="str">
        <v>jcleary|MAMS|RV_US_FV_Spread|221085235</v>
      </c>
      <c r="E17" s="7" t="str">
        <v>RV_US_FV_Spread</v>
      </c>
      <c r="F17" s="7" t="str">
        <v>221085235</v>
      </c>
      <c r="G17" s="7">
        <v>386.6</v>
      </c>
      <c r="H17" s="7">
        <v>0</v>
      </c>
      <c r="I17" s="7">
        <v>386.6</v>
      </c>
      <c r="J17" s="7">
        <v>0</v>
      </c>
      <c r="K17" s="7">
        <v>0</v>
      </c>
      <c r="L17" s="7">
        <v>0</v>
      </c>
      <c r="M17" s="7">
        <v>0</v>
      </c>
      <c r="N17" s="7" t="str">
        <v>SwapTrade</v>
      </c>
      <c r="O17" s="6" cm="1">
        <f t="array" ref="O17">(_xll.qwPrice($A$1,F17)-_xll.qwPrice($A$4,F17))*_xll.qwMVFactor($A$1,F17)*I17*_xll.qwFXRate($A$1,F17)</f>
        <v>7121.1705192792542</v>
      </c>
      <c r="P17" s="6" cm="1">
        <f t="array" ref="P17">IF(ISNUMBER(_xll.qwDV01($A$1,F17)*I17*_xll.qwMVFactor($A$1,F17)*_xll.qwFXRate($A$1,F17)),_xll.qwDV01($A$1,F17)*I17*_xll.qwMVFactor($A$1,F17)*_xll.qwFXRate($A$1,F17),0)</f>
        <v>-85713.197196300665</v>
      </c>
      <c r="Q17" s="6" cm="1">
        <f t="array" ref="Q17">IF(ISNUMBER(_xll.qwDV01($A$1,F17)*G17*_xll.qwMVFactor($A$1,F17)*_xll.qwFXRate($A$1,F17)),_xll.qwDV01($A$1,F17)*G17*_xll.qwMVFactor($A$1,F17)*_xll.qwFXRate($A$1,F17),0)</f>
        <v>-85713.197196300665</v>
      </c>
      <c r="R17" s="6" cm="1">
        <f t="array" ref="R17">IF(ISNUMBER(_xll.qwDV01($A$1,F17)*J17*_xll.qwMVFactor($A$1,F17)*_xll.qwFXRate($A$1,F17)),_xll.qwDV01($A$1,F17)*J17*_xll.qwMVFactor($A$1,F17)*_xll.qwFXRate($A$1,F17),0)</f>
        <v>0</v>
      </c>
      <c r="S17" s="6" cm="1">
        <f t="array" ref="S17">IF(ISNUMBER(_xll.qwDV01($A$1,F17)*J17*_xll.qwMVFactor($A$1,F17)*_xll.qwFXRate($A$1,F17)),_xll.qwDV01($A$1,F17)*J17*_xll.qwMVFactor($A$1,F17)*_xll.qwFXRate($A$1,F17),0)</f>
        <v>0</v>
      </c>
      <c r="T17" s="6" cm="1">
        <f t="array" ref="T17">_xll.qwFXRate($A$1,F17)*J17*(_xll.qwPrice($A$1,F17)-M17)*_xll.qwMVFactor($A$1,F17)+L17</f>
        <v>0</v>
      </c>
      <c r="U17" s="8" cm="1">
        <f t="array" ref="U17">_xll.qwYield($A$1,F17)</f>
        <v>4.6722755410412667E-2</v>
      </c>
      <c r="V17" s="8" cm="1">
        <f t="array" ref="V17">100*(_xll.qwYield($A$4,F17)-U17)</f>
        <v>-1.5608404081816907E-3</v>
      </c>
      <c r="W17" s="6">
        <f>IF(ISNA(G17*INDEX(_xll.qwTblData(_xll.qwCurveScenariosPerSecurity($A$1,F17,"Crv210")),2,2)),0,(G17*INDEX(_xll.qwTblData(_xll.qwCurveScenariosPerSecurity($A$1,F17,"Crv210")),2,2)))</f>
        <v>-38942.02934102399</v>
      </c>
      <c r="X17" s="6" cm="1">
        <f t="array" ref="X17">ABS(Q17/_xll.qwMV01($A$1,"CT10"))</f>
        <v>115.3863380148818</v>
      </c>
      <c r="Y17" s="6" cm="1">
        <f t="array" ref="Y17">IF(N17="BondFuture",-(_xll.qwCurveYield($A$1,_xll.qwSecVal($A$1,AA17,"CreditCurveName()"),AA17)-_xll.qwCurveYield($A$4,_xll.qwSecVal($A$4,AA17,"CreditCurveName()"),AA17))*P17*10000,IF(N17="Bond",-(_xll.qwCurveYield($A$1,_xll.qwSecVal($A$1,F17,"CreditCurveName()"),F17)-_xll.qwCurveYield($A$4,_xll.qwSecVal($A$4,F17,"CreditCurveName()"),F17))*P17*10000,O17))</f>
        <v>7121.1705192792542</v>
      </c>
      <c r="Z17" s="6" cm="1">
        <f t="array" ref="Z17">IF(OR(N17="BondFuture",N17="Bond"),P17*(_xll.qwCurveZSpread($A$4,_xll.qwSecVal($A$1,AA17,"CreditCurveName()"),AA17)-_xll.qwCurveZSpread($A$1,_xll.qwSecVal($A$1,AA17,"CreditCurveName()"),AA17)),0)</f>
        <v>0</v>
      </c>
      <c r="AA17" s="9" cm="1">
        <f t="array" ref="AA17">IF(_xll.qwSecType(F17)="Bond",F17,IF(_xll.qwSecType(F17)="BondFuture",_xll.qwFutCTD($A$1,F17),0))</f>
        <v>0</v>
      </c>
      <c r="AB17" s="6" cm="1">
        <f t="array" ref="AB17">IF(_xll.qwSecType(F17)="BondFuture",-(I17*_xll.qwDelta($A$4,F17)*_xll.qwMVFactor($A$1,F17)/_xll.qwMVFactor($A$1,_xll.qwFutCTD($A$1,F17)))*(_xll.qwFXRate($A$1,F17)*_xll.qwMVFactor($A$1,_xll.qwFutCTD($A$1,F17))*(_xll.qwIncome($A$4,_xll.qwFutCTD($A$4,F17),_xll.qwBondSettle($A$4,_xll.qwFutCTD($A$4,F17)),_xll.qwBondSettle($A$1,_xll.qwFutCTD($A$1,F17)))+(_xll.qwSecVal($A$1,AA17,"Price")-_xll.qwSecVal($A$4,AA17,"Price"))-_xll.qwBondRepoFromTo($A$1,AA17,_xll.qwBondSettle($A$4,AA17),_xll.qwBondSettle($A$1,AA17))*_xll.qwSecVal($A$1,AA17,"Price")*(_xll.qwBondSettle($A$1,AA17)-_xll.qwBondSettle($A$4,AA17))/360))+O17,0)</f>
        <v>0</v>
      </c>
      <c r="AC17" s="9" cm="1">
        <f t="array" ref="AC17">O17+T17+IF(ISNUMBER(_xll.qwIncome($A$1,F17,_xll.qwSettle($A$4,F17),_xll.qwSettle($A$1,F17))*_xll.qwMVFactor($A$1,F17)*_xll.qwFXRate($A$1,F17)*I17),_xll.qwIncome($A$1,F17,_xll.qwSettle($A$4,F17),_xll.qwSettle($A$1,F17))*_xll.qwMVFactor($A$1,F17)*_xll.qwFXRate($A$1,F17)*I17,0)+IF(ISNUMBER(-(_xll.qwBondRepoFromTo($A$1,F17,_xll.qwSettle($A$4,F17),_xll.qwSettle($A$1,F17))*_xll.qwSecVal($A$1,F17,"Price")*(_xll.qwSettle($A$1,F17)-_xll.qwSettle($A$4,F17))/360)*_xll.qwMVFactor($A$1,F17)*_xll.qwFXRate($A$1,F17)*I17),-(_xll.qwBondRepoFromTo($A$1,F17,_xll.qwSettle($A$4,F17),_xll.qwSettle($A$1,F17))*_xll.qwSecVal($A$1,F17,"Price")*(_xll.qwSettle($A$1,F17)-_xll.qwSettle($A$4,F17))/360)*_xll.qwMVFactor($A$1,F17)*_xll.qwFXRate($A$1,F17)*I17,0)</f>
        <v>7121.1705192792542</v>
      </c>
      <c r="AD17" s="6"/>
    </row>
    <row r="18" spans="2:30" s="7" customFormat="1" x14ac:dyDescent="0.35">
      <c r="B18" s="7" t="str">
        <v>jcleary</v>
      </c>
      <c r="C18" s="7" t="str">
        <v>MAMS</v>
      </c>
      <c r="D18" s="7" t="str">
        <v>jcleary|MAMS|RV_US_FV_Spread|221085245</v>
      </c>
      <c r="E18" s="7" t="str">
        <v>RV_US_FV_Spread</v>
      </c>
      <c r="F18" s="7" t="str">
        <v>221085245</v>
      </c>
      <c r="G18" s="7">
        <v>375</v>
      </c>
      <c r="H18" s="7">
        <v>0</v>
      </c>
      <c r="I18" s="7">
        <v>375</v>
      </c>
      <c r="J18" s="7">
        <v>0</v>
      </c>
      <c r="K18" s="7">
        <v>0</v>
      </c>
      <c r="L18" s="7">
        <v>0</v>
      </c>
      <c r="M18" s="7">
        <v>0</v>
      </c>
      <c r="N18" s="7" t="str">
        <v>SwapTrade</v>
      </c>
      <c r="O18" s="6" cm="1">
        <f t="array" ref="O18">(_xll.qwPrice($A$1,F18)-_xll.qwPrice($A$4,F18))*_xll.qwMVFactor($A$1,F18)*I18*_xll.qwFXRate($A$1,F18)</f>
        <v>6861.8448809459887</v>
      </c>
      <c r="P18" s="6" cm="1">
        <f t="array" ref="P18">IF(ISNUMBER(_xll.qwDV01($A$1,F18)*I18*_xll.qwMVFactor($A$1,F18)*_xll.qwFXRate($A$1,F18)),_xll.qwDV01($A$1,F18)*I18*_xll.qwMVFactor($A$1,F18)*_xll.qwFXRate($A$1,F18),0)</f>
        <v>-82097.015168766069</v>
      </c>
      <c r="Q18" s="6" cm="1">
        <f t="array" ref="Q18">IF(ISNUMBER(_xll.qwDV01($A$1,F18)*G18*_xll.qwMVFactor($A$1,F18)*_xll.qwFXRate($A$1,F18)),_xll.qwDV01($A$1,F18)*G18*_xll.qwMVFactor($A$1,F18)*_xll.qwFXRate($A$1,F18),0)</f>
        <v>-82097.015168766069</v>
      </c>
      <c r="R18" s="6" cm="1">
        <f t="array" ref="R18">IF(ISNUMBER(_xll.qwDV01($A$1,F18)*J18*_xll.qwMVFactor($A$1,F18)*_xll.qwFXRate($A$1,F18)),_xll.qwDV01($A$1,F18)*J18*_xll.qwMVFactor($A$1,F18)*_xll.qwFXRate($A$1,F18),0)</f>
        <v>0</v>
      </c>
      <c r="S18" s="6" cm="1">
        <f t="array" ref="S18">IF(ISNUMBER(_xll.qwDV01($A$1,F18)*J18*_xll.qwMVFactor($A$1,F18)*_xll.qwFXRate($A$1,F18)),_xll.qwDV01($A$1,F18)*J18*_xll.qwMVFactor($A$1,F18)*_xll.qwFXRate($A$1,F18),0)</f>
        <v>0</v>
      </c>
      <c r="T18" s="6" cm="1">
        <f t="array" ref="T18">_xll.qwFXRate($A$1,F18)*J18*(_xll.qwPrice($A$1,F18)-M18)*_xll.qwMVFactor($A$1,F18)+L18</f>
        <v>0</v>
      </c>
      <c r="U18" s="8" cm="1">
        <f t="array" ref="U18">_xll.qwYield($A$1,F18)</f>
        <v>4.6722755410412667E-2</v>
      </c>
      <c r="V18" s="8" cm="1">
        <f t="array" ref="V18">100*(_xll.qwYield($A$4,F18)-U18)</f>
        <v>-1.5608404081816907E-3</v>
      </c>
      <c r="W18" s="6">
        <f>IF(ISNA(G18*INDEX(_xll.qwTblData(_xll.qwCurveScenariosPerSecurity($A$1,F18,"Crv210")),2,2)),0,(G18*INDEX(_xll.qwTblData(_xll.qwCurveScenariosPerSecurity($A$1,F18,"Crv210")),2,2)))</f>
        <v>-37230.183270410278</v>
      </c>
      <c r="X18" s="6" cm="1">
        <f t="array" ref="X18">ABS(Q18/_xll.qwMV01($A$1,"CT10"))</f>
        <v>110.51826617295947</v>
      </c>
      <c r="Y18" s="6" cm="1">
        <f t="array" ref="Y18">IF(N18="BondFuture",-(_xll.qwCurveYield($A$1,_xll.qwSecVal($A$1,AA18,"CreditCurveName()"),AA18)-_xll.qwCurveYield($A$4,_xll.qwSecVal($A$4,AA18,"CreditCurveName()"),AA18))*P18*10000,IF(N18="Bond",-(_xll.qwCurveYield($A$1,_xll.qwSecVal($A$1,F18,"CreditCurveName()"),F18)-_xll.qwCurveYield($A$4,_xll.qwSecVal($A$4,F18,"CreditCurveName()"),F18))*P18*10000,O18))</f>
        <v>6861.8448809459887</v>
      </c>
      <c r="Z18" s="6" cm="1">
        <f t="array" ref="Z18">IF(OR(N18="BondFuture",N18="Bond"),P18*(_xll.qwCurveZSpread($A$4,_xll.qwSecVal($A$1,AA18,"CreditCurveName()"),AA18)-_xll.qwCurveZSpread($A$1,_xll.qwSecVal($A$1,AA18,"CreditCurveName()"),AA18)),0)</f>
        <v>0</v>
      </c>
      <c r="AA18" s="9" cm="1">
        <f t="array" ref="AA18">IF(_xll.qwSecType(F18)="Bond",F18,IF(_xll.qwSecType(F18)="BondFuture",_xll.qwFutCTD($A$1,F18),0))</f>
        <v>0</v>
      </c>
      <c r="AB18" s="6" cm="1">
        <f t="array" ref="AB18">IF(_xll.qwSecType(F18)="BondFuture",-(I18*_xll.qwDelta($A$4,F18)*_xll.qwMVFactor($A$1,F18)/_xll.qwMVFactor($A$1,_xll.qwFutCTD($A$1,F18)))*(_xll.qwFXRate($A$1,F18)*_xll.qwMVFactor($A$1,_xll.qwFutCTD($A$1,F18))*(_xll.qwIncome($A$4,_xll.qwFutCTD($A$4,F18),_xll.qwBondSettle($A$4,_xll.qwFutCTD($A$4,F18)),_xll.qwBondSettle($A$1,_xll.qwFutCTD($A$1,F18)))+(_xll.qwSecVal($A$1,AA18,"Price")-_xll.qwSecVal($A$4,AA18,"Price"))-_xll.qwBondRepoFromTo($A$1,AA18,_xll.qwBondSettle($A$4,AA18),_xll.qwBondSettle($A$1,AA18))*_xll.qwSecVal($A$1,AA18,"Price")*(_xll.qwBondSettle($A$1,AA18)-_xll.qwBondSettle($A$4,AA18))/360))+O18,0)</f>
        <v>0</v>
      </c>
      <c r="AC18" s="9" cm="1">
        <f t="array" ref="AC18">O18+T18+IF(ISNUMBER(_xll.qwIncome($A$1,F18,_xll.qwSettle($A$4,F18),_xll.qwSettle($A$1,F18))*_xll.qwMVFactor($A$1,F18)*_xll.qwFXRate($A$1,F18)*I18),_xll.qwIncome($A$1,F18,_xll.qwSettle($A$4,F18),_xll.qwSettle($A$1,F18))*_xll.qwMVFactor($A$1,F18)*_xll.qwFXRate($A$1,F18)*I18,0)+IF(ISNUMBER(-(_xll.qwBondRepoFromTo($A$1,F18,_xll.qwSettle($A$4,F18),_xll.qwSettle($A$1,F18))*_xll.qwSecVal($A$1,F18,"Price")*(_xll.qwSettle($A$1,F18)-_xll.qwSettle($A$4,F18))/360)*_xll.qwMVFactor($A$1,F18)*_xll.qwFXRate($A$1,F18)*I18),-(_xll.qwBondRepoFromTo($A$1,F18,_xll.qwSettle($A$4,F18),_xll.qwSettle($A$1,F18))*_xll.qwSecVal($A$1,F18,"Price")*(_xll.qwSettle($A$1,F18)-_xll.qwSettle($A$4,F18))/360)*_xll.qwMVFactor($A$1,F18)*_xll.qwFXRate($A$1,F18)*I18,0)</f>
        <v>6861.8448809459887</v>
      </c>
      <c r="AD18" s="6"/>
    </row>
    <row r="19" spans="2:30" s="7" customFormat="1" x14ac:dyDescent="0.35">
      <c r="B19" s="7" t="str">
        <v>jcleary</v>
      </c>
      <c r="C19" s="7" t="str">
        <v>MAMS</v>
      </c>
      <c r="D19" s="7" t="str">
        <v>jcleary|MAMS|RV_US_FV_Spread|221085256</v>
      </c>
      <c r="E19" s="7" t="str">
        <v>RV_US_FV_Spread</v>
      </c>
      <c r="F19" s="7" t="str">
        <v>221085256</v>
      </c>
      <c r="G19" s="7">
        <v>350.6</v>
      </c>
      <c r="H19" s="7">
        <v>0</v>
      </c>
      <c r="I19" s="7">
        <v>350.6</v>
      </c>
      <c r="J19" s="7">
        <v>0</v>
      </c>
      <c r="K19" s="7">
        <v>0</v>
      </c>
      <c r="L19" s="7">
        <v>0</v>
      </c>
      <c r="M19" s="7">
        <v>0</v>
      </c>
      <c r="N19" s="7" t="str">
        <v>SwapTrade</v>
      </c>
      <c r="O19" s="6" cm="1">
        <f t="array" ref="O19">(_xll.qwPrice($A$1,F19)-_xll.qwPrice($A$4,F19))*_xll.qwMVFactor($A$1,F19)*I19*_xll.qwFXRate($A$1,F19)</f>
        <v>6478.4912005556134</v>
      </c>
      <c r="P19" s="6" cm="1">
        <f t="array" ref="P19">IF(ISNUMBER(_xll.qwDV01($A$1,F19)*I19*_xll.qwMVFactor($A$1,F19)*_xll.qwFXRate($A$1,F19)),_xll.qwDV01($A$1,F19)*I19*_xll.qwMVFactor($A$1,F19)*_xll.qwFXRate($A$1,F19),0)</f>
        <v>-78199.210852544449</v>
      </c>
      <c r="Q19" s="6" cm="1">
        <f t="array" ref="Q19">IF(ISNUMBER(_xll.qwDV01($A$1,F19)*G19*_xll.qwMVFactor($A$1,F19)*_xll.qwFXRate($A$1,F19)),_xll.qwDV01($A$1,F19)*G19*_xll.qwMVFactor($A$1,F19)*_xll.qwFXRate($A$1,F19),0)</f>
        <v>-78199.210852544449</v>
      </c>
      <c r="R19" s="6" cm="1">
        <f t="array" ref="R19">IF(ISNUMBER(_xll.qwDV01($A$1,F19)*J19*_xll.qwMVFactor($A$1,F19)*_xll.qwFXRate($A$1,F19)),_xll.qwDV01($A$1,F19)*J19*_xll.qwMVFactor($A$1,F19)*_xll.qwFXRate($A$1,F19),0)</f>
        <v>0</v>
      </c>
      <c r="S19" s="6" cm="1">
        <f t="array" ref="S19">IF(ISNUMBER(_xll.qwDV01($A$1,F19)*J19*_xll.qwMVFactor($A$1,F19)*_xll.qwFXRate($A$1,F19)),_xll.qwDV01($A$1,F19)*J19*_xll.qwMVFactor($A$1,F19)*_xll.qwFXRate($A$1,F19),0)</f>
        <v>0</v>
      </c>
      <c r="T19" s="6" cm="1">
        <f t="array" ref="T19">_xll.qwFXRate($A$1,F19)*J19*(_xll.qwPrice($A$1,F19)-M19)*_xll.qwMVFactor($A$1,F19)+L19</f>
        <v>0</v>
      </c>
      <c r="U19" s="8" cm="1">
        <f t="array" ref="U19">_xll.qwYield($A$1,F19)</f>
        <v>4.6722755410412667E-2</v>
      </c>
      <c r="V19" s="8" cm="1">
        <f t="array" ref="V19">100*(_xll.qwYield($A$4,F19)-U19)</f>
        <v>-1.5608404081816907E-3</v>
      </c>
      <c r="W19" s="6">
        <f>IF(ISNA(G19*INDEX(_xll.qwTblData(_xll.qwCurveScenariosPerSecurity($A$1,F19,"Crv210")),2,2)),0,(G19*INDEX(_xll.qwTblData(_xll.qwCurveScenariosPerSecurity($A$1,F19,"Crv210")),2,2)))</f>
        <v>-35559.056345050252</v>
      </c>
      <c r="X19" s="6" cm="1">
        <f t="array" ref="X19">ABS(Q19/_xll.qwMV01($A$1,"CT10"))</f>
        <v>105.27107692954125</v>
      </c>
      <c r="Y19" s="6" cm="1">
        <f t="array" ref="Y19">IF(N19="BondFuture",-(_xll.qwCurveYield($A$1,_xll.qwSecVal($A$1,AA19,"CreditCurveName()"),AA19)-_xll.qwCurveYield($A$4,_xll.qwSecVal($A$4,AA19,"CreditCurveName()"),AA19))*P19*10000,IF(N19="Bond",-(_xll.qwCurveYield($A$1,_xll.qwSecVal($A$1,F19,"CreditCurveName()"),F19)-_xll.qwCurveYield($A$4,_xll.qwSecVal($A$4,F19,"CreditCurveName()"),F19))*P19*10000,O19))</f>
        <v>6478.4912005556134</v>
      </c>
      <c r="Z19" s="6" cm="1">
        <f t="array" ref="Z19">IF(OR(N19="BondFuture",N19="Bond"),P19*(_xll.qwCurveZSpread($A$4,_xll.qwSecVal($A$1,AA19,"CreditCurveName()"),AA19)-_xll.qwCurveZSpread($A$1,_xll.qwSecVal($A$1,AA19,"CreditCurveName()"),AA19)),0)</f>
        <v>0</v>
      </c>
      <c r="AA19" s="9" cm="1">
        <f t="array" ref="AA19">IF(_xll.qwSecType(F19)="Bond",F19,IF(_xll.qwSecType(F19)="BondFuture",_xll.qwFutCTD($A$1,F19),0))</f>
        <v>0</v>
      </c>
      <c r="AB19" s="6" cm="1">
        <f t="array" ref="AB19">IF(_xll.qwSecType(F19)="BondFuture",-(I19*_xll.qwDelta($A$4,F19)*_xll.qwMVFactor($A$1,F19)/_xll.qwMVFactor($A$1,_xll.qwFutCTD($A$1,F19)))*(_xll.qwFXRate($A$1,F19)*_xll.qwMVFactor($A$1,_xll.qwFutCTD($A$1,F19))*(_xll.qwIncome($A$4,_xll.qwFutCTD($A$4,F19),_xll.qwBondSettle($A$4,_xll.qwFutCTD($A$4,F19)),_xll.qwBondSettle($A$1,_xll.qwFutCTD($A$1,F19)))+(_xll.qwSecVal($A$1,AA19,"Price")-_xll.qwSecVal($A$4,AA19,"Price"))-_xll.qwBondRepoFromTo($A$1,AA19,_xll.qwBondSettle($A$4,AA19),_xll.qwBondSettle($A$1,AA19))*_xll.qwSecVal($A$1,AA19,"Price")*(_xll.qwBondSettle($A$1,AA19)-_xll.qwBondSettle($A$4,AA19))/360))+O19,0)</f>
        <v>0</v>
      </c>
      <c r="AC19" s="9" cm="1">
        <f t="array" ref="AC19">O19+T19+IF(ISNUMBER(_xll.qwIncome($A$1,F19,_xll.qwSettle($A$4,F19),_xll.qwSettle($A$1,F19))*_xll.qwMVFactor($A$1,F19)*_xll.qwFXRate($A$1,F19)*I19),_xll.qwIncome($A$1,F19,_xll.qwSettle($A$4,F19),_xll.qwSettle($A$1,F19))*_xll.qwMVFactor($A$1,F19)*_xll.qwFXRate($A$1,F19)*I19,0)+IF(ISNUMBER(-(_xll.qwBondRepoFromTo($A$1,F19,_xll.qwSettle($A$4,F19),_xll.qwSettle($A$1,F19))*_xll.qwSecVal($A$1,F19,"Price")*(_xll.qwSettle($A$1,F19)-_xll.qwSettle($A$4,F19))/360)*_xll.qwMVFactor($A$1,F19)*_xll.qwFXRate($A$1,F19)*I19),-(_xll.qwBondRepoFromTo($A$1,F19,_xll.qwSettle($A$4,F19),_xll.qwSettle($A$1,F19))*_xll.qwSecVal($A$1,F19,"Price")*(_xll.qwSettle($A$1,F19)-_xll.qwSettle($A$4,F19))/360)*_xll.qwMVFactor($A$1,F19)*_xll.qwFXRate($A$1,F19)*I19,0)</f>
        <v>6478.4912005556134</v>
      </c>
      <c r="AD19" s="6"/>
    </row>
    <row r="20" spans="2:30" s="7" customFormat="1" x14ac:dyDescent="0.35">
      <c r="B20" s="7" t="str">
        <v>jcleary</v>
      </c>
      <c r="C20" s="7" t="str">
        <v>MAMS</v>
      </c>
      <c r="D20" s="7" t="str">
        <v>jcleary|MAMS|RV_US_FV_Spread|221085372</v>
      </c>
      <c r="E20" s="7" t="str">
        <v>RV_US_FV_Spread</v>
      </c>
      <c r="F20" s="7" t="str">
        <v>221085372</v>
      </c>
      <c r="G20" s="7">
        <v>236.4</v>
      </c>
      <c r="H20" s="7">
        <v>0</v>
      </c>
      <c r="I20" s="7">
        <v>236.4</v>
      </c>
      <c r="J20" s="7">
        <v>0</v>
      </c>
      <c r="K20" s="7">
        <v>0</v>
      </c>
      <c r="L20" s="7">
        <v>0</v>
      </c>
      <c r="M20" s="7">
        <v>0</v>
      </c>
      <c r="N20" s="7" t="str">
        <v>SwapTrade</v>
      </c>
      <c r="O20" s="6" cm="1">
        <f t="array" ref="O20">(_xll.qwPrice($A$1,F20)-_xll.qwPrice($A$4,F20))*_xll.qwMVFactor($A$1,F20)*I20*_xll.qwFXRate($A$1,F20)</f>
        <v>4360.003180435323</v>
      </c>
      <c r="P20" s="6" cm="1">
        <f t="array" ref="P20">IF(ISNUMBER(_xll.qwDV01($A$1,F20)*I20*_xll.qwMVFactor($A$1,F20)*_xll.qwFXRate($A$1,F20)),_xll.qwDV01($A$1,F20)*I20*_xll.qwMVFactor($A$1,F20)*_xll.qwFXRate($A$1,F20),0)</f>
        <v>-52538.494235070473</v>
      </c>
      <c r="Q20" s="6" cm="1">
        <f t="array" ref="Q20">IF(ISNUMBER(_xll.qwDV01($A$1,F20)*G20*_xll.qwMVFactor($A$1,F20)*_xll.qwFXRate($A$1,F20)),_xll.qwDV01($A$1,F20)*G20*_xll.qwMVFactor($A$1,F20)*_xll.qwFXRate($A$1,F20),0)</f>
        <v>-52538.494235070473</v>
      </c>
      <c r="R20" s="6" cm="1">
        <f t="array" ref="R20">IF(ISNUMBER(_xll.qwDV01($A$1,F20)*J20*_xll.qwMVFactor($A$1,F20)*_xll.qwFXRate($A$1,F20)),_xll.qwDV01($A$1,F20)*J20*_xll.qwMVFactor($A$1,F20)*_xll.qwFXRate($A$1,F20),0)</f>
        <v>0</v>
      </c>
      <c r="S20" s="6" cm="1">
        <f t="array" ref="S20">IF(ISNUMBER(_xll.qwDV01($A$1,F20)*J20*_xll.qwMVFactor($A$1,F20)*_xll.qwFXRate($A$1,F20)),_xll.qwDV01($A$1,F20)*J20*_xll.qwMVFactor($A$1,F20)*_xll.qwFXRate($A$1,F20),0)</f>
        <v>0</v>
      </c>
      <c r="T20" s="6" cm="1">
        <f t="array" ref="T20">_xll.qwFXRate($A$1,F20)*J20*(_xll.qwPrice($A$1,F20)-M20)*_xll.qwMVFactor($A$1,F20)+L20</f>
        <v>0</v>
      </c>
      <c r="U20" s="8" cm="1">
        <f t="array" ref="U20">_xll.qwYield($A$1,F20)</f>
        <v>4.6722755410412667E-2</v>
      </c>
      <c r="V20" s="8" cm="1">
        <f t="array" ref="V20">100*(_xll.qwYield($A$4,F20)-U20)</f>
        <v>-1.5608404081816907E-3</v>
      </c>
      <c r="W20" s="6">
        <f>IF(ISNA(G20*INDEX(_xll.qwTblData(_xll.qwCurveScenariosPerSecurity($A$1,F20,"Crv210")),2,2)),0,(G20*INDEX(_xll.qwTblData(_xll.qwCurveScenariosPerSecurity($A$1,F20,"Crv210")),2,2)))</f>
        <v>-23878.110735093767</v>
      </c>
      <c r="X20" s="6" cm="1">
        <f t="array" ref="X20">ABS(Q20/_xll.qwMV01($A$1,"CT10"))</f>
        <v>70.726850157240463</v>
      </c>
      <c r="Y20" s="6" cm="1">
        <f t="array" ref="Y20">IF(N20="BondFuture",-(_xll.qwCurveYield($A$1,_xll.qwSecVal($A$1,AA20,"CreditCurveName()"),AA20)-_xll.qwCurveYield($A$4,_xll.qwSecVal($A$4,AA20,"CreditCurveName()"),AA20))*P20*10000,IF(N20="Bond",-(_xll.qwCurveYield($A$1,_xll.qwSecVal($A$1,F20,"CreditCurveName()"),F20)-_xll.qwCurveYield($A$4,_xll.qwSecVal($A$4,F20,"CreditCurveName()"),F20))*P20*10000,O20))</f>
        <v>4360.003180435323</v>
      </c>
      <c r="Z20" s="6" cm="1">
        <f t="array" ref="Z20">IF(OR(N20="BondFuture",N20="Bond"),P20*(_xll.qwCurveZSpread($A$4,_xll.qwSecVal($A$1,AA20,"CreditCurveName()"),AA20)-_xll.qwCurveZSpread($A$1,_xll.qwSecVal($A$1,AA20,"CreditCurveName()"),AA20)),0)</f>
        <v>0</v>
      </c>
      <c r="AA20" s="9" cm="1">
        <f t="array" ref="AA20">IF(_xll.qwSecType(F20)="Bond",F20,IF(_xll.qwSecType(F20)="BondFuture",_xll.qwFutCTD($A$1,F20),0))</f>
        <v>0</v>
      </c>
      <c r="AB20" s="6" cm="1">
        <f t="array" ref="AB20">IF(_xll.qwSecType(F20)="BondFuture",-(I20*_xll.qwDelta($A$4,F20)*_xll.qwMVFactor($A$1,F20)/_xll.qwMVFactor($A$1,_xll.qwFutCTD($A$1,F20)))*(_xll.qwFXRate($A$1,F20)*_xll.qwMVFactor($A$1,_xll.qwFutCTD($A$1,F20))*(_xll.qwIncome($A$4,_xll.qwFutCTD($A$4,F20),_xll.qwBondSettle($A$4,_xll.qwFutCTD($A$4,F20)),_xll.qwBondSettle($A$1,_xll.qwFutCTD($A$1,F20)))+(_xll.qwSecVal($A$1,AA20,"Price")-_xll.qwSecVal($A$4,AA20,"Price"))-_xll.qwBondRepoFromTo($A$1,AA20,_xll.qwBondSettle($A$4,AA20),_xll.qwBondSettle($A$1,AA20))*_xll.qwSecVal($A$1,AA20,"Price")*(_xll.qwBondSettle($A$1,AA20)-_xll.qwBondSettle($A$4,AA20))/360))+O20,0)</f>
        <v>0</v>
      </c>
      <c r="AC20" s="9" cm="1">
        <f t="array" ref="AC20">O20+T20+IF(ISNUMBER(_xll.qwIncome($A$1,F20,_xll.qwSettle($A$4,F20),_xll.qwSettle($A$1,F20))*_xll.qwMVFactor($A$1,F20)*_xll.qwFXRate($A$1,F20)*I20),_xll.qwIncome($A$1,F20,_xll.qwSettle($A$4,F20),_xll.qwSettle($A$1,F20))*_xll.qwMVFactor($A$1,F20)*_xll.qwFXRate($A$1,F20)*I20,0)+IF(ISNUMBER(-(_xll.qwBondRepoFromTo($A$1,F20,_xll.qwSettle($A$4,F20),_xll.qwSettle($A$1,F20))*_xll.qwSecVal($A$1,F20,"Price")*(_xll.qwSettle($A$1,F20)-_xll.qwSettle($A$4,F20))/360)*_xll.qwMVFactor($A$1,F20)*_xll.qwFXRate($A$1,F20)*I20),-(_xll.qwBondRepoFromTo($A$1,F20,_xll.qwSettle($A$4,F20),_xll.qwSettle($A$1,F20))*_xll.qwSecVal($A$1,F20,"Price")*(_xll.qwSettle($A$1,F20)-_xll.qwSettle($A$4,F20))/360)*_xll.qwMVFactor($A$1,F20)*_xll.qwFXRate($A$1,F20)*I20,0)</f>
        <v>4360.003180435323</v>
      </c>
      <c r="AD20" s="6"/>
    </row>
    <row r="21" spans="2:30" s="7" customFormat="1" x14ac:dyDescent="0.35">
      <c r="B21" s="7" t="str">
        <v>jcleary</v>
      </c>
      <c r="C21" s="7" t="str">
        <v>MAMS</v>
      </c>
      <c r="D21" s="7" t="str">
        <v>jcleary|MAMS|RV_US_FV_Spread|221085384</v>
      </c>
      <c r="E21" s="7" t="str">
        <v>RV_US_FV_Spread</v>
      </c>
      <c r="F21" s="7" t="str">
        <v>221085384</v>
      </c>
      <c r="G21" s="7">
        <v>230.7</v>
      </c>
      <c r="H21" s="7">
        <v>0</v>
      </c>
      <c r="I21" s="7">
        <v>230.7</v>
      </c>
      <c r="J21" s="7">
        <v>0</v>
      </c>
      <c r="K21" s="7">
        <v>0</v>
      </c>
      <c r="L21" s="7">
        <v>0</v>
      </c>
      <c r="M21" s="7">
        <v>0</v>
      </c>
      <c r="N21" s="7" t="str">
        <v>SwapTrade</v>
      </c>
      <c r="O21" s="6" cm="1">
        <f t="array" ref="O21">(_xll.qwPrice($A$1,F21)-_xll.qwPrice($A$4,F21))*_xll.qwMVFactor($A$1,F21)*I21*_xll.qwFXRate($A$1,F21)</f>
        <v>4264.2645995021267</v>
      </c>
      <c r="P21" s="6" cm="1">
        <f t="array" ref="P21">IF(ISNUMBER(_xll.qwDV01($A$1,F21)*I21*_xll.qwMVFactor($A$1,F21)*_xll.qwFXRate($A$1,F21)),_xll.qwDV01($A$1,F21)*I21*_xll.qwMVFactor($A$1,F21)*_xll.qwFXRate($A$1,F21),0)</f>
        <v>-51486.465787056935</v>
      </c>
      <c r="Q21" s="6" cm="1">
        <f t="array" ref="Q21">IF(ISNUMBER(_xll.qwDV01($A$1,F21)*G21*_xll.qwMVFactor($A$1,F21)*_xll.qwFXRate($A$1,F21)),_xll.qwDV01($A$1,F21)*G21*_xll.qwMVFactor($A$1,F21)*_xll.qwFXRate($A$1,F21),0)</f>
        <v>-51486.465787056935</v>
      </c>
      <c r="R21" s="6" cm="1">
        <f t="array" ref="R21">IF(ISNUMBER(_xll.qwDV01($A$1,F21)*J21*_xll.qwMVFactor($A$1,F21)*_xll.qwFXRate($A$1,F21)),_xll.qwDV01($A$1,F21)*J21*_xll.qwMVFactor($A$1,F21)*_xll.qwFXRate($A$1,F21),0)</f>
        <v>0</v>
      </c>
      <c r="S21" s="6" cm="1">
        <f t="array" ref="S21">IF(ISNUMBER(_xll.qwDV01($A$1,F21)*J21*_xll.qwMVFactor($A$1,F21)*_xll.qwFXRate($A$1,F21)),_xll.qwDV01($A$1,F21)*J21*_xll.qwMVFactor($A$1,F21)*_xll.qwFXRate($A$1,F21),0)</f>
        <v>0</v>
      </c>
      <c r="T21" s="6" cm="1">
        <f t="array" ref="T21">_xll.qwFXRate($A$1,F21)*J21*(_xll.qwPrice($A$1,F21)-M21)*_xll.qwMVFactor($A$1,F21)+L21</f>
        <v>0</v>
      </c>
      <c r="U21" s="8" cm="1">
        <f t="array" ref="U21">_xll.qwYield($A$1,F21)</f>
        <v>4.6722755410412667E-2</v>
      </c>
      <c r="V21" s="8" cm="1">
        <f t="array" ref="V21">100*(_xll.qwYield($A$4,F21)-U21)</f>
        <v>-1.5608404081816907E-3</v>
      </c>
      <c r="W21" s="6">
        <f>IF(ISNA(G21*INDEX(_xll.qwTblData(_xll.qwCurveScenariosPerSecurity($A$1,F21,"Crv210")),2,2)),0,(G21*INDEX(_xll.qwTblData(_xll.qwCurveScenariosPerSecurity($A$1,F21,"Crv210")),2,2)))</f>
        <v>-23414.113011513069</v>
      </c>
      <c r="X21" s="6" cm="1">
        <f t="array" ref="X21">ABS(Q21/_xll.qwMV01($A$1,"CT10"))</f>
        <v>69.310618887442487</v>
      </c>
      <c r="Y21" s="6" cm="1">
        <f t="array" ref="Y21">IF(N21="BondFuture",-(_xll.qwCurveYield($A$1,_xll.qwSecVal($A$1,AA21,"CreditCurveName()"),AA21)-_xll.qwCurveYield($A$4,_xll.qwSecVal($A$4,AA21,"CreditCurveName()"),AA21))*P21*10000,IF(N21="Bond",-(_xll.qwCurveYield($A$1,_xll.qwSecVal($A$1,F21,"CreditCurveName()"),F21)-_xll.qwCurveYield($A$4,_xll.qwSecVal($A$4,F21,"CreditCurveName()"),F21))*P21*10000,O21))</f>
        <v>4264.2645995021267</v>
      </c>
      <c r="Z21" s="6" cm="1">
        <f t="array" ref="Z21">IF(OR(N21="BondFuture",N21="Bond"),P21*(_xll.qwCurveZSpread($A$4,_xll.qwSecVal($A$1,AA21,"CreditCurveName()"),AA21)-_xll.qwCurveZSpread($A$1,_xll.qwSecVal($A$1,AA21,"CreditCurveName()"),AA21)),0)</f>
        <v>0</v>
      </c>
      <c r="AA21" s="9" cm="1">
        <f t="array" ref="AA21">IF(_xll.qwSecType(F21)="Bond",F21,IF(_xll.qwSecType(F21)="BondFuture",_xll.qwFutCTD($A$1,F21),0))</f>
        <v>0</v>
      </c>
      <c r="AB21" s="6" cm="1">
        <f t="array" ref="AB21">IF(_xll.qwSecType(F21)="BondFuture",-(I21*_xll.qwDelta($A$4,F21)*_xll.qwMVFactor($A$1,F21)/_xll.qwMVFactor($A$1,_xll.qwFutCTD($A$1,F21)))*(_xll.qwFXRate($A$1,F21)*_xll.qwMVFactor($A$1,_xll.qwFutCTD($A$1,F21))*(_xll.qwIncome($A$4,_xll.qwFutCTD($A$4,F21),_xll.qwBondSettle($A$4,_xll.qwFutCTD($A$4,F21)),_xll.qwBondSettle($A$1,_xll.qwFutCTD($A$1,F21)))+(_xll.qwSecVal($A$1,AA21,"Price")-_xll.qwSecVal($A$4,AA21,"Price"))-_xll.qwBondRepoFromTo($A$1,AA21,_xll.qwBondSettle($A$4,AA21),_xll.qwBondSettle($A$1,AA21))*_xll.qwSecVal($A$1,AA21,"Price")*(_xll.qwBondSettle($A$1,AA21)-_xll.qwBondSettle($A$4,AA21))/360))+O21,0)</f>
        <v>0</v>
      </c>
      <c r="AC21" s="9" cm="1">
        <f t="array" ref="AC21">O21+T21+IF(ISNUMBER(_xll.qwIncome($A$1,F21,_xll.qwSettle($A$4,F21),_xll.qwSettle($A$1,F21))*_xll.qwMVFactor($A$1,F21)*_xll.qwFXRate($A$1,F21)*I21),_xll.qwIncome($A$1,F21,_xll.qwSettle($A$4,F21),_xll.qwSettle($A$1,F21))*_xll.qwMVFactor($A$1,F21)*_xll.qwFXRate($A$1,F21)*I21,0)+IF(ISNUMBER(-(_xll.qwBondRepoFromTo($A$1,F21,_xll.qwSettle($A$4,F21),_xll.qwSettle($A$1,F21))*_xll.qwSecVal($A$1,F21,"Price")*(_xll.qwSettle($A$1,F21)-_xll.qwSettle($A$4,F21))/360)*_xll.qwMVFactor($A$1,F21)*_xll.qwFXRate($A$1,F21)*I21),-(_xll.qwBondRepoFromTo($A$1,F21,_xll.qwSettle($A$4,F21),_xll.qwSettle($A$1,F21))*_xll.qwSecVal($A$1,F21,"Price")*(_xll.qwSettle($A$1,F21)-_xll.qwSettle($A$4,F21))/360)*_xll.qwMVFactor($A$1,F21)*_xll.qwFXRate($A$1,F21)*I21,0)</f>
        <v>4264.2645995021267</v>
      </c>
      <c r="AD21" s="6"/>
    </row>
    <row r="22" spans="2:30" s="7" customFormat="1" x14ac:dyDescent="0.35">
      <c r="B22" s="7" t="str">
        <v>jcleary</v>
      </c>
      <c r="C22" s="7" t="str">
        <v>MAMS</v>
      </c>
      <c r="D22" s="7" t="str">
        <v>jcleary|MAMS|RV_US_FV_Spread|221085417</v>
      </c>
      <c r="E22" s="7" t="str">
        <v>RV_US_FV_Spread</v>
      </c>
      <c r="F22" s="7" t="str">
        <v>221085417</v>
      </c>
      <c r="G22" s="7">
        <v>223.5</v>
      </c>
      <c r="H22" s="7">
        <v>0</v>
      </c>
      <c r="I22" s="7">
        <v>223.5</v>
      </c>
      <c r="J22" s="7">
        <v>0</v>
      </c>
      <c r="K22" s="7">
        <v>0</v>
      </c>
      <c r="L22" s="7">
        <v>0</v>
      </c>
      <c r="M22" s="7">
        <v>0</v>
      </c>
      <c r="N22" s="7" t="str">
        <v>SwapTrade</v>
      </c>
      <c r="O22" s="6" cm="1">
        <f t="array" ref="O22">(_xll.qwPrice($A$1,F22)-_xll.qwPrice($A$4,F22))*_xll.qwMVFactor($A$1,F22)*I22*_xll.qwFXRate($A$1,F22)</f>
        <v>4116.5080998885896</v>
      </c>
      <c r="P22" s="6" cm="1">
        <f t="array" ref="P22">IF(ISNUMBER(_xll.qwDV01($A$1,F22)*I22*_xll.qwMVFactor($A$1,F22)*_xll.qwFXRate($A$1,F22)),_xll.qwDV01($A$1,F22)*I22*_xll.qwMVFactor($A$1,F22)*_xll.qwFXRate($A$1,F22),0)</f>
        <v>-49543.990284845524</v>
      </c>
      <c r="Q22" s="6" cm="1">
        <f t="array" ref="Q22">IF(ISNUMBER(_xll.qwDV01($A$1,F22)*G22*_xll.qwMVFactor($A$1,F22)*_xll.qwFXRate($A$1,F22)),_xll.qwDV01($A$1,F22)*G22*_xll.qwMVFactor($A$1,F22)*_xll.qwFXRate($A$1,F22),0)</f>
        <v>-49543.990284845524</v>
      </c>
      <c r="R22" s="6" cm="1">
        <f t="array" ref="R22">IF(ISNUMBER(_xll.qwDV01($A$1,F22)*J22*_xll.qwMVFactor($A$1,F22)*_xll.qwFXRate($A$1,F22)),_xll.qwDV01($A$1,F22)*J22*_xll.qwMVFactor($A$1,F22)*_xll.qwFXRate($A$1,F22),0)</f>
        <v>0</v>
      </c>
      <c r="S22" s="6" cm="1">
        <f t="array" ref="S22">IF(ISNUMBER(_xll.qwDV01($A$1,F22)*J22*_xll.qwMVFactor($A$1,F22)*_xll.qwFXRate($A$1,F22)),_xll.qwDV01($A$1,F22)*J22*_xll.qwMVFactor($A$1,F22)*_xll.qwFXRate($A$1,F22),0)</f>
        <v>0</v>
      </c>
      <c r="T22" s="6" cm="1">
        <f t="array" ref="T22">_xll.qwFXRate($A$1,F22)*J22*(_xll.qwPrice($A$1,F22)-M22)*_xll.qwMVFactor($A$1,F22)+L22</f>
        <v>0</v>
      </c>
      <c r="U22" s="8" cm="1">
        <f t="array" ref="U22">_xll.qwYield($A$1,F22)</f>
        <v>4.6722755410412667E-2</v>
      </c>
      <c r="V22" s="8" cm="1">
        <f t="array" ref="V22">100*(_xll.qwYield($A$4,F22)-U22)</f>
        <v>-1.5608404081816907E-3</v>
      </c>
      <c r="W22" s="6">
        <f>IF(ISNA(G22*INDEX(_xll.qwTblData(_xll.qwCurveScenariosPerSecurity($A$1,F22,"Crv210")),2,2)),0,(G22*INDEX(_xll.qwTblData(_xll.qwCurveScenariosPerSecurity($A$1,F22,"Crv210")),2,2)))</f>
        <v>-22508.748678840933</v>
      </c>
      <c r="X22" s="6" cm="1">
        <f t="array" ref="X22">ABS(Q22/_xll.qwMV01($A$1,"CT10"))</f>
        <v>66.69567577231777</v>
      </c>
      <c r="Y22" s="6" cm="1">
        <f t="array" ref="Y22">IF(N22="BondFuture",-(_xll.qwCurveYield($A$1,_xll.qwSecVal($A$1,AA22,"CreditCurveName()"),AA22)-_xll.qwCurveYield($A$4,_xll.qwSecVal($A$4,AA22,"CreditCurveName()"),AA22))*P22*10000,IF(N22="Bond",-(_xll.qwCurveYield($A$1,_xll.qwSecVal($A$1,F22,"CreditCurveName()"),F22)-_xll.qwCurveYield($A$4,_xll.qwSecVal($A$4,F22,"CreditCurveName()"),F22))*P22*10000,O22))</f>
        <v>4116.5080998885896</v>
      </c>
      <c r="Z22" s="6" cm="1">
        <f t="array" ref="Z22">IF(OR(N22="BondFuture",N22="Bond"),P22*(_xll.qwCurveZSpread($A$4,_xll.qwSecVal($A$1,AA22,"CreditCurveName()"),AA22)-_xll.qwCurveZSpread($A$1,_xll.qwSecVal($A$1,AA22,"CreditCurveName()"),AA22)),0)</f>
        <v>0</v>
      </c>
      <c r="AA22" s="9" cm="1">
        <f t="array" ref="AA22">IF(_xll.qwSecType(F22)="Bond",F22,IF(_xll.qwSecType(F22)="BondFuture",_xll.qwFutCTD($A$1,F22),0))</f>
        <v>0</v>
      </c>
      <c r="AB22" s="6" cm="1">
        <f t="array" ref="AB22">IF(_xll.qwSecType(F22)="BondFuture",-(I22*_xll.qwDelta($A$4,F22)*_xll.qwMVFactor($A$1,F22)/_xll.qwMVFactor($A$1,_xll.qwFutCTD($A$1,F22)))*(_xll.qwFXRate($A$1,F22)*_xll.qwMVFactor($A$1,_xll.qwFutCTD($A$1,F22))*(_xll.qwIncome($A$4,_xll.qwFutCTD($A$4,F22),_xll.qwBondSettle($A$4,_xll.qwFutCTD($A$4,F22)),_xll.qwBondSettle($A$1,_xll.qwFutCTD($A$1,F22)))+(_xll.qwSecVal($A$1,AA22,"Price")-_xll.qwSecVal($A$4,AA22,"Price"))-_xll.qwBondRepoFromTo($A$1,AA22,_xll.qwBondSettle($A$4,AA22),_xll.qwBondSettle($A$1,AA22))*_xll.qwSecVal($A$1,AA22,"Price")*(_xll.qwBondSettle($A$1,AA22)-_xll.qwBondSettle($A$4,AA22))/360))+O22,0)</f>
        <v>0</v>
      </c>
      <c r="AC22" s="9" cm="1">
        <f t="array" ref="AC22">O22+T22+IF(ISNUMBER(_xll.qwIncome($A$1,F22,_xll.qwSettle($A$4,F22),_xll.qwSettle($A$1,F22))*_xll.qwMVFactor($A$1,F22)*_xll.qwFXRate($A$1,F22)*I22),_xll.qwIncome($A$1,F22,_xll.qwSettle($A$4,F22),_xll.qwSettle($A$1,F22))*_xll.qwMVFactor($A$1,F22)*_xll.qwFXRate($A$1,F22)*I22,0)+IF(ISNUMBER(-(_xll.qwBondRepoFromTo($A$1,F22,_xll.qwSettle($A$4,F22),_xll.qwSettle($A$1,F22))*_xll.qwSecVal($A$1,F22,"Price")*(_xll.qwSettle($A$1,F22)-_xll.qwSettle($A$4,F22))/360)*_xll.qwMVFactor($A$1,F22)*_xll.qwFXRate($A$1,F22)*I22),-(_xll.qwBondRepoFromTo($A$1,F22,_xll.qwSettle($A$4,F22),_xll.qwSettle($A$1,F22))*_xll.qwSecVal($A$1,F22,"Price")*(_xll.qwSettle($A$1,F22)-_xll.qwSettle($A$4,F22))/360)*_xll.qwMVFactor($A$1,F22)*_xll.qwFXRate($A$1,F22)*I22,0)</f>
        <v>4116.5080998885896</v>
      </c>
      <c r="AD22" s="6"/>
    </row>
    <row r="23" spans="2:30" s="7" customFormat="1" x14ac:dyDescent="0.35">
      <c r="B23" s="7" t="str">
        <v>jcleary</v>
      </c>
      <c r="C23" s="7" t="str">
        <v>MAMS</v>
      </c>
      <c r="D23" s="7" t="str">
        <v>jcleary|MAMS|RV_US_FV_Spread|221136203</v>
      </c>
      <c r="E23" s="7" t="str">
        <v>RV_US_FV_Spread</v>
      </c>
      <c r="F23" s="7" t="str">
        <v>221136203</v>
      </c>
      <c r="G23" s="7">
        <v>1204.0999999999999</v>
      </c>
      <c r="H23" s="7">
        <v>0</v>
      </c>
      <c r="I23" s="7">
        <v>1204.0999999999999</v>
      </c>
      <c r="J23" s="7">
        <v>0</v>
      </c>
      <c r="K23" s="7">
        <v>0</v>
      </c>
      <c r="L23" s="7">
        <v>0</v>
      </c>
      <c r="M23" s="7">
        <v>0</v>
      </c>
      <c r="N23" s="7" t="str">
        <v>SwapTrade</v>
      </c>
      <c r="O23" s="6" cm="1">
        <f t="array" ref="O23">(_xll.qwPrice($A$1,F23)-_xll.qwPrice($A$4,F23))*_xll.qwMVFactor($A$1,F23)*I23*_xll.qwFXRate($A$1,F23)</f>
        <v>-22086.702006628439</v>
      </c>
      <c r="P23" s="6" cm="1">
        <f t="array" ref="P23">IF(ISNUMBER(_xll.qwDV01($A$1,F23)*I23*_xll.qwMVFactor($A$1,F23)*_xll.qwFXRate($A$1,F23)),_xll.qwDV01($A$1,F23)*I23*_xll.qwMVFactor($A$1,F23)*_xll.qwFXRate($A$1,F23),0)</f>
        <v>264838.17559675057</v>
      </c>
      <c r="Q23" s="6" cm="1">
        <f t="array" ref="Q23">IF(ISNUMBER(_xll.qwDV01($A$1,F23)*G23*_xll.qwMVFactor($A$1,F23)*_xll.qwFXRate($A$1,F23)),_xll.qwDV01($A$1,F23)*G23*_xll.qwMVFactor($A$1,F23)*_xll.qwFXRate($A$1,F23),0)</f>
        <v>264838.17559675057</v>
      </c>
      <c r="R23" s="6" cm="1">
        <f t="array" ref="R23">IF(ISNUMBER(_xll.qwDV01($A$1,F23)*J23*_xll.qwMVFactor($A$1,F23)*_xll.qwFXRate($A$1,F23)),_xll.qwDV01($A$1,F23)*J23*_xll.qwMVFactor($A$1,F23)*_xll.qwFXRate($A$1,F23),0)</f>
        <v>0</v>
      </c>
      <c r="S23" s="6" cm="1">
        <f t="array" ref="S23">IF(ISNUMBER(_xll.qwDV01($A$1,F23)*J23*_xll.qwMVFactor($A$1,F23)*_xll.qwFXRate($A$1,F23)),_xll.qwDV01($A$1,F23)*J23*_xll.qwMVFactor($A$1,F23)*_xll.qwFXRate($A$1,F23),0)</f>
        <v>0</v>
      </c>
      <c r="T23" s="6" cm="1">
        <f t="array" ref="T23">_xll.qwFXRate($A$1,F23)*J23*(_xll.qwPrice($A$1,F23)-M23)*_xll.qwMVFactor($A$1,F23)+L23</f>
        <v>0</v>
      </c>
      <c r="U23" s="8" cm="1">
        <f t="array" ref="U23">_xll.qwYield($A$1,F23)</f>
        <v>4.6722755410412667E-2</v>
      </c>
      <c r="V23" s="8" cm="1">
        <f t="array" ref="V23">100*(_xll.qwYield($A$4,F23)-U23)</f>
        <v>-1.5608404081816907E-3</v>
      </c>
      <c r="W23" s="6">
        <f>IF(ISNA(G23*INDEX(_xll.qwTblData(_xll.qwCurveScenariosPerSecurity($A$1,F23,"Crv210")),2,2)),0,(G23*INDEX(_xll.qwTblData(_xll.qwCurveScenariosPerSecurity($A$1,F23,"Crv210")),2,2)))</f>
        <v>120183.68908633821</v>
      </c>
      <c r="X23" s="6" cm="1">
        <f t="array" ref="X23">ABS(Q23/_xll.qwMV01($A$1,"CT10"))</f>
        <v>356.52277885126165</v>
      </c>
      <c r="Y23" s="6" cm="1">
        <f t="array" ref="Y23">IF(N23="BondFuture",-(_xll.qwCurveYield($A$1,_xll.qwSecVal($A$1,AA23,"CreditCurveName()"),AA23)-_xll.qwCurveYield($A$4,_xll.qwSecVal($A$4,AA23,"CreditCurveName()"),AA23))*P23*10000,IF(N23="Bond",-(_xll.qwCurveYield($A$1,_xll.qwSecVal($A$1,F23,"CreditCurveName()"),F23)-_xll.qwCurveYield($A$4,_xll.qwSecVal($A$4,F23,"CreditCurveName()"),F23))*P23*10000,O23))</f>
        <v>-22086.702006628439</v>
      </c>
      <c r="Z23" s="6" cm="1">
        <f t="array" ref="Z23">IF(OR(N23="BondFuture",N23="Bond"),P23*(_xll.qwCurveZSpread($A$4,_xll.qwSecVal($A$1,AA23,"CreditCurveName()"),AA23)-_xll.qwCurveZSpread($A$1,_xll.qwSecVal($A$1,AA23,"CreditCurveName()"),AA23)),0)</f>
        <v>0</v>
      </c>
      <c r="AA23" s="9" cm="1">
        <f t="array" ref="AA23">IF(_xll.qwSecType(F23)="Bond",F23,IF(_xll.qwSecType(F23)="BondFuture",_xll.qwFutCTD($A$1,F23),0))</f>
        <v>0</v>
      </c>
      <c r="AB23" s="6" cm="1">
        <f t="array" ref="AB23">IF(_xll.qwSecType(F23)="BondFuture",-(I23*_xll.qwDelta($A$4,F23)*_xll.qwMVFactor($A$1,F23)/_xll.qwMVFactor($A$1,_xll.qwFutCTD($A$1,F23)))*(_xll.qwFXRate($A$1,F23)*_xll.qwMVFactor($A$1,_xll.qwFutCTD($A$1,F23))*(_xll.qwIncome($A$4,_xll.qwFutCTD($A$4,F23),_xll.qwBondSettle($A$4,_xll.qwFutCTD($A$4,F23)),_xll.qwBondSettle($A$1,_xll.qwFutCTD($A$1,F23)))+(_xll.qwSecVal($A$1,AA23,"Price")-_xll.qwSecVal($A$4,AA23,"Price"))-_xll.qwBondRepoFromTo($A$1,AA23,_xll.qwBondSettle($A$4,AA23),_xll.qwBondSettle($A$1,AA23))*_xll.qwSecVal($A$1,AA23,"Price")*(_xll.qwBondSettle($A$1,AA23)-_xll.qwBondSettle($A$4,AA23))/360))+O23,0)</f>
        <v>0</v>
      </c>
      <c r="AC23" s="9" cm="1">
        <f t="array" ref="AC23">O23+T23+IF(ISNUMBER(_xll.qwIncome($A$1,F23,_xll.qwSettle($A$4,F23),_xll.qwSettle($A$1,F23))*_xll.qwMVFactor($A$1,F23)*_xll.qwFXRate($A$1,F23)*I23),_xll.qwIncome($A$1,F23,_xll.qwSettle($A$4,F23),_xll.qwSettle($A$1,F23))*_xll.qwMVFactor($A$1,F23)*_xll.qwFXRate($A$1,F23)*I23,0)+IF(ISNUMBER(-(_xll.qwBondRepoFromTo($A$1,F23,_xll.qwSettle($A$4,F23),_xll.qwSettle($A$1,F23))*_xll.qwSecVal($A$1,F23,"Price")*(_xll.qwSettle($A$1,F23)-_xll.qwSettle($A$4,F23))/360)*_xll.qwMVFactor($A$1,F23)*_xll.qwFXRate($A$1,F23)*I23),-(_xll.qwBondRepoFromTo($A$1,F23,_xll.qwSettle($A$4,F23),_xll.qwSettle($A$1,F23))*_xll.qwSecVal($A$1,F23,"Price")*(_xll.qwSettle($A$1,F23)-_xll.qwSettle($A$4,F23))/360)*_xll.qwMVFactor($A$1,F23)*_xll.qwFXRate($A$1,F23)*I23,0)</f>
        <v>-22086.702006628439</v>
      </c>
      <c r="AD23" s="6"/>
    </row>
    <row r="24" spans="2:30" s="7" customFormat="1" x14ac:dyDescent="0.35">
      <c r="B24" s="7" t="str">
        <v>jcleary</v>
      </c>
      <c r="C24" s="7" t="str">
        <v>MAMS</v>
      </c>
      <c r="D24" s="7" t="str">
        <v>jcleary|MAMS|RV_US_FV_Spread|221136205</v>
      </c>
      <c r="E24" s="7" t="str">
        <v>RV_US_FV_Spread</v>
      </c>
      <c r="F24" s="7" t="str">
        <v>221136205</v>
      </c>
      <c r="G24" s="7">
        <v>1205.2</v>
      </c>
      <c r="H24" s="7">
        <v>0</v>
      </c>
      <c r="I24" s="7">
        <v>1205.2</v>
      </c>
      <c r="J24" s="7">
        <v>0</v>
      </c>
      <c r="K24" s="7">
        <v>0</v>
      </c>
      <c r="L24" s="7">
        <v>0</v>
      </c>
      <c r="M24" s="7">
        <v>0</v>
      </c>
      <c r="N24" s="7" t="str">
        <v>SwapTrade</v>
      </c>
      <c r="O24" s="6" cm="1">
        <f t="array" ref="O24">(_xll.qwPrice($A$1,F24)-_xll.qwPrice($A$4,F24))*_xll.qwMVFactor($A$1,F24)*I24*_xll.qwFXRate($A$1,F24)</f>
        <v>-22112.444568829509</v>
      </c>
      <c r="P24" s="6" cm="1">
        <f t="array" ref="P24">IF(ISNUMBER(_xll.qwDV01($A$1,F24)*I24*_xll.qwMVFactor($A$1,F24)*_xll.qwFXRate($A$1,F24)),_xll.qwDV01($A$1,F24)*I24*_xll.qwMVFactor($A$1,F24)*_xll.qwFXRate($A$1,F24),0)</f>
        <v>265207.42663468455</v>
      </c>
      <c r="Q24" s="6" cm="1">
        <f t="array" ref="Q24">IF(ISNUMBER(_xll.qwDV01($A$1,F24)*G24*_xll.qwMVFactor($A$1,F24)*_xll.qwFXRate($A$1,F24)),_xll.qwDV01($A$1,F24)*G24*_xll.qwMVFactor($A$1,F24)*_xll.qwFXRate($A$1,F24),0)</f>
        <v>265207.42663468455</v>
      </c>
      <c r="R24" s="6" cm="1">
        <f t="array" ref="R24">IF(ISNUMBER(_xll.qwDV01($A$1,F24)*J24*_xll.qwMVFactor($A$1,F24)*_xll.qwFXRate($A$1,F24)),_xll.qwDV01($A$1,F24)*J24*_xll.qwMVFactor($A$1,F24)*_xll.qwFXRate($A$1,F24),0)</f>
        <v>0</v>
      </c>
      <c r="S24" s="6" cm="1">
        <f t="array" ref="S24">IF(ISNUMBER(_xll.qwDV01($A$1,F24)*J24*_xll.qwMVFactor($A$1,F24)*_xll.qwFXRate($A$1,F24)),_xll.qwDV01($A$1,F24)*J24*_xll.qwMVFactor($A$1,F24)*_xll.qwFXRate($A$1,F24),0)</f>
        <v>0</v>
      </c>
      <c r="T24" s="6" cm="1">
        <f t="array" ref="T24">_xll.qwFXRate($A$1,F24)*J24*(_xll.qwPrice($A$1,F24)-M24)*_xll.qwMVFactor($A$1,F24)+L24</f>
        <v>0</v>
      </c>
      <c r="U24" s="8" cm="1">
        <f t="array" ref="U24">_xll.qwYield($A$1,F24)</f>
        <v>4.6722755410412667E-2</v>
      </c>
      <c r="V24" s="8" cm="1">
        <f t="array" ref="V24">100*(_xll.qwYield($A$4,F24)-U24)</f>
        <v>-1.5608404081816907E-3</v>
      </c>
      <c r="W24" s="6">
        <f>IF(ISNA(G24*INDEX(_xll.qwTblData(_xll.qwCurveScenariosPerSecurity($A$1,F24,"Crv210")),2,2)),0,(G24*INDEX(_xll.qwTblData(_xll.qwCurveScenariosPerSecurity($A$1,F24,"Crv210")),2,2)))</f>
        <v>120359.72288374849</v>
      </c>
      <c r="X24" s="6" cm="1">
        <f t="array" ref="X24">ABS(Q24/_xll.qwMV01($A$1,"CT10"))</f>
        <v>357.01986128977831</v>
      </c>
      <c r="Y24" s="6" cm="1">
        <f t="array" ref="Y24">IF(N24="BondFuture",-(_xll.qwCurveYield($A$1,_xll.qwSecVal($A$1,AA24,"CreditCurveName()"),AA24)-_xll.qwCurveYield($A$4,_xll.qwSecVal($A$4,AA24,"CreditCurveName()"),AA24))*P24*10000,IF(N24="Bond",-(_xll.qwCurveYield($A$1,_xll.qwSecVal($A$1,F24,"CreditCurveName()"),F24)-_xll.qwCurveYield($A$4,_xll.qwSecVal($A$4,F24,"CreditCurveName()"),F24))*P24*10000,O24))</f>
        <v>-22112.444568829509</v>
      </c>
      <c r="Z24" s="6" cm="1">
        <f t="array" ref="Z24">IF(OR(N24="BondFuture",N24="Bond"),P24*(_xll.qwCurveZSpread($A$4,_xll.qwSecVal($A$1,AA24,"CreditCurveName()"),AA24)-_xll.qwCurveZSpread($A$1,_xll.qwSecVal($A$1,AA24,"CreditCurveName()"),AA24)),0)</f>
        <v>0</v>
      </c>
      <c r="AA24" s="9" cm="1">
        <f t="array" ref="AA24">IF(_xll.qwSecType(F24)="Bond",F24,IF(_xll.qwSecType(F24)="BondFuture",_xll.qwFutCTD($A$1,F24),0))</f>
        <v>0</v>
      </c>
      <c r="AB24" s="6" cm="1">
        <f t="array" ref="AB24">IF(_xll.qwSecType(F24)="BondFuture",-(I24*_xll.qwDelta($A$4,F24)*_xll.qwMVFactor($A$1,F24)/_xll.qwMVFactor($A$1,_xll.qwFutCTD($A$1,F24)))*(_xll.qwFXRate($A$1,F24)*_xll.qwMVFactor($A$1,_xll.qwFutCTD($A$1,F24))*(_xll.qwIncome($A$4,_xll.qwFutCTD($A$4,F24),_xll.qwBondSettle($A$4,_xll.qwFutCTD($A$4,F24)),_xll.qwBondSettle($A$1,_xll.qwFutCTD($A$1,F24)))+(_xll.qwSecVal($A$1,AA24,"Price")-_xll.qwSecVal($A$4,AA24,"Price"))-_xll.qwBondRepoFromTo($A$1,AA24,_xll.qwBondSettle($A$4,AA24),_xll.qwBondSettle($A$1,AA24))*_xll.qwSecVal($A$1,AA24,"Price")*(_xll.qwBondSettle($A$1,AA24)-_xll.qwBondSettle($A$4,AA24))/360))+O24,0)</f>
        <v>0</v>
      </c>
      <c r="AC24" s="9" cm="1">
        <f t="array" ref="AC24">O24+T24+IF(ISNUMBER(_xll.qwIncome($A$1,F24,_xll.qwSettle($A$4,F24),_xll.qwSettle($A$1,F24))*_xll.qwMVFactor($A$1,F24)*_xll.qwFXRate($A$1,F24)*I24),_xll.qwIncome($A$1,F24,_xll.qwSettle($A$4,F24),_xll.qwSettle($A$1,F24))*_xll.qwMVFactor($A$1,F24)*_xll.qwFXRate($A$1,F24)*I24,0)+IF(ISNUMBER(-(_xll.qwBondRepoFromTo($A$1,F24,_xll.qwSettle($A$4,F24),_xll.qwSettle($A$1,F24))*_xll.qwSecVal($A$1,F24,"Price")*(_xll.qwSettle($A$1,F24)-_xll.qwSettle($A$4,F24))/360)*_xll.qwMVFactor($A$1,F24)*_xll.qwFXRate($A$1,F24)*I24),-(_xll.qwBondRepoFromTo($A$1,F24,_xll.qwSettle($A$4,F24),_xll.qwSettle($A$1,F24))*_xll.qwSecVal($A$1,F24,"Price")*(_xll.qwSettle($A$1,F24)-_xll.qwSettle($A$4,F24))/360)*_xll.qwMVFactor($A$1,F24)*_xll.qwFXRate($A$1,F24)*I24,0)</f>
        <v>-22112.444568829509</v>
      </c>
      <c r="AD24" s="6"/>
    </row>
    <row r="25" spans="2:30" s="7" customFormat="1" x14ac:dyDescent="0.35">
      <c r="B25" s="7" t="str">
        <v>jcleary</v>
      </c>
      <c r="C25" s="7" t="str">
        <v>MAMS</v>
      </c>
      <c r="D25" s="7" t="str">
        <v>jcleary|MAMS|RV_US_FV_Spread|221136211</v>
      </c>
      <c r="E25" s="7" t="str">
        <v>RV_US_FV_Spread</v>
      </c>
      <c r="F25" s="7" t="str">
        <v>221136211</v>
      </c>
      <c r="G25" s="7">
        <v>1564</v>
      </c>
      <c r="H25" s="7">
        <v>0</v>
      </c>
      <c r="I25" s="7">
        <v>1564</v>
      </c>
      <c r="J25" s="7">
        <v>0</v>
      </c>
      <c r="K25" s="7">
        <v>0</v>
      </c>
      <c r="L25" s="7">
        <v>0</v>
      </c>
      <c r="M25" s="7">
        <v>0</v>
      </c>
      <c r="N25" s="7" t="str">
        <v>SwapTrade</v>
      </c>
      <c r="O25" s="6" cm="1">
        <f t="array" ref="O25">(_xll.qwPrice($A$1,F25)-_xll.qwPrice($A$4,F25))*_xll.qwMVFactor($A$1,F25)*I25*_xll.qwFXRate($A$1,F25)</f>
        <v>-28672.902326479423</v>
      </c>
      <c r="P25" s="6" cm="1">
        <f t="array" ref="P25">IF(ISNUMBER(_xll.qwDV01($A$1,F25)*I25*_xll.qwMVFactor($A$1,F25)*_xll.qwFXRate($A$1,F25)),_xll.qwDV01($A$1,F25)*I25*_xll.qwMVFactor($A$1,F25)*_xll.qwFXRate($A$1,F25),0)</f>
        <v>343644.49381830968</v>
      </c>
      <c r="Q25" s="6" cm="1">
        <f t="array" ref="Q25">IF(ISNUMBER(_xll.qwDV01($A$1,F25)*G25*_xll.qwMVFactor($A$1,F25)*_xll.qwFXRate($A$1,F25)),_xll.qwDV01($A$1,F25)*G25*_xll.qwMVFactor($A$1,F25)*_xll.qwFXRate($A$1,F25),0)</f>
        <v>343644.49381830968</v>
      </c>
      <c r="R25" s="6" cm="1">
        <f t="array" ref="R25">IF(ISNUMBER(_xll.qwDV01($A$1,F25)*J25*_xll.qwMVFactor($A$1,F25)*_xll.qwFXRate($A$1,F25)),_xll.qwDV01($A$1,F25)*J25*_xll.qwMVFactor($A$1,F25)*_xll.qwFXRate($A$1,F25),0)</f>
        <v>0</v>
      </c>
      <c r="S25" s="6" cm="1">
        <f t="array" ref="S25">IF(ISNUMBER(_xll.qwDV01($A$1,F25)*J25*_xll.qwMVFactor($A$1,F25)*_xll.qwFXRate($A$1,F25)),_xll.qwDV01($A$1,F25)*J25*_xll.qwMVFactor($A$1,F25)*_xll.qwFXRate($A$1,F25),0)</f>
        <v>0</v>
      </c>
      <c r="T25" s="6" cm="1">
        <f t="array" ref="T25">_xll.qwFXRate($A$1,F25)*J25*(_xll.qwPrice($A$1,F25)-M25)*_xll.qwMVFactor($A$1,F25)+L25</f>
        <v>0</v>
      </c>
      <c r="U25" s="8" cm="1">
        <f t="array" ref="U25">_xll.qwYield($A$1,F25)</f>
        <v>4.6722755410412667E-2</v>
      </c>
      <c r="V25" s="8" cm="1">
        <f t="array" ref="V25">100*(_xll.qwYield($A$4,F25)-U25)</f>
        <v>-1.5608404081816907E-3</v>
      </c>
      <c r="W25" s="6">
        <f>IF(ISNA(G25*INDEX(_xll.qwTblData(_xll.qwCurveScenariosPerSecurity($A$1,F25,"Crv210")),2,2)),0,(G25*INDEX(_xll.qwTblData(_xll.qwCurveScenariosPerSecurity($A$1,F25,"Crv210")),2,2)))</f>
        <v>155922.59079149668</v>
      </c>
      <c r="X25" s="6" cm="1">
        <f t="array" ref="X25">ABS(Q25/_xll.qwMV01($A$1,"CT10"))</f>
        <v>462.61113828085968</v>
      </c>
      <c r="Y25" s="6" cm="1">
        <f t="array" ref="Y25">IF(N25="BondFuture",-(_xll.qwCurveYield($A$1,_xll.qwSecVal($A$1,AA25,"CreditCurveName()"),AA25)-_xll.qwCurveYield($A$4,_xll.qwSecVal($A$4,AA25,"CreditCurveName()"),AA25))*P25*10000,IF(N25="Bond",-(_xll.qwCurveYield($A$1,_xll.qwSecVal($A$1,F25,"CreditCurveName()"),F25)-_xll.qwCurveYield($A$4,_xll.qwSecVal($A$4,F25,"CreditCurveName()"),F25))*P25*10000,O25))</f>
        <v>-28672.902326479423</v>
      </c>
      <c r="Z25" s="6" cm="1">
        <f t="array" ref="Z25">IF(OR(N25="BondFuture",N25="Bond"),P25*(_xll.qwCurveZSpread($A$4,_xll.qwSecVal($A$1,AA25,"CreditCurveName()"),AA25)-_xll.qwCurveZSpread($A$1,_xll.qwSecVal($A$1,AA25,"CreditCurveName()"),AA25)),0)</f>
        <v>0</v>
      </c>
      <c r="AA25" s="9" cm="1">
        <f t="array" ref="AA25">IF(_xll.qwSecType(F25)="Bond",F25,IF(_xll.qwSecType(F25)="BondFuture",_xll.qwFutCTD($A$1,F25),0))</f>
        <v>0</v>
      </c>
      <c r="AB25" s="6" cm="1">
        <f t="array" ref="AB25">IF(_xll.qwSecType(F25)="BondFuture",-(I25*_xll.qwDelta($A$4,F25)*_xll.qwMVFactor($A$1,F25)/_xll.qwMVFactor($A$1,_xll.qwFutCTD($A$1,F25)))*(_xll.qwFXRate($A$1,F25)*_xll.qwMVFactor($A$1,_xll.qwFutCTD($A$1,F25))*(_xll.qwIncome($A$4,_xll.qwFutCTD($A$4,F25),_xll.qwBondSettle($A$4,_xll.qwFutCTD($A$4,F25)),_xll.qwBondSettle($A$1,_xll.qwFutCTD($A$1,F25)))+(_xll.qwSecVal($A$1,AA25,"Price")-_xll.qwSecVal($A$4,AA25,"Price"))-_xll.qwBondRepoFromTo($A$1,AA25,_xll.qwBondSettle($A$4,AA25),_xll.qwBondSettle($A$1,AA25))*_xll.qwSecVal($A$1,AA25,"Price")*(_xll.qwBondSettle($A$1,AA25)-_xll.qwBondSettle($A$4,AA25))/360))+O25,0)</f>
        <v>0</v>
      </c>
      <c r="AC25" s="9" cm="1">
        <f t="array" ref="AC25">O25+T25+IF(ISNUMBER(_xll.qwIncome($A$1,F25,_xll.qwSettle($A$4,F25),_xll.qwSettle($A$1,F25))*_xll.qwMVFactor($A$1,F25)*_xll.qwFXRate($A$1,F25)*I25),_xll.qwIncome($A$1,F25,_xll.qwSettle($A$4,F25),_xll.qwSettle($A$1,F25))*_xll.qwMVFactor($A$1,F25)*_xll.qwFXRate($A$1,F25)*I25,0)+IF(ISNUMBER(-(_xll.qwBondRepoFromTo($A$1,F25,_xll.qwSettle($A$4,F25),_xll.qwSettle($A$1,F25))*_xll.qwSecVal($A$1,F25,"Price")*(_xll.qwSettle($A$1,F25)-_xll.qwSettle($A$4,F25))/360)*_xll.qwMVFactor($A$1,F25)*_xll.qwFXRate($A$1,F25)*I25),-(_xll.qwBondRepoFromTo($A$1,F25,_xll.qwSettle($A$4,F25),_xll.qwSettle($A$1,F25))*_xll.qwSecVal($A$1,F25,"Price")*(_xll.qwSettle($A$1,F25)-_xll.qwSettle($A$4,F25))/360)*_xll.qwMVFactor($A$1,F25)*_xll.qwFXRate($A$1,F25)*I25,0)</f>
        <v>-28672.902326479423</v>
      </c>
      <c r="AD25" s="6"/>
    </row>
    <row r="26" spans="2:30" s="7" customFormat="1" x14ac:dyDescent="0.35">
      <c r="B26" s="7" t="str">
        <v>jcleary</v>
      </c>
      <c r="C26" s="7" t="str">
        <v>MAMS</v>
      </c>
      <c r="D26" s="7" t="str">
        <v>jcleary|MAMS|RV_US_FV_Spread|221136212</v>
      </c>
      <c r="E26" s="7" t="str">
        <v>RV_US_FV_Spread</v>
      </c>
      <c r="F26" s="7" t="str">
        <v>221136212</v>
      </c>
      <c r="G26" s="7">
        <v>1650</v>
      </c>
      <c r="H26" s="7">
        <v>0</v>
      </c>
      <c r="I26" s="7">
        <v>1650</v>
      </c>
      <c r="J26" s="7">
        <v>0</v>
      </c>
      <c r="K26" s="7">
        <v>0</v>
      </c>
      <c r="L26" s="7">
        <v>0</v>
      </c>
      <c r="M26" s="7">
        <v>0</v>
      </c>
      <c r="N26" s="7" t="str">
        <v>SwapTrade</v>
      </c>
      <c r="O26" s="6" cm="1">
        <f t="array" ref="O26">(_xll.qwPrice($A$1,F26)-_xll.qwPrice($A$4,F26))*_xll.qwMVFactor($A$1,F26)*I26*_xll.qwFXRate($A$1,F26)</f>
        <v>-30252.291489890838</v>
      </c>
      <c r="P26" s="6" cm="1">
        <f t="array" ref="P26">IF(ISNUMBER(_xll.qwDV01($A$1,F26)*I26*_xll.qwMVFactor($A$1,F26)*_xll.qwFXRate($A$1,F26)),_xll.qwDV01($A$1,F26)*I26*_xll.qwMVFactor($A$1,F26)*_xll.qwFXRate($A$1,F26),0)</f>
        <v>362603.36667893454</v>
      </c>
      <c r="Q26" s="6" cm="1">
        <f t="array" ref="Q26">IF(ISNUMBER(_xll.qwDV01($A$1,F26)*G26*_xll.qwMVFactor($A$1,F26)*_xll.qwFXRate($A$1,F26)),_xll.qwDV01($A$1,F26)*G26*_xll.qwMVFactor($A$1,F26)*_xll.qwFXRate($A$1,F26),0)</f>
        <v>362603.36667893454</v>
      </c>
      <c r="R26" s="6" cm="1">
        <f t="array" ref="R26">IF(ISNUMBER(_xll.qwDV01($A$1,F26)*J26*_xll.qwMVFactor($A$1,F26)*_xll.qwFXRate($A$1,F26)),_xll.qwDV01($A$1,F26)*J26*_xll.qwMVFactor($A$1,F26)*_xll.qwFXRate($A$1,F26),0)</f>
        <v>0</v>
      </c>
      <c r="S26" s="6" cm="1">
        <f t="array" ref="S26">IF(ISNUMBER(_xll.qwDV01($A$1,F26)*J26*_xll.qwMVFactor($A$1,F26)*_xll.qwFXRate($A$1,F26)),_xll.qwDV01($A$1,F26)*J26*_xll.qwMVFactor($A$1,F26)*_xll.qwFXRate($A$1,F26),0)</f>
        <v>0</v>
      </c>
      <c r="T26" s="6" cm="1">
        <f t="array" ref="T26">_xll.qwFXRate($A$1,F26)*J26*(_xll.qwPrice($A$1,F26)-M26)*_xll.qwMVFactor($A$1,F26)+L26</f>
        <v>0</v>
      </c>
      <c r="U26" s="8" cm="1">
        <f t="array" ref="U26">_xll.qwYield($A$1,F26)</f>
        <v>4.6722755410412667E-2</v>
      </c>
      <c r="V26" s="8" cm="1">
        <f t="array" ref="V26">100*(_xll.qwYield($A$4,F26)-U26)</f>
        <v>-1.5608404081816907E-3</v>
      </c>
      <c r="W26" s="6">
        <f>IF(ISNA(G26*INDEX(_xll.qwTblData(_xll.qwCurveScenariosPerSecurity($A$1,F26,"Crv210")),2,2)),0,(G26*INDEX(_xll.qwTblData(_xll.qwCurveScenariosPerSecurity($A$1,F26,"Crv210")),2,2)))</f>
        <v>164529.01542541687</v>
      </c>
      <c r="X26" s="6" cm="1">
        <f t="array" ref="X26">ABS(Q26/_xll.qwMV01($A$1,"CT10"))</f>
        <v>488.13340304094316</v>
      </c>
      <c r="Y26" s="6" cm="1">
        <f t="array" ref="Y26">IF(N26="BondFuture",-(_xll.qwCurveYield($A$1,_xll.qwSecVal($A$1,AA26,"CreditCurveName()"),AA26)-_xll.qwCurveYield($A$4,_xll.qwSecVal($A$4,AA26,"CreditCurveName()"),AA26))*P26*10000,IF(N26="Bond",-(_xll.qwCurveYield($A$1,_xll.qwSecVal($A$1,F26,"CreditCurveName()"),F26)-_xll.qwCurveYield($A$4,_xll.qwSecVal($A$4,F26,"CreditCurveName()"),F26))*P26*10000,O26))</f>
        <v>-30252.291489890838</v>
      </c>
      <c r="Z26" s="6" cm="1">
        <f t="array" ref="Z26">IF(OR(N26="BondFuture",N26="Bond"),P26*(_xll.qwCurveZSpread($A$4,_xll.qwSecVal($A$1,AA26,"CreditCurveName()"),AA26)-_xll.qwCurveZSpread($A$1,_xll.qwSecVal($A$1,AA26,"CreditCurveName()"),AA26)),0)</f>
        <v>0</v>
      </c>
      <c r="AA26" s="9" cm="1">
        <f t="array" ref="AA26">IF(_xll.qwSecType(F26)="Bond",F26,IF(_xll.qwSecType(F26)="BondFuture",_xll.qwFutCTD($A$1,F26),0))</f>
        <v>0</v>
      </c>
      <c r="AB26" s="6" cm="1">
        <f t="array" ref="AB26">IF(_xll.qwSecType(F26)="BondFuture",-(I26*_xll.qwDelta($A$4,F26)*_xll.qwMVFactor($A$1,F26)/_xll.qwMVFactor($A$1,_xll.qwFutCTD($A$1,F26)))*(_xll.qwFXRate($A$1,F26)*_xll.qwMVFactor($A$1,_xll.qwFutCTD($A$1,F26))*(_xll.qwIncome($A$4,_xll.qwFutCTD($A$4,F26),_xll.qwBondSettle($A$4,_xll.qwFutCTD($A$4,F26)),_xll.qwBondSettle($A$1,_xll.qwFutCTD($A$1,F26)))+(_xll.qwSecVal($A$1,AA26,"Price")-_xll.qwSecVal($A$4,AA26,"Price"))-_xll.qwBondRepoFromTo($A$1,AA26,_xll.qwBondSettle($A$4,AA26),_xll.qwBondSettle($A$1,AA26))*_xll.qwSecVal($A$1,AA26,"Price")*(_xll.qwBondSettle($A$1,AA26)-_xll.qwBondSettle($A$4,AA26))/360))+O26,0)</f>
        <v>0</v>
      </c>
      <c r="AC26" s="9" cm="1">
        <f t="array" ref="AC26">O26+T26+IF(ISNUMBER(_xll.qwIncome($A$1,F26,_xll.qwSettle($A$4,F26),_xll.qwSettle($A$1,F26))*_xll.qwMVFactor($A$1,F26)*_xll.qwFXRate($A$1,F26)*I26),_xll.qwIncome($A$1,F26,_xll.qwSettle($A$4,F26),_xll.qwSettle($A$1,F26))*_xll.qwMVFactor($A$1,F26)*_xll.qwFXRate($A$1,F26)*I26,0)+IF(ISNUMBER(-(_xll.qwBondRepoFromTo($A$1,F26,_xll.qwSettle($A$4,F26),_xll.qwSettle($A$1,F26))*_xll.qwSecVal($A$1,F26,"Price")*(_xll.qwSettle($A$1,F26)-_xll.qwSettle($A$4,F26))/360)*_xll.qwMVFactor($A$1,F26)*_xll.qwFXRate($A$1,F26)*I26),-(_xll.qwBondRepoFromTo($A$1,F26,_xll.qwSettle($A$4,F26),_xll.qwSettle($A$1,F26))*_xll.qwSecVal($A$1,F26,"Price")*(_xll.qwSettle($A$1,F26)-_xll.qwSettle($A$4,F26))/360)*_xll.qwMVFactor($A$1,F26)*_xll.qwFXRate($A$1,F26)*I26,0)</f>
        <v>-30252.291489890838</v>
      </c>
      <c r="AD26" s="6"/>
    </row>
    <row r="27" spans="2:30" s="7" customFormat="1" x14ac:dyDescent="0.35">
      <c r="B27" s="7" t="str">
        <v>jcleary</v>
      </c>
      <c r="C27" s="7" t="str">
        <v>MAMS</v>
      </c>
      <c r="D27" s="7" t="str">
        <v>jcleary|MAMS|RV_US_FV_Spread|221582879</v>
      </c>
      <c r="E27" s="7" t="str">
        <v>RV_US_FV_Spread</v>
      </c>
      <c r="F27" s="7" t="str">
        <v>221582879</v>
      </c>
      <c r="G27" s="7">
        <v>561.6</v>
      </c>
      <c r="H27" s="7">
        <v>0</v>
      </c>
      <c r="I27" s="7">
        <v>561.6</v>
      </c>
      <c r="J27" s="7">
        <v>0</v>
      </c>
      <c r="K27" s="7">
        <v>0</v>
      </c>
      <c r="L27" s="7">
        <v>0</v>
      </c>
      <c r="M27" s="7">
        <v>0</v>
      </c>
      <c r="N27" s="7" t="str">
        <v>SwapTrade</v>
      </c>
      <c r="O27" s="6" cm="1">
        <f t="array" ref="O27">(_xll.qwPrice($A$1,F27)-_xll.qwPrice($A$4,F27))*_xll.qwMVFactor($A$1,F27)*I27*_xll.qwFXRate($A$1,F27)</f>
        <v>-58861.632546120105</v>
      </c>
      <c r="P27" s="6" cm="1">
        <f t="array" ref="P27">IF(ISNUMBER(_xll.qwDV01($A$1,F27)*I27*_xll.qwMVFactor($A$1,F27)*_xll.qwFXRate($A$1,F27)),_xll.qwDV01($A$1,F27)*I27*_xll.qwMVFactor($A$1,F27)*_xll.qwFXRate($A$1,F27),0)</f>
        <v>-147604.75857705835</v>
      </c>
      <c r="Q27" s="6" cm="1">
        <f t="array" ref="Q27">IF(ISNUMBER(_xll.qwDV01($A$1,F27)*G27*_xll.qwMVFactor($A$1,F27)*_xll.qwFXRate($A$1,F27)),_xll.qwDV01($A$1,F27)*G27*_xll.qwMVFactor($A$1,F27)*_xll.qwFXRate($A$1,F27),0)</f>
        <v>-147604.75857705835</v>
      </c>
      <c r="R27" s="6" cm="1">
        <f t="array" ref="R27">IF(ISNUMBER(_xll.qwDV01($A$1,F27)*J27*_xll.qwMVFactor($A$1,F27)*_xll.qwFXRate($A$1,F27)),_xll.qwDV01($A$1,F27)*J27*_xll.qwMVFactor($A$1,F27)*_xll.qwFXRate($A$1,F27),0)</f>
        <v>0</v>
      </c>
      <c r="S27" s="6" cm="1">
        <f t="array" ref="S27">IF(ISNUMBER(_xll.qwDV01($A$1,F27)*J27*_xll.qwMVFactor($A$1,F27)*_xll.qwFXRate($A$1,F27)),_xll.qwDV01($A$1,F27)*J27*_xll.qwMVFactor($A$1,F27)*_xll.qwFXRate($A$1,F27),0)</f>
        <v>0</v>
      </c>
      <c r="T27" s="6" cm="1">
        <f t="array" ref="T27">_xll.qwFXRate($A$1,F27)*J27*(_xll.qwPrice($A$1,F27)-M27)*_xll.qwMVFactor($A$1,F27)+L27</f>
        <v>0</v>
      </c>
      <c r="U27" s="8" cm="1">
        <f t="array" ref="U27">_xll.qwYield($A$1,F27)</f>
        <v>4.6945489118217436E-2</v>
      </c>
      <c r="V27" s="8" cm="1">
        <f t="array" ref="V27">100*(_xll.qwYield($A$4,F27)-U27)</f>
        <v>3.3817583327627743E-3</v>
      </c>
      <c r="W27" s="6">
        <f>IF(ISNA(G27*INDEX(_xll.qwTblData(_xll.qwCurveScenariosPerSecurity($A$1,F27,"Crv210")),2,2)),0,(G27*INDEX(_xll.qwTblData(_xll.qwCurveScenariosPerSecurity($A$1,F27,"Crv210")),2,2)))</f>
        <v>-57660.025531440384</v>
      </c>
      <c r="X27" s="6" cm="1">
        <f t="array" ref="X27">ABS(Q27/_xll.qwMV01($A$1,"CT10"))</f>
        <v>198.70420335355956</v>
      </c>
      <c r="Y27" s="6" cm="1">
        <f t="array" ref="Y27">IF(N27="BondFuture",-(_xll.qwCurveYield($A$1,_xll.qwSecVal($A$1,AA27,"CreditCurveName()"),AA27)-_xll.qwCurveYield($A$4,_xll.qwSecVal($A$4,AA27,"CreditCurveName()"),AA27))*P27*10000,IF(N27="Bond",-(_xll.qwCurveYield($A$1,_xll.qwSecVal($A$1,F27,"CreditCurveName()"),F27)-_xll.qwCurveYield($A$4,_xll.qwSecVal($A$4,F27,"CreditCurveName()"),F27))*P27*10000,O27))</f>
        <v>-58861.632546120105</v>
      </c>
      <c r="Z27" s="6" cm="1">
        <f t="array" ref="Z27">IF(OR(N27="BondFuture",N27="Bond"),P27*(_xll.qwCurveZSpread($A$4,_xll.qwSecVal($A$1,AA27,"CreditCurveName()"),AA27)-_xll.qwCurveZSpread($A$1,_xll.qwSecVal($A$1,AA27,"CreditCurveName()"),AA27)),0)</f>
        <v>0</v>
      </c>
      <c r="AA27" s="9" cm="1">
        <f t="array" ref="AA27">IF(_xll.qwSecType(F27)="Bond",F27,IF(_xll.qwSecType(F27)="BondFuture",_xll.qwFutCTD($A$1,F27),0))</f>
        <v>0</v>
      </c>
      <c r="AB27" s="6" cm="1">
        <f t="array" ref="AB27">IF(_xll.qwSecType(F27)="BondFuture",-(I27*_xll.qwDelta($A$4,F27)*_xll.qwMVFactor($A$1,F27)/_xll.qwMVFactor($A$1,_xll.qwFutCTD($A$1,F27)))*(_xll.qwFXRate($A$1,F27)*_xll.qwMVFactor($A$1,_xll.qwFutCTD($A$1,F27))*(_xll.qwIncome($A$4,_xll.qwFutCTD($A$4,F27),_xll.qwBondSettle($A$4,_xll.qwFutCTD($A$4,F27)),_xll.qwBondSettle($A$1,_xll.qwFutCTD($A$1,F27)))+(_xll.qwSecVal($A$1,AA27,"Price")-_xll.qwSecVal($A$4,AA27,"Price"))-_xll.qwBondRepoFromTo($A$1,AA27,_xll.qwBondSettle($A$4,AA27),_xll.qwBondSettle($A$1,AA27))*_xll.qwSecVal($A$1,AA27,"Price")*(_xll.qwBondSettle($A$1,AA27)-_xll.qwBondSettle($A$4,AA27))/360))+O27,0)</f>
        <v>0</v>
      </c>
      <c r="AC27" s="9" cm="1">
        <f t="array" ref="AC27">O27+T27+IF(ISNUMBER(_xll.qwIncome($A$1,F27,_xll.qwSettle($A$4,F27),_xll.qwSettle($A$1,F27))*_xll.qwMVFactor($A$1,F27)*_xll.qwFXRate($A$1,F27)*I27),_xll.qwIncome($A$1,F27,_xll.qwSettle($A$4,F27),_xll.qwSettle($A$1,F27))*_xll.qwMVFactor($A$1,F27)*_xll.qwFXRate($A$1,F27)*I27,0)+IF(ISNUMBER(-(_xll.qwBondRepoFromTo($A$1,F27,_xll.qwSettle($A$4,F27),_xll.qwSettle($A$1,F27))*_xll.qwSecVal($A$1,F27,"Price")*(_xll.qwSettle($A$1,F27)-_xll.qwSettle($A$4,F27))/360)*_xll.qwMVFactor($A$1,F27)*_xll.qwFXRate($A$1,F27)*I27),-(_xll.qwBondRepoFromTo($A$1,F27,_xll.qwSettle($A$4,F27),_xll.qwSettle($A$1,F27))*_xll.qwSecVal($A$1,F27,"Price")*(_xll.qwSettle($A$1,F27)-_xll.qwSettle($A$4,F27))/360)*_xll.qwMVFactor($A$1,F27)*_xll.qwFXRate($A$1,F27)*I27,0)</f>
        <v>-58861.632546120105</v>
      </c>
      <c r="AD27" s="6"/>
    </row>
    <row r="28" spans="2:30" s="7" customFormat="1" x14ac:dyDescent="0.35">
      <c r="B28" s="7" t="str">
        <v>jcleary</v>
      </c>
      <c r="C28" s="7" t="str">
        <v>MAMS</v>
      </c>
      <c r="D28" s="7" t="str">
        <v>jcleary|MAMS|RV_US_FV_Spread|227254591</v>
      </c>
      <c r="E28" s="7" t="str">
        <v>RV_US_FV_Spread</v>
      </c>
      <c r="F28" s="7" t="str">
        <v>227254591</v>
      </c>
      <c r="G28" s="7">
        <v>170.4</v>
      </c>
      <c r="H28" s="7">
        <v>0</v>
      </c>
      <c r="I28" s="7">
        <v>170.4</v>
      </c>
      <c r="J28" s="7">
        <v>0</v>
      </c>
      <c r="K28" s="7">
        <v>0</v>
      </c>
      <c r="L28" s="7">
        <v>0</v>
      </c>
      <c r="M28" s="7">
        <v>0</v>
      </c>
      <c r="N28" s="7" t="str">
        <v>SwapTrade</v>
      </c>
      <c r="O28" s="6" cm="1">
        <f t="array" ref="O28">(_xll.qwPrice($A$1,F28)-_xll.qwPrice($A$4,F28))*_xll.qwMVFactor($A$1,F28)*I28*_xll.qwFXRate($A$1,F28)</f>
        <v>-44566.379438673939</v>
      </c>
      <c r="P28" s="6" cm="1">
        <f t="array" ref="P28">IF(ISNUMBER(_xll.qwDV01($A$1,F28)*I28*_xll.qwMVFactor($A$1,F28)*_xll.qwFXRate($A$1,F28)),_xll.qwDV01($A$1,F28)*I28*_xll.qwMVFactor($A$1,F28)*_xll.qwFXRate($A$1,F28),0)</f>
        <v>-58123.191966756625</v>
      </c>
      <c r="Q28" s="6" cm="1">
        <f t="array" ref="Q28">IF(ISNUMBER(_xll.qwDV01($A$1,F28)*G28*_xll.qwMVFactor($A$1,F28)*_xll.qwFXRate($A$1,F28)),_xll.qwDV01($A$1,F28)*G28*_xll.qwMVFactor($A$1,F28)*_xll.qwFXRate($A$1,F28),0)</f>
        <v>-58123.191966756625</v>
      </c>
      <c r="R28" s="6" cm="1">
        <f t="array" ref="R28">IF(ISNUMBER(_xll.qwDV01($A$1,F28)*J28*_xll.qwMVFactor($A$1,F28)*_xll.qwFXRate($A$1,F28)),_xll.qwDV01($A$1,F28)*J28*_xll.qwMVFactor($A$1,F28)*_xll.qwFXRate($A$1,F28),0)</f>
        <v>0</v>
      </c>
      <c r="S28" s="6" cm="1">
        <f t="array" ref="S28">IF(ISNUMBER(_xll.qwDV01($A$1,F28)*J28*_xll.qwMVFactor($A$1,F28)*_xll.qwFXRate($A$1,F28)),_xll.qwDV01($A$1,F28)*J28*_xll.qwMVFactor($A$1,F28)*_xll.qwFXRate($A$1,F28),0)</f>
        <v>0</v>
      </c>
      <c r="T28" s="6" cm="1">
        <f t="array" ref="T28">_xll.qwFXRate($A$1,F28)*J28*(_xll.qwPrice($A$1,F28)-M28)*_xll.qwMVFactor($A$1,F28)+L28</f>
        <v>0</v>
      </c>
      <c r="U28" s="8" cm="1">
        <f t="array" ref="U28">_xll.qwYield($A$1,F28)</f>
        <v>4.7041206694949447E-2</v>
      </c>
      <c r="V28" s="8" cm="1">
        <f t="array" ref="V28">100*(_xll.qwYield($A$4,F28)-U28)</f>
        <v>7.1634495770252216E-3</v>
      </c>
      <c r="W28" s="6">
        <f>IF(ISNA(G28*INDEX(_xll.qwTblData(_xll.qwCurveScenariosPerSecurity($A$1,F28,"Crv210")),2,2)),0,(G28*INDEX(_xll.qwTblData(_xll.qwCurveScenariosPerSecurity($A$1,F28,"Crv210")),2,2)))</f>
        <v>-15229.83013263324</v>
      </c>
      <c r="X28" s="6" cm="1">
        <f t="array" ref="X28">ABS(Q28/_xll.qwMV01($A$1,"CT10"))</f>
        <v>78.244920200800735</v>
      </c>
      <c r="Y28" s="6" cm="1">
        <f t="array" ref="Y28">IF(N28="BondFuture",-(_xll.qwCurveYield($A$1,_xll.qwSecVal($A$1,AA28,"CreditCurveName()"),AA28)-_xll.qwCurveYield($A$4,_xll.qwSecVal($A$4,AA28,"CreditCurveName()"),AA28))*P28*10000,IF(N28="Bond",-(_xll.qwCurveYield($A$1,_xll.qwSecVal($A$1,F28,"CreditCurveName()"),F28)-_xll.qwCurveYield($A$4,_xll.qwSecVal($A$4,F28,"CreditCurveName()"),F28))*P28*10000,O28))</f>
        <v>-44566.379438673939</v>
      </c>
      <c r="Z28" s="6" cm="1">
        <f t="array" ref="Z28">IF(OR(N28="BondFuture",N28="Bond"),P28*(_xll.qwCurveZSpread($A$4,_xll.qwSecVal($A$1,AA28,"CreditCurveName()"),AA28)-_xll.qwCurveZSpread($A$1,_xll.qwSecVal($A$1,AA28,"CreditCurveName()"),AA28)),0)</f>
        <v>0</v>
      </c>
      <c r="AA28" s="9" cm="1">
        <f t="array" ref="AA28">IF(_xll.qwSecType(F28)="Bond",F28,IF(_xll.qwSecType(F28)="BondFuture",_xll.qwFutCTD($A$1,F28),0))</f>
        <v>0</v>
      </c>
      <c r="AB28" s="6" cm="1">
        <f t="array" ref="AB28">IF(_xll.qwSecType(F28)="BondFuture",-(I28*_xll.qwDelta($A$4,F28)*_xll.qwMVFactor($A$1,F28)/_xll.qwMVFactor($A$1,_xll.qwFutCTD($A$1,F28)))*(_xll.qwFXRate($A$1,F28)*_xll.qwMVFactor($A$1,_xll.qwFutCTD($A$1,F28))*(_xll.qwIncome($A$4,_xll.qwFutCTD($A$4,F28),_xll.qwBondSettle($A$4,_xll.qwFutCTD($A$4,F28)),_xll.qwBondSettle($A$1,_xll.qwFutCTD($A$1,F28)))+(_xll.qwSecVal($A$1,AA28,"Price")-_xll.qwSecVal($A$4,AA28,"Price"))-_xll.qwBondRepoFromTo($A$1,AA28,_xll.qwBondSettle($A$4,AA28),_xll.qwBondSettle($A$1,AA28))*_xll.qwSecVal($A$1,AA28,"Price")*(_xll.qwBondSettle($A$1,AA28)-_xll.qwBondSettle($A$4,AA28))/360))+O28,0)</f>
        <v>0</v>
      </c>
      <c r="AC28" s="9" cm="1">
        <f t="array" ref="AC28">O28+T28+IF(ISNUMBER(_xll.qwIncome($A$1,F28,_xll.qwSettle($A$4,F28),_xll.qwSettle($A$1,F28))*_xll.qwMVFactor($A$1,F28)*_xll.qwFXRate($A$1,F28)*I28),_xll.qwIncome($A$1,F28,_xll.qwSettle($A$4,F28),_xll.qwSettle($A$1,F28))*_xll.qwMVFactor($A$1,F28)*_xll.qwFXRate($A$1,F28)*I28,0)+IF(ISNUMBER(-(_xll.qwBondRepoFromTo($A$1,F28,_xll.qwSettle($A$4,F28),_xll.qwSettle($A$1,F28))*_xll.qwSecVal($A$1,F28,"Price")*(_xll.qwSettle($A$1,F28)-_xll.qwSettle($A$4,F28))/360)*_xll.qwMVFactor($A$1,F28)*_xll.qwFXRate($A$1,F28)*I28),-(_xll.qwBondRepoFromTo($A$1,F28,_xll.qwSettle($A$4,F28),_xll.qwSettle($A$1,F28))*_xll.qwSecVal($A$1,F28,"Price")*(_xll.qwSettle($A$1,F28)-_xll.qwSettle($A$4,F28))/360)*_xll.qwMVFactor($A$1,F28)*_xll.qwFXRate($A$1,F28)*I28,0)</f>
        <v>-44566.379438673939</v>
      </c>
      <c r="AD28" s="6"/>
    </row>
    <row r="29" spans="2:30" s="7" customFormat="1" x14ac:dyDescent="0.35">
      <c r="B29" s="7" t="str">
        <v>jcleary</v>
      </c>
      <c r="C29" s="7" t="str">
        <v>MAMS</v>
      </c>
      <c r="D29" s="7" t="str">
        <v>jcleary|MAMS|RV_US_FV_Spread|231403590</v>
      </c>
      <c r="E29" s="7" t="str">
        <v>RV_US_FV_Spread</v>
      </c>
      <c r="F29" s="7" t="str">
        <v>231403590</v>
      </c>
      <c r="G29" s="7">
        <v>220.5</v>
      </c>
      <c r="H29" s="7">
        <v>0</v>
      </c>
      <c r="I29" s="7">
        <v>220.5</v>
      </c>
      <c r="J29" s="7">
        <v>0</v>
      </c>
      <c r="K29" s="7">
        <v>0</v>
      </c>
      <c r="L29" s="7">
        <v>0</v>
      </c>
      <c r="M29" s="7">
        <v>0</v>
      </c>
      <c r="N29" s="7" t="str">
        <v>SwapTrade</v>
      </c>
      <c r="O29" s="6" cm="1">
        <f t="array" ref="O29">(_xll.qwPrice($A$1,F29)-_xll.qwPrice($A$4,F29))*_xll.qwMVFactor($A$1,F29)*I29*_xll.qwFXRate($A$1,F29)</f>
        <v>-62883.458124333272</v>
      </c>
      <c r="P29" s="6" cm="1">
        <f t="array" ref="P29">IF(ISNUMBER(_xll.qwDV01($A$1,F29)*I29*_xll.qwMVFactor($A$1,F29)*_xll.qwFXRate($A$1,F29)),_xll.qwDV01($A$1,F29)*I29*_xll.qwMVFactor($A$1,F29)*_xll.qwFXRate($A$1,F29),0)</f>
        <v>-78100.865263740867</v>
      </c>
      <c r="Q29" s="6" cm="1">
        <f t="array" ref="Q29">IF(ISNUMBER(_xll.qwDV01($A$1,F29)*G29*_xll.qwMVFactor($A$1,F29)*_xll.qwFXRate($A$1,F29)),_xll.qwDV01($A$1,F29)*G29*_xll.qwMVFactor($A$1,F29)*_xll.qwFXRate($A$1,F29),0)</f>
        <v>-78100.865263740867</v>
      </c>
      <c r="R29" s="6" cm="1">
        <f t="array" ref="R29">IF(ISNUMBER(_xll.qwDV01($A$1,F29)*J29*_xll.qwMVFactor($A$1,F29)*_xll.qwFXRate($A$1,F29)),_xll.qwDV01($A$1,F29)*J29*_xll.qwMVFactor($A$1,F29)*_xll.qwFXRate($A$1,F29),0)</f>
        <v>0</v>
      </c>
      <c r="S29" s="6" cm="1">
        <f t="array" ref="S29">IF(ISNUMBER(_xll.qwDV01($A$1,F29)*J29*_xll.qwMVFactor($A$1,F29)*_xll.qwFXRate($A$1,F29)),_xll.qwDV01($A$1,F29)*J29*_xll.qwMVFactor($A$1,F29)*_xll.qwFXRate($A$1,F29),0)</f>
        <v>0</v>
      </c>
      <c r="T29" s="6" cm="1">
        <f t="array" ref="T29">_xll.qwFXRate($A$1,F29)*J29*(_xll.qwPrice($A$1,F29)-M29)*_xll.qwMVFactor($A$1,F29)+L29</f>
        <v>0</v>
      </c>
      <c r="U29" s="8" cm="1">
        <f t="array" ref="U29">_xll.qwYield($A$1,F29)</f>
        <v>4.7068378995592207E-2</v>
      </c>
      <c r="V29" s="8" cm="1">
        <f t="array" ref="V29">100*(_xll.qwYield($A$4,F29)-U29)</f>
        <v>7.4191169068905938E-3</v>
      </c>
      <c r="W29" s="6">
        <f>IF(ISNA(G29*INDEX(_xll.qwTblData(_xll.qwCurveScenariosPerSecurity($A$1,F29,"Crv210")),2,2)),0,(G29*INDEX(_xll.qwTblData(_xll.qwCurveScenariosPerSecurity($A$1,F29,"Crv210")),2,2)))</f>
        <v>-18884.638518100564</v>
      </c>
      <c r="X29" s="6" cm="1">
        <f t="array" ref="X29">ABS(Q29/_xll.qwMV01($A$1,"CT10"))</f>
        <v>105.1386849791398</v>
      </c>
      <c r="Y29" s="6" cm="1">
        <f t="array" ref="Y29">IF(N29="BondFuture",-(_xll.qwCurveYield($A$1,_xll.qwSecVal($A$1,AA29,"CreditCurveName()"),AA29)-_xll.qwCurveYield($A$4,_xll.qwSecVal($A$4,AA29,"CreditCurveName()"),AA29))*P29*10000,IF(N29="Bond",-(_xll.qwCurveYield($A$1,_xll.qwSecVal($A$1,F29,"CreditCurveName()"),F29)-_xll.qwCurveYield($A$4,_xll.qwSecVal($A$4,F29,"CreditCurveName()"),F29))*P29*10000,O29))</f>
        <v>-62883.458124333272</v>
      </c>
      <c r="Z29" s="6" cm="1">
        <f t="array" ref="Z29">IF(OR(N29="BondFuture",N29="Bond"),P29*(_xll.qwCurveZSpread($A$4,_xll.qwSecVal($A$1,AA29,"CreditCurveName()"),AA29)-_xll.qwCurveZSpread($A$1,_xll.qwSecVal($A$1,AA29,"CreditCurveName()"),AA29)),0)</f>
        <v>0</v>
      </c>
      <c r="AA29" s="9" cm="1">
        <f t="array" ref="AA29">IF(_xll.qwSecType(F29)="Bond",F29,IF(_xll.qwSecType(F29)="BondFuture",_xll.qwFutCTD($A$1,F29),0))</f>
        <v>0</v>
      </c>
      <c r="AB29" s="6" cm="1">
        <f t="array" ref="AB29">IF(_xll.qwSecType(F29)="BondFuture",-(I29*_xll.qwDelta($A$4,F29)*_xll.qwMVFactor($A$1,F29)/_xll.qwMVFactor($A$1,_xll.qwFutCTD($A$1,F29)))*(_xll.qwFXRate($A$1,F29)*_xll.qwMVFactor($A$1,_xll.qwFutCTD($A$1,F29))*(_xll.qwIncome($A$4,_xll.qwFutCTD($A$4,F29),_xll.qwBondSettle($A$4,_xll.qwFutCTD($A$4,F29)),_xll.qwBondSettle($A$1,_xll.qwFutCTD($A$1,F29)))+(_xll.qwSecVal($A$1,AA29,"Price")-_xll.qwSecVal($A$4,AA29,"Price"))-_xll.qwBondRepoFromTo($A$1,AA29,_xll.qwBondSettle($A$4,AA29),_xll.qwBondSettle($A$1,AA29))*_xll.qwSecVal($A$1,AA29,"Price")*(_xll.qwBondSettle($A$1,AA29)-_xll.qwBondSettle($A$4,AA29))/360))+O29,0)</f>
        <v>0</v>
      </c>
      <c r="AC29" s="9" cm="1">
        <f t="array" ref="AC29">O29+T29+IF(ISNUMBER(_xll.qwIncome($A$1,F29,_xll.qwSettle($A$4,F29),_xll.qwSettle($A$1,F29))*_xll.qwMVFactor($A$1,F29)*_xll.qwFXRate($A$1,F29)*I29),_xll.qwIncome($A$1,F29,_xll.qwSettle($A$4,F29),_xll.qwSettle($A$1,F29))*_xll.qwMVFactor($A$1,F29)*_xll.qwFXRate($A$1,F29)*I29,0)+IF(ISNUMBER(-(_xll.qwBondRepoFromTo($A$1,F29,_xll.qwSettle($A$4,F29),_xll.qwSettle($A$1,F29))*_xll.qwSecVal($A$1,F29,"Price")*(_xll.qwSettle($A$1,F29)-_xll.qwSettle($A$4,F29))/360)*_xll.qwMVFactor($A$1,F29)*_xll.qwFXRate($A$1,F29)*I29),-(_xll.qwBondRepoFromTo($A$1,F29,_xll.qwSettle($A$4,F29),_xll.qwSettle($A$1,F29))*_xll.qwSecVal($A$1,F29,"Price")*(_xll.qwSettle($A$1,F29)-_xll.qwSettle($A$4,F29))/360)*_xll.qwMVFactor($A$1,F29)*_xll.qwFXRate($A$1,F29)*I29,0)</f>
        <v>-62883.458124333272</v>
      </c>
      <c r="AD29" s="6"/>
    </row>
    <row r="30" spans="2:30" s="7" customFormat="1" x14ac:dyDescent="0.35">
      <c r="B30" s="7" t="str">
        <v>jcleary</v>
      </c>
      <c r="C30" s="7" t="str">
        <v>MAMS</v>
      </c>
      <c r="D30" s="7" t="str">
        <v>jcleary|MAMS|RV_US_FV_Spread|232322772</v>
      </c>
      <c r="E30" s="7" t="str">
        <v>RV_US_FV_Spread</v>
      </c>
      <c r="F30" s="7" t="str">
        <v>232322772</v>
      </c>
      <c r="G30" s="7">
        <v>478.2</v>
      </c>
      <c r="H30" s="7">
        <v>0</v>
      </c>
      <c r="I30" s="7">
        <v>478.2</v>
      </c>
      <c r="J30" s="7">
        <v>0</v>
      </c>
      <c r="K30" s="7">
        <v>0</v>
      </c>
      <c r="L30" s="7">
        <v>0</v>
      </c>
      <c r="M30" s="7">
        <v>0</v>
      </c>
      <c r="N30" s="7" t="str">
        <v>SwapTrade</v>
      </c>
      <c r="O30" s="6" cm="1">
        <f t="array" ref="O30">(_xll.qwPrice($A$1,F30)-_xll.qwPrice($A$4,F30))*_xll.qwMVFactor($A$1,F30)*I30*_xll.qwFXRate($A$1,F30)</f>
        <v>-89686.599722064755</v>
      </c>
      <c r="P30" s="6" cm="1">
        <f t="array" ref="P30">IF(ISNUMBER(_xll.qwDV01($A$1,F30)*I30*_xll.qwMVFactor($A$1,F30)*_xll.qwFXRate($A$1,F30)),_xll.qwDV01($A$1,F30)*I30*_xll.qwMVFactor($A$1,F30)*_xll.qwFXRate($A$1,F30),0)</f>
        <v>-144283.32727865194</v>
      </c>
      <c r="Q30" s="6" cm="1">
        <f t="array" ref="Q30">IF(ISNUMBER(_xll.qwDV01($A$1,F30)*G30*_xll.qwMVFactor($A$1,F30)*_xll.qwFXRate($A$1,F30)),_xll.qwDV01($A$1,F30)*G30*_xll.qwMVFactor($A$1,F30)*_xll.qwFXRate($A$1,F30),0)</f>
        <v>-144283.32727865194</v>
      </c>
      <c r="R30" s="6" cm="1">
        <f t="array" ref="R30">IF(ISNUMBER(_xll.qwDV01($A$1,F30)*J30*_xll.qwMVFactor($A$1,F30)*_xll.qwFXRate($A$1,F30)),_xll.qwDV01($A$1,F30)*J30*_xll.qwMVFactor($A$1,F30)*_xll.qwFXRate($A$1,F30),0)</f>
        <v>0</v>
      </c>
      <c r="S30" s="6" cm="1">
        <f t="array" ref="S30">IF(ISNUMBER(_xll.qwDV01($A$1,F30)*J30*_xll.qwMVFactor($A$1,F30)*_xll.qwFXRate($A$1,F30)),_xll.qwDV01($A$1,F30)*J30*_xll.qwMVFactor($A$1,F30)*_xll.qwFXRate($A$1,F30),0)</f>
        <v>0</v>
      </c>
      <c r="T30" s="6" cm="1">
        <f t="array" ref="T30">_xll.qwFXRate($A$1,F30)*J30*(_xll.qwPrice($A$1,F30)-M30)*_xll.qwMVFactor($A$1,F30)+L30</f>
        <v>0</v>
      </c>
      <c r="U30" s="8" cm="1">
        <f t="array" ref="U30">_xll.qwYield($A$1,F30)</f>
        <v>4.6964694366957667E-2</v>
      </c>
      <c r="V30" s="8" cm="1">
        <f t="array" ref="V30">100*(_xll.qwYield($A$4,F30)-U30)</f>
        <v>5.630368941402647E-3</v>
      </c>
      <c r="W30" s="6">
        <f>IF(ISNA(G30*INDEX(_xll.qwTblData(_xll.qwCurveScenariosPerSecurity($A$1,F30,"Crv210")),2,2)),0,(G30*INDEX(_xll.qwTblData(_xll.qwCurveScenariosPerSecurity($A$1,F30,"Crv210")),2,2)))</f>
        <v>-47198.693663970509</v>
      </c>
      <c r="X30" s="6" cm="1">
        <f t="array" ref="X30">ABS(Q30/_xll.qwMV01($A$1,"CT10"))</f>
        <v>194.23292230201491</v>
      </c>
      <c r="Y30" s="6" cm="1">
        <f t="array" ref="Y30">IF(N30="BondFuture",-(_xll.qwCurveYield($A$1,_xll.qwSecVal($A$1,AA30,"CreditCurveName()"),AA30)-_xll.qwCurveYield($A$4,_xll.qwSecVal($A$4,AA30,"CreditCurveName()"),AA30))*P30*10000,IF(N30="Bond",-(_xll.qwCurveYield($A$1,_xll.qwSecVal($A$1,F30,"CreditCurveName()"),F30)-_xll.qwCurveYield($A$4,_xll.qwSecVal($A$4,F30,"CreditCurveName()"),F30))*P30*10000,O30))</f>
        <v>-89686.599722064755</v>
      </c>
      <c r="Z30" s="6" cm="1">
        <f t="array" ref="Z30">IF(OR(N30="BondFuture",N30="Bond"),P30*(_xll.qwCurveZSpread($A$4,_xll.qwSecVal($A$1,AA30,"CreditCurveName()"),AA30)-_xll.qwCurveZSpread($A$1,_xll.qwSecVal($A$1,AA30,"CreditCurveName()"),AA30)),0)</f>
        <v>0</v>
      </c>
      <c r="AA30" s="9" cm="1">
        <f t="array" ref="AA30">IF(_xll.qwSecType(F30)="Bond",F30,IF(_xll.qwSecType(F30)="BondFuture",_xll.qwFutCTD($A$1,F30),0))</f>
        <v>0</v>
      </c>
      <c r="AB30" s="6" cm="1">
        <f t="array" ref="AB30">IF(_xll.qwSecType(F30)="BondFuture",-(I30*_xll.qwDelta($A$4,F30)*_xll.qwMVFactor($A$1,F30)/_xll.qwMVFactor($A$1,_xll.qwFutCTD($A$1,F30)))*(_xll.qwFXRate($A$1,F30)*_xll.qwMVFactor($A$1,_xll.qwFutCTD($A$1,F30))*(_xll.qwIncome($A$4,_xll.qwFutCTD($A$4,F30),_xll.qwBondSettle($A$4,_xll.qwFutCTD($A$4,F30)),_xll.qwBondSettle($A$1,_xll.qwFutCTD($A$1,F30)))+(_xll.qwSecVal($A$1,AA30,"Price")-_xll.qwSecVal($A$4,AA30,"Price"))-_xll.qwBondRepoFromTo($A$1,AA30,_xll.qwBondSettle($A$4,AA30),_xll.qwBondSettle($A$1,AA30))*_xll.qwSecVal($A$1,AA30,"Price")*(_xll.qwBondSettle($A$1,AA30)-_xll.qwBondSettle($A$4,AA30))/360))+O30,0)</f>
        <v>0</v>
      </c>
      <c r="AC30" s="9" cm="1">
        <f t="array" ref="AC30">O30+T30+IF(ISNUMBER(_xll.qwIncome($A$1,F30,_xll.qwSettle($A$4,F30),_xll.qwSettle($A$1,F30))*_xll.qwMVFactor($A$1,F30)*_xll.qwFXRate($A$1,F30)*I30),_xll.qwIncome($A$1,F30,_xll.qwSettle($A$4,F30),_xll.qwSettle($A$1,F30))*_xll.qwMVFactor($A$1,F30)*_xll.qwFXRate($A$1,F30)*I30,0)+IF(ISNUMBER(-(_xll.qwBondRepoFromTo($A$1,F30,_xll.qwSettle($A$4,F30),_xll.qwSettle($A$1,F30))*_xll.qwSecVal($A$1,F30,"Price")*(_xll.qwSettle($A$1,F30)-_xll.qwSettle($A$4,F30))/360)*_xll.qwMVFactor($A$1,F30)*_xll.qwFXRate($A$1,F30)*I30),-(_xll.qwBondRepoFromTo($A$1,F30,_xll.qwSettle($A$4,F30),_xll.qwSettle($A$1,F30))*_xll.qwSecVal($A$1,F30,"Price")*(_xll.qwSettle($A$1,F30)-_xll.qwSettle($A$4,F30))/360)*_xll.qwMVFactor($A$1,F30)*_xll.qwFXRate($A$1,F30)*I30,0)</f>
        <v>-89686.599722064755</v>
      </c>
      <c r="AD30" s="6"/>
    </row>
    <row r="31" spans="2:30" s="7" customFormat="1" x14ac:dyDescent="0.35">
      <c r="B31" s="7" t="str">
        <v>jcleary</v>
      </c>
      <c r="C31" s="7" t="str">
        <v>MAMS</v>
      </c>
      <c r="D31" s="7" t="str">
        <v>jcleary|MAMS|RV_US_FV_Spread|232348967</v>
      </c>
      <c r="E31" s="7" t="str">
        <v>RV_US_FV_Spread</v>
      </c>
      <c r="F31" s="7" t="str">
        <v>232348967</v>
      </c>
      <c r="G31" s="7">
        <v>588.5</v>
      </c>
      <c r="H31" s="7">
        <v>0</v>
      </c>
      <c r="I31" s="7">
        <v>588.5</v>
      </c>
      <c r="J31" s="7">
        <v>0</v>
      </c>
      <c r="K31" s="7">
        <v>0</v>
      </c>
      <c r="L31" s="7">
        <v>0</v>
      </c>
      <c r="M31" s="7">
        <v>0</v>
      </c>
      <c r="N31" s="7" t="str">
        <v>SwapTrade</v>
      </c>
      <c r="O31" s="6" cm="1">
        <f t="array" ref="O31">(_xll.qwPrice($A$1,F31)-_xll.qwPrice($A$4,F31))*_xll.qwMVFactor($A$1,F31)*I31*_xll.qwFXRate($A$1,F31)</f>
        <v>-89310.303686843588</v>
      </c>
      <c r="P31" s="6" cm="1">
        <f t="array" ref="P31">IF(ISNUMBER(_xll.qwDV01($A$1,F31)*I31*_xll.qwMVFactor($A$1,F31)*_xll.qwFXRate($A$1,F31)),_xll.qwDV01($A$1,F31)*I31*_xll.qwMVFactor($A$1,F31)*_xll.qwFXRate($A$1,F31),0)</f>
        <v>-165404.0066388296</v>
      </c>
      <c r="Q31" s="6" cm="1">
        <f t="array" ref="Q31">IF(ISNUMBER(_xll.qwDV01($A$1,F31)*G31*_xll.qwMVFactor($A$1,F31)*_xll.qwFXRate($A$1,F31)),_xll.qwDV01($A$1,F31)*G31*_xll.qwMVFactor($A$1,F31)*_xll.qwFXRate($A$1,F31),0)</f>
        <v>-165404.0066388296</v>
      </c>
      <c r="R31" s="6" cm="1">
        <f t="array" ref="R31">IF(ISNUMBER(_xll.qwDV01($A$1,F31)*J31*_xll.qwMVFactor($A$1,F31)*_xll.qwFXRate($A$1,F31)),_xll.qwDV01($A$1,F31)*J31*_xll.qwMVFactor($A$1,F31)*_xll.qwFXRate($A$1,F31),0)</f>
        <v>0</v>
      </c>
      <c r="S31" s="6" cm="1">
        <f t="array" ref="S31">IF(ISNUMBER(_xll.qwDV01($A$1,F31)*J31*_xll.qwMVFactor($A$1,F31)*_xll.qwFXRate($A$1,F31)),_xll.qwDV01($A$1,F31)*J31*_xll.qwMVFactor($A$1,F31)*_xll.qwFXRate($A$1,F31),0)</f>
        <v>0</v>
      </c>
      <c r="T31" s="6" cm="1">
        <f t="array" ref="T31">_xll.qwFXRate($A$1,F31)*J31*(_xll.qwPrice($A$1,F31)-M31)*_xll.qwMVFactor($A$1,F31)+L31</f>
        <v>0</v>
      </c>
      <c r="U31" s="8" cm="1">
        <f t="array" ref="U31">_xll.qwYield($A$1,F31)</f>
        <v>4.6992078161565365E-2</v>
      </c>
      <c r="V31" s="8" cm="1">
        <f t="array" ref="V31">100*(_xll.qwYield($A$4,F31)-U31)</f>
        <v>4.6664378837144027E-3</v>
      </c>
      <c r="W31" s="6">
        <f>IF(ISNA(G31*INDEX(_xll.qwTblData(_xll.qwCurveScenariosPerSecurity($A$1,F31,"Crv210")),2,2)),0,(G31*INDEX(_xll.qwTblData(_xll.qwCurveScenariosPerSecurity($A$1,F31,"Crv210")),2,2)))</f>
        <v>-59298.95651445866</v>
      </c>
      <c r="X31" s="6" cm="1">
        <f t="array" ref="X31">ABS(Q31/_xll.qwMV01($A$1,"CT10"))</f>
        <v>222.66539160048342</v>
      </c>
      <c r="Y31" s="6" cm="1">
        <f t="array" ref="Y31">IF(N31="BondFuture",-(_xll.qwCurveYield($A$1,_xll.qwSecVal($A$1,AA31,"CreditCurveName()"),AA31)-_xll.qwCurveYield($A$4,_xll.qwSecVal($A$4,AA31,"CreditCurveName()"),AA31))*P31*10000,IF(N31="Bond",-(_xll.qwCurveYield($A$1,_xll.qwSecVal($A$1,F31,"CreditCurveName()"),F31)-_xll.qwCurveYield($A$4,_xll.qwSecVal($A$4,F31,"CreditCurveName()"),F31))*P31*10000,O31))</f>
        <v>-89310.303686843588</v>
      </c>
      <c r="Z31" s="6" cm="1">
        <f t="array" ref="Z31">IF(OR(N31="BondFuture",N31="Bond"),P31*(_xll.qwCurveZSpread($A$4,_xll.qwSecVal($A$1,AA31,"CreditCurveName()"),AA31)-_xll.qwCurveZSpread($A$1,_xll.qwSecVal($A$1,AA31,"CreditCurveName()"),AA31)),0)</f>
        <v>0</v>
      </c>
      <c r="AA31" s="9" cm="1">
        <f t="array" ref="AA31">IF(_xll.qwSecType(F31)="Bond",F31,IF(_xll.qwSecType(F31)="BondFuture",_xll.qwFutCTD($A$1,F31),0))</f>
        <v>0</v>
      </c>
      <c r="AB31" s="6" cm="1">
        <f t="array" ref="AB31">IF(_xll.qwSecType(F31)="BondFuture",-(I31*_xll.qwDelta($A$4,F31)*_xll.qwMVFactor($A$1,F31)/_xll.qwMVFactor($A$1,_xll.qwFutCTD($A$1,F31)))*(_xll.qwFXRate($A$1,F31)*_xll.qwMVFactor($A$1,_xll.qwFutCTD($A$1,F31))*(_xll.qwIncome($A$4,_xll.qwFutCTD($A$4,F31),_xll.qwBondSettle($A$4,_xll.qwFutCTD($A$4,F31)),_xll.qwBondSettle($A$1,_xll.qwFutCTD($A$1,F31)))+(_xll.qwSecVal($A$1,AA31,"Price")-_xll.qwSecVal($A$4,AA31,"Price"))-_xll.qwBondRepoFromTo($A$1,AA31,_xll.qwBondSettle($A$4,AA31),_xll.qwBondSettle($A$1,AA31))*_xll.qwSecVal($A$1,AA31,"Price")*(_xll.qwBondSettle($A$1,AA31)-_xll.qwBondSettle($A$4,AA31))/360))+O31,0)</f>
        <v>0</v>
      </c>
      <c r="AC31" s="9" cm="1">
        <f t="array" ref="AC31">O31+T31+IF(ISNUMBER(_xll.qwIncome($A$1,F31,_xll.qwSettle($A$4,F31),_xll.qwSettle($A$1,F31))*_xll.qwMVFactor($A$1,F31)*_xll.qwFXRate($A$1,F31)*I31),_xll.qwIncome($A$1,F31,_xll.qwSettle($A$4,F31),_xll.qwSettle($A$1,F31))*_xll.qwMVFactor($A$1,F31)*_xll.qwFXRate($A$1,F31)*I31,0)+IF(ISNUMBER(-(_xll.qwBondRepoFromTo($A$1,F31,_xll.qwSettle($A$4,F31),_xll.qwSettle($A$1,F31))*_xll.qwSecVal($A$1,F31,"Price")*(_xll.qwSettle($A$1,F31)-_xll.qwSettle($A$4,F31))/360)*_xll.qwMVFactor($A$1,F31)*_xll.qwFXRate($A$1,F31)*I31),-(_xll.qwBondRepoFromTo($A$1,F31,_xll.qwSettle($A$4,F31),_xll.qwSettle($A$1,F31))*_xll.qwSecVal($A$1,F31,"Price")*(_xll.qwSettle($A$1,F31)-_xll.qwSettle($A$4,F31))/360)*_xll.qwMVFactor($A$1,F31)*_xll.qwFXRate($A$1,F31)*I31,0)</f>
        <v>-89310.303686843588</v>
      </c>
      <c r="AD31" s="6"/>
    </row>
    <row r="32" spans="2:30" s="7" customFormat="1" x14ac:dyDescent="0.35">
      <c r="B32" s="7" t="str">
        <v>jcleary</v>
      </c>
      <c r="C32" s="7" t="str">
        <v>MAMS</v>
      </c>
      <c r="D32" s="7" t="str">
        <v>jcleary|MAMS|RV_US_FV_Spread|232743570</v>
      </c>
      <c r="E32" s="7" t="str">
        <v>RV_US_FV_Spread</v>
      </c>
      <c r="F32" s="7" t="str">
        <v>232743570</v>
      </c>
      <c r="G32" s="7">
        <v>139.5</v>
      </c>
      <c r="H32" s="7">
        <v>0</v>
      </c>
      <c r="I32" s="7">
        <v>139.5</v>
      </c>
      <c r="J32" s="7">
        <v>0</v>
      </c>
      <c r="K32" s="7">
        <v>0</v>
      </c>
      <c r="L32" s="7">
        <v>0</v>
      </c>
      <c r="M32" s="7">
        <v>0</v>
      </c>
      <c r="N32" s="7" t="str">
        <v>SwapTrade</v>
      </c>
      <c r="O32" s="6" cm="1">
        <f t="array" ref="O32">(_xll.qwPrice($A$1,F32)-_xll.qwPrice($A$4,F32))*_xll.qwMVFactor($A$1,F32)*I32*_xll.qwFXRate($A$1,F32)</f>
        <v>-39765.746959936856</v>
      </c>
      <c r="P32" s="6" cm="1">
        <f t="array" ref="P32">IF(ISNUMBER(_xll.qwDV01($A$1,F32)*I32*_xll.qwMVFactor($A$1,F32)*_xll.qwFXRate($A$1,F32)),_xll.qwDV01($A$1,F32)*I32*_xll.qwMVFactor($A$1,F32)*_xll.qwFXRate($A$1,F32),0)</f>
        <v>-49373.006154456634</v>
      </c>
      <c r="Q32" s="6" cm="1">
        <f t="array" ref="Q32">IF(ISNUMBER(_xll.qwDV01($A$1,F32)*G32*_xll.qwMVFactor($A$1,F32)*_xll.qwFXRate($A$1,F32)),_xll.qwDV01($A$1,F32)*G32*_xll.qwMVFactor($A$1,F32)*_xll.qwFXRate($A$1,F32),0)</f>
        <v>-49373.006154456634</v>
      </c>
      <c r="R32" s="6" cm="1">
        <f t="array" ref="R32">IF(ISNUMBER(_xll.qwDV01($A$1,F32)*J32*_xll.qwMVFactor($A$1,F32)*_xll.qwFXRate($A$1,F32)),_xll.qwDV01($A$1,F32)*J32*_xll.qwMVFactor($A$1,F32)*_xll.qwFXRate($A$1,F32),0)</f>
        <v>0</v>
      </c>
      <c r="S32" s="6" cm="1">
        <f t="array" ref="S32">IF(ISNUMBER(_xll.qwDV01($A$1,F32)*J32*_xll.qwMVFactor($A$1,F32)*_xll.qwFXRate($A$1,F32)),_xll.qwDV01($A$1,F32)*J32*_xll.qwMVFactor($A$1,F32)*_xll.qwFXRate($A$1,F32),0)</f>
        <v>0</v>
      </c>
      <c r="T32" s="6" cm="1">
        <f t="array" ref="T32">_xll.qwFXRate($A$1,F32)*J32*(_xll.qwPrice($A$1,F32)-M32)*_xll.qwMVFactor($A$1,F32)+L32</f>
        <v>0</v>
      </c>
      <c r="U32" s="8" cm="1">
        <f t="array" ref="U32">_xll.qwYield($A$1,F32)</f>
        <v>4.7068378995592207E-2</v>
      </c>
      <c r="V32" s="8" cm="1">
        <f t="array" ref="V32">100*(_xll.qwYield($A$4,F32)-U32)</f>
        <v>7.4191169068905938E-3</v>
      </c>
      <c r="W32" s="6">
        <f>IF(ISNA(G32*INDEX(_xll.qwTblData(_xll.qwCurveScenariosPerSecurity($A$1,F32,"Crv210")),2,2)),0,(G32*INDEX(_xll.qwTblData(_xll.qwCurveScenariosPerSecurity($A$1,F32,"Crv210")),2,2)))</f>
        <v>-11932.899960108467</v>
      </c>
      <c r="X32" s="6" cm="1">
        <f t="array" ref="X32">ABS(Q32/_xll.qwMV01($A$1,"CT10"))</f>
        <v>66.46549846812681</v>
      </c>
      <c r="Y32" s="6" cm="1">
        <f t="array" ref="Y32">IF(N32="BondFuture",-(_xll.qwCurveYield($A$1,_xll.qwSecVal($A$1,AA32,"CreditCurveName()"),AA32)-_xll.qwCurveYield($A$4,_xll.qwSecVal($A$4,AA32,"CreditCurveName()"),AA32))*P32*10000,IF(N32="Bond",-(_xll.qwCurveYield($A$1,_xll.qwSecVal($A$1,F32,"CreditCurveName()"),F32)-_xll.qwCurveYield($A$4,_xll.qwSecVal($A$4,F32,"CreditCurveName()"),F32))*P32*10000,O32))</f>
        <v>-39765.746959936856</v>
      </c>
      <c r="Z32" s="6" cm="1">
        <f t="array" ref="Z32">IF(OR(N32="BondFuture",N32="Bond"),P32*(_xll.qwCurveZSpread($A$4,_xll.qwSecVal($A$1,AA32,"CreditCurveName()"),AA32)-_xll.qwCurveZSpread($A$1,_xll.qwSecVal($A$1,AA32,"CreditCurveName()"),AA32)),0)</f>
        <v>0</v>
      </c>
      <c r="AA32" s="9" cm="1">
        <f t="array" ref="AA32">IF(_xll.qwSecType(F32)="Bond",F32,IF(_xll.qwSecType(F32)="BondFuture",_xll.qwFutCTD($A$1,F32),0))</f>
        <v>0</v>
      </c>
      <c r="AB32" s="6" cm="1">
        <f t="array" ref="AB32">IF(_xll.qwSecType(F32)="BondFuture",-(I32*_xll.qwDelta($A$4,F32)*_xll.qwMVFactor($A$1,F32)/_xll.qwMVFactor($A$1,_xll.qwFutCTD($A$1,F32)))*(_xll.qwFXRate($A$1,F32)*_xll.qwMVFactor($A$1,_xll.qwFutCTD($A$1,F32))*(_xll.qwIncome($A$4,_xll.qwFutCTD($A$4,F32),_xll.qwBondSettle($A$4,_xll.qwFutCTD($A$4,F32)),_xll.qwBondSettle($A$1,_xll.qwFutCTD($A$1,F32)))+(_xll.qwSecVal($A$1,AA32,"Price")-_xll.qwSecVal($A$4,AA32,"Price"))-_xll.qwBondRepoFromTo($A$1,AA32,_xll.qwBondSettle($A$4,AA32),_xll.qwBondSettle($A$1,AA32))*_xll.qwSecVal($A$1,AA32,"Price")*(_xll.qwBondSettle($A$1,AA32)-_xll.qwBondSettle($A$4,AA32))/360))+O32,0)</f>
        <v>0</v>
      </c>
      <c r="AC32" s="9" cm="1">
        <f t="array" ref="AC32">O32+T32+IF(ISNUMBER(_xll.qwIncome($A$1,F32,_xll.qwSettle($A$4,F32),_xll.qwSettle($A$1,F32))*_xll.qwMVFactor($A$1,F32)*_xll.qwFXRate($A$1,F32)*I32),_xll.qwIncome($A$1,F32,_xll.qwSettle($A$4,F32),_xll.qwSettle($A$1,F32))*_xll.qwMVFactor($A$1,F32)*_xll.qwFXRate($A$1,F32)*I32,0)+IF(ISNUMBER(-(_xll.qwBondRepoFromTo($A$1,F32,_xll.qwSettle($A$4,F32),_xll.qwSettle($A$1,F32))*_xll.qwSecVal($A$1,F32,"Price")*(_xll.qwSettle($A$1,F32)-_xll.qwSettle($A$4,F32))/360)*_xll.qwMVFactor($A$1,F32)*_xll.qwFXRate($A$1,F32)*I32),-(_xll.qwBondRepoFromTo($A$1,F32,_xll.qwSettle($A$4,F32),_xll.qwSettle($A$1,F32))*_xll.qwSecVal($A$1,F32,"Price")*(_xll.qwSettle($A$1,F32)-_xll.qwSettle($A$4,F32))/360)*_xll.qwMVFactor($A$1,F32)*_xll.qwFXRate($A$1,F32)*I32,0)</f>
        <v>-39765.746959936856</v>
      </c>
      <c r="AD32" s="6"/>
    </row>
    <row r="33" spans="2:30" s="7" customFormat="1" x14ac:dyDescent="0.35">
      <c r="B33" s="7" t="str">
        <v>jcleary</v>
      </c>
      <c r="C33" s="7" t="str">
        <v>MAMS</v>
      </c>
      <c r="D33" s="7" t="str">
        <v>jcleary|MAMS|RV_US_FV_Spread|233111088</v>
      </c>
      <c r="E33" s="7" t="str">
        <v>RV_US_FV_Spread</v>
      </c>
      <c r="F33" s="7" t="str">
        <v>233111088</v>
      </c>
      <c r="G33" s="7">
        <v>281</v>
      </c>
      <c r="H33" s="7">
        <v>0</v>
      </c>
      <c r="I33" s="7">
        <v>281</v>
      </c>
      <c r="J33" s="7">
        <v>0</v>
      </c>
      <c r="K33" s="7">
        <v>0</v>
      </c>
      <c r="L33" s="7">
        <v>0</v>
      </c>
      <c r="M33" s="7">
        <v>0</v>
      </c>
      <c r="N33" s="7" t="str">
        <v>SwapTrade</v>
      </c>
      <c r="O33" s="6" cm="1">
        <f t="array" ref="O33">(_xll.qwPrice($A$1,F33)-_xll.qwPrice($A$4,F33))*_xll.qwMVFactor($A$1,F33)*I33*_xll.qwFXRate($A$1,F33)</f>
        <v>-80290.211442940563</v>
      </c>
      <c r="P33" s="6" cm="1">
        <f t="array" ref="P33">IF(ISNUMBER(_xll.qwDV01($A$1,F33)*I33*_xll.qwMVFactor($A$1,F33)*_xll.qwFXRate($A$1,F33)),_xll.qwDV01($A$1,F33)*I33*_xll.qwMVFactor($A$1,F33)*_xll.qwFXRate($A$1,F33),0)</f>
        <v>-99719.688096549129</v>
      </c>
      <c r="Q33" s="6" cm="1">
        <f t="array" ref="Q33">IF(ISNUMBER(_xll.qwDV01($A$1,F33)*G33*_xll.qwMVFactor($A$1,F33)*_xll.qwFXRate($A$1,F33)),_xll.qwDV01($A$1,F33)*G33*_xll.qwMVFactor($A$1,F33)*_xll.qwFXRate($A$1,F33),0)</f>
        <v>-99719.688096549129</v>
      </c>
      <c r="R33" s="6" cm="1">
        <f t="array" ref="R33">IF(ISNUMBER(_xll.qwDV01($A$1,F33)*J33*_xll.qwMVFactor($A$1,F33)*_xll.qwFXRate($A$1,F33)),_xll.qwDV01($A$1,F33)*J33*_xll.qwMVFactor($A$1,F33)*_xll.qwFXRate($A$1,F33),0)</f>
        <v>0</v>
      </c>
      <c r="S33" s="6" cm="1">
        <f t="array" ref="S33">IF(ISNUMBER(_xll.qwDV01($A$1,F33)*J33*_xll.qwMVFactor($A$1,F33)*_xll.qwFXRate($A$1,F33)),_xll.qwDV01($A$1,F33)*J33*_xll.qwMVFactor($A$1,F33)*_xll.qwFXRate($A$1,F33),0)</f>
        <v>0</v>
      </c>
      <c r="T33" s="6" cm="1">
        <f t="array" ref="T33">_xll.qwFXRate($A$1,F33)*J33*(_xll.qwPrice($A$1,F33)-M33)*_xll.qwMVFactor($A$1,F33)+L33</f>
        <v>0</v>
      </c>
      <c r="U33" s="8" cm="1">
        <f t="array" ref="U33">_xll.qwYield($A$1,F33)</f>
        <v>4.7068378995592207E-2</v>
      </c>
      <c r="V33" s="8" cm="1">
        <f t="array" ref="V33">100*(_xll.qwYield($A$4,F33)-U33)</f>
        <v>7.4191169068905938E-3</v>
      </c>
      <c r="W33" s="6">
        <f>IF(ISNA(G33*INDEX(_xll.qwTblData(_xll.qwCurveScenariosPerSecurity($A$1,F33,"Crv210")),2,2)),0,(G33*INDEX(_xll.qwTblData(_xll.qwCurveScenariosPerSecurity($A$1,F33,"Crv210")),2,2)))</f>
        <v>-24135.392316291436</v>
      </c>
      <c r="X33" s="6" cm="1">
        <f t="array" ref="X33">ABS(Q33/_xll.qwMV01($A$1,"CT10"))</f>
        <v>134.24175055674633</v>
      </c>
      <c r="Y33" s="6" cm="1">
        <f t="array" ref="Y33">IF(N33="BondFuture",-(_xll.qwCurveYield($A$1,_xll.qwSecVal($A$1,AA33,"CreditCurveName()"),AA33)-_xll.qwCurveYield($A$4,_xll.qwSecVal($A$4,AA33,"CreditCurveName()"),AA33))*P33*10000,IF(N33="Bond",-(_xll.qwCurveYield($A$1,_xll.qwSecVal($A$1,F33,"CreditCurveName()"),F33)-_xll.qwCurveYield($A$4,_xll.qwSecVal($A$4,F33,"CreditCurveName()"),F33))*P33*10000,O33))</f>
        <v>-80290.211442940563</v>
      </c>
      <c r="Z33" s="6" cm="1">
        <f t="array" ref="Z33">IF(OR(N33="BondFuture",N33="Bond"),P33*(_xll.qwCurveZSpread($A$4,_xll.qwSecVal($A$1,AA33,"CreditCurveName()"),AA33)-_xll.qwCurveZSpread($A$1,_xll.qwSecVal($A$1,AA33,"CreditCurveName()"),AA33)),0)</f>
        <v>0</v>
      </c>
      <c r="AA33" s="9" cm="1">
        <f t="array" ref="AA33">IF(_xll.qwSecType(F33)="Bond",F33,IF(_xll.qwSecType(F33)="BondFuture",_xll.qwFutCTD($A$1,F33),0))</f>
        <v>0</v>
      </c>
      <c r="AB33" s="6" cm="1">
        <f t="array" ref="AB33">IF(_xll.qwSecType(F33)="BondFuture",-(I33*_xll.qwDelta($A$4,F33)*_xll.qwMVFactor($A$1,F33)/_xll.qwMVFactor($A$1,_xll.qwFutCTD($A$1,F33)))*(_xll.qwFXRate($A$1,F33)*_xll.qwMVFactor($A$1,_xll.qwFutCTD($A$1,F33))*(_xll.qwIncome($A$4,_xll.qwFutCTD($A$4,F33),_xll.qwBondSettle($A$4,_xll.qwFutCTD($A$4,F33)),_xll.qwBondSettle($A$1,_xll.qwFutCTD($A$1,F33)))+(_xll.qwSecVal($A$1,AA33,"Price")-_xll.qwSecVal($A$4,AA33,"Price"))-_xll.qwBondRepoFromTo($A$1,AA33,_xll.qwBondSettle($A$4,AA33),_xll.qwBondSettle($A$1,AA33))*_xll.qwSecVal($A$1,AA33,"Price")*(_xll.qwBondSettle($A$1,AA33)-_xll.qwBondSettle($A$4,AA33))/360))+O33,0)</f>
        <v>0</v>
      </c>
      <c r="AC33" s="9" cm="1">
        <f t="array" ref="AC33">O33+T33+IF(ISNUMBER(_xll.qwIncome($A$1,F33,_xll.qwSettle($A$4,F33),_xll.qwSettle($A$1,F33))*_xll.qwMVFactor($A$1,F33)*_xll.qwFXRate($A$1,F33)*I33),_xll.qwIncome($A$1,F33,_xll.qwSettle($A$4,F33),_xll.qwSettle($A$1,F33))*_xll.qwMVFactor($A$1,F33)*_xll.qwFXRate($A$1,F33)*I33,0)+IF(ISNUMBER(-(_xll.qwBondRepoFromTo($A$1,F33,_xll.qwSettle($A$4,F33),_xll.qwSettle($A$1,F33))*_xll.qwSecVal($A$1,F33,"Price")*(_xll.qwSettle($A$1,F33)-_xll.qwSettle($A$4,F33))/360)*_xll.qwMVFactor($A$1,F33)*_xll.qwFXRate($A$1,F33)*I33),-(_xll.qwBondRepoFromTo($A$1,F33,_xll.qwSettle($A$4,F33),_xll.qwSettle($A$1,F33))*_xll.qwSecVal($A$1,F33,"Price")*(_xll.qwSettle($A$1,F33)-_xll.qwSettle($A$4,F33))/360)*_xll.qwMVFactor($A$1,F33)*_xll.qwFXRate($A$1,F33)*I33,0)</f>
        <v>-80290.211442940563</v>
      </c>
      <c r="AD33" s="6"/>
    </row>
    <row r="34" spans="2:30" s="7" customFormat="1" x14ac:dyDescent="0.35">
      <c r="B34" s="7" t="str">
        <v>jcleary</v>
      </c>
      <c r="C34" s="7" t="str">
        <v>MAMS</v>
      </c>
      <c r="D34" s="7" t="str">
        <v>jcleary|MAMS|RV_US_FV_Spread|235872386</v>
      </c>
      <c r="E34" s="7" t="str">
        <v>RV_US_FV_Spread</v>
      </c>
      <c r="F34" s="7" t="str">
        <v>235872386</v>
      </c>
      <c r="G34" s="7">
        <v>112.5</v>
      </c>
      <c r="H34" s="7">
        <v>0</v>
      </c>
      <c r="I34" s="7">
        <v>112.5</v>
      </c>
      <c r="J34" s="7">
        <v>0</v>
      </c>
      <c r="K34" s="7">
        <v>0</v>
      </c>
      <c r="L34" s="7">
        <v>0</v>
      </c>
      <c r="M34" s="7">
        <v>0</v>
      </c>
      <c r="N34" s="7" t="str">
        <v>SwapTrade</v>
      </c>
      <c r="O34" s="6" cm="1">
        <f t="array" ref="O34">(_xll.qwPrice($A$1,F34)-_xll.qwPrice($A$4,F34))*_xll.qwMVFactor($A$1,F34)*I34*_xll.qwFXRate($A$1,F34)</f>
        <v>-32228.676987366867</v>
      </c>
      <c r="P34" s="6" cm="1">
        <f t="array" ref="P34">IF(ISNUMBER(_xll.qwDV01($A$1,F34)*I34*_xll.qwMVFactor($A$1,F34)*_xll.qwFXRate($A$1,F34)),_xll.qwDV01($A$1,F34)*I34*_xll.qwMVFactor($A$1,F34)*_xll.qwFXRate($A$1,F34),0)</f>
        <v>-40036.150495256872</v>
      </c>
      <c r="Q34" s="6" cm="1">
        <f t="array" ref="Q34">IF(ISNUMBER(_xll.qwDV01($A$1,F34)*G34*_xll.qwMVFactor($A$1,F34)*_xll.qwFXRate($A$1,F34)),_xll.qwDV01($A$1,F34)*G34*_xll.qwMVFactor($A$1,F34)*_xll.qwFXRate($A$1,F34),0)</f>
        <v>-40036.150495256872</v>
      </c>
      <c r="R34" s="6" cm="1">
        <f t="array" ref="R34">IF(ISNUMBER(_xll.qwDV01($A$1,F34)*J34*_xll.qwMVFactor($A$1,F34)*_xll.qwFXRate($A$1,F34)),_xll.qwDV01($A$1,F34)*J34*_xll.qwMVFactor($A$1,F34)*_xll.qwFXRate($A$1,F34),0)</f>
        <v>0</v>
      </c>
      <c r="S34" s="6" cm="1">
        <f t="array" ref="S34">IF(ISNUMBER(_xll.qwDV01($A$1,F34)*J34*_xll.qwMVFactor($A$1,F34)*_xll.qwFXRate($A$1,F34)),_xll.qwDV01($A$1,F34)*J34*_xll.qwMVFactor($A$1,F34)*_xll.qwFXRate($A$1,F34),0)</f>
        <v>0</v>
      </c>
      <c r="T34" s="6" cm="1">
        <f t="array" ref="T34">_xll.qwFXRate($A$1,F34)*J34*(_xll.qwPrice($A$1,F34)-M34)*_xll.qwMVFactor($A$1,F34)+L34</f>
        <v>0</v>
      </c>
      <c r="U34" s="8" cm="1">
        <f t="array" ref="U34">_xll.qwYield($A$1,F34)</f>
        <v>4.7068378995592207E-2</v>
      </c>
      <c r="V34" s="8" cm="1">
        <f t="array" ref="V34">100*(_xll.qwYield($A$4,F34)-U34)</f>
        <v>7.4191169068905938E-3</v>
      </c>
      <c r="W34" s="6">
        <f>IF(ISNA(G34*INDEX(_xll.qwTblData(_xll.qwCurveScenariosPerSecurity($A$1,F34,"Crv210")),2,2)),0,(G34*INDEX(_xll.qwTblData(_xll.qwCurveScenariosPerSecurity($A$1,F34,"Crv210")),2,2)))</f>
        <v>-9703.8416632191365</v>
      </c>
      <c r="X34" s="6" cm="1">
        <f t="array" ref="X34">ABS(Q34/_xll.qwMV01($A$1,"CT10"))</f>
        <v>53.896307044532549</v>
      </c>
      <c r="Y34" s="6" cm="1">
        <f t="array" ref="Y34">IF(N34="BondFuture",-(_xll.qwCurveYield($A$1,_xll.qwSecVal($A$1,AA34,"CreditCurveName()"),AA34)-_xll.qwCurveYield($A$4,_xll.qwSecVal($A$4,AA34,"CreditCurveName()"),AA34))*P34*10000,IF(N34="Bond",-(_xll.qwCurveYield($A$1,_xll.qwSecVal($A$1,F34,"CreditCurveName()"),F34)-_xll.qwCurveYield($A$4,_xll.qwSecVal($A$4,F34,"CreditCurveName()"),F34))*P34*10000,O34))</f>
        <v>-32228.676987366867</v>
      </c>
      <c r="Z34" s="6" cm="1">
        <f t="array" ref="Z34">IF(OR(N34="BondFuture",N34="Bond"),P34*(_xll.qwCurveZSpread($A$4,_xll.qwSecVal($A$1,AA34,"CreditCurveName()"),AA34)-_xll.qwCurveZSpread($A$1,_xll.qwSecVal($A$1,AA34,"CreditCurveName()"),AA34)),0)</f>
        <v>0</v>
      </c>
      <c r="AA34" s="9" cm="1">
        <f t="array" ref="AA34">IF(_xll.qwSecType(F34)="Bond",F34,IF(_xll.qwSecType(F34)="BondFuture",_xll.qwFutCTD($A$1,F34),0))</f>
        <v>0</v>
      </c>
      <c r="AB34" s="6" cm="1">
        <f t="array" ref="AB34">IF(_xll.qwSecType(F34)="BondFuture",-(I34*_xll.qwDelta($A$4,F34)*_xll.qwMVFactor($A$1,F34)/_xll.qwMVFactor($A$1,_xll.qwFutCTD($A$1,F34)))*(_xll.qwFXRate($A$1,F34)*_xll.qwMVFactor($A$1,_xll.qwFutCTD($A$1,F34))*(_xll.qwIncome($A$4,_xll.qwFutCTD($A$4,F34),_xll.qwBondSettle($A$4,_xll.qwFutCTD($A$4,F34)),_xll.qwBondSettle($A$1,_xll.qwFutCTD($A$1,F34)))+(_xll.qwSecVal($A$1,AA34,"Price")-_xll.qwSecVal($A$4,AA34,"Price"))-_xll.qwBondRepoFromTo($A$1,AA34,_xll.qwBondSettle($A$4,AA34),_xll.qwBondSettle($A$1,AA34))*_xll.qwSecVal($A$1,AA34,"Price")*(_xll.qwBondSettle($A$1,AA34)-_xll.qwBondSettle($A$4,AA34))/360))+O34,0)</f>
        <v>0</v>
      </c>
      <c r="AC34" s="9" cm="1">
        <f t="array" ref="AC34">O34+T34+IF(ISNUMBER(_xll.qwIncome($A$1,F34,_xll.qwSettle($A$4,F34),_xll.qwSettle($A$1,F34))*_xll.qwMVFactor($A$1,F34)*_xll.qwFXRate($A$1,F34)*I34),_xll.qwIncome($A$1,F34,_xll.qwSettle($A$4,F34),_xll.qwSettle($A$1,F34))*_xll.qwMVFactor($A$1,F34)*_xll.qwFXRate($A$1,F34)*I34,0)+IF(ISNUMBER(-(_xll.qwBondRepoFromTo($A$1,F34,_xll.qwSettle($A$4,F34),_xll.qwSettle($A$1,F34))*_xll.qwSecVal($A$1,F34,"Price")*(_xll.qwSettle($A$1,F34)-_xll.qwSettle($A$4,F34))/360)*_xll.qwMVFactor($A$1,F34)*_xll.qwFXRate($A$1,F34)*I34),-(_xll.qwBondRepoFromTo($A$1,F34,_xll.qwSettle($A$4,F34),_xll.qwSettle($A$1,F34))*_xll.qwSecVal($A$1,F34,"Price")*(_xll.qwSettle($A$1,F34)-_xll.qwSettle($A$4,F34))/360)*_xll.qwMVFactor($A$1,F34)*_xll.qwFXRate($A$1,F34)*I34,0)</f>
        <v>-32228.676987366867</v>
      </c>
      <c r="AD34" s="6"/>
    </row>
    <row r="35" spans="2:30" s="7" customFormat="1" x14ac:dyDescent="0.35">
      <c r="B35" s="7" t="str">
        <v>jcleary</v>
      </c>
      <c r="C35" s="7" t="str">
        <v>MAMS</v>
      </c>
      <c r="D35" s="7" t="str">
        <v>jcleary|MAMS|RV_US_FV_Spread|236998516</v>
      </c>
      <c r="E35" s="7" t="str">
        <v>RV_US_FV_Spread</v>
      </c>
      <c r="F35" s="7" t="str">
        <v>236998516</v>
      </c>
      <c r="G35" s="7">
        <v>176.7</v>
      </c>
      <c r="H35" s="7">
        <v>0</v>
      </c>
      <c r="I35" s="7">
        <v>176.7</v>
      </c>
      <c r="J35" s="7">
        <v>0</v>
      </c>
      <c r="K35" s="7">
        <v>0</v>
      </c>
      <c r="L35" s="7">
        <v>0</v>
      </c>
      <c r="M35" s="7">
        <v>0</v>
      </c>
      <c r="N35" s="7" t="str">
        <v>SwapTrade</v>
      </c>
      <c r="O35" s="6" cm="1">
        <f t="array" ref="O35">(_xll.qwPrice($A$1,F35)-_xll.qwPrice($A$4,F35))*_xll.qwMVFactor($A$1,F35)*I35*_xll.qwFXRate($A$1,F35)</f>
        <v>26963.199506877823</v>
      </c>
      <c r="P35" s="6" cm="1">
        <f t="array" ref="P35">IF(ISNUMBER(_xll.qwDV01($A$1,F35)*I35*_xll.qwMVFactor($A$1,F35)*_xll.qwFXRate($A$1,F35)),_xll.qwDV01($A$1,F35)*I35*_xll.qwMVFactor($A$1,F35)*_xll.qwFXRate($A$1,F35),0)</f>
        <v>49894.280542710148</v>
      </c>
      <c r="Q35" s="6" cm="1">
        <f t="array" ref="Q35">IF(ISNUMBER(_xll.qwDV01($A$1,F35)*G35*_xll.qwMVFactor($A$1,F35)*_xll.qwFXRate($A$1,F35)),_xll.qwDV01($A$1,F35)*G35*_xll.qwMVFactor($A$1,F35)*_xll.qwFXRate($A$1,F35),0)</f>
        <v>49894.280542710148</v>
      </c>
      <c r="R35" s="6" cm="1">
        <f t="array" ref="R35">IF(ISNUMBER(_xll.qwDV01($A$1,F35)*J35*_xll.qwMVFactor($A$1,F35)*_xll.qwFXRate($A$1,F35)),_xll.qwDV01($A$1,F35)*J35*_xll.qwMVFactor($A$1,F35)*_xll.qwFXRate($A$1,F35),0)</f>
        <v>0</v>
      </c>
      <c r="S35" s="6" cm="1">
        <f t="array" ref="S35">IF(ISNUMBER(_xll.qwDV01($A$1,F35)*J35*_xll.qwMVFactor($A$1,F35)*_xll.qwFXRate($A$1,F35)),_xll.qwDV01($A$1,F35)*J35*_xll.qwMVFactor($A$1,F35)*_xll.qwFXRate($A$1,F35),0)</f>
        <v>0</v>
      </c>
      <c r="T35" s="6" cm="1">
        <f t="array" ref="T35">_xll.qwFXRate($A$1,F35)*J35*(_xll.qwPrice($A$1,F35)-M35)*_xll.qwMVFactor($A$1,F35)+L35</f>
        <v>0</v>
      </c>
      <c r="U35" s="8" cm="1">
        <f t="array" ref="U35">_xll.qwYield($A$1,F35)</f>
        <v>4.6992078161565365E-2</v>
      </c>
      <c r="V35" s="8" cm="1">
        <f t="array" ref="V35">100*(_xll.qwYield($A$4,F35)-U35)</f>
        <v>4.6664378837144027E-3</v>
      </c>
      <c r="W35" s="6">
        <f>IF(ISNA(G35*INDEX(_xll.qwTblData(_xll.qwCurveScenariosPerSecurity($A$1,F35,"Crv210")),2,2)),0,(G35*INDEX(_xll.qwTblData(_xll.qwCurveScenariosPerSecurity($A$1,F35,"Crv210")),2,2)))</f>
        <v>17905.130712911294</v>
      </c>
      <c r="X35" s="6" cm="1">
        <f t="array" ref="X35">ABS(Q35/_xll.qwMV01($A$1,"CT10"))</f>
        <v>67.167233378607037</v>
      </c>
      <c r="Y35" s="6" cm="1">
        <f t="array" ref="Y35">IF(N35="BondFuture",-(_xll.qwCurveYield($A$1,_xll.qwSecVal($A$1,AA35,"CreditCurveName()"),AA35)-_xll.qwCurveYield($A$4,_xll.qwSecVal($A$4,AA35,"CreditCurveName()"),AA35))*P35*10000,IF(N35="Bond",-(_xll.qwCurveYield($A$1,_xll.qwSecVal($A$1,F35,"CreditCurveName()"),F35)-_xll.qwCurveYield($A$4,_xll.qwSecVal($A$4,F35,"CreditCurveName()"),F35))*P35*10000,O35))</f>
        <v>26963.199506877823</v>
      </c>
      <c r="Z35" s="6" cm="1">
        <f t="array" ref="Z35">IF(OR(N35="BondFuture",N35="Bond"),P35*(_xll.qwCurveZSpread($A$4,_xll.qwSecVal($A$1,AA35,"CreditCurveName()"),AA35)-_xll.qwCurveZSpread($A$1,_xll.qwSecVal($A$1,AA35,"CreditCurveName()"),AA35)),0)</f>
        <v>0</v>
      </c>
      <c r="AA35" s="9" cm="1">
        <f t="array" ref="AA35">IF(_xll.qwSecType(F35)="Bond",F35,IF(_xll.qwSecType(F35)="BondFuture",_xll.qwFutCTD($A$1,F35),0))</f>
        <v>0</v>
      </c>
      <c r="AB35" s="6" cm="1">
        <f t="array" ref="AB35">IF(_xll.qwSecType(F35)="BondFuture",-(I35*_xll.qwDelta($A$4,F35)*_xll.qwMVFactor($A$1,F35)/_xll.qwMVFactor($A$1,_xll.qwFutCTD($A$1,F35)))*(_xll.qwFXRate($A$1,F35)*_xll.qwMVFactor($A$1,_xll.qwFutCTD($A$1,F35))*(_xll.qwIncome($A$4,_xll.qwFutCTD($A$4,F35),_xll.qwBondSettle($A$4,_xll.qwFutCTD($A$4,F35)),_xll.qwBondSettle($A$1,_xll.qwFutCTD($A$1,F35)))+(_xll.qwSecVal($A$1,AA35,"Price")-_xll.qwSecVal($A$4,AA35,"Price"))-_xll.qwBondRepoFromTo($A$1,AA35,_xll.qwBondSettle($A$4,AA35),_xll.qwBondSettle($A$1,AA35))*_xll.qwSecVal($A$1,AA35,"Price")*(_xll.qwBondSettle($A$1,AA35)-_xll.qwBondSettle($A$4,AA35))/360))+O35,0)</f>
        <v>0</v>
      </c>
      <c r="AC35" s="9" cm="1">
        <f t="array" ref="AC35">O35+T35+IF(ISNUMBER(_xll.qwIncome($A$1,F35,_xll.qwSettle($A$4,F35),_xll.qwSettle($A$1,F35))*_xll.qwMVFactor($A$1,F35)*_xll.qwFXRate($A$1,F35)*I35),_xll.qwIncome($A$1,F35,_xll.qwSettle($A$4,F35),_xll.qwSettle($A$1,F35))*_xll.qwMVFactor($A$1,F35)*_xll.qwFXRate($A$1,F35)*I35,0)+IF(ISNUMBER(-(_xll.qwBondRepoFromTo($A$1,F35,_xll.qwSettle($A$4,F35),_xll.qwSettle($A$1,F35))*_xll.qwSecVal($A$1,F35,"Price")*(_xll.qwSettle($A$1,F35)-_xll.qwSettle($A$4,F35))/360)*_xll.qwMVFactor($A$1,F35)*_xll.qwFXRate($A$1,F35)*I35),-(_xll.qwBondRepoFromTo($A$1,F35,_xll.qwSettle($A$4,F35),_xll.qwSettle($A$1,F35))*_xll.qwSecVal($A$1,F35,"Price")*(_xll.qwSettle($A$1,F35)-_xll.qwSettle($A$4,F35))/360)*_xll.qwMVFactor($A$1,F35)*_xll.qwFXRate($A$1,F35)*I35,0)</f>
        <v>26963.199506877823</v>
      </c>
      <c r="AD35" s="6"/>
    </row>
    <row r="36" spans="2:30" s="7" customFormat="1" x14ac:dyDescent="0.35">
      <c r="B36" s="7" t="str">
        <v>jcleary</v>
      </c>
      <c r="C36" s="7" t="str">
        <v>MAMS</v>
      </c>
      <c r="D36" s="7" t="str">
        <v>jcleary|MAMS|RV_US_FV_Spread|237785640</v>
      </c>
      <c r="E36" s="7" t="str">
        <v>RV_US_FV_Spread</v>
      </c>
      <c r="F36" s="7" t="str">
        <v>237785640</v>
      </c>
      <c r="G36" s="7">
        <v>145.5</v>
      </c>
      <c r="H36" s="7">
        <v>0</v>
      </c>
      <c r="I36" s="7">
        <v>145.5</v>
      </c>
      <c r="J36" s="7">
        <v>0</v>
      </c>
      <c r="K36" s="7">
        <v>0</v>
      </c>
      <c r="L36" s="7">
        <v>0</v>
      </c>
      <c r="M36" s="7">
        <v>0</v>
      </c>
      <c r="N36" s="7" t="str">
        <v>SwapTrade</v>
      </c>
      <c r="O36" s="6" cm="1">
        <f t="array" ref="O36">(_xll.qwPrice($A$1,F36)-_xll.qwPrice($A$4,F36))*_xll.qwMVFactor($A$1,F36)*I36*_xll.qwFXRate($A$1,F36)</f>
        <v>41516.148125124142</v>
      </c>
      <c r="P36" s="6" cm="1">
        <f t="array" ref="P36">IF(ISNUMBER(_xll.qwDV01($A$1,F36)*I36*_xll.qwMVFactor($A$1,F36)*_xll.qwFXRate($A$1,F36)),_xll.qwDV01($A$1,F36)*I36*_xll.qwMVFactor($A$1,F36)*_xll.qwFXRate($A$1,F36),0)</f>
        <v>51523.442777479657</v>
      </c>
      <c r="Q36" s="6" cm="1">
        <f t="array" ref="Q36">IF(ISNUMBER(_xll.qwDV01($A$1,F36)*G36*_xll.qwMVFactor($A$1,F36)*_xll.qwFXRate($A$1,F36)),_xll.qwDV01($A$1,F36)*G36*_xll.qwMVFactor($A$1,F36)*_xll.qwFXRate($A$1,F36),0)</f>
        <v>51523.442777479657</v>
      </c>
      <c r="R36" s="6" cm="1">
        <f t="array" ref="R36">IF(ISNUMBER(_xll.qwDV01($A$1,F36)*J36*_xll.qwMVFactor($A$1,F36)*_xll.qwFXRate($A$1,F36)),_xll.qwDV01($A$1,F36)*J36*_xll.qwMVFactor($A$1,F36)*_xll.qwFXRate($A$1,F36),0)</f>
        <v>0</v>
      </c>
      <c r="S36" s="6" cm="1">
        <f t="array" ref="S36">IF(ISNUMBER(_xll.qwDV01($A$1,F36)*J36*_xll.qwMVFactor($A$1,F36)*_xll.qwFXRate($A$1,F36)),_xll.qwDV01($A$1,F36)*J36*_xll.qwMVFactor($A$1,F36)*_xll.qwFXRate($A$1,F36),0)</f>
        <v>0</v>
      </c>
      <c r="T36" s="6" cm="1">
        <f t="array" ref="T36">_xll.qwFXRate($A$1,F36)*J36*(_xll.qwPrice($A$1,F36)-M36)*_xll.qwMVFactor($A$1,F36)+L36</f>
        <v>0</v>
      </c>
      <c r="U36" s="8" cm="1">
        <f t="array" ref="U36">_xll.qwYield($A$1,F36)</f>
        <v>4.7068378995592207E-2</v>
      </c>
      <c r="V36" s="8" cm="1">
        <f t="array" ref="V36">100*(_xll.qwYield($A$4,F36)-U36)</f>
        <v>7.4191169068905938E-3</v>
      </c>
      <c r="W36" s="6">
        <f>IF(ISNA(G36*INDEX(_xll.qwTblData(_xll.qwCurveScenariosPerSecurity($A$1,F36,"Crv210")),2,2)),0,(G36*INDEX(_xll.qwTblData(_xll.qwCurveScenariosPerSecurity($A$1,F36,"Crv210")),2,2)))</f>
        <v>12454.258859951875</v>
      </c>
      <c r="X36" s="6" cm="1">
        <f t="array" ref="X36">ABS(Q36/_xll.qwMV01($A$1,"CT10"))</f>
        <v>69.360396980609607</v>
      </c>
      <c r="Y36" s="6" cm="1">
        <f t="array" ref="Y36">IF(N36="BondFuture",-(_xll.qwCurveYield($A$1,_xll.qwSecVal($A$1,AA36,"CreditCurveName()"),AA36)-_xll.qwCurveYield($A$4,_xll.qwSecVal($A$4,AA36,"CreditCurveName()"),AA36))*P36*10000,IF(N36="Bond",-(_xll.qwCurveYield($A$1,_xll.qwSecVal($A$1,F36,"CreditCurveName()"),F36)-_xll.qwCurveYield($A$4,_xll.qwSecVal($A$4,F36,"CreditCurveName()"),F36))*P36*10000,O36))</f>
        <v>41516.148125124142</v>
      </c>
      <c r="Z36" s="6" cm="1">
        <f t="array" ref="Z36">IF(OR(N36="BondFuture",N36="Bond"),P36*(_xll.qwCurveZSpread($A$4,_xll.qwSecVal($A$1,AA36,"CreditCurveName()"),AA36)-_xll.qwCurveZSpread($A$1,_xll.qwSecVal($A$1,AA36,"CreditCurveName()"),AA36)),0)</f>
        <v>0</v>
      </c>
      <c r="AA36" s="9" cm="1">
        <f t="array" ref="AA36">IF(_xll.qwSecType(F36)="Bond",F36,IF(_xll.qwSecType(F36)="BondFuture",_xll.qwFutCTD($A$1,F36),0))</f>
        <v>0</v>
      </c>
      <c r="AB36" s="6" cm="1">
        <f t="array" ref="AB36">IF(_xll.qwSecType(F36)="BondFuture",-(I36*_xll.qwDelta($A$4,F36)*_xll.qwMVFactor($A$1,F36)/_xll.qwMVFactor($A$1,_xll.qwFutCTD($A$1,F36)))*(_xll.qwFXRate($A$1,F36)*_xll.qwMVFactor($A$1,_xll.qwFutCTD($A$1,F36))*(_xll.qwIncome($A$4,_xll.qwFutCTD($A$4,F36),_xll.qwBondSettle($A$4,_xll.qwFutCTD($A$4,F36)),_xll.qwBondSettle($A$1,_xll.qwFutCTD($A$1,F36)))+(_xll.qwSecVal($A$1,AA36,"Price")-_xll.qwSecVal($A$4,AA36,"Price"))-_xll.qwBondRepoFromTo($A$1,AA36,_xll.qwBondSettle($A$4,AA36),_xll.qwBondSettle($A$1,AA36))*_xll.qwSecVal($A$1,AA36,"Price")*(_xll.qwBondSettle($A$1,AA36)-_xll.qwBondSettle($A$4,AA36))/360))+O36,0)</f>
        <v>0</v>
      </c>
      <c r="AC36" s="9" cm="1">
        <f t="array" ref="AC36">O36+T36+IF(ISNUMBER(_xll.qwIncome($A$1,F36,_xll.qwSettle($A$4,F36),_xll.qwSettle($A$1,F36))*_xll.qwMVFactor($A$1,F36)*_xll.qwFXRate($A$1,F36)*I36),_xll.qwIncome($A$1,F36,_xll.qwSettle($A$4,F36),_xll.qwSettle($A$1,F36))*_xll.qwMVFactor($A$1,F36)*_xll.qwFXRate($A$1,F36)*I36,0)+IF(ISNUMBER(-(_xll.qwBondRepoFromTo($A$1,F36,_xll.qwSettle($A$4,F36),_xll.qwSettle($A$1,F36))*_xll.qwSecVal($A$1,F36,"Price")*(_xll.qwSettle($A$1,F36)-_xll.qwSettle($A$4,F36))/360)*_xll.qwMVFactor($A$1,F36)*_xll.qwFXRate($A$1,F36)*I36),-(_xll.qwBondRepoFromTo($A$1,F36,_xll.qwSettle($A$4,F36),_xll.qwSettle($A$1,F36))*_xll.qwSecVal($A$1,F36,"Price")*(_xll.qwSettle($A$1,F36)-_xll.qwSettle($A$4,F36))/360)*_xll.qwMVFactor($A$1,F36)*_xll.qwFXRate($A$1,F36)*I36,0)</f>
        <v>41516.148125124142</v>
      </c>
      <c r="AD36" s="6"/>
    </row>
    <row r="37" spans="2:30" s="7" customFormat="1" x14ac:dyDescent="0.35">
      <c r="B37" s="7" t="str">
        <v>jcleary</v>
      </c>
      <c r="C37" s="7" t="str">
        <v>MAMS</v>
      </c>
      <c r="D37" s="7" t="str">
        <v>jcleary|MAMS|RV_US_FV_Spread|238081732</v>
      </c>
      <c r="E37" s="7" t="str">
        <v>RV_US_FV_Spread</v>
      </c>
      <c r="F37" s="7" t="str">
        <v>238081732</v>
      </c>
      <c r="G37" s="7">
        <v>1204.7</v>
      </c>
      <c r="H37" s="7">
        <v>0</v>
      </c>
      <c r="I37" s="7">
        <v>1204.7</v>
      </c>
      <c r="J37" s="7">
        <v>0</v>
      </c>
      <c r="K37" s="7">
        <v>0</v>
      </c>
      <c r="L37" s="7">
        <v>0</v>
      </c>
      <c r="M37" s="7">
        <v>0</v>
      </c>
      <c r="N37" s="7" t="str">
        <v>SwapTrade</v>
      </c>
      <c r="O37" s="6" cm="1">
        <f t="array" ref="O37">(_xll.qwPrice($A$1,F37)-_xll.qwPrice($A$4,F37))*_xll.qwMVFactor($A$1,F37)*I37*_xll.qwFXRate($A$1,F37)</f>
        <v>315649.87857430591</v>
      </c>
      <c r="P37" s="6" cm="1">
        <f t="array" ref="P37">IF(ISNUMBER(_xll.qwDV01($A$1,F37)*I37*_xll.qwMVFactor($A$1,F37)*_xll.qwFXRate($A$1,F37)),_xll.qwDV01($A$1,F37)*I37*_xll.qwMVFactor($A$1,F37)*_xll.qwFXRate($A$1,F37),0)</f>
        <v>412025.83766141499</v>
      </c>
      <c r="Q37" s="6" cm="1">
        <f t="array" ref="Q37">IF(ISNUMBER(_xll.qwDV01($A$1,F37)*G37*_xll.qwMVFactor($A$1,F37)*_xll.qwFXRate($A$1,F37)),_xll.qwDV01($A$1,F37)*G37*_xll.qwMVFactor($A$1,F37)*_xll.qwFXRate($A$1,F37),0)</f>
        <v>412025.83766141499</v>
      </c>
      <c r="R37" s="6" cm="1">
        <f t="array" ref="R37">IF(ISNUMBER(_xll.qwDV01($A$1,F37)*J37*_xll.qwMVFactor($A$1,F37)*_xll.qwFXRate($A$1,F37)),_xll.qwDV01($A$1,F37)*J37*_xll.qwMVFactor($A$1,F37)*_xll.qwFXRate($A$1,F37),0)</f>
        <v>0</v>
      </c>
      <c r="S37" s="6" cm="1">
        <f t="array" ref="S37">IF(ISNUMBER(_xll.qwDV01($A$1,F37)*J37*_xll.qwMVFactor($A$1,F37)*_xll.qwFXRate($A$1,F37)),_xll.qwDV01($A$1,F37)*J37*_xll.qwMVFactor($A$1,F37)*_xll.qwFXRate($A$1,F37),0)</f>
        <v>0</v>
      </c>
      <c r="T37" s="6" cm="1">
        <f t="array" ref="T37">_xll.qwFXRate($A$1,F37)*J37*(_xll.qwPrice($A$1,F37)-M37)*_xll.qwMVFactor($A$1,F37)+L37</f>
        <v>0</v>
      </c>
      <c r="U37" s="8" cm="1">
        <f t="array" ref="U37">_xll.qwYield($A$1,F37)</f>
        <v>4.7041206694949447E-2</v>
      </c>
      <c r="V37" s="8" cm="1">
        <f t="array" ref="V37">100*(_xll.qwYield($A$4,F37)-U37)</f>
        <v>7.1634495770252216E-3</v>
      </c>
      <c r="W37" s="6">
        <f>IF(ISNA(G37*INDEX(_xll.qwTblData(_xll.qwCurveScenariosPerSecurity($A$1,F37,"Crv210")),2,2)),0,(G37*INDEX(_xll.qwTblData(_xll.qwCurveScenariosPerSecurity($A$1,F37,"Crv210")),2,2)))</f>
        <v>108098.93525104833</v>
      </c>
      <c r="X37" s="6" cm="1">
        <f t="array" ref="X37">ABS(Q37/_xll.qwMV01($A$1,"CT10"))</f>
        <v>554.66549061731587</v>
      </c>
      <c r="Y37" s="6" cm="1">
        <f t="array" ref="Y37">IF(N37="BondFuture",-(_xll.qwCurveYield($A$1,_xll.qwSecVal($A$1,AA37,"CreditCurveName()"),AA37)-_xll.qwCurveYield($A$4,_xll.qwSecVal($A$4,AA37,"CreditCurveName()"),AA37))*P37*10000,IF(N37="Bond",-(_xll.qwCurveYield($A$1,_xll.qwSecVal($A$1,F37,"CreditCurveName()"),F37)-_xll.qwCurveYield($A$4,_xll.qwSecVal($A$4,F37,"CreditCurveName()"),F37))*P37*10000,O37))</f>
        <v>315649.87857430591</v>
      </c>
      <c r="Z37" s="6" cm="1">
        <f t="array" ref="Z37">IF(OR(N37="BondFuture",N37="Bond"),P37*(_xll.qwCurveZSpread($A$4,_xll.qwSecVal($A$1,AA37,"CreditCurveName()"),AA37)-_xll.qwCurveZSpread($A$1,_xll.qwSecVal($A$1,AA37,"CreditCurveName()"),AA37)),0)</f>
        <v>0</v>
      </c>
      <c r="AA37" s="9" cm="1">
        <f t="array" ref="AA37">IF(_xll.qwSecType(F37)="Bond",F37,IF(_xll.qwSecType(F37)="BondFuture",_xll.qwFutCTD($A$1,F37),0))</f>
        <v>0</v>
      </c>
      <c r="AB37" s="6" cm="1">
        <f t="array" ref="AB37">IF(_xll.qwSecType(F37)="BondFuture",-(I37*_xll.qwDelta($A$4,F37)*_xll.qwMVFactor($A$1,F37)/_xll.qwMVFactor($A$1,_xll.qwFutCTD($A$1,F37)))*(_xll.qwFXRate($A$1,F37)*_xll.qwMVFactor($A$1,_xll.qwFutCTD($A$1,F37))*(_xll.qwIncome($A$4,_xll.qwFutCTD($A$4,F37),_xll.qwBondSettle($A$4,_xll.qwFutCTD($A$4,F37)),_xll.qwBondSettle($A$1,_xll.qwFutCTD($A$1,F37)))+(_xll.qwSecVal($A$1,AA37,"Price")-_xll.qwSecVal($A$4,AA37,"Price"))-_xll.qwBondRepoFromTo($A$1,AA37,_xll.qwBondSettle($A$4,AA37),_xll.qwBondSettle($A$1,AA37))*_xll.qwSecVal($A$1,AA37,"Price")*(_xll.qwBondSettle($A$1,AA37)-_xll.qwBondSettle($A$4,AA37))/360))+O37,0)</f>
        <v>0</v>
      </c>
      <c r="AC37" s="9" cm="1">
        <f t="array" ref="AC37">O37+T37+IF(ISNUMBER(_xll.qwIncome($A$1,F37,_xll.qwSettle($A$4,F37),_xll.qwSettle($A$1,F37))*_xll.qwMVFactor($A$1,F37)*_xll.qwFXRate($A$1,F37)*I37),_xll.qwIncome($A$1,F37,_xll.qwSettle($A$4,F37),_xll.qwSettle($A$1,F37))*_xll.qwMVFactor($A$1,F37)*_xll.qwFXRate($A$1,F37)*I37,0)+IF(ISNUMBER(-(_xll.qwBondRepoFromTo($A$1,F37,_xll.qwSettle($A$4,F37),_xll.qwSettle($A$1,F37))*_xll.qwSecVal($A$1,F37,"Price")*(_xll.qwSettle($A$1,F37)-_xll.qwSettle($A$4,F37))/360)*_xll.qwMVFactor($A$1,F37)*_xll.qwFXRate($A$1,F37)*I37),-(_xll.qwBondRepoFromTo($A$1,F37,_xll.qwSettle($A$4,F37),_xll.qwSettle($A$1,F37))*_xll.qwSecVal($A$1,F37,"Price")*(_xll.qwSettle($A$1,F37)-_xll.qwSettle($A$4,F37))/360)*_xll.qwMVFactor($A$1,F37)*_xll.qwFXRate($A$1,F37)*I37,0)</f>
        <v>315649.87857430591</v>
      </c>
      <c r="AD37" s="6"/>
    </row>
    <row r="38" spans="2:30" s="7" customFormat="1" x14ac:dyDescent="0.35">
      <c r="B38" s="7" t="str">
        <v>jcleary</v>
      </c>
      <c r="C38" s="7" t="str">
        <v>MAMS</v>
      </c>
      <c r="D38" s="7" t="str">
        <v>jcleary|MAMS|RV_US_FV_Spread|238082826</v>
      </c>
      <c r="E38" s="7" t="str">
        <v>RV_US_FV_Spread</v>
      </c>
      <c r="F38" s="7" t="str">
        <v>238082826</v>
      </c>
      <c r="G38" s="7">
        <v>301.10000000000002</v>
      </c>
      <c r="H38" s="7">
        <v>0</v>
      </c>
      <c r="I38" s="7">
        <v>301.10000000000002</v>
      </c>
      <c r="J38" s="7">
        <v>0</v>
      </c>
      <c r="K38" s="7">
        <v>0</v>
      </c>
      <c r="L38" s="7">
        <v>0</v>
      </c>
      <c r="M38" s="7">
        <v>0</v>
      </c>
      <c r="N38" s="7" t="str">
        <v>SwapTrade</v>
      </c>
      <c r="O38" s="6" cm="1">
        <f t="array" ref="O38">(_xll.qwPrice($A$1,F38)-_xll.qwPrice($A$4,F38))*_xll.qwMVFactor($A$1,F38)*I38*_xll.qwFXRate($A$1,F38)</f>
        <v>78898.950403987852</v>
      </c>
      <c r="P38" s="6" cm="1">
        <f t="array" ref="P38">IF(ISNUMBER(_xll.qwDV01($A$1,F38)*I38*_xll.qwMVFactor($A$1,F38)*_xll.qwFXRate($A$1,F38)),_xll.qwDV01($A$1,F38)*I38*_xll.qwMVFactor($A$1,F38)*_xll.qwFXRate($A$1,F38),0)</f>
        <v>102992.62921972865</v>
      </c>
      <c r="Q38" s="6" cm="1">
        <f t="array" ref="Q38">IF(ISNUMBER(_xll.qwDV01($A$1,F38)*G38*_xll.qwMVFactor($A$1,F38)*_xll.qwFXRate($A$1,F38)),_xll.qwDV01($A$1,F38)*G38*_xll.qwMVFactor($A$1,F38)*_xll.qwFXRate($A$1,F38),0)</f>
        <v>102992.62921972865</v>
      </c>
      <c r="R38" s="6" cm="1">
        <f t="array" ref="R38">IF(ISNUMBER(_xll.qwDV01($A$1,F38)*J38*_xll.qwMVFactor($A$1,F38)*_xll.qwFXRate($A$1,F38)),_xll.qwDV01($A$1,F38)*J38*_xll.qwMVFactor($A$1,F38)*_xll.qwFXRate($A$1,F38),0)</f>
        <v>0</v>
      </c>
      <c r="S38" s="6" cm="1">
        <f t="array" ref="S38">IF(ISNUMBER(_xll.qwDV01($A$1,F38)*J38*_xll.qwMVFactor($A$1,F38)*_xll.qwFXRate($A$1,F38)),_xll.qwDV01($A$1,F38)*J38*_xll.qwMVFactor($A$1,F38)*_xll.qwFXRate($A$1,F38),0)</f>
        <v>0</v>
      </c>
      <c r="T38" s="6" cm="1">
        <f t="array" ref="T38">_xll.qwFXRate($A$1,F38)*J38*(_xll.qwPrice($A$1,F38)-M38)*_xll.qwMVFactor($A$1,F38)+L38</f>
        <v>0</v>
      </c>
      <c r="U38" s="8" cm="1">
        <f t="array" ref="U38">_xll.qwYield($A$1,F38)</f>
        <v>4.7041206694949447E-2</v>
      </c>
      <c r="V38" s="8" cm="1">
        <f t="array" ref="V38">100*(_xll.qwYield($A$4,F38)-U38)</f>
        <v>7.1634495770252216E-3</v>
      </c>
      <c r="W38" s="6">
        <f>IF(ISNA(G38*INDEX(_xll.qwTblData(_xll.qwCurveScenariosPerSecurity($A$1,F38,"Crv210")),2,2)),0,(G38*INDEX(_xll.qwTblData(_xll.qwCurveScenariosPerSecurity($A$1,F38,"Crv210")),2,2)))</f>
        <v>27022.569360425758</v>
      </c>
      <c r="X38" s="6" cm="1">
        <f t="array" ref="X38">ABS(Q38/_xll.qwMV01($A$1,"CT10"))</f>
        <v>138.64775456890678</v>
      </c>
      <c r="Y38" s="6" cm="1">
        <f t="array" ref="Y38">IF(N38="BondFuture",-(_xll.qwCurveYield($A$1,_xll.qwSecVal($A$1,AA38,"CreditCurveName()"),AA38)-_xll.qwCurveYield($A$4,_xll.qwSecVal($A$4,AA38,"CreditCurveName()"),AA38))*P38*10000,IF(N38="Bond",-(_xll.qwCurveYield($A$1,_xll.qwSecVal($A$1,F38,"CreditCurveName()"),F38)-_xll.qwCurveYield($A$4,_xll.qwSecVal($A$4,F38,"CreditCurveName()"),F38))*P38*10000,O38))</f>
        <v>78898.950403987852</v>
      </c>
      <c r="Z38" s="6" cm="1">
        <f t="array" ref="Z38">IF(OR(N38="BondFuture",N38="Bond"),P38*(_xll.qwCurveZSpread($A$4,_xll.qwSecVal($A$1,AA38,"CreditCurveName()"),AA38)-_xll.qwCurveZSpread($A$1,_xll.qwSecVal($A$1,AA38,"CreditCurveName()"),AA38)),0)</f>
        <v>0</v>
      </c>
      <c r="AA38" s="9" cm="1">
        <f t="array" ref="AA38">IF(_xll.qwSecType(F38)="Bond",F38,IF(_xll.qwSecType(F38)="BondFuture",_xll.qwFutCTD($A$1,F38),0))</f>
        <v>0</v>
      </c>
      <c r="AB38" s="6" cm="1">
        <f t="array" ref="AB38">IF(_xll.qwSecType(F38)="BondFuture",-(I38*_xll.qwDelta($A$4,F38)*_xll.qwMVFactor($A$1,F38)/_xll.qwMVFactor($A$1,_xll.qwFutCTD($A$1,F38)))*(_xll.qwFXRate($A$1,F38)*_xll.qwMVFactor($A$1,_xll.qwFutCTD($A$1,F38))*(_xll.qwIncome($A$4,_xll.qwFutCTD($A$4,F38),_xll.qwBondSettle($A$4,_xll.qwFutCTD($A$4,F38)),_xll.qwBondSettle($A$1,_xll.qwFutCTD($A$1,F38)))+(_xll.qwSecVal($A$1,AA38,"Price")-_xll.qwSecVal($A$4,AA38,"Price"))-_xll.qwBondRepoFromTo($A$1,AA38,_xll.qwBondSettle($A$4,AA38),_xll.qwBondSettle($A$1,AA38))*_xll.qwSecVal($A$1,AA38,"Price")*(_xll.qwBondSettle($A$1,AA38)-_xll.qwBondSettle($A$4,AA38))/360))+O38,0)</f>
        <v>0</v>
      </c>
      <c r="AC38" s="9" cm="1">
        <f t="array" ref="AC38">O38+T38+IF(ISNUMBER(_xll.qwIncome($A$1,F38,_xll.qwSettle($A$4,F38),_xll.qwSettle($A$1,F38))*_xll.qwMVFactor($A$1,F38)*_xll.qwFXRate($A$1,F38)*I38),_xll.qwIncome($A$1,F38,_xll.qwSettle($A$4,F38),_xll.qwSettle($A$1,F38))*_xll.qwMVFactor($A$1,F38)*_xll.qwFXRate($A$1,F38)*I38,0)+IF(ISNUMBER(-(_xll.qwBondRepoFromTo($A$1,F38,_xll.qwSettle($A$4,F38),_xll.qwSettle($A$1,F38))*_xll.qwSecVal($A$1,F38,"Price")*(_xll.qwSettle($A$1,F38)-_xll.qwSettle($A$4,F38))/360)*_xll.qwMVFactor($A$1,F38)*_xll.qwFXRate($A$1,F38)*I38),-(_xll.qwBondRepoFromTo($A$1,F38,_xll.qwSettle($A$4,F38),_xll.qwSettle($A$1,F38))*_xll.qwSecVal($A$1,F38,"Price")*(_xll.qwSettle($A$1,F38)-_xll.qwSettle($A$4,F38))/360)*_xll.qwMVFactor($A$1,F38)*_xll.qwFXRate($A$1,F38)*I38,0)</f>
        <v>78898.950403987852</v>
      </c>
      <c r="AD38" s="6"/>
    </row>
    <row r="39" spans="2:30" s="7" customFormat="1" x14ac:dyDescent="0.35">
      <c r="B39" s="7" t="str">
        <v>jcleary</v>
      </c>
      <c r="C39" s="7" t="str">
        <v>MAMS</v>
      </c>
      <c r="D39" s="7" t="str">
        <v>jcleary|MAMS|RV_US_FV_Spread|238083003</v>
      </c>
      <c r="E39" s="7" t="str">
        <v>RV_US_FV_Spread</v>
      </c>
      <c r="F39" s="7" t="str">
        <v>238083003</v>
      </c>
      <c r="G39" s="7">
        <v>194.2</v>
      </c>
      <c r="H39" s="7">
        <v>0</v>
      </c>
      <c r="I39" s="7">
        <v>194.2</v>
      </c>
      <c r="J39" s="7">
        <v>0</v>
      </c>
      <c r="K39" s="7">
        <v>0</v>
      </c>
      <c r="L39" s="7">
        <v>0</v>
      </c>
      <c r="M39" s="7">
        <v>0</v>
      </c>
      <c r="N39" s="7" t="str">
        <v>SwapTrade</v>
      </c>
      <c r="O39" s="6" cm="1">
        <f t="array" ref="O39">(_xll.qwPrice($A$1,F39)-_xll.qwPrice($A$4,F39))*_xll.qwMVFactor($A$1,F39)*I39*_xll.qwFXRate($A$1,F39)</f>
        <v>-41092.89910966764</v>
      </c>
      <c r="P39" s="6" cm="1">
        <f t="array" ref="P39">IF(ISNUMBER(_xll.qwDV01($A$1,F39)*I39*_xll.qwMVFactor($A$1,F39)*_xll.qwFXRate($A$1,F39)),_xll.qwDV01($A$1,F39)*I39*_xll.qwMVFactor($A$1,F39)*_xll.qwFXRate($A$1,F39),0)</f>
        <v>-61305.786271733123</v>
      </c>
      <c r="Q39" s="6" cm="1">
        <f t="array" ref="Q39">IF(ISNUMBER(_xll.qwDV01($A$1,F39)*G39*_xll.qwMVFactor($A$1,F39)*_xll.qwFXRate($A$1,F39)),_xll.qwDV01($A$1,F39)*G39*_xll.qwMVFactor($A$1,F39)*_xll.qwFXRate($A$1,F39),0)</f>
        <v>-61305.786271733123</v>
      </c>
      <c r="R39" s="6" cm="1">
        <f t="array" ref="R39">IF(ISNUMBER(_xll.qwDV01($A$1,F39)*J39*_xll.qwMVFactor($A$1,F39)*_xll.qwFXRate($A$1,F39)),_xll.qwDV01($A$1,F39)*J39*_xll.qwMVFactor($A$1,F39)*_xll.qwFXRate($A$1,F39),0)</f>
        <v>0</v>
      </c>
      <c r="S39" s="6" cm="1">
        <f t="array" ref="S39">IF(ISNUMBER(_xll.qwDV01($A$1,F39)*J39*_xll.qwMVFactor($A$1,F39)*_xll.qwFXRate($A$1,F39)),_xll.qwDV01($A$1,F39)*J39*_xll.qwMVFactor($A$1,F39)*_xll.qwFXRate($A$1,F39),0)</f>
        <v>0</v>
      </c>
      <c r="T39" s="6" cm="1">
        <f t="array" ref="T39">_xll.qwFXRate($A$1,F39)*J39*(_xll.qwPrice($A$1,F39)-M39)*_xll.qwMVFactor($A$1,F39)+L39</f>
        <v>0</v>
      </c>
      <c r="U39" s="8" cm="1">
        <f t="array" ref="U39">_xll.qwYield($A$1,F39)</f>
        <v>4.6972394187335183E-2</v>
      </c>
      <c r="V39" s="8" cm="1">
        <f t="array" ref="V39">100*(_xll.qwYield($A$4,F39)-U39)</f>
        <v>6.1765550682033044E-3</v>
      </c>
      <c r="W39" s="6">
        <f>IF(ISNA(G39*INDEX(_xll.qwTblData(_xll.qwCurveScenariosPerSecurity($A$1,F39,"Crv210")),2,2)),0,(G39*INDEX(_xll.qwTblData(_xll.qwCurveScenariosPerSecurity($A$1,F39,"Crv210")),2,2)))</f>
        <v>-18767.205406635618</v>
      </c>
      <c r="X39" s="6" cm="1">
        <f t="array" ref="X39">ABS(Q39/_xll.qwMV01($A$1,"CT10"))</f>
        <v>82.529300135867544</v>
      </c>
      <c r="Y39" s="6" cm="1">
        <f t="array" ref="Y39">IF(N39="BondFuture",-(_xll.qwCurveYield($A$1,_xll.qwSecVal($A$1,AA39,"CreditCurveName()"),AA39)-_xll.qwCurveYield($A$4,_xll.qwSecVal($A$4,AA39,"CreditCurveName()"),AA39))*P39*10000,IF(N39="Bond",-(_xll.qwCurveYield($A$1,_xll.qwSecVal($A$1,F39,"CreditCurveName()"),F39)-_xll.qwCurveYield($A$4,_xll.qwSecVal($A$4,F39,"CreditCurveName()"),F39))*P39*10000,O39))</f>
        <v>-41092.89910966764</v>
      </c>
      <c r="Z39" s="6" cm="1">
        <f t="array" ref="Z39">IF(OR(N39="BondFuture",N39="Bond"),P39*(_xll.qwCurveZSpread($A$4,_xll.qwSecVal($A$1,AA39,"CreditCurveName()"),AA39)-_xll.qwCurveZSpread($A$1,_xll.qwSecVal($A$1,AA39,"CreditCurveName()"),AA39)),0)</f>
        <v>0</v>
      </c>
      <c r="AA39" s="9" cm="1">
        <f t="array" ref="AA39">IF(_xll.qwSecType(F39)="Bond",F39,IF(_xll.qwSecType(F39)="BondFuture",_xll.qwFutCTD($A$1,F39),0))</f>
        <v>0</v>
      </c>
      <c r="AB39" s="6" cm="1">
        <f t="array" ref="AB39">IF(_xll.qwSecType(F39)="BondFuture",-(I39*_xll.qwDelta($A$4,F39)*_xll.qwMVFactor($A$1,F39)/_xll.qwMVFactor($A$1,_xll.qwFutCTD($A$1,F39)))*(_xll.qwFXRate($A$1,F39)*_xll.qwMVFactor($A$1,_xll.qwFutCTD($A$1,F39))*(_xll.qwIncome($A$4,_xll.qwFutCTD($A$4,F39),_xll.qwBondSettle($A$4,_xll.qwFutCTD($A$4,F39)),_xll.qwBondSettle($A$1,_xll.qwFutCTD($A$1,F39)))+(_xll.qwSecVal($A$1,AA39,"Price")-_xll.qwSecVal($A$4,AA39,"Price"))-_xll.qwBondRepoFromTo($A$1,AA39,_xll.qwBondSettle($A$4,AA39),_xll.qwBondSettle($A$1,AA39))*_xll.qwSecVal($A$1,AA39,"Price")*(_xll.qwBondSettle($A$1,AA39)-_xll.qwBondSettle($A$4,AA39))/360))+O39,0)</f>
        <v>0</v>
      </c>
      <c r="AC39" s="9" cm="1">
        <f t="array" ref="AC39">O39+T39+IF(ISNUMBER(_xll.qwIncome($A$1,F39,_xll.qwSettle($A$4,F39),_xll.qwSettle($A$1,F39))*_xll.qwMVFactor($A$1,F39)*_xll.qwFXRate($A$1,F39)*I39),_xll.qwIncome($A$1,F39,_xll.qwSettle($A$4,F39),_xll.qwSettle($A$1,F39))*_xll.qwMVFactor($A$1,F39)*_xll.qwFXRate($A$1,F39)*I39,0)+IF(ISNUMBER(-(_xll.qwBondRepoFromTo($A$1,F39,_xll.qwSettle($A$4,F39),_xll.qwSettle($A$1,F39))*_xll.qwSecVal($A$1,F39,"Price")*(_xll.qwSettle($A$1,F39)-_xll.qwSettle($A$4,F39))/360)*_xll.qwMVFactor($A$1,F39)*_xll.qwFXRate($A$1,F39)*I39),-(_xll.qwBondRepoFromTo($A$1,F39,_xll.qwSettle($A$4,F39),_xll.qwSettle($A$1,F39))*_xll.qwSecVal($A$1,F39,"Price")*(_xll.qwSettle($A$1,F39)-_xll.qwSettle($A$4,F39))/360)*_xll.qwMVFactor($A$1,F39)*_xll.qwFXRate($A$1,F39)*I39,0)</f>
        <v>-41092.89910966764</v>
      </c>
      <c r="AD39" s="6"/>
    </row>
    <row r="40" spans="2:30" s="7" customFormat="1" x14ac:dyDescent="0.35">
      <c r="B40" s="7" t="str">
        <v>jcleary</v>
      </c>
      <c r="C40" s="7" t="str">
        <v>MAMS</v>
      </c>
      <c r="D40" s="7" t="str">
        <v>jcleary|MAMS|RV_US_FV_Spread|238084531</v>
      </c>
      <c r="E40" s="7" t="str">
        <v>RV_US_FV_Spread</v>
      </c>
      <c r="F40" s="7" t="str">
        <v>238084531</v>
      </c>
      <c r="G40" s="7">
        <v>301.10000000000002</v>
      </c>
      <c r="H40" s="7">
        <v>0</v>
      </c>
      <c r="I40" s="7">
        <v>301.10000000000002</v>
      </c>
      <c r="J40" s="7">
        <v>0</v>
      </c>
      <c r="K40" s="7">
        <v>0</v>
      </c>
      <c r="L40" s="7">
        <v>0</v>
      </c>
      <c r="M40" s="7">
        <v>0</v>
      </c>
      <c r="N40" s="7" t="str">
        <v>SwapTrade</v>
      </c>
      <c r="O40" s="6" cm="1">
        <f t="array" ref="O40">(_xll.qwPrice($A$1,F40)-_xll.qwPrice($A$4,F40))*_xll.qwMVFactor($A$1,F40)*I40*_xll.qwFXRate($A$1,F40)</f>
        <v>78895.871620244987</v>
      </c>
      <c r="P40" s="6" cm="1">
        <f t="array" ref="P40">IF(ISNUMBER(_xll.qwDV01($A$1,F40)*I40*_xll.qwMVFactor($A$1,F40)*_xll.qwFXRate($A$1,F40)),_xll.qwDV01($A$1,F40)*I40*_xll.qwMVFactor($A$1,F40)*_xll.qwFXRate($A$1,F40),0)</f>
        <v>102986.69401353651</v>
      </c>
      <c r="Q40" s="6" cm="1">
        <f t="array" ref="Q40">IF(ISNUMBER(_xll.qwDV01($A$1,F40)*G40*_xll.qwMVFactor($A$1,F40)*_xll.qwFXRate($A$1,F40)),_xll.qwDV01($A$1,F40)*G40*_xll.qwMVFactor($A$1,F40)*_xll.qwFXRate($A$1,F40),0)</f>
        <v>102986.69401353651</v>
      </c>
      <c r="R40" s="6" cm="1">
        <f t="array" ref="R40">IF(ISNUMBER(_xll.qwDV01($A$1,F40)*J40*_xll.qwMVFactor($A$1,F40)*_xll.qwFXRate($A$1,F40)),_xll.qwDV01($A$1,F40)*J40*_xll.qwMVFactor($A$1,F40)*_xll.qwFXRate($A$1,F40),0)</f>
        <v>0</v>
      </c>
      <c r="S40" s="6" cm="1">
        <f t="array" ref="S40">IF(ISNUMBER(_xll.qwDV01($A$1,F40)*J40*_xll.qwMVFactor($A$1,F40)*_xll.qwFXRate($A$1,F40)),_xll.qwDV01($A$1,F40)*J40*_xll.qwMVFactor($A$1,F40)*_xll.qwFXRate($A$1,F40),0)</f>
        <v>0</v>
      </c>
      <c r="T40" s="6" cm="1">
        <f t="array" ref="T40">_xll.qwFXRate($A$1,F40)*J40*(_xll.qwPrice($A$1,F40)-M40)*_xll.qwMVFactor($A$1,F40)+L40</f>
        <v>0</v>
      </c>
      <c r="U40" s="8" cm="1">
        <f t="array" ref="U40">_xll.qwYield($A$1,F40)</f>
        <v>4.7041206694949447E-2</v>
      </c>
      <c r="V40" s="8" cm="1">
        <f t="array" ref="V40">100*(_xll.qwYield($A$4,F40)-U40)</f>
        <v>7.1634495770252216E-3</v>
      </c>
      <c r="W40" s="6">
        <f>IF(ISNA(G40*INDEX(_xll.qwTblData(_xll.qwCurveScenariosPerSecurity($A$1,F40,"Crv210")),2,2)),0,(G40*INDEX(_xll.qwTblData(_xll.qwCurveScenariosPerSecurity($A$1,F40,"Crv210")),2,2)))</f>
        <v>27020.275633266869</v>
      </c>
      <c r="X40" s="6" cm="1">
        <f t="array" ref="X40">ABS(Q40/_xll.qwMV01($A$1,"CT10"))</f>
        <v>138.63976464751457</v>
      </c>
      <c r="Y40" s="6" cm="1">
        <f t="array" ref="Y40">IF(N40="BondFuture",-(_xll.qwCurveYield($A$1,_xll.qwSecVal($A$1,AA40,"CreditCurveName()"),AA40)-_xll.qwCurveYield($A$4,_xll.qwSecVal($A$4,AA40,"CreditCurveName()"),AA40))*P40*10000,IF(N40="Bond",-(_xll.qwCurveYield($A$1,_xll.qwSecVal($A$1,F40,"CreditCurveName()"),F40)-_xll.qwCurveYield($A$4,_xll.qwSecVal($A$4,F40,"CreditCurveName()"),F40))*P40*10000,O40))</f>
        <v>78895.871620244987</v>
      </c>
      <c r="Z40" s="6" cm="1">
        <f t="array" ref="Z40">IF(OR(N40="BondFuture",N40="Bond"),P40*(_xll.qwCurveZSpread($A$4,_xll.qwSecVal($A$1,AA40,"CreditCurveName()"),AA40)-_xll.qwCurveZSpread($A$1,_xll.qwSecVal($A$1,AA40,"CreditCurveName()"),AA40)),0)</f>
        <v>0</v>
      </c>
      <c r="AA40" s="9" cm="1">
        <f t="array" ref="AA40">IF(_xll.qwSecType(F40)="Bond",F40,IF(_xll.qwSecType(F40)="BondFuture",_xll.qwFutCTD($A$1,F40),0))</f>
        <v>0</v>
      </c>
      <c r="AB40" s="6" cm="1">
        <f t="array" ref="AB40">IF(_xll.qwSecType(F40)="BondFuture",-(I40*_xll.qwDelta($A$4,F40)*_xll.qwMVFactor($A$1,F40)/_xll.qwMVFactor($A$1,_xll.qwFutCTD($A$1,F40)))*(_xll.qwFXRate($A$1,F40)*_xll.qwMVFactor($A$1,_xll.qwFutCTD($A$1,F40))*(_xll.qwIncome($A$4,_xll.qwFutCTD($A$4,F40),_xll.qwBondSettle($A$4,_xll.qwFutCTD($A$4,F40)),_xll.qwBondSettle($A$1,_xll.qwFutCTD($A$1,F40)))+(_xll.qwSecVal($A$1,AA40,"Price")-_xll.qwSecVal($A$4,AA40,"Price"))-_xll.qwBondRepoFromTo($A$1,AA40,_xll.qwBondSettle($A$4,AA40),_xll.qwBondSettle($A$1,AA40))*_xll.qwSecVal($A$1,AA40,"Price")*(_xll.qwBondSettle($A$1,AA40)-_xll.qwBondSettle($A$4,AA40))/360))+O40,0)</f>
        <v>0</v>
      </c>
      <c r="AC40" s="9" cm="1">
        <f t="array" ref="AC40">O40+T40+IF(ISNUMBER(_xll.qwIncome($A$1,F40,_xll.qwSettle($A$4,F40),_xll.qwSettle($A$1,F40))*_xll.qwMVFactor($A$1,F40)*_xll.qwFXRate($A$1,F40)*I40),_xll.qwIncome($A$1,F40,_xll.qwSettle($A$4,F40),_xll.qwSettle($A$1,F40))*_xll.qwMVFactor($A$1,F40)*_xll.qwFXRate($A$1,F40)*I40,0)+IF(ISNUMBER(-(_xll.qwBondRepoFromTo($A$1,F40,_xll.qwSettle($A$4,F40),_xll.qwSettle($A$1,F40))*_xll.qwSecVal($A$1,F40,"Price")*(_xll.qwSettle($A$1,F40)-_xll.qwSettle($A$4,F40))/360)*_xll.qwMVFactor($A$1,F40)*_xll.qwFXRate($A$1,F40)*I40),-(_xll.qwBondRepoFromTo($A$1,F40,_xll.qwSettle($A$4,F40),_xll.qwSettle($A$1,F40))*_xll.qwSecVal($A$1,F40,"Price")*(_xll.qwSettle($A$1,F40)-_xll.qwSettle($A$4,F40))/360)*_xll.qwMVFactor($A$1,F40)*_xll.qwFXRate($A$1,F40)*I40,0)</f>
        <v>78895.871620244987</v>
      </c>
      <c r="AD40" s="6"/>
    </row>
    <row r="41" spans="2:30" s="7" customFormat="1" x14ac:dyDescent="0.35">
      <c r="B41" s="7" t="str">
        <v>jcleary</v>
      </c>
      <c r="C41" s="7" t="str">
        <v>MAMS</v>
      </c>
      <c r="D41" s="7" t="str">
        <v>jcleary|MAMS|RV_US_FV_Spread|238286688</v>
      </c>
      <c r="E41" s="7" t="str">
        <v>RV_US_FV_Spread</v>
      </c>
      <c r="F41" s="7" t="str">
        <v>238286688</v>
      </c>
      <c r="G41" s="7">
        <v>1128.0999999999999</v>
      </c>
      <c r="H41" s="7">
        <v>0</v>
      </c>
      <c r="I41" s="7">
        <v>1128.0999999999999</v>
      </c>
      <c r="J41" s="7">
        <v>0</v>
      </c>
      <c r="K41" s="7">
        <v>0</v>
      </c>
      <c r="L41" s="7">
        <v>0</v>
      </c>
      <c r="M41" s="7">
        <v>0</v>
      </c>
      <c r="N41" s="7" t="str">
        <v>SwapTrade</v>
      </c>
      <c r="O41" s="6" cm="1">
        <f t="array" ref="O41">(_xll.qwPrice($A$1,F41)-_xll.qwPrice($A$4,F41))*_xll.qwMVFactor($A$1,F41)*I41*_xll.qwFXRate($A$1,F41)</f>
        <v>295246.67202506721</v>
      </c>
      <c r="P41" s="6" cm="1">
        <f t="array" ref="P41">IF(ISNUMBER(_xll.qwDV01($A$1,F41)*I41*_xll.qwMVFactor($A$1,F41)*_xll.qwFXRate($A$1,F41)),_xll.qwDV01($A$1,F41)*I41*_xll.qwMVFactor($A$1,F41)*_xll.qwFXRate($A$1,F41),0)</f>
        <v>385185.84044620523</v>
      </c>
      <c r="Q41" s="6" cm="1">
        <f t="array" ref="Q41">IF(ISNUMBER(_xll.qwDV01($A$1,F41)*G41*_xll.qwMVFactor($A$1,F41)*_xll.qwFXRate($A$1,F41)),_xll.qwDV01($A$1,F41)*G41*_xll.qwMVFactor($A$1,F41)*_xll.qwFXRate($A$1,F41),0)</f>
        <v>385185.84044620523</v>
      </c>
      <c r="R41" s="6" cm="1">
        <f t="array" ref="R41">IF(ISNUMBER(_xll.qwDV01($A$1,F41)*J41*_xll.qwMVFactor($A$1,F41)*_xll.qwFXRate($A$1,F41)),_xll.qwDV01($A$1,F41)*J41*_xll.qwMVFactor($A$1,F41)*_xll.qwFXRate($A$1,F41),0)</f>
        <v>0</v>
      </c>
      <c r="S41" s="6" cm="1">
        <f t="array" ref="S41">IF(ISNUMBER(_xll.qwDV01($A$1,F41)*J41*_xll.qwMVFactor($A$1,F41)*_xll.qwFXRate($A$1,F41)),_xll.qwDV01($A$1,F41)*J41*_xll.qwMVFactor($A$1,F41)*_xll.qwFXRate($A$1,F41),0)</f>
        <v>0</v>
      </c>
      <c r="T41" s="6" cm="1">
        <f t="array" ref="T41">_xll.qwFXRate($A$1,F41)*J41*(_xll.qwPrice($A$1,F41)-M41)*_xll.qwMVFactor($A$1,F41)+L41</f>
        <v>0</v>
      </c>
      <c r="U41" s="8" cm="1">
        <f t="array" ref="U41">_xll.qwYield($A$1,F41)</f>
        <v>4.7041206694949447E-2</v>
      </c>
      <c r="V41" s="8" cm="1">
        <f t="array" ref="V41">100*(_xll.qwYield($A$4,F41)-U41)</f>
        <v>7.1634495770252216E-3</v>
      </c>
      <c r="W41" s="6">
        <f>IF(ISNA(G41*INDEX(_xll.qwTblData(_xll.qwCurveScenariosPerSecurity($A$1,F41,"Crv210")),2,2)),0,(G41*INDEX(_xll.qwTblData(_xll.qwCurveScenariosPerSecurity($A$1,F41,"Crv210")),2,2)))</f>
        <v>100977.73859358266</v>
      </c>
      <c r="X41" s="6" cm="1">
        <f t="array" ref="X41">ABS(Q41/_xll.qwMV01($A$1,"CT10"))</f>
        <v>518.53372687153012</v>
      </c>
      <c r="Y41" s="6" cm="1">
        <f t="array" ref="Y41">IF(N41="BondFuture",-(_xll.qwCurveYield($A$1,_xll.qwSecVal($A$1,AA41,"CreditCurveName()"),AA41)-_xll.qwCurveYield($A$4,_xll.qwSecVal($A$4,AA41,"CreditCurveName()"),AA41))*P41*10000,IF(N41="Bond",-(_xll.qwCurveYield($A$1,_xll.qwSecVal($A$1,F41,"CreditCurveName()"),F41)-_xll.qwCurveYield($A$4,_xll.qwSecVal($A$4,F41,"CreditCurveName()"),F41))*P41*10000,O41))</f>
        <v>295246.67202506721</v>
      </c>
      <c r="Z41" s="6" cm="1">
        <f t="array" ref="Z41">IF(OR(N41="BondFuture",N41="Bond"),P41*(_xll.qwCurveZSpread($A$4,_xll.qwSecVal($A$1,AA41,"CreditCurveName()"),AA41)-_xll.qwCurveZSpread($A$1,_xll.qwSecVal($A$1,AA41,"CreditCurveName()"),AA41)),0)</f>
        <v>0</v>
      </c>
      <c r="AA41" s="9" cm="1">
        <f t="array" ref="AA41">IF(_xll.qwSecType(F41)="Bond",F41,IF(_xll.qwSecType(F41)="BondFuture",_xll.qwFutCTD($A$1,F41),0))</f>
        <v>0</v>
      </c>
      <c r="AB41" s="6" cm="1">
        <f t="array" ref="AB41">IF(_xll.qwSecType(F41)="BondFuture",-(I41*_xll.qwDelta($A$4,F41)*_xll.qwMVFactor($A$1,F41)/_xll.qwMVFactor($A$1,_xll.qwFutCTD($A$1,F41)))*(_xll.qwFXRate($A$1,F41)*_xll.qwMVFactor($A$1,_xll.qwFutCTD($A$1,F41))*(_xll.qwIncome($A$4,_xll.qwFutCTD($A$4,F41),_xll.qwBondSettle($A$4,_xll.qwFutCTD($A$4,F41)),_xll.qwBondSettle($A$1,_xll.qwFutCTD($A$1,F41)))+(_xll.qwSecVal($A$1,AA41,"Price")-_xll.qwSecVal($A$4,AA41,"Price"))-_xll.qwBondRepoFromTo($A$1,AA41,_xll.qwBondSettle($A$4,AA41),_xll.qwBondSettle($A$1,AA41))*_xll.qwSecVal($A$1,AA41,"Price")*(_xll.qwBondSettle($A$1,AA41)-_xll.qwBondSettle($A$4,AA41))/360))+O41,0)</f>
        <v>0</v>
      </c>
      <c r="AC41" s="9" cm="1">
        <f t="array" ref="AC41">O41+T41+IF(ISNUMBER(_xll.qwIncome($A$1,F41,_xll.qwSettle($A$4,F41),_xll.qwSettle($A$1,F41))*_xll.qwMVFactor($A$1,F41)*_xll.qwFXRate($A$1,F41)*I41),_xll.qwIncome($A$1,F41,_xll.qwSettle($A$4,F41),_xll.qwSettle($A$1,F41))*_xll.qwMVFactor($A$1,F41)*_xll.qwFXRate($A$1,F41)*I41,0)+IF(ISNUMBER(-(_xll.qwBondRepoFromTo($A$1,F41,_xll.qwSettle($A$4,F41),_xll.qwSettle($A$1,F41))*_xll.qwSecVal($A$1,F41,"Price")*(_xll.qwSettle($A$1,F41)-_xll.qwSettle($A$4,F41))/360)*_xll.qwMVFactor($A$1,F41)*_xll.qwFXRate($A$1,F41)*I41),-(_xll.qwBondRepoFromTo($A$1,F41,_xll.qwSettle($A$4,F41),_xll.qwSettle($A$1,F41))*_xll.qwSecVal($A$1,F41,"Price")*(_xll.qwSettle($A$1,F41)-_xll.qwSettle($A$4,F41))/360)*_xll.qwMVFactor($A$1,F41)*_xll.qwFXRate($A$1,F41)*I41,0)</f>
        <v>295246.67202506721</v>
      </c>
      <c r="AD41" s="6"/>
    </row>
    <row r="42" spans="2:30" s="7" customFormat="1" x14ac:dyDescent="0.35">
      <c r="B42" s="7" t="str">
        <v>jcleary</v>
      </c>
      <c r="C42" s="7" t="str">
        <v>MAMS</v>
      </c>
      <c r="D42" s="7" t="str">
        <v>jcleary|MAMS|RV_US_FV_Spread|238396159</v>
      </c>
      <c r="E42" s="7" t="str">
        <v>RV_US_FV_Spread</v>
      </c>
      <c r="F42" s="7" t="str">
        <v>238396159</v>
      </c>
      <c r="G42" s="7">
        <v>1208.3</v>
      </c>
      <c r="H42" s="7">
        <v>0</v>
      </c>
      <c r="I42" s="7">
        <v>1208.3</v>
      </c>
      <c r="J42" s="7">
        <v>0</v>
      </c>
      <c r="K42" s="7">
        <v>0</v>
      </c>
      <c r="L42" s="7">
        <v>0</v>
      </c>
      <c r="M42" s="7">
        <v>0</v>
      </c>
      <c r="N42" s="7" t="str">
        <v>SwapTrade</v>
      </c>
      <c r="O42" s="6" cm="1">
        <f t="array" ref="O42">(_xll.qwPrice($A$1,F42)-_xll.qwPrice($A$4,F42))*_xll.qwMVFactor($A$1,F42)*I42*_xll.qwFXRate($A$1,F42)</f>
        <v>316338.20869836136</v>
      </c>
      <c r="P42" s="6" cm="1">
        <f t="array" ref="P42">IF(ISNUMBER(_xll.qwDV01($A$1,F42)*I42*_xll.qwMVFactor($A$1,F42)*_xll.qwFXRate($A$1,F42)),_xll.qwDV01($A$1,F42)*I42*_xll.qwMVFactor($A$1,F42)*_xll.qwFXRate($A$1,F42),0)</f>
        <v>412765.65420517576</v>
      </c>
      <c r="Q42" s="6" cm="1">
        <f t="array" ref="Q42">IF(ISNUMBER(_xll.qwDV01($A$1,F42)*G42*_xll.qwMVFactor($A$1,F42)*_xll.qwFXRate($A$1,F42)),_xll.qwDV01($A$1,F42)*G42*_xll.qwMVFactor($A$1,F42)*_xll.qwFXRate($A$1,F42),0)</f>
        <v>412765.65420517576</v>
      </c>
      <c r="R42" s="6" cm="1">
        <f t="array" ref="R42">IF(ISNUMBER(_xll.qwDV01($A$1,F42)*J42*_xll.qwMVFactor($A$1,F42)*_xll.qwFXRate($A$1,F42)),_xll.qwDV01($A$1,F42)*J42*_xll.qwMVFactor($A$1,F42)*_xll.qwFXRate($A$1,F42),0)</f>
        <v>0</v>
      </c>
      <c r="S42" s="6" cm="1">
        <f t="array" ref="S42">IF(ISNUMBER(_xll.qwDV01($A$1,F42)*J42*_xll.qwMVFactor($A$1,F42)*_xll.qwFXRate($A$1,F42)),_xll.qwDV01($A$1,F42)*J42*_xll.qwMVFactor($A$1,F42)*_xll.qwFXRate($A$1,F42),0)</f>
        <v>0</v>
      </c>
      <c r="T42" s="6" cm="1">
        <f t="array" ref="T42">_xll.qwFXRate($A$1,F42)*J42*(_xll.qwPrice($A$1,F42)-M42)*_xll.qwMVFactor($A$1,F42)+L42</f>
        <v>0</v>
      </c>
      <c r="U42" s="8" cm="1">
        <f t="array" ref="U42">_xll.qwYield($A$1,F42)</f>
        <v>4.7041206694949447E-2</v>
      </c>
      <c r="V42" s="8" cm="1">
        <f t="array" ref="V42">100*(_xll.qwYield($A$4,F42)-U42)</f>
        <v>7.1634495770252216E-3</v>
      </c>
      <c r="W42" s="6">
        <f>IF(ISNA(G42*INDEX(_xll.qwTblData(_xll.qwCurveScenariosPerSecurity($A$1,F42,"Crv210")),2,2)),0,(G42*INDEX(_xll.qwTblData(_xll.qwCurveScenariosPerSecurity($A$1,F42,"Crv210")),2,2)))</f>
        <v>108232.16227921454</v>
      </c>
      <c r="X42" s="6" cm="1">
        <f t="array" ref="X42">ABS(Q42/_xll.qwMV01($A$1,"CT10"))</f>
        <v>555.66142501924787</v>
      </c>
      <c r="Y42" s="6" cm="1">
        <f t="array" ref="Y42">IF(N42="BondFuture",-(_xll.qwCurveYield($A$1,_xll.qwSecVal($A$1,AA42,"CreditCurveName()"),AA42)-_xll.qwCurveYield($A$4,_xll.qwSecVal($A$4,AA42,"CreditCurveName()"),AA42))*P42*10000,IF(N42="Bond",-(_xll.qwCurveYield($A$1,_xll.qwSecVal($A$1,F42,"CreditCurveName()"),F42)-_xll.qwCurveYield($A$4,_xll.qwSecVal($A$4,F42,"CreditCurveName()"),F42))*P42*10000,O42))</f>
        <v>316338.20869836136</v>
      </c>
      <c r="Z42" s="6" cm="1">
        <f t="array" ref="Z42">IF(OR(N42="BondFuture",N42="Bond"),P42*(_xll.qwCurveZSpread($A$4,_xll.qwSecVal($A$1,AA42,"CreditCurveName()"),AA42)-_xll.qwCurveZSpread($A$1,_xll.qwSecVal($A$1,AA42,"CreditCurveName()"),AA42)),0)</f>
        <v>0</v>
      </c>
      <c r="AA42" s="9" cm="1">
        <f t="array" ref="AA42">IF(_xll.qwSecType(F42)="Bond",F42,IF(_xll.qwSecType(F42)="BondFuture",_xll.qwFutCTD($A$1,F42),0))</f>
        <v>0</v>
      </c>
      <c r="AB42" s="6" cm="1">
        <f t="array" ref="AB42">IF(_xll.qwSecType(F42)="BondFuture",-(I42*_xll.qwDelta($A$4,F42)*_xll.qwMVFactor($A$1,F42)/_xll.qwMVFactor($A$1,_xll.qwFutCTD($A$1,F42)))*(_xll.qwFXRate($A$1,F42)*_xll.qwMVFactor($A$1,_xll.qwFutCTD($A$1,F42))*(_xll.qwIncome($A$4,_xll.qwFutCTD($A$4,F42),_xll.qwBondSettle($A$4,_xll.qwFutCTD($A$4,F42)),_xll.qwBondSettle($A$1,_xll.qwFutCTD($A$1,F42)))+(_xll.qwSecVal($A$1,AA42,"Price")-_xll.qwSecVal($A$4,AA42,"Price"))-_xll.qwBondRepoFromTo($A$1,AA42,_xll.qwBondSettle($A$4,AA42),_xll.qwBondSettle($A$1,AA42))*_xll.qwSecVal($A$1,AA42,"Price")*(_xll.qwBondSettle($A$1,AA42)-_xll.qwBondSettle($A$4,AA42))/360))+O42,0)</f>
        <v>0</v>
      </c>
      <c r="AC42" s="9" cm="1">
        <f t="array" ref="AC42">O42+T42+IF(ISNUMBER(_xll.qwIncome($A$1,F42,_xll.qwSettle($A$4,F42),_xll.qwSettle($A$1,F42))*_xll.qwMVFactor($A$1,F42)*_xll.qwFXRate($A$1,F42)*I42),_xll.qwIncome($A$1,F42,_xll.qwSettle($A$4,F42),_xll.qwSettle($A$1,F42))*_xll.qwMVFactor($A$1,F42)*_xll.qwFXRate($A$1,F42)*I42,0)+IF(ISNUMBER(-(_xll.qwBondRepoFromTo($A$1,F42,_xll.qwSettle($A$4,F42),_xll.qwSettle($A$1,F42))*_xll.qwSecVal($A$1,F42,"Price")*(_xll.qwSettle($A$1,F42)-_xll.qwSettle($A$4,F42))/360)*_xll.qwMVFactor($A$1,F42)*_xll.qwFXRate($A$1,F42)*I42),-(_xll.qwBondRepoFromTo($A$1,F42,_xll.qwSettle($A$4,F42),_xll.qwSettle($A$1,F42))*_xll.qwSecVal($A$1,F42,"Price")*(_xll.qwSettle($A$1,F42)-_xll.qwSettle($A$4,F42))/360)*_xll.qwMVFactor($A$1,F42)*_xll.qwFXRate($A$1,F42)*I42,0)</f>
        <v>316338.20869836136</v>
      </c>
      <c r="AD42" s="6"/>
    </row>
    <row r="43" spans="2:30" s="7" customFormat="1" x14ac:dyDescent="0.35">
      <c r="B43" s="7" t="str">
        <v>jcleary</v>
      </c>
      <c r="C43" s="7" t="str">
        <v>MAMS</v>
      </c>
      <c r="D43" s="7" t="str">
        <v>jcleary|MAMS|RV_US_FV_Spread|238569178</v>
      </c>
      <c r="E43" s="7" t="str">
        <v>RV_US_FV_Spread</v>
      </c>
      <c r="F43" s="7" t="str">
        <v>238569178</v>
      </c>
      <c r="G43" s="7">
        <v>174.8</v>
      </c>
      <c r="H43" s="7">
        <v>0</v>
      </c>
      <c r="I43" s="7">
        <v>174.8</v>
      </c>
      <c r="J43" s="7">
        <v>0</v>
      </c>
      <c r="K43" s="7">
        <v>0</v>
      </c>
      <c r="L43" s="7">
        <v>0</v>
      </c>
      <c r="M43" s="7">
        <v>0</v>
      </c>
      <c r="N43" s="7" t="str">
        <v>SwapTrade</v>
      </c>
      <c r="O43" s="6" cm="1">
        <f t="array" ref="O43">(_xll.qwPrice($A$1,F43)-_xll.qwPrice($A$4,F43))*_xll.qwMVFactor($A$1,F43)*I43*_xll.qwFXRate($A$1,F43)</f>
        <v>49808.620565022567</v>
      </c>
      <c r="P43" s="6" cm="1">
        <f t="array" ref="P43">IF(ISNUMBER(_xll.qwDV01($A$1,F43)*I43*_xll.qwMVFactor($A$1,F43)*_xll.qwFXRate($A$1,F43)),_xll.qwDV01($A$1,F43)*I43*_xll.qwMVFactor($A$1,F43)*_xll.qwFXRate($A$1,F43),0)</f>
        <v>61792.065568684455</v>
      </c>
      <c r="Q43" s="6" cm="1">
        <f t="array" ref="Q43">IF(ISNUMBER(_xll.qwDV01($A$1,F43)*G43*_xll.qwMVFactor($A$1,F43)*_xll.qwFXRate($A$1,F43)),_xll.qwDV01($A$1,F43)*G43*_xll.qwMVFactor($A$1,F43)*_xll.qwFXRate($A$1,F43),0)</f>
        <v>61792.065568684455</v>
      </c>
      <c r="R43" s="6" cm="1">
        <f t="array" ref="R43">IF(ISNUMBER(_xll.qwDV01($A$1,F43)*J43*_xll.qwMVFactor($A$1,F43)*_xll.qwFXRate($A$1,F43)),_xll.qwDV01($A$1,F43)*J43*_xll.qwMVFactor($A$1,F43)*_xll.qwFXRate($A$1,F43),0)</f>
        <v>0</v>
      </c>
      <c r="S43" s="6" cm="1">
        <f t="array" ref="S43">IF(ISNUMBER(_xll.qwDV01($A$1,F43)*J43*_xll.qwMVFactor($A$1,F43)*_xll.qwFXRate($A$1,F43)),_xll.qwDV01($A$1,F43)*J43*_xll.qwMVFactor($A$1,F43)*_xll.qwFXRate($A$1,F43),0)</f>
        <v>0</v>
      </c>
      <c r="T43" s="6" cm="1">
        <f t="array" ref="T43">_xll.qwFXRate($A$1,F43)*J43*(_xll.qwPrice($A$1,F43)-M43)*_xll.qwMVFactor($A$1,F43)+L43</f>
        <v>0</v>
      </c>
      <c r="U43" s="8" cm="1">
        <f t="array" ref="U43">_xll.qwYield($A$1,F43)</f>
        <v>4.7068378995592207E-2</v>
      </c>
      <c r="V43" s="8" cm="1">
        <f t="array" ref="V43">100*(_xll.qwYield($A$4,F43)-U43)</f>
        <v>7.4191169068905938E-3</v>
      </c>
      <c r="W43" s="6">
        <f>IF(ISNA(G43*INDEX(_xll.qwTblData(_xll.qwCurveScenariosPerSecurity($A$1,F43,"Crv210")),2,2)),0,(G43*INDEX(_xll.qwTblData(_xll.qwCurveScenariosPerSecurity($A$1,F43,"Crv210")),2,2)))</f>
        <v>14922.245529469446</v>
      </c>
      <c r="X43" s="6" cm="1">
        <f t="array" ref="X43">ABS(Q43/_xll.qwMV01($A$1,"CT10"))</f>
        <v>83.183924968017521</v>
      </c>
      <c r="Y43" s="6" cm="1">
        <f t="array" ref="Y43">IF(N43="BondFuture",-(_xll.qwCurveYield($A$1,_xll.qwSecVal($A$1,AA43,"CreditCurveName()"),AA43)-_xll.qwCurveYield($A$4,_xll.qwSecVal($A$4,AA43,"CreditCurveName()"),AA43))*P43*10000,IF(N43="Bond",-(_xll.qwCurveYield($A$1,_xll.qwSecVal($A$1,F43,"CreditCurveName()"),F43)-_xll.qwCurveYield($A$4,_xll.qwSecVal($A$4,F43,"CreditCurveName()"),F43))*P43*10000,O43))</f>
        <v>49808.620565022567</v>
      </c>
      <c r="Z43" s="6" cm="1">
        <f t="array" ref="Z43">IF(OR(N43="BondFuture",N43="Bond"),P43*(_xll.qwCurveZSpread($A$4,_xll.qwSecVal($A$1,AA43,"CreditCurveName()"),AA43)-_xll.qwCurveZSpread($A$1,_xll.qwSecVal($A$1,AA43,"CreditCurveName()"),AA43)),0)</f>
        <v>0</v>
      </c>
      <c r="AA43" s="9" cm="1">
        <f t="array" ref="AA43">IF(_xll.qwSecType(F43)="Bond",F43,IF(_xll.qwSecType(F43)="BondFuture",_xll.qwFutCTD($A$1,F43),0))</f>
        <v>0</v>
      </c>
      <c r="AB43" s="6" cm="1">
        <f t="array" ref="AB43">IF(_xll.qwSecType(F43)="BondFuture",-(I43*_xll.qwDelta($A$4,F43)*_xll.qwMVFactor($A$1,F43)/_xll.qwMVFactor($A$1,_xll.qwFutCTD($A$1,F43)))*(_xll.qwFXRate($A$1,F43)*_xll.qwMVFactor($A$1,_xll.qwFutCTD($A$1,F43))*(_xll.qwIncome($A$4,_xll.qwFutCTD($A$4,F43),_xll.qwBondSettle($A$4,_xll.qwFutCTD($A$4,F43)),_xll.qwBondSettle($A$1,_xll.qwFutCTD($A$1,F43)))+(_xll.qwSecVal($A$1,AA43,"Price")-_xll.qwSecVal($A$4,AA43,"Price"))-_xll.qwBondRepoFromTo($A$1,AA43,_xll.qwBondSettle($A$4,AA43),_xll.qwBondSettle($A$1,AA43))*_xll.qwSecVal($A$1,AA43,"Price")*(_xll.qwBondSettle($A$1,AA43)-_xll.qwBondSettle($A$4,AA43))/360))+O43,0)</f>
        <v>0</v>
      </c>
      <c r="AC43" s="9" cm="1">
        <f t="array" ref="AC43">O43+T43+IF(ISNUMBER(_xll.qwIncome($A$1,F43,_xll.qwSettle($A$4,F43),_xll.qwSettle($A$1,F43))*_xll.qwMVFactor($A$1,F43)*_xll.qwFXRate($A$1,F43)*I43),_xll.qwIncome($A$1,F43,_xll.qwSettle($A$4,F43),_xll.qwSettle($A$1,F43))*_xll.qwMVFactor($A$1,F43)*_xll.qwFXRate($A$1,F43)*I43,0)+IF(ISNUMBER(-(_xll.qwBondRepoFromTo($A$1,F43,_xll.qwSettle($A$4,F43),_xll.qwSettle($A$1,F43))*_xll.qwSecVal($A$1,F43,"Price")*(_xll.qwSettle($A$1,F43)-_xll.qwSettle($A$4,F43))/360)*_xll.qwMVFactor($A$1,F43)*_xll.qwFXRate($A$1,F43)*I43),-(_xll.qwBondRepoFromTo($A$1,F43,_xll.qwSettle($A$4,F43),_xll.qwSettle($A$1,F43))*_xll.qwSecVal($A$1,F43,"Price")*(_xll.qwSettle($A$1,F43)-_xll.qwSettle($A$4,F43))/360)*_xll.qwMVFactor($A$1,F43)*_xll.qwFXRate($A$1,F43)*I43,0)</f>
        <v>49808.620565022567</v>
      </c>
      <c r="AD43" s="6"/>
    </row>
    <row r="44" spans="2:30" s="7" customFormat="1" x14ac:dyDescent="0.35">
      <c r="B44" s="16" t="str">
        <v>jcleary</v>
      </c>
      <c r="C44" s="16" t="str">
        <v>MAMS</v>
      </c>
      <c r="D44" s="16" t="str">
        <v>jcleary|MAMS|RV_US_FV_Spread|239429835</v>
      </c>
      <c r="E44" s="16" t="str">
        <v>RV_US_FV_Spread</v>
      </c>
      <c r="F44" s="16" t="str">
        <v>239429835</v>
      </c>
      <c r="G44" s="16">
        <v>469.5</v>
      </c>
      <c r="H44" s="16">
        <v>0</v>
      </c>
      <c r="I44" s="16">
        <v>469.5</v>
      </c>
      <c r="J44" s="16">
        <v>0</v>
      </c>
      <c r="K44" s="16">
        <v>0</v>
      </c>
      <c r="L44" s="16">
        <v>0</v>
      </c>
      <c r="M44" s="16">
        <v>0</v>
      </c>
      <c r="N44" s="16" t="str">
        <v>SwapTrade</v>
      </c>
      <c r="O44" s="6" cm="1">
        <f t="array" ref="O44">(_xll.qwPrice($A$1,F44)-_xll.qwPrice($A$4,F44))*_xll.qwMVFactor($A$1,F44)*I44*_xll.qwFXRate($A$1,F44)</f>
        <v>123246.99489615553</v>
      </c>
      <c r="P44" s="6" cm="1">
        <f t="array" ref="P44">IF(ISNUMBER(_xll.qwDV01($A$1,F44)*I44*_xll.qwMVFactor($A$1,F44)*_xll.qwFXRate($A$1,F44)),_xll.qwDV01($A$1,F44)*I44*_xll.qwMVFactor($A$1,F44)*_xll.qwFXRate($A$1,F44),0)</f>
        <v>161021.10355761988</v>
      </c>
      <c r="Q44" s="6" cm="1">
        <f t="array" ref="Q44">IF(ISNUMBER(_xll.qwDV01($A$1,F44)*G44*_xll.qwMVFactor($A$1,F44)*_xll.qwFXRate($A$1,F44)),_xll.qwDV01($A$1,F44)*G44*_xll.qwMVFactor($A$1,F44)*_xll.qwFXRate($A$1,F44),0)</f>
        <v>161021.10355761988</v>
      </c>
      <c r="R44" s="6" cm="1">
        <f t="array" ref="R44">IF(ISNUMBER(_xll.qwDV01($A$1,F44)*J44*_xll.qwMVFactor($A$1,F44)*_xll.qwFXRate($A$1,F44)),_xll.qwDV01($A$1,F44)*J44*_xll.qwMVFactor($A$1,F44)*_xll.qwFXRate($A$1,F44),0)</f>
        <v>0</v>
      </c>
      <c r="S44" s="6" cm="1">
        <f t="array" ref="S44">IF(ISNUMBER(_xll.qwDV01($A$1,F44)*J44*_xll.qwMVFactor($A$1,F44)*_xll.qwFXRate($A$1,F44)),_xll.qwDV01($A$1,F44)*J44*_xll.qwMVFactor($A$1,F44)*_xll.qwFXRate($A$1,F44),0)</f>
        <v>0</v>
      </c>
      <c r="T44" s="6" cm="1">
        <f t="array" ref="T44">_xll.qwFXRate($A$1,F44)*J44*(_xll.qwPrice($A$1,F44)-M44)*_xll.qwMVFactor($A$1,F44)+L44</f>
        <v>0</v>
      </c>
      <c r="U44" s="8" cm="1">
        <f t="array" ref="U44">_xll.qwYield($A$1,F44)</f>
        <v>4.7041206694949447E-2</v>
      </c>
      <c r="V44" s="8" cm="1">
        <f t="array" ref="V44">100*(_xll.qwYield($A$4,F44)-U44)</f>
        <v>7.1634495770252216E-3</v>
      </c>
      <c r="W44" s="6">
        <f>IF(ISNA(G44*INDEX(_xll.qwTblData(_xll.qwCurveScenariosPerSecurity($A$1,F44,"Crv210")),2,2)),0,(G44*INDEX(_xll.qwTblData(_xll.qwCurveScenariosPerSecurity($A$1,F44,"Crv210")),2,2)))</f>
        <v>42300.536193402775</v>
      </c>
      <c r="X44" s="6" cm="1">
        <f t="array" ref="X44">ABS(Q44/_xll.qwMV01($A$1,"CT10"))</f>
        <v>216.76516674646575</v>
      </c>
      <c r="Y44" s="6" cm="1">
        <f t="array" ref="Y44">IF(N44="BondFuture",-(_xll.qwCurveYield($A$1,_xll.qwSecVal($A$1,AA44,"CreditCurveName()"),AA44)-_xll.qwCurveYield($A$4,_xll.qwSecVal($A$4,AA44,"CreditCurveName()"),AA44))*P44*10000,IF(N44="Bond",-(_xll.qwCurveYield($A$1,_xll.qwSecVal($A$1,F44,"CreditCurveName()"),F44)-_xll.qwCurveYield($A$4,_xll.qwSecVal($A$4,F44,"CreditCurveName()"),F44))*P44*10000,O44))</f>
        <v>123246.99489615553</v>
      </c>
      <c r="Z44" s="6" cm="1">
        <f t="array" ref="Z44">IF(OR(N44="BondFuture",N44="Bond"),P44*(_xll.qwCurveZSpread($A$4,_xll.qwSecVal($A$1,AA44,"CreditCurveName()"),AA44)-_xll.qwCurveZSpread($A$1,_xll.qwSecVal($A$1,AA44,"CreditCurveName()"),AA44)),0)</f>
        <v>0</v>
      </c>
      <c r="AA44" s="9" cm="1">
        <f t="array" ref="AA44">IF(_xll.qwSecType(F44)="Bond",F44,IF(_xll.qwSecType(F44)="BondFuture",_xll.qwFutCTD($A$1,F44),0))</f>
        <v>0</v>
      </c>
      <c r="AB44" s="6" cm="1">
        <f t="array" ref="AB44">IF(_xll.qwSecType(F44)="BondFuture",-(I44*_xll.qwDelta($A$4,F44)*_xll.qwMVFactor($A$1,F44)/_xll.qwMVFactor($A$1,_xll.qwFutCTD($A$1,F44)))*(_xll.qwFXRate($A$1,F44)*_xll.qwMVFactor($A$1,_xll.qwFutCTD($A$1,F44))*(_xll.qwIncome($A$4,_xll.qwFutCTD($A$4,F44),_xll.qwBondSettle($A$4,_xll.qwFutCTD($A$4,F44)),_xll.qwBondSettle($A$1,_xll.qwFutCTD($A$1,F44)))+(_xll.qwSecVal($A$1,AA44,"Price")-_xll.qwSecVal($A$4,AA44,"Price"))-_xll.qwBondRepoFromTo($A$1,AA44,_xll.qwBondSettle($A$4,AA44),_xll.qwBondSettle($A$1,AA44))*_xll.qwSecVal($A$1,AA44,"Price")*(_xll.qwBondSettle($A$1,AA44)-_xll.qwBondSettle($A$4,AA44))/360))+O44,0)</f>
        <v>0</v>
      </c>
      <c r="AC44" s="9" cm="1">
        <f t="array" ref="AC44">O44+T44+IF(ISNUMBER(_xll.qwIncome($A$1,F44,_xll.qwSettle($A$4,F44),_xll.qwSettle($A$1,F44))*_xll.qwMVFactor($A$1,F44)*_xll.qwFXRate($A$1,F44)*I44),_xll.qwIncome($A$1,F44,_xll.qwSettle($A$4,F44),_xll.qwSettle($A$1,F44))*_xll.qwMVFactor($A$1,F44)*_xll.qwFXRate($A$1,F44)*I44,0)+IF(ISNUMBER(-(_xll.qwBondRepoFromTo($A$1,F44,_xll.qwSettle($A$4,F44),_xll.qwSettle($A$1,F44))*_xll.qwSecVal($A$1,F44,"Price")*(_xll.qwSettle($A$1,F44)-_xll.qwSettle($A$4,F44))/360)*_xll.qwMVFactor($A$1,F44)*_xll.qwFXRate($A$1,F44)*I44),-(_xll.qwBondRepoFromTo($A$1,F44,_xll.qwSettle($A$4,F44),_xll.qwSettle($A$1,F44))*_xll.qwSecVal($A$1,F44,"Price")*(_xll.qwSettle($A$1,F44)-_xll.qwSettle($A$4,F44))/360)*_xll.qwMVFactor($A$1,F44)*_xll.qwFXRate($A$1,F44)*I44,0)</f>
        <v>123246.99489615553</v>
      </c>
      <c r="AD44" s="6"/>
    </row>
    <row r="45" spans="2:30" s="7" customFormat="1" x14ac:dyDescent="0.35">
      <c r="B45" s="7" t="str">
        <v>jcleary</v>
      </c>
      <c r="C45" s="7" t="str">
        <v>MAMS</v>
      </c>
      <c r="D45" s="7" t="str">
        <v>jcleary|MAMS|RV_US_FV_Spread|240582392</v>
      </c>
      <c r="E45" s="7" t="str">
        <v>RV_US_FV_Spread</v>
      </c>
      <c r="F45" s="7" t="str">
        <v>240582392</v>
      </c>
      <c r="G45" s="7">
        <v>171</v>
      </c>
      <c r="H45" s="7">
        <v>0</v>
      </c>
      <c r="I45" s="7">
        <v>171</v>
      </c>
      <c r="J45" s="7">
        <v>0</v>
      </c>
      <c r="K45" s="7">
        <v>0</v>
      </c>
      <c r="L45" s="7">
        <v>0</v>
      </c>
      <c r="M45" s="7">
        <v>0</v>
      </c>
      <c r="N45" s="7" t="str">
        <v>SwapTrade</v>
      </c>
      <c r="O45" s="6" cm="1">
        <f t="array" ref="O45">(_xll.qwPrice($A$1,F45)-_xll.qwPrice($A$4,F45))*_xll.qwMVFactor($A$1,F45)*I45*_xll.qwFXRate($A$1,F45)</f>
        <v>-30472.734742355467</v>
      </c>
      <c r="P45" s="6" cm="1">
        <f t="array" ref="P45">IF(ISNUMBER(_xll.qwDV01($A$1,F45)*I45*_xll.qwMVFactor($A$1,F45)*_xll.qwFXRate($A$1,F45)),_xll.qwDV01($A$1,F45)*I45*_xll.qwMVFactor($A$1,F45)*_xll.qwFXRate($A$1,F45),0)</f>
        <v>-50906.466618568084</v>
      </c>
      <c r="Q45" s="6" cm="1">
        <f t="array" ref="Q45">IF(ISNUMBER(_xll.qwDV01($A$1,F45)*G45*_xll.qwMVFactor($A$1,F45)*_xll.qwFXRate($A$1,F45)),_xll.qwDV01($A$1,F45)*G45*_xll.qwMVFactor($A$1,F45)*_xll.qwFXRate($A$1,F45),0)</f>
        <v>-50906.466618568084</v>
      </c>
      <c r="R45" s="6" cm="1">
        <f t="array" ref="R45">IF(ISNUMBER(_xll.qwDV01($A$1,F45)*J45*_xll.qwMVFactor($A$1,F45)*_xll.qwFXRate($A$1,F45)),_xll.qwDV01($A$1,F45)*J45*_xll.qwMVFactor($A$1,F45)*_xll.qwFXRate($A$1,F45),0)</f>
        <v>0</v>
      </c>
      <c r="S45" s="6" cm="1">
        <f t="array" ref="S45">IF(ISNUMBER(_xll.qwDV01($A$1,F45)*J45*_xll.qwMVFactor($A$1,F45)*_xll.qwFXRate($A$1,F45)),_xll.qwDV01($A$1,F45)*J45*_xll.qwMVFactor($A$1,F45)*_xll.qwFXRate($A$1,F45),0)</f>
        <v>0</v>
      </c>
      <c r="T45" s="6" cm="1">
        <f t="array" ref="T45">_xll.qwFXRate($A$1,F45)*J45*(_xll.qwPrice($A$1,F45)-M45)*_xll.qwMVFactor($A$1,F45)+L45</f>
        <v>0</v>
      </c>
      <c r="U45" s="8" cm="1">
        <f t="array" ref="U45">_xll.qwYield($A$1,F45)</f>
        <v>4.6968041620560771E-2</v>
      </c>
      <c r="V45" s="8" cm="1">
        <f t="array" ref="V45">100*(_xll.qwYield($A$4,F45)-U45)</f>
        <v>5.3575216065228359E-3</v>
      </c>
      <c r="W45" s="6">
        <f>IF(ISNA(G45*INDEX(_xll.qwTblData(_xll.qwCurveScenariosPerSecurity($A$1,F45,"Crv210")),2,2)),0,(G45*INDEX(_xll.qwTblData(_xll.qwCurveScenariosPerSecurity($A$1,F45,"Crv210")),2,2)))</f>
        <v>-17151.078633520305</v>
      </c>
      <c r="X45" s="6" cm="1">
        <f t="array" ref="X45">ABS(Q45/_xll.qwMV01($A$1,"CT10"))</f>
        <v>68.529829204024935</v>
      </c>
      <c r="Y45" s="6" cm="1">
        <f t="array" ref="Y45">IF(N45="BondFuture",-(_xll.qwCurveYield($A$1,_xll.qwSecVal($A$1,AA45,"CreditCurveName()"),AA45)-_xll.qwCurveYield($A$4,_xll.qwSecVal($A$4,AA45,"CreditCurveName()"),AA45))*P45*10000,IF(N45="Bond",-(_xll.qwCurveYield($A$1,_xll.qwSecVal($A$1,F45,"CreditCurveName()"),F45)-_xll.qwCurveYield($A$4,_xll.qwSecVal($A$4,F45,"CreditCurveName()"),F45))*P45*10000,O45))</f>
        <v>-30472.734742355467</v>
      </c>
      <c r="Z45" s="6" cm="1">
        <f t="array" ref="Z45">IF(OR(N45="BondFuture",N45="Bond"),P45*(_xll.qwCurveZSpread($A$4,_xll.qwSecVal($A$1,AA45,"CreditCurveName()"),AA45)-_xll.qwCurveZSpread($A$1,_xll.qwSecVal($A$1,AA45,"CreditCurveName()"),AA45)),0)</f>
        <v>0</v>
      </c>
      <c r="AA45" s="9" cm="1">
        <f t="array" ref="AA45">IF(_xll.qwSecType(F45)="Bond",F45,IF(_xll.qwSecType(F45)="BondFuture",_xll.qwFutCTD($A$1,F45),0))</f>
        <v>0</v>
      </c>
      <c r="AB45" s="6" cm="1">
        <f t="array" ref="AB45">IF(_xll.qwSecType(F45)="BondFuture",-(I45*_xll.qwDelta($A$4,F45)*_xll.qwMVFactor($A$1,F45)/_xll.qwMVFactor($A$1,_xll.qwFutCTD($A$1,F45)))*(_xll.qwFXRate($A$1,F45)*_xll.qwMVFactor($A$1,_xll.qwFutCTD($A$1,F45))*(_xll.qwIncome($A$4,_xll.qwFutCTD($A$4,F45),_xll.qwBondSettle($A$4,_xll.qwFutCTD($A$4,F45)),_xll.qwBondSettle($A$1,_xll.qwFutCTD($A$1,F45)))+(_xll.qwSecVal($A$1,AA45,"Price")-_xll.qwSecVal($A$4,AA45,"Price"))-_xll.qwBondRepoFromTo($A$1,AA45,_xll.qwBondSettle($A$4,AA45),_xll.qwBondSettle($A$1,AA45))*_xll.qwSecVal($A$1,AA45,"Price")*(_xll.qwBondSettle($A$1,AA45)-_xll.qwBondSettle($A$4,AA45))/360))+O45,0)</f>
        <v>0</v>
      </c>
      <c r="AC45" s="9" cm="1">
        <f t="array" ref="AC45">O45+T45+IF(ISNUMBER(_xll.qwIncome($A$1,F45,_xll.qwSettle($A$4,F45),_xll.qwSettle($A$1,F45))*_xll.qwMVFactor($A$1,F45)*_xll.qwFXRate($A$1,F45)*I45),_xll.qwIncome($A$1,F45,_xll.qwSettle($A$4,F45),_xll.qwSettle($A$1,F45))*_xll.qwMVFactor($A$1,F45)*_xll.qwFXRate($A$1,F45)*I45,0)+IF(ISNUMBER(-(_xll.qwBondRepoFromTo($A$1,F45,_xll.qwSettle($A$4,F45),_xll.qwSettle($A$1,F45))*_xll.qwSecVal($A$1,F45,"Price")*(_xll.qwSettle($A$1,F45)-_xll.qwSettle($A$4,F45))/360)*_xll.qwMVFactor($A$1,F45)*_xll.qwFXRate($A$1,F45)*I45),-(_xll.qwBondRepoFromTo($A$1,F45,_xll.qwSettle($A$4,F45),_xll.qwSettle($A$1,F45))*_xll.qwSecVal($A$1,F45,"Price")*(_xll.qwSettle($A$1,F45)-_xll.qwSettle($A$4,F45))/360)*_xll.qwMVFactor($A$1,F45)*_xll.qwFXRate($A$1,F45)*I45,0)</f>
        <v>-30472.734742355467</v>
      </c>
      <c r="AD45" s="6"/>
    </row>
    <row r="46" spans="2:30" s="7" customFormat="1" x14ac:dyDescent="0.35">
      <c r="B46" s="7" t="str">
        <v>jcleary</v>
      </c>
      <c r="C46" s="7" t="str">
        <v>MAMS</v>
      </c>
      <c r="D46" s="7" t="str">
        <v>jcleary|MAMS|RV_US_FV_Spread|241758424</v>
      </c>
      <c r="E46" s="7" t="str">
        <v>RV_US_FV_Spread</v>
      </c>
      <c r="F46" s="7" t="str">
        <v>241758424</v>
      </c>
      <c r="G46" s="7">
        <v>247</v>
      </c>
      <c r="H46" s="7">
        <v>0</v>
      </c>
      <c r="I46" s="7">
        <v>247</v>
      </c>
      <c r="J46" s="7">
        <v>0</v>
      </c>
      <c r="K46" s="7">
        <v>0</v>
      </c>
      <c r="L46" s="7">
        <v>0</v>
      </c>
      <c r="M46" s="7">
        <v>0</v>
      </c>
      <c r="N46" s="7" t="str">
        <v>SwapTrade</v>
      </c>
      <c r="O46" s="6" cm="1">
        <f t="array" ref="O46">(_xll.qwPrice($A$1,F46)-_xll.qwPrice($A$4,F46))*_xll.qwMVFactor($A$1,F46)*I46*_xll.qwFXRate($A$1,F46)</f>
        <v>-70811.553872378528</v>
      </c>
      <c r="P46" s="6" cm="1">
        <f t="array" ref="P46">IF(ISNUMBER(_xll.qwDV01($A$1,F46)*I46*_xll.qwMVFactor($A$1,F46)*_xll.qwFXRate($A$1,F46)),_xll.qwDV01($A$1,F46)*I46*_xll.qwMVFactor($A$1,F46)*_xll.qwFXRate($A$1,F46),0)</f>
        <v>-87945.49687235296</v>
      </c>
      <c r="Q46" s="6" cm="1">
        <f t="array" ref="Q46">IF(ISNUMBER(_xll.qwDV01($A$1,F46)*G46*_xll.qwMVFactor($A$1,F46)*_xll.qwFXRate($A$1,F46)),_xll.qwDV01($A$1,F46)*G46*_xll.qwMVFactor($A$1,F46)*_xll.qwFXRate($A$1,F46),0)</f>
        <v>-87945.49687235296</v>
      </c>
      <c r="R46" s="6" cm="1">
        <f t="array" ref="R46">IF(ISNUMBER(_xll.qwDV01($A$1,F46)*J46*_xll.qwMVFactor($A$1,F46)*_xll.qwFXRate($A$1,F46)),_xll.qwDV01($A$1,F46)*J46*_xll.qwMVFactor($A$1,F46)*_xll.qwFXRate($A$1,F46),0)</f>
        <v>0</v>
      </c>
      <c r="S46" s="6" cm="1">
        <f t="array" ref="S46">IF(ISNUMBER(_xll.qwDV01($A$1,F46)*J46*_xll.qwMVFactor($A$1,F46)*_xll.qwFXRate($A$1,F46)),_xll.qwDV01($A$1,F46)*J46*_xll.qwMVFactor($A$1,F46)*_xll.qwFXRate($A$1,F46),0)</f>
        <v>0</v>
      </c>
      <c r="T46" s="6" cm="1">
        <f t="array" ref="T46">_xll.qwFXRate($A$1,F46)*J46*(_xll.qwPrice($A$1,F46)-M46)*_xll.qwMVFactor($A$1,F46)+L46</f>
        <v>0</v>
      </c>
      <c r="U46" s="8" cm="1">
        <f t="array" ref="U46">_xll.qwYield($A$1,F46)</f>
        <v>4.7068378995592207E-2</v>
      </c>
      <c r="V46" s="8" cm="1">
        <f t="array" ref="V46">100*(_xll.qwYield($A$4,F46)-U46)</f>
        <v>7.4191169068905938E-3</v>
      </c>
      <c r="W46" s="6">
        <f>IF(ISNA(G46*INDEX(_xll.qwTblData(_xll.qwCurveScenariosPerSecurity($A$1,F46,"Crv210")),2,2)),0,(G46*INDEX(_xll.qwTblData(_xll.qwCurveScenariosPerSecurity($A$1,F46,"Crv210")),2,2)))</f>
        <v>-21317.95472670337</v>
      </c>
      <c r="X46" s="6" cm="1">
        <f t="array" ref="X46">ABS(Q46/_xll.qwMV01($A$1,"CT10"))</f>
        <v>118.39143983580183</v>
      </c>
      <c r="Y46" s="6" cm="1">
        <f t="array" ref="Y46">IF(N46="BondFuture",-(_xll.qwCurveYield($A$1,_xll.qwSecVal($A$1,AA46,"CreditCurveName()"),AA46)-_xll.qwCurveYield($A$4,_xll.qwSecVal($A$4,AA46,"CreditCurveName()"),AA46))*P46*10000,IF(N46="Bond",-(_xll.qwCurveYield($A$1,_xll.qwSecVal($A$1,F46,"CreditCurveName()"),F46)-_xll.qwCurveYield($A$4,_xll.qwSecVal($A$4,F46,"CreditCurveName()"),F46))*P46*10000,O46))</f>
        <v>-70811.553872378528</v>
      </c>
      <c r="Z46" s="6" cm="1">
        <f t="array" ref="Z46">IF(OR(N46="BondFuture",N46="Bond"),P46*(_xll.qwCurveZSpread($A$4,_xll.qwSecVal($A$1,AA46,"CreditCurveName()"),AA46)-_xll.qwCurveZSpread($A$1,_xll.qwSecVal($A$1,AA46,"CreditCurveName()"),AA46)),0)</f>
        <v>0</v>
      </c>
      <c r="AA46" s="9" cm="1">
        <f t="array" ref="AA46">IF(_xll.qwSecType(F46)="Bond",F46,IF(_xll.qwSecType(F46)="BondFuture",_xll.qwFutCTD($A$1,F46),0))</f>
        <v>0</v>
      </c>
      <c r="AB46" s="6" cm="1">
        <f t="array" ref="AB46">IF(_xll.qwSecType(F46)="BondFuture",-(I46*_xll.qwDelta($A$4,F46)*_xll.qwMVFactor($A$1,F46)/_xll.qwMVFactor($A$1,_xll.qwFutCTD($A$1,F46)))*(_xll.qwFXRate($A$1,F46)*_xll.qwMVFactor($A$1,_xll.qwFutCTD($A$1,F46))*(_xll.qwIncome($A$4,_xll.qwFutCTD($A$4,F46),_xll.qwBondSettle($A$4,_xll.qwFutCTD($A$4,F46)),_xll.qwBondSettle($A$1,_xll.qwFutCTD($A$1,F46)))+(_xll.qwSecVal($A$1,AA46,"Price")-_xll.qwSecVal($A$4,AA46,"Price"))-_xll.qwBondRepoFromTo($A$1,AA46,_xll.qwBondSettle($A$4,AA46),_xll.qwBondSettle($A$1,AA46))*_xll.qwSecVal($A$1,AA46,"Price")*(_xll.qwBondSettle($A$1,AA46)-_xll.qwBondSettle($A$4,AA46))/360))+O46,0)</f>
        <v>0</v>
      </c>
      <c r="AC46" s="9" cm="1">
        <f t="array" ref="AC46">O46+T46+IF(ISNUMBER(_xll.qwIncome($A$1,F46,_xll.qwSettle($A$4,F46),_xll.qwSettle($A$1,F46))*_xll.qwMVFactor($A$1,F46)*_xll.qwFXRate($A$1,F46)*I46),_xll.qwIncome($A$1,F46,_xll.qwSettle($A$4,F46),_xll.qwSettle($A$1,F46))*_xll.qwMVFactor($A$1,F46)*_xll.qwFXRate($A$1,F46)*I46,0)+IF(ISNUMBER(-(_xll.qwBondRepoFromTo($A$1,F46,_xll.qwSettle($A$4,F46),_xll.qwSettle($A$1,F46))*_xll.qwSecVal($A$1,F46,"Price")*(_xll.qwSettle($A$1,F46)-_xll.qwSettle($A$4,F46))/360)*_xll.qwMVFactor($A$1,F46)*_xll.qwFXRate($A$1,F46)*I46),-(_xll.qwBondRepoFromTo($A$1,F46,_xll.qwSettle($A$4,F46),_xll.qwSettle($A$1,F46))*_xll.qwSecVal($A$1,F46,"Price")*(_xll.qwSettle($A$1,F46)-_xll.qwSettle($A$4,F46))/360)*_xll.qwMVFactor($A$1,F46)*_xll.qwFXRate($A$1,F46)*I46,0)</f>
        <v>-70811.553872378528</v>
      </c>
      <c r="AD46" s="6"/>
    </row>
    <row r="47" spans="2:30" s="7" customFormat="1" x14ac:dyDescent="0.35">
      <c r="B47" s="7" t="str">
        <v>jcleary</v>
      </c>
      <c r="C47" s="7" t="str">
        <v>MAMS</v>
      </c>
      <c r="D47" s="7" t="str">
        <v>jcleary|MAMS|RV_US_FV_Spread|242795017</v>
      </c>
      <c r="E47" s="7" t="str">
        <v>RV_US_FV_Spread</v>
      </c>
      <c r="F47" s="7" t="str">
        <v>242795017</v>
      </c>
      <c r="G47" s="7">
        <v>240.2</v>
      </c>
      <c r="H47" s="7">
        <v>0</v>
      </c>
      <c r="I47" s="7">
        <v>240.2</v>
      </c>
      <c r="J47" s="7">
        <v>0</v>
      </c>
      <c r="K47" s="7">
        <v>0</v>
      </c>
      <c r="L47" s="7">
        <v>0</v>
      </c>
      <c r="M47" s="7">
        <v>0</v>
      </c>
      <c r="N47" s="7" t="str">
        <v>SwapTrade</v>
      </c>
      <c r="O47" s="6" cm="1">
        <f t="array" ref="O47">(_xll.qwPrice($A$1,F47)-_xll.qwPrice($A$4,F47))*_xll.qwMVFactor($A$1,F47)*I47*_xll.qwFXRate($A$1,F47)</f>
        <v>63257.809572893217</v>
      </c>
      <c r="P47" s="6" cm="1">
        <f t="array" ref="P47">IF(ISNUMBER(_xll.qwDV01($A$1,F47)*I47*_xll.qwMVFactor($A$1,F47)*_xll.qwFXRate($A$1,F47)),_xll.qwDV01($A$1,F47)*I47*_xll.qwMVFactor($A$1,F47)*_xll.qwFXRate($A$1,F47),0)</f>
        <v>82772.290434431532</v>
      </c>
      <c r="Q47" s="6" cm="1">
        <f t="array" ref="Q47">IF(ISNUMBER(_xll.qwDV01($A$1,F47)*G47*_xll.qwMVFactor($A$1,F47)*_xll.qwFXRate($A$1,F47)),_xll.qwDV01($A$1,F47)*G47*_xll.qwMVFactor($A$1,F47)*_xll.qwFXRate($A$1,F47),0)</f>
        <v>82772.290434431532</v>
      </c>
      <c r="R47" s="6" cm="1">
        <f t="array" ref="R47">IF(ISNUMBER(_xll.qwDV01($A$1,F47)*J47*_xll.qwMVFactor($A$1,F47)*_xll.qwFXRate($A$1,F47)),_xll.qwDV01($A$1,F47)*J47*_xll.qwMVFactor($A$1,F47)*_xll.qwFXRate($A$1,F47),0)</f>
        <v>0</v>
      </c>
      <c r="S47" s="6" cm="1">
        <f t="array" ref="S47">IF(ISNUMBER(_xll.qwDV01($A$1,F47)*J47*_xll.qwMVFactor($A$1,F47)*_xll.qwFXRate($A$1,F47)),_xll.qwDV01($A$1,F47)*J47*_xll.qwMVFactor($A$1,F47)*_xll.qwFXRate($A$1,F47),0)</f>
        <v>0</v>
      </c>
      <c r="T47" s="6" cm="1">
        <f t="array" ref="T47">_xll.qwFXRate($A$1,F47)*J47*(_xll.qwPrice($A$1,F47)-M47)*_xll.qwMVFactor($A$1,F47)+L47</f>
        <v>0</v>
      </c>
      <c r="U47" s="8" cm="1">
        <f t="array" ref="U47">_xll.qwYield($A$1,F47)</f>
        <v>4.7041206694949447E-2</v>
      </c>
      <c r="V47" s="8" cm="1">
        <f t="array" ref="V47">100*(_xll.qwYield($A$4,F47)-U47)</f>
        <v>7.1634495770252216E-3</v>
      </c>
      <c r="W47" s="6">
        <f>IF(ISNA(G47*INDEX(_xll.qwTblData(_xll.qwCurveScenariosPerSecurity($A$1,F47,"Crv210")),2,2)),0,(G47*INDEX(_xll.qwTblData(_xll.qwCurveScenariosPerSecurity($A$1,F47,"Crv210")),2,2)))</f>
        <v>21792.919187678785</v>
      </c>
      <c r="X47" s="6" cm="1">
        <f t="array" ref="X47">ABS(Q47/_xll.qwMV01($A$1,"CT10"))</f>
        <v>111.42731568465506</v>
      </c>
      <c r="Y47" s="6" cm="1">
        <f t="array" ref="Y47">IF(N47="BondFuture",-(_xll.qwCurveYield($A$1,_xll.qwSecVal($A$1,AA47,"CreditCurveName()"),AA47)-_xll.qwCurveYield($A$4,_xll.qwSecVal($A$4,AA47,"CreditCurveName()"),AA47))*P47*10000,IF(N47="Bond",-(_xll.qwCurveYield($A$1,_xll.qwSecVal($A$1,F47,"CreditCurveName()"),F47)-_xll.qwCurveYield($A$4,_xll.qwSecVal($A$4,F47,"CreditCurveName()"),F47))*P47*10000,O47))</f>
        <v>63257.809572893217</v>
      </c>
      <c r="Z47" s="6" cm="1">
        <f t="array" ref="Z47">IF(OR(N47="BondFuture",N47="Bond"),P47*(_xll.qwCurveZSpread($A$4,_xll.qwSecVal($A$1,AA47,"CreditCurveName()"),AA47)-_xll.qwCurveZSpread($A$1,_xll.qwSecVal($A$1,AA47,"CreditCurveName()"),AA47)),0)</f>
        <v>0</v>
      </c>
      <c r="AA47" s="9" cm="1">
        <f t="array" ref="AA47">IF(_xll.qwSecType(F47)="Bond",F47,IF(_xll.qwSecType(F47)="BondFuture",_xll.qwFutCTD($A$1,F47),0))</f>
        <v>0</v>
      </c>
      <c r="AB47" s="6" cm="1">
        <f t="array" ref="AB47">IF(_xll.qwSecType(F47)="BondFuture",-(I47*_xll.qwDelta($A$4,F47)*_xll.qwMVFactor($A$1,F47)/_xll.qwMVFactor($A$1,_xll.qwFutCTD($A$1,F47)))*(_xll.qwFXRate($A$1,F47)*_xll.qwMVFactor($A$1,_xll.qwFutCTD($A$1,F47))*(_xll.qwIncome($A$4,_xll.qwFutCTD($A$4,F47),_xll.qwBondSettle($A$4,_xll.qwFutCTD($A$4,F47)),_xll.qwBondSettle($A$1,_xll.qwFutCTD($A$1,F47)))+(_xll.qwSecVal($A$1,AA47,"Price")-_xll.qwSecVal($A$4,AA47,"Price"))-_xll.qwBondRepoFromTo($A$1,AA47,_xll.qwBondSettle($A$4,AA47),_xll.qwBondSettle($A$1,AA47))*_xll.qwSecVal($A$1,AA47,"Price")*(_xll.qwBondSettle($A$1,AA47)-_xll.qwBondSettle($A$4,AA47))/360))+O47,0)</f>
        <v>0</v>
      </c>
      <c r="AC47" s="9" cm="1">
        <f t="array" ref="AC47">O47+T47+IF(ISNUMBER(_xll.qwIncome($A$1,F47,_xll.qwSettle($A$4,F47),_xll.qwSettle($A$1,F47))*_xll.qwMVFactor($A$1,F47)*_xll.qwFXRate($A$1,F47)*I47),_xll.qwIncome($A$1,F47,_xll.qwSettle($A$4,F47),_xll.qwSettle($A$1,F47))*_xll.qwMVFactor($A$1,F47)*_xll.qwFXRate($A$1,F47)*I47,0)+IF(ISNUMBER(-(_xll.qwBondRepoFromTo($A$1,F47,_xll.qwSettle($A$4,F47),_xll.qwSettle($A$1,F47))*_xll.qwSecVal($A$1,F47,"Price")*(_xll.qwSettle($A$1,F47)-_xll.qwSettle($A$4,F47))/360)*_xll.qwMVFactor($A$1,F47)*_xll.qwFXRate($A$1,F47)*I47),-(_xll.qwBondRepoFromTo($A$1,F47,_xll.qwSettle($A$4,F47),_xll.qwSettle($A$1,F47))*_xll.qwSecVal($A$1,F47,"Price")*(_xll.qwSettle($A$1,F47)-_xll.qwSettle($A$4,F47))/360)*_xll.qwMVFactor($A$1,F47)*_xll.qwFXRate($A$1,F47)*I47,0)</f>
        <v>63257.809572893217</v>
      </c>
      <c r="AD47" s="6"/>
    </row>
    <row r="48" spans="2:30" s="7" customFormat="1" x14ac:dyDescent="0.35">
      <c r="B48" s="7" t="str">
        <v>jcleary</v>
      </c>
      <c r="C48" s="7" t="str">
        <v>MAMS</v>
      </c>
      <c r="D48" s="7" t="str">
        <v>jcleary|MAMS|RV_US_FV_Spread|244044869</v>
      </c>
      <c r="E48" s="7" t="str">
        <v>RV_US_FV_Spread</v>
      </c>
      <c r="F48" s="7" t="str">
        <v>244044869</v>
      </c>
      <c r="G48" s="7">
        <v>99.2</v>
      </c>
      <c r="H48" s="7">
        <v>0</v>
      </c>
      <c r="I48" s="7">
        <v>99.2</v>
      </c>
      <c r="J48" s="7">
        <v>0</v>
      </c>
      <c r="K48" s="7">
        <v>0</v>
      </c>
      <c r="L48" s="7">
        <v>0</v>
      </c>
      <c r="M48" s="7">
        <v>0</v>
      </c>
      <c r="N48" s="7" t="str">
        <v>SwapTrade</v>
      </c>
      <c r="O48" s="6" cm="1">
        <f t="array" ref="O48">(_xll.qwPrice($A$1,F48)-_xll.qwPrice($A$4,F48))*_xll.qwMVFactor($A$1,F48)*I48*_xll.qwFXRate($A$1,F48)</f>
        <v>-34931.748752285705</v>
      </c>
      <c r="P48" s="6" cm="1">
        <f t="array" ref="P48">IF(ISNUMBER(_xll.qwDV01($A$1,F48)*I48*_xll.qwMVFactor($A$1,F48)*_xll.qwFXRate($A$1,F48)),_xll.qwDV01($A$1,F48)*I48*_xll.qwMVFactor($A$1,F48)*_xll.qwFXRate($A$1,F48),0)</f>
        <v>-39490.756160787721</v>
      </c>
      <c r="Q48" s="6" cm="1">
        <f t="array" ref="Q48">IF(ISNUMBER(_xll.qwDV01($A$1,F48)*G48*_xll.qwMVFactor($A$1,F48)*_xll.qwFXRate($A$1,F48)),_xll.qwDV01($A$1,F48)*G48*_xll.qwMVFactor($A$1,F48)*_xll.qwFXRate($A$1,F48),0)</f>
        <v>-39490.756160787721</v>
      </c>
      <c r="R48" s="6" cm="1">
        <f t="array" ref="R48">IF(ISNUMBER(_xll.qwDV01($A$1,F48)*J48*_xll.qwMVFactor($A$1,F48)*_xll.qwFXRate($A$1,F48)),_xll.qwDV01($A$1,F48)*J48*_xll.qwMVFactor($A$1,F48)*_xll.qwFXRate($A$1,F48),0)</f>
        <v>0</v>
      </c>
      <c r="S48" s="6" cm="1">
        <f t="array" ref="S48">IF(ISNUMBER(_xll.qwDV01($A$1,F48)*J48*_xll.qwMVFactor($A$1,F48)*_xll.qwFXRate($A$1,F48)),_xll.qwDV01($A$1,F48)*J48*_xll.qwMVFactor($A$1,F48)*_xll.qwFXRate($A$1,F48),0)</f>
        <v>0</v>
      </c>
      <c r="T48" s="6" cm="1">
        <f t="array" ref="T48">_xll.qwFXRate($A$1,F48)*J48*(_xll.qwPrice($A$1,F48)-M48)*_xll.qwMVFactor($A$1,F48)+L48</f>
        <v>0</v>
      </c>
      <c r="U48" s="8" cm="1">
        <f t="array" ref="U48">_xll.qwYield($A$1,F48)</f>
        <v>4.7049027680660119E-2</v>
      </c>
      <c r="V48" s="8" cm="1">
        <f t="array" ref="V48">100*(_xll.qwYield($A$4,F48)-U48)</f>
        <v>8.434760878627684E-3</v>
      </c>
      <c r="W48" s="6">
        <f>IF(ISNA(G48*INDEX(_xll.qwTblData(_xll.qwCurveScenariosPerSecurity($A$1,F48,"Crv210")),2,2)),0,(G48*INDEX(_xll.qwTblData(_xll.qwCurveScenariosPerSecurity($A$1,F48,"Crv210")),2,2)))</f>
        <v>-7123.4164739304051</v>
      </c>
      <c r="X48" s="6" cm="1">
        <f t="array" ref="X48">ABS(Q48/_xll.qwMV01($A$1,"CT10"))</f>
        <v>53.162102078588575</v>
      </c>
      <c r="Y48" s="6" cm="1">
        <f t="array" ref="Y48">IF(N48="BondFuture",-(_xll.qwCurveYield($A$1,_xll.qwSecVal($A$1,AA48,"CreditCurveName()"),AA48)-_xll.qwCurveYield($A$4,_xll.qwSecVal($A$4,AA48,"CreditCurveName()"),AA48))*P48*10000,IF(N48="Bond",-(_xll.qwCurveYield($A$1,_xll.qwSecVal($A$1,F48,"CreditCurveName()"),F48)-_xll.qwCurveYield($A$4,_xll.qwSecVal($A$4,F48,"CreditCurveName()"),F48))*P48*10000,O48))</f>
        <v>-34931.748752285705</v>
      </c>
      <c r="Z48" s="6" cm="1">
        <f t="array" ref="Z48">IF(OR(N48="BondFuture",N48="Bond"),P48*(_xll.qwCurveZSpread($A$4,_xll.qwSecVal($A$1,AA48,"CreditCurveName()"),AA48)-_xll.qwCurveZSpread($A$1,_xll.qwSecVal($A$1,AA48,"CreditCurveName()"),AA48)),0)</f>
        <v>0</v>
      </c>
      <c r="AA48" s="9" cm="1">
        <f t="array" ref="AA48">IF(_xll.qwSecType(F48)="Bond",F48,IF(_xll.qwSecType(F48)="BondFuture",_xll.qwFutCTD($A$1,F48),0))</f>
        <v>0</v>
      </c>
      <c r="AB48" s="6" cm="1">
        <f t="array" ref="AB48">IF(_xll.qwSecType(F48)="BondFuture",-(I48*_xll.qwDelta($A$4,F48)*_xll.qwMVFactor($A$1,F48)/_xll.qwMVFactor($A$1,_xll.qwFutCTD($A$1,F48)))*(_xll.qwFXRate($A$1,F48)*_xll.qwMVFactor($A$1,_xll.qwFutCTD($A$1,F48))*(_xll.qwIncome($A$4,_xll.qwFutCTD($A$4,F48),_xll.qwBondSettle($A$4,_xll.qwFutCTD($A$4,F48)),_xll.qwBondSettle($A$1,_xll.qwFutCTD($A$1,F48)))+(_xll.qwSecVal($A$1,AA48,"Price")-_xll.qwSecVal($A$4,AA48,"Price"))-_xll.qwBondRepoFromTo($A$1,AA48,_xll.qwBondSettle($A$4,AA48),_xll.qwBondSettle($A$1,AA48))*_xll.qwSecVal($A$1,AA48,"Price")*(_xll.qwBondSettle($A$1,AA48)-_xll.qwBondSettle($A$4,AA48))/360))+O48,0)</f>
        <v>0</v>
      </c>
      <c r="AC48" s="9" cm="1">
        <f t="array" ref="AC48">O48+T48+IF(ISNUMBER(_xll.qwIncome($A$1,F48,_xll.qwSettle($A$4,F48),_xll.qwSettle($A$1,F48))*_xll.qwMVFactor($A$1,F48)*_xll.qwFXRate($A$1,F48)*I48),_xll.qwIncome($A$1,F48,_xll.qwSettle($A$4,F48),_xll.qwSettle($A$1,F48))*_xll.qwMVFactor($A$1,F48)*_xll.qwFXRate($A$1,F48)*I48,0)+IF(ISNUMBER(-(_xll.qwBondRepoFromTo($A$1,F48,_xll.qwSettle($A$4,F48),_xll.qwSettle($A$1,F48))*_xll.qwSecVal($A$1,F48,"Price")*(_xll.qwSettle($A$1,F48)-_xll.qwSettle($A$4,F48))/360)*_xll.qwMVFactor($A$1,F48)*_xll.qwFXRate($A$1,F48)*I48),-(_xll.qwBondRepoFromTo($A$1,F48,_xll.qwSettle($A$4,F48),_xll.qwSettle($A$1,F48))*_xll.qwSecVal($A$1,F48,"Price")*(_xll.qwSettle($A$1,F48)-_xll.qwSettle($A$4,F48))/360)*_xll.qwMVFactor($A$1,F48)*_xll.qwFXRate($A$1,F48)*I48,0)</f>
        <v>-34931.748752285705</v>
      </c>
      <c r="AD48" s="6"/>
    </row>
    <row r="49" spans="2:30" s="7" customFormat="1" x14ac:dyDescent="0.35">
      <c r="B49" s="7" t="str">
        <v>jcleary</v>
      </c>
      <c r="C49" s="7" t="str">
        <v>MAMS</v>
      </c>
      <c r="D49" s="7" t="str">
        <v>jcleary|MAMS|RV_US_FV_Spread|244604439</v>
      </c>
      <c r="E49" s="7" t="str">
        <v>RV_US_FV_Spread</v>
      </c>
      <c r="F49" s="7" t="str">
        <v>244604439</v>
      </c>
      <c r="G49" s="7">
        <v>1587.3</v>
      </c>
      <c r="H49" s="7">
        <v>0</v>
      </c>
      <c r="I49" s="7">
        <v>1587.3</v>
      </c>
      <c r="J49" s="7">
        <v>0</v>
      </c>
      <c r="K49" s="7">
        <v>0</v>
      </c>
      <c r="L49" s="7">
        <v>0</v>
      </c>
      <c r="M49" s="7">
        <v>0</v>
      </c>
      <c r="N49" s="7" t="str">
        <v>SwapTrade</v>
      </c>
      <c r="O49" s="6" cm="1">
        <f t="array" ref="O49">(_xll.qwPrice($A$1,F49)-_xll.qwPrice($A$4,F49))*_xll.qwMVFactor($A$1,F49)*I49*_xll.qwFXRate($A$1,F49)</f>
        <v>-419986.85589538293</v>
      </c>
      <c r="P49" s="6" cm="1">
        <f t="array" ref="P49">IF(ISNUMBER(_xll.qwDV01($A$1,F49)*I49*_xll.qwMVFactor($A$1,F49)*_xll.qwFXRate($A$1,F49)),_xll.qwDV01($A$1,F49)*I49*_xll.qwMVFactor($A$1,F49)*_xll.qwFXRate($A$1,F49),0)</f>
        <v>-550765.32230927108</v>
      </c>
      <c r="Q49" s="6" cm="1">
        <f t="array" ref="Q49">IF(ISNUMBER(_xll.qwDV01($A$1,F49)*G49*_xll.qwMVFactor($A$1,F49)*_xll.qwFXRate($A$1,F49)),_xll.qwDV01($A$1,F49)*G49*_xll.qwMVFactor($A$1,F49)*_xll.qwFXRate($A$1,F49),0)</f>
        <v>-550765.32230927108</v>
      </c>
      <c r="R49" s="6" cm="1">
        <f t="array" ref="R49">IF(ISNUMBER(_xll.qwDV01($A$1,F49)*J49*_xll.qwMVFactor($A$1,F49)*_xll.qwFXRate($A$1,F49)),_xll.qwDV01($A$1,F49)*J49*_xll.qwMVFactor($A$1,F49)*_xll.qwFXRate($A$1,F49),0)</f>
        <v>0</v>
      </c>
      <c r="S49" s="6" cm="1">
        <f t="array" ref="S49">IF(ISNUMBER(_xll.qwDV01($A$1,F49)*J49*_xll.qwMVFactor($A$1,F49)*_xll.qwFXRate($A$1,F49)),_xll.qwDV01($A$1,F49)*J49*_xll.qwMVFactor($A$1,F49)*_xll.qwFXRate($A$1,F49),0)</f>
        <v>0</v>
      </c>
      <c r="T49" s="6" cm="1">
        <f t="array" ref="T49">_xll.qwFXRate($A$1,F49)*J49*(_xll.qwPrice($A$1,F49)-M49)*_xll.qwMVFactor($A$1,F49)+L49</f>
        <v>0</v>
      </c>
      <c r="U49" s="8" cm="1">
        <f t="array" ref="U49">_xll.qwYield($A$1,F49)</f>
        <v>4.7041206694949447E-2</v>
      </c>
      <c r="V49" s="8" cm="1">
        <f t="array" ref="V49">100*(_xll.qwYield($A$4,F49)-U49)</f>
        <v>7.1634495770252216E-3</v>
      </c>
      <c r="W49" s="6">
        <f>IF(ISNA(G49*INDEX(_xll.qwTblData(_xll.qwCurveScenariosPerSecurity($A$1,F49,"Crv210")),2,2)),0,(G49*INDEX(_xll.qwTblData(_xll.qwCurveScenariosPerSecurity($A$1,F49,"Crv210")),2,2)))</f>
        <v>-145475.06283232677</v>
      </c>
      <c r="X49" s="6" cm="1">
        <f t="array" ref="X49">ABS(Q49/_xll.qwMV01($A$1,"CT10"))</f>
        <v>741.43534164649839</v>
      </c>
      <c r="Y49" s="6" cm="1">
        <f t="array" ref="Y49">IF(N49="BondFuture",-(_xll.qwCurveYield($A$1,_xll.qwSecVal($A$1,AA49,"CreditCurveName()"),AA49)-_xll.qwCurveYield($A$4,_xll.qwSecVal($A$4,AA49,"CreditCurveName()"),AA49))*P49*10000,IF(N49="Bond",-(_xll.qwCurveYield($A$1,_xll.qwSecVal($A$1,F49,"CreditCurveName()"),F49)-_xll.qwCurveYield($A$4,_xll.qwSecVal($A$4,F49,"CreditCurveName()"),F49))*P49*10000,O49))</f>
        <v>-419986.85589538293</v>
      </c>
      <c r="Z49" s="6" cm="1">
        <f t="array" ref="Z49">IF(OR(N49="BondFuture",N49="Bond"),P49*(_xll.qwCurveZSpread($A$4,_xll.qwSecVal($A$1,AA49,"CreditCurveName()"),AA49)-_xll.qwCurveZSpread($A$1,_xll.qwSecVal($A$1,AA49,"CreditCurveName()"),AA49)),0)</f>
        <v>0</v>
      </c>
      <c r="AA49" s="9" cm="1">
        <f t="array" ref="AA49">IF(_xll.qwSecType(F49)="Bond",F49,IF(_xll.qwSecType(F49)="BondFuture",_xll.qwFutCTD($A$1,F49),0))</f>
        <v>0</v>
      </c>
      <c r="AB49" s="6" cm="1">
        <f t="array" ref="AB49">IF(_xll.qwSecType(F49)="BondFuture",-(I49*_xll.qwDelta($A$4,F49)*_xll.qwMVFactor($A$1,F49)/_xll.qwMVFactor($A$1,_xll.qwFutCTD($A$1,F49)))*(_xll.qwFXRate($A$1,F49)*_xll.qwMVFactor($A$1,_xll.qwFutCTD($A$1,F49))*(_xll.qwIncome($A$4,_xll.qwFutCTD($A$4,F49),_xll.qwBondSettle($A$4,_xll.qwFutCTD($A$4,F49)),_xll.qwBondSettle($A$1,_xll.qwFutCTD($A$1,F49)))+(_xll.qwSecVal($A$1,AA49,"Price")-_xll.qwSecVal($A$4,AA49,"Price"))-_xll.qwBondRepoFromTo($A$1,AA49,_xll.qwBondSettle($A$4,AA49),_xll.qwBondSettle($A$1,AA49))*_xll.qwSecVal($A$1,AA49,"Price")*(_xll.qwBondSettle($A$1,AA49)-_xll.qwBondSettle($A$4,AA49))/360))+O49,0)</f>
        <v>0</v>
      </c>
      <c r="AC49" s="9" cm="1">
        <f t="array" ref="AC49">O49+T49+IF(ISNUMBER(_xll.qwIncome($A$1,F49,_xll.qwSettle($A$4,F49),_xll.qwSettle($A$1,F49))*_xll.qwMVFactor($A$1,F49)*_xll.qwFXRate($A$1,F49)*I49),_xll.qwIncome($A$1,F49,_xll.qwSettle($A$4,F49),_xll.qwSettle($A$1,F49))*_xll.qwMVFactor($A$1,F49)*_xll.qwFXRate($A$1,F49)*I49,0)+IF(ISNUMBER(-(_xll.qwBondRepoFromTo($A$1,F49,_xll.qwSettle($A$4,F49),_xll.qwSettle($A$1,F49))*_xll.qwSecVal($A$1,F49,"Price")*(_xll.qwSettle($A$1,F49)-_xll.qwSettle($A$4,F49))/360)*_xll.qwMVFactor($A$1,F49)*_xll.qwFXRate($A$1,F49)*I49),-(_xll.qwBondRepoFromTo($A$1,F49,_xll.qwSettle($A$4,F49),_xll.qwSettle($A$1,F49))*_xll.qwSecVal($A$1,F49,"Price")*(_xll.qwSettle($A$1,F49)-_xll.qwSettle($A$4,F49))/360)*_xll.qwMVFactor($A$1,F49)*_xll.qwFXRate($A$1,F49)*I49,0)</f>
        <v>-419986.85589538293</v>
      </c>
      <c r="AD49" s="6"/>
    </row>
    <row r="50" spans="2:30" s="7" customFormat="1" x14ac:dyDescent="0.35">
      <c r="B50" s="7" t="str">
        <v>jcleary</v>
      </c>
      <c r="C50" s="7" t="str">
        <v>MAMS</v>
      </c>
      <c r="D50" s="7" t="str">
        <v>jcleary|MAMS|RV_US_FV_Spread|244608633</v>
      </c>
      <c r="E50" s="7" t="str">
        <v>RV_US_FV_Spread</v>
      </c>
      <c r="F50" s="7" t="str">
        <v>244608633</v>
      </c>
      <c r="G50" s="7">
        <v>1192.3</v>
      </c>
      <c r="H50" s="7">
        <v>0</v>
      </c>
      <c r="I50" s="7">
        <v>1192.3</v>
      </c>
      <c r="J50" s="7">
        <v>0</v>
      </c>
      <c r="K50" s="7">
        <v>0</v>
      </c>
      <c r="L50" s="7">
        <v>0</v>
      </c>
      <c r="M50" s="7">
        <v>0</v>
      </c>
      <c r="N50" s="7" t="str">
        <v>SwapTrade</v>
      </c>
      <c r="O50" s="6" cm="1">
        <f t="array" ref="O50">(_xll.qwPrice($A$1,F50)-_xll.qwPrice($A$4,F50))*_xll.qwMVFactor($A$1,F50)*I50*_xll.qwFXRate($A$1,F50)</f>
        <v>-315658.94130610459</v>
      </c>
      <c r="P50" s="6" cm="1">
        <f t="array" ref="P50">IF(ISNUMBER(_xll.qwDV01($A$1,F50)*I50*_xll.qwMVFactor($A$1,F50)*_xll.qwFXRate($A$1,F50)),_xll.qwDV01($A$1,F50)*I50*_xll.qwMVFactor($A$1,F50)*_xll.qwFXRate($A$1,F50),0)</f>
        <v>-414065.6450611995</v>
      </c>
      <c r="Q50" s="6" cm="1">
        <f t="array" ref="Q50">IF(ISNUMBER(_xll.qwDV01($A$1,F50)*G50*_xll.qwMVFactor($A$1,F50)*_xll.qwFXRate($A$1,F50)),_xll.qwDV01($A$1,F50)*G50*_xll.qwMVFactor($A$1,F50)*_xll.qwFXRate($A$1,F50),0)</f>
        <v>-414065.6450611995</v>
      </c>
      <c r="R50" s="6" cm="1">
        <f t="array" ref="R50">IF(ISNUMBER(_xll.qwDV01($A$1,F50)*J50*_xll.qwMVFactor($A$1,F50)*_xll.qwFXRate($A$1,F50)),_xll.qwDV01($A$1,F50)*J50*_xll.qwMVFactor($A$1,F50)*_xll.qwFXRate($A$1,F50),0)</f>
        <v>0</v>
      </c>
      <c r="S50" s="6" cm="1">
        <f t="array" ref="S50">IF(ISNUMBER(_xll.qwDV01($A$1,F50)*J50*_xll.qwMVFactor($A$1,F50)*_xll.qwFXRate($A$1,F50)),_xll.qwDV01($A$1,F50)*J50*_xll.qwMVFactor($A$1,F50)*_xll.qwFXRate($A$1,F50),0)</f>
        <v>0</v>
      </c>
      <c r="T50" s="6" cm="1">
        <f t="array" ref="T50">_xll.qwFXRate($A$1,F50)*J50*(_xll.qwPrice($A$1,F50)-M50)*_xll.qwMVFactor($A$1,F50)+L50</f>
        <v>0</v>
      </c>
      <c r="U50" s="8" cm="1">
        <f t="array" ref="U50">_xll.qwYield($A$1,F50)</f>
        <v>4.7041206694949447E-2</v>
      </c>
      <c r="V50" s="8" cm="1">
        <f t="array" ref="V50">100*(_xll.qwYield($A$4,F50)-U50)</f>
        <v>7.1634495770252216E-3</v>
      </c>
      <c r="W50" s="6">
        <f>IF(ISNA(G50*INDEX(_xll.qwTblData(_xll.qwCurveScenariosPerSecurity($A$1,F50,"Crv210")),2,2)),0,(G50*INDEX(_xll.qwTblData(_xll.qwCurveScenariosPerSecurity($A$1,F50,"Crv210")),2,2)))</f>
        <v>-109411.97895522063</v>
      </c>
      <c r="X50" s="6" cm="1">
        <f t="array" ref="X50">ABS(Q50/_xll.qwMV01($A$1,"CT10"))</f>
        <v>557.41146106079088</v>
      </c>
      <c r="Y50" s="6" cm="1">
        <f t="array" ref="Y50">IF(N50="BondFuture",-(_xll.qwCurveYield($A$1,_xll.qwSecVal($A$1,AA50,"CreditCurveName()"),AA50)-_xll.qwCurveYield($A$4,_xll.qwSecVal($A$4,AA50,"CreditCurveName()"),AA50))*P50*10000,IF(N50="Bond",-(_xll.qwCurveYield($A$1,_xll.qwSecVal($A$1,F50,"CreditCurveName()"),F50)-_xll.qwCurveYield($A$4,_xll.qwSecVal($A$4,F50,"CreditCurveName()"),F50))*P50*10000,O50))</f>
        <v>-315658.94130610459</v>
      </c>
      <c r="Z50" s="6" cm="1">
        <f t="array" ref="Z50">IF(OR(N50="BondFuture",N50="Bond"),P50*(_xll.qwCurveZSpread($A$4,_xll.qwSecVal($A$1,AA50,"CreditCurveName()"),AA50)-_xll.qwCurveZSpread($A$1,_xll.qwSecVal($A$1,AA50,"CreditCurveName()"),AA50)),0)</f>
        <v>0</v>
      </c>
      <c r="AA50" s="9" cm="1">
        <f t="array" ref="AA50">IF(_xll.qwSecType(F50)="Bond",F50,IF(_xll.qwSecType(F50)="BondFuture",_xll.qwFutCTD($A$1,F50),0))</f>
        <v>0</v>
      </c>
      <c r="AB50" s="6" cm="1">
        <f t="array" ref="AB50">IF(_xll.qwSecType(F50)="BondFuture",-(I50*_xll.qwDelta($A$4,F50)*_xll.qwMVFactor($A$1,F50)/_xll.qwMVFactor($A$1,_xll.qwFutCTD($A$1,F50)))*(_xll.qwFXRate($A$1,F50)*_xll.qwMVFactor($A$1,_xll.qwFutCTD($A$1,F50))*(_xll.qwIncome($A$4,_xll.qwFutCTD($A$4,F50),_xll.qwBondSettle($A$4,_xll.qwFutCTD($A$4,F50)),_xll.qwBondSettle($A$1,_xll.qwFutCTD($A$1,F50)))+(_xll.qwSecVal($A$1,AA50,"Price")-_xll.qwSecVal($A$4,AA50,"Price"))-_xll.qwBondRepoFromTo($A$1,AA50,_xll.qwBondSettle($A$4,AA50),_xll.qwBondSettle($A$1,AA50))*_xll.qwSecVal($A$1,AA50,"Price")*(_xll.qwBondSettle($A$1,AA50)-_xll.qwBondSettle($A$4,AA50))/360))+O50,0)</f>
        <v>0</v>
      </c>
      <c r="AC50" s="9" cm="1">
        <f t="array" ref="AC50">O50+T50+IF(ISNUMBER(_xll.qwIncome($A$1,F50,_xll.qwSettle($A$4,F50),_xll.qwSettle($A$1,F50))*_xll.qwMVFactor($A$1,F50)*_xll.qwFXRate($A$1,F50)*I50),_xll.qwIncome($A$1,F50,_xll.qwSettle($A$4,F50),_xll.qwSettle($A$1,F50))*_xll.qwMVFactor($A$1,F50)*_xll.qwFXRate($A$1,F50)*I50,0)+IF(ISNUMBER(-(_xll.qwBondRepoFromTo($A$1,F50,_xll.qwSettle($A$4,F50),_xll.qwSettle($A$1,F50))*_xll.qwSecVal($A$1,F50,"Price")*(_xll.qwSettle($A$1,F50)-_xll.qwSettle($A$4,F50))/360)*_xll.qwMVFactor($A$1,F50)*_xll.qwFXRate($A$1,F50)*I50),-(_xll.qwBondRepoFromTo($A$1,F50,_xll.qwSettle($A$4,F50),_xll.qwSettle($A$1,F50))*_xll.qwSecVal($A$1,F50,"Price")*(_xll.qwSettle($A$1,F50)-_xll.qwSettle($A$4,F50))/360)*_xll.qwMVFactor($A$1,F50)*_xll.qwFXRate($A$1,F50)*I50,0)</f>
        <v>-315658.94130610459</v>
      </c>
      <c r="AD50" s="6"/>
    </row>
    <row r="51" spans="2:30" s="7" customFormat="1" x14ac:dyDescent="0.35">
      <c r="B51" s="7" t="str">
        <v>jcleary</v>
      </c>
      <c r="C51" s="7" t="str">
        <v>MAMS</v>
      </c>
      <c r="D51" s="7" t="str">
        <v>jcleary|MAMS|RV_US_FV_Spread|244855170</v>
      </c>
      <c r="E51" s="7" t="str">
        <v>RV_US_FV_Spread</v>
      </c>
      <c r="F51" s="7" t="str">
        <v>244855170</v>
      </c>
      <c r="G51" s="7">
        <v>820.99199999999996</v>
      </c>
      <c r="H51" s="7">
        <v>0</v>
      </c>
      <c r="I51" s="7">
        <v>820.99199999999996</v>
      </c>
      <c r="J51" s="7">
        <v>0</v>
      </c>
      <c r="K51" s="7">
        <v>0</v>
      </c>
      <c r="L51" s="7">
        <v>0</v>
      </c>
      <c r="M51" s="7">
        <v>0</v>
      </c>
      <c r="N51" s="7" t="str">
        <v>SwapTrade</v>
      </c>
      <c r="O51" s="6" cm="1">
        <f t="array" ref="O51">(_xll.qwPrice($A$1,F51)-_xll.qwPrice($A$4,F51))*_xll.qwMVFactor($A$1,F51)*I51*_xll.qwFXRate($A$1,F51)</f>
        <v>-217127.13008873301</v>
      </c>
      <c r="P51" s="6" cm="1">
        <f t="array" ref="P51">IF(ISNUMBER(_xll.qwDV01($A$1,F51)*I51*_xll.qwMVFactor($A$1,F51)*_xll.qwFXRate($A$1,F51)),_xll.qwDV01($A$1,F51)*I51*_xll.qwMVFactor($A$1,F51)*_xll.qwFXRate($A$1,F51),0)</f>
        <v>-284675.59102997847</v>
      </c>
      <c r="Q51" s="6" cm="1">
        <f t="array" ref="Q51">IF(ISNUMBER(_xll.qwDV01($A$1,F51)*G51*_xll.qwMVFactor($A$1,F51)*_xll.qwFXRate($A$1,F51)),_xll.qwDV01($A$1,F51)*G51*_xll.qwMVFactor($A$1,F51)*_xll.qwFXRate($A$1,F51),0)</f>
        <v>-284675.59102997847</v>
      </c>
      <c r="R51" s="6" cm="1">
        <f t="array" ref="R51">IF(ISNUMBER(_xll.qwDV01($A$1,F51)*J51*_xll.qwMVFactor($A$1,F51)*_xll.qwFXRate($A$1,F51)),_xll.qwDV01($A$1,F51)*J51*_xll.qwMVFactor($A$1,F51)*_xll.qwFXRate($A$1,F51),0)</f>
        <v>0</v>
      </c>
      <c r="S51" s="6" cm="1">
        <f t="array" ref="S51">IF(ISNUMBER(_xll.qwDV01($A$1,F51)*J51*_xll.qwMVFactor($A$1,F51)*_xll.qwFXRate($A$1,F51)),_xll.qwDV01($A$1,F51)*J51*_xll.qwMVFactor($A$1,F51)*_xll.qwFXRate($A$1,F51),0)</f>
        <v>0</v>
      </c>
      <c r="T51" s="6" cm="1">
        <f t="array" ref="T51">_xll.qwFXRate($A$1,F51)*J51*(_xll.qwPrice($A$1,F51)-M51)*_xll.qwMVFactor($A$1,F51)+L51</f>
        <v>0</v>
      </c>
      <c r="U51" s="8" cm="1">
        <f t="array" ref="U51">_xll.qwYield($A$1,F51)</f>
        <v>4.7041206694949447E-2</v>
      </c>
      <c r="V51" s="8" cm="1">
        <f t="array" ref="V51">100*(_xll.qwYield($A$4,F51)-U51)</f>
        <v>7.1634495770252216E-3</v>
      </c>
      <c r="W51" s="6">
        <f>IF(ISNA(G51*INDEX(_xll.qwTblData(_xll.qwCurveScenariosPerSecurity($A$1,F51,"Crv210")),2,2)),0,(G51*INDEX(_xll.qwTblData(_xll.qwCurveScenariosPerSecurity($A$1,F51,"Crv210")),2,2)))</f>
        <v>-75168.381420840538</v>
      </c>
      <c r="X51" s="6" cm="1">
        <f t="array" ref="X51">ABS(Q51/_xll.qwMV01($A$1,"CT10"))</f>
        <v>383.22772975022144</v>
      </c>
      <c r="Y51" s="6" cm="1">
        <f t="array" ref="Y51">IF(N51="BondFuture",-(_xll.qwCurveYield($A$1,_xll.qwSecVal($A$1,AA51,"CreditCurveName()"),AA51)-_xll.qwCurveYield($A$4,_xll.qwSecVal($A$4,AA51,"CreditCurveName()"),AA51))*P51*10000,IF(N51="Bond",-(_xll.qwCurveYield($A$1,_xll.qwSecVal($A$1,F51,"CreditCurveName()"),F51)-_xll.qwCurveYield($A$4,_xll.qwSecVal($A$4,F51,"CreditCurveName()"),F51))*P51*10000,O51))</f>
        <v>-217127.13008873301</v>
      </c>
      <c r="Z51" s="6" cm="1">
        <f t="array" ref="Z51">IF(OR(N51="BondFuture",N51="Bond"),P51*(_xll.qwCurveZSpread($A$4,_xll.qwSecVal($A$1,AA51,"CreditCurveName()"),AA51)-_xll.qwCurveZSpread($A$1,_xll.qwSecVal($A$1,AA51,"CreditCurveName()"),AA51)),0)</f>
        <v>0</v>
      </c>
      <c r="AA51" s="9" cm="1">
        <f t="array" ref="AA51">IF(_xll.qwSecType(F51)="Bond",F51,IF(_xll.qwSecType(F51)="BondFuture",_xll.qwFutCTD($A$1,F51),0))</f>
        <v>0</v>
      </c>
      <c r="AB51" s="6" cm="1">
        <f t="array" ref="AB51">IF(_xll.qwSecType(F51)="BondFuture",-(I51*_xll.qwDelta($A$4,F51)*_xll.qwMVFactor($A$1,F51)/_xll.qwMVFactor($A$1,_xll.qwFutCTD($A$1,F51)))*(_xll.qwFXRate($A$1,F51)*_xll.qwMVFactor($A$1,_xll.qwFutCTD($A$1,F51))*(_xll.qwIncome($A$4,_xll.qwFutCTD($A$4,F51),_xll.qwBondSettle($A$4,_xll.qwFutCTD($A$4,F51)),_xll.qwBondSettle($A$1,_xll.qwFutCTD($A$1,F51)))+(_xll.qwSecVal($A$1,AA51,"Price")-_xll.qwSecVal($A$4,AA51,"Price"))-_xll.qwBondRepoFromTo($A$1,AA51,_xll.qwBondSettle($A$4,AA51),_xll.qwBondSettle($A$1,AA51))*_xll.qwSecVal($A$1,AA51,"Price")*(_xll.qwBondSettle($A$1,AA51)-_xll.qwBondSettle($A$4,AA51))/360))+O51,0)</f>
        <v>0</v>
      </c>
      <c r="AC51" s="9" cm="1">
        <f t="array" ref="AC51">O51+T51+IF(ISNUMBER(_xll.qwIncome($A$1,F51,_xll.qwSettle($A$4,F51),_xll.qwSettle($A$1,F51))*_xll.qwMVFactor($A$1,F51)*_xll.qwFXRate($A$1,F51)*I51),_xll.qwIncome($A$1,F51,_xll.qwSettle($A$4,F51),_xll.qwSettle($A$1,F51))*_xll.qwMVFactor($A$1,F51)*_xll.qwFXRate($A$1,F51)*I51,0)+IF(ISNUMBER(-(_xll.qwBondRepoFromTo($A$1,F51,_xll.qwSettle($A$4,F51),_xll.qwSettle($A$1,F51))*_xll.qwSecVal($A$1,F51,"Price")*(_xll.qwSettle($A$1,F51)-_xll.qwSettle($A$4,F51))/360)*_xll.qwMVFactor($A$1,F51)*_xll.qwFXRate($A$1,F51)*I51),-(_xll.qwBondRepoFromTo($A$1,F51,_xll.qwSettle($A$4,F51),_xll.qwSettle($A$1,F51))*_xll.qwSecVal($A$1,F51,"Price")*(_xll.qwSettle($A$1,F51)-_xll.qwSettle($A$4,F51))/360)*_xll.qwMVFactor($A$1,F51)*_xll.qwFXRate($A$1,F51)*I51,0)</f>
        <v>-217127.13008873301</v>
      </c>
      <c r="AD51" s="6"/>
    </row>
    <row r="52" spans="2:30" s="7" customFormat="1" x14ac:dyDescent="0.35">
      <c r="B52" s="7" t="str">
        <v>jcleary</v>
      </c>
      <c r="C52" s="7" t="str">
        <v>MAMS</v>
      </c>
      <c r="D52" s="7" t="str">
        <v>jcleary|MAMS|RV_US_FV_Spread|244974233</v>
      </c>
      <c r="E52" s="7" t="str">
        <v>RV_US_FV_Spread</v>
      </c>
      <c r="F52" s="7" t="str">
        <v>244974233</v>
      </c>
      <c r="G52" s="7">
        <v>159.1</v>
      </c>
      <c r="H52" s="7">
        <v>0</v>
      </c>
      <c r="I52" s="7">
        <v>159.1</v>
      </c>
      <c r="J52" s="7">
        <v>0</v>
      </c>
      <c r="K52" s="7">
        <v>0</v>
      </c>
      <c r="L52" s="7">
        <v>0</v>
      </c>
      <c r="M52" s="7">
        <v>0</v>
      </c>
      <c r="N52" s="7" t="str">
        <v>SwapTrade</v>
      </c>
      <c r="O52" s="6" cm="1">
        <f t="array" ref="O52">(_xll.qwPrice($A$1,F52)-_xll.qwPrice($A$4,F52))*_xll.qwMVFactor($A$1,F52)*I52*_xll.qwFXRate($A$1,F52)</f>
        <v>-42061.427082921778</v>
      </c>
      <c r="P52" s="6" cm="1">
        <f t="array" ref="P52">IF(ISNUMBER(_xll.qwDV01($A$1,F52)*I52*_xll.qwMVFactor($A$1,F52)*_xll.qwFXRate($A$1,F52)),_xll.qwDV01($A$1,F52)*I52*_xll.qwMVFactor($A$1,F52)*_xll.qwFXRate($A$1,F52),0)</f>
        <v>-55137.139882875781</v>
      </c>
      <c r="Q52" s="6" cm="1">
        <f t="array" ref="Q52">IF(ISNUMBER(_xll.qwDV01($A$1,F52)*G52*_xll.qwMVFactor($A$1,F52)*_xll.qwFXRate($A$1,F52)),_xll.qwDV01($A$1,F52)*G52*_xll.qwMVFactor($A$1,F52)*_xll.qwFXRate($A$1,F52),0)</f>
        <v>-55137.139882875781</v>
      </c>
      <c r="R52" s="6" cm="1">
        <f t="array" ref="R52">IF(ISNUMBER(_xll.qwDV01($A$1,F52)*J52*_xll.qwMVFactor($A$1,F52)*_xll.qwFXRate($A$1,F52)),_xll.qwDV01($A$1,F52)*J52*_xll.qwMVFactor($A$1,F52)*_xll.qwFXRate($A$1,F52),0)</f>
        <v>0</v>
      </c>
      <c r="S52" s="6" cm="1">
        <f t="array" ref="S52">IF(ISNUMBER(_xll.qwDV01($A$1,F52)*J52*_xll.qwMVFactor($A$1,F52)*_xll.qwFXRate($A$1,F52)),_xll.qwDV01($A$1,F52)*J52*_xll.qwMVFactor($A$1,F52)*_xll.qwFXRate($A$1,F52),0)</f>
        <v>0</v>
      </c>
      <c r="T52" s="6" cm="1">
        <f t="array" ref="T52">_xll.qwFXRate($A$1,F52)*J52*(_xll.qwPrice($A$1,F52)-M52)*_xll.qwMVFactor($A$1,F52)+L52</f>
        <v>0</v>
      </c>
      <c r="U52" s="8" cm="1">
        <f t="array" ref="U52">_xll.qwYield($A$1,F52)</f>
        <v>4.7041206694949447E-2</v>
      </c>
      <c r="V52" s="8" cm="1">
        <f t="array" ref="V52">100*(_xll.qwYield($A$4,F52)-U52)</f>
        <v>7.1634495770252216E-3</v>
      </c>
      <c r="W52" s="6">
        <f>IF(ISNA(G52*INDEX(_xll.qwTblData(_xll.qwCurveScenariosPerSecurity($A$1,F52,"Crv210")),2,2)),0,(G52*INDEX(_xll.qwTblData(_xll.qwCurveScenariosPerSecurity($A$1,F52,"Crv210")),2,2)))</f>
        <v>-14555.24081901958</v>
      </c>
      <c r="X52" s="6" cm="1">
        <f t="array" ref="X52">ABS(Q52/_xll.qwMV01($A$1,"CT10"))</f>
        <v>74.225123642615785</v>
      </c>
      <c r="Y52" s="6" cm="1">
        <f t="array" ref="Y52">IF(N52="BondFuture",-(_xll.qwCurveYield($A$1,_xll.qwSecVal($A$1,AA52,"CreditCurveName()"),AA52)-_xll.qwCurveYield($A$4,_xll.qwSecVal($A$4,AA52,"CreditCurveName()"),AA52))*P52*10000,IF(N52="Bond",-(_xll.qwCurveYield($A$1,_xll.qwSecVal($A$1,F52,"CreditCurveName()"),F52)-_xll.qwCurveYield($A$4,_xll.qwSecVal($A$4,F52,"CreditCurveName()"),F52))*P52*10000,O52))</f>
        <v>-42061.427082921778</v>
      </c>
      <c r="Z52" s="6" cm="1">
        <f t="array" ref="Z52">IF(OR(N52="BondFuture",N52="Bond"),P52*(_xll.qwCurveZSpread($A$4,_xll.qwSecVal($A$1,AA52,"CreditCurveName()"),AA52)-_xll.qwCurveZSpread($A$1,_xll.qwSecVal($A$1,AA52,"CreditCurveName()"),AA52)),0)</f>
        <v>0</v>
      </c>
      <c r="AA52" s="9" cm="1">
        <f t="array" ref="AA52">IF(_xll.qwSecType(F52)="Bond",F52,IF(_xll.qwSecType(F52)="BondFuture",_xll.qwFutCTD($A$1,F52),0))</f>
        <v>0</v>
      </c>
      <c r="AB52" s="6" cm="1">
        <f t="array" ref="AB52">IF(_xll.qwSecType(F52)="BondFuture",-(I52*_xll.qwDelta($A$4,F52)*_xll.qwMVFactor($A$1,F52)/_xll.qwMVFactor($A$1,_xll.qwFutCTD($A$1,F52)))*(_xll.qwFXRate($A$1,F52)*_xll.qwMVFactor($A$1,_xll.qwFutCTD($A$1,F52))*(_xll.qwIncome($A$4,_xll.qwFutCTD($A$4,F52),_xll.qwBondSettle($A$4,_xll.qwFutCTD($A$4,F52)),_xll.qwBondSettle($A$1,_xll.qwFutCTD($A$1,F52)))+(_xll.qwSecVal($A$1,AA52,"Price")-_xll.qwSecVal($A$4,AA52,"Price"))-_xll.qwBondRepoFromTo($A$1,AA52,_xll.qwBondSettle($A$4,AA52),_xll.qwBondSettle($A$1,AA52))*_xll.qwSecVal($A$1,AA52,"Price")*(_xll.qwBondSettle($A$1,AA52)-_xll.qwBondSettle($A$4,AA52))/360))+O52,0)</f>
        <v>0</v>
      </c>
      <c r="AC52" s="9" cm="1">
        <f t="array" ref="AC52">O52+T52+IF(ISNUMBER(_xll.qwIncome($A$1,F52,_xll.qwSettle($A$4,F52),_xll.qwSettle($A$1,F52))*_xll.qwMVFactor($A$1,F52)*_xll.qwFXRate($A$1,F52)*I52),_xll.qwIncome($A$1,F52,_xll.qwSettle($A$4,F52),_xll.qwSettle($A$1,F52))*_xll.qwMVFactor($A$1,F52)*_xll.qwFXRate($A$1,F52)*I52,0)+IF(ISNUMBER(-(_xll.qwBondRepoFromTo($A$1,F52,_xll.qwSettle($A$4,F52),_xll.qwSettle($A$1,F52))*_xll.qwSecVal($A$1,F52,"Price")*(_xll.qwSettle($A$1,F52)-_xll.qwSettle($A$4,F52))/360)*_xll.qwMVFactor($A$1,F52)*_xll.qwFXRate($A$1,F52)*I52),-(_xll.qwBondRepoFromTo($A$1,F52,_xll.qwSettle($A$4,F52),_xll.qwSettle($A$1,F52))*_xll.qwSecVal($A$1,F52,"Price")*(_xll.qwSettle($A$1,F52)-_xll.qwSettle($A$4,F52))/360)*_xll.qwMVFactor($A$1,F52)*_xll.qwFXRate($A$1,F52)*I52,0)</f>
        <v>-42061.427082921778</v>
      </c>
      <c r="AD52" s="6"/>
    </row>
    <row r="53" spans="2:30" s="7" customFormat="1" x14ac:dyDescent="0.35">
      <c r="B53" s="7" t="str">
        <v>jcleary</v>
      </c>
      <c r="C53" s="7" t="str">
        <v>MAMS</v>
      </c>
      <c r="D53" s="7" t="str">
        <v>jcleary|MAMS|RV_US_FV_Spread|244975732</v>
      </c>
      <c r="E53" s="7" t="str">
        <v>RV_US_FV_Spread</v>
      </c>
      <c r="F53" s="7" t="str">
        <v>244975732</v>
      </c>
      <c r="G53" s="7">
        <v>825.4</v>
      </c>
      <c r="H53" s="7">
        <v>0</v>
      </c>
      <c r="I53" s="7">
        <v>825.4</v>
      </c>
      <c r="J53" s="7">
        <v>0</v>
      </c>
      <c r="K53" s="7">
        <v>0</v>
      </c>
      <c r="L53" s="7">
        <v>0</v>
      </c>
      <c r="M53" s="7">
        <v>0</v>
      </c>
      <c r="N53" s="7" t="str">
        <v>SwapTrade</v>
      </c>
      <c r="O53" s="6" cm="1">
        <f t="array" ref="O53">(_xll.qwPrice($A$1,F53)-_xll.qwPrice($A$4,F53))*_xll.qwMVFactor($A$1,F53)*I53*_xll.qwFXRate($A$1,F53)</f>
        <v>-218195.88780041764</v>
      </c>
      <c r="P53" s="6" cm="1">
        <f t="array" ref="P53">IF(ISNUMBER(_xll.qwDV01($A$1,F53)*I53*_xll.qwMVFactor($A$1,F53)*_xll.qwFXRate($A$1,F53)),_xll.qwDV01($A$1,F53)*I53*_xll.qwMVFactor($A$1,F53)*_xll.qwFXRate($A$1,F53),0)</f>
        <v>-286017.00880071556</v>
      </c>
      <c r="Q53" s="6" cm="1">
        <f t="array" ref="Q53">IF(ISNUMBER(_xll.qwDV01($A$1,F53)*G53*_xll.qwMVFactor($A$1,F53)*_xll.qwFXRate($A$1,F53)),_xll.qwDV01($A$1,F53)*G53*_xll.qwMVFactor($A$1,F53)*_xll.qwFXRate($A$1,F53),0)</f>
        <v>-286017.00880071556</v>
      </c>
      <c r="R53" s="6" cm="1">
        <f t="array" ref="R53">IF(ISNUMBER(_xll.qwDV01($A$1,F53)*J53*_xll.qwMVFactor($A$1,F53)*_xll.qwFXRate($A$1,F53)),_xll.qwDV01($A$1,F53)*J53*_xll.qwMVFactor($A$1,F53)*_xll.qwFXRate($A$1,F53),0)</f>
        <v>0</v>
      </c>
      <c r="S53" s="6" cm="1">
        <f t="array" ref="S53">IF(ISNUMBER(_xll.qwDV01($A$1,F53)*J53*_xll.qwMVFactor($A$1,F53)*_xll.qwFXRate($A$1,F53)),_xll.qwDV01($A$1,F53)*J53*_xll.qwMVFactor($A$1,F53)*_xll.qwFXRate($A$1,F53),0)</f>
        <v>0</v>
      </c>
      <c r="T53" s="6" cm="1">
        <f t="array" ref="T53">_xll.qwFXRate($A$1,F53)*J53*(_xll.qwPrice($A$1,F53)-M53)*_xll.qwMVFactor($A$1,F53)+L53</f>
        <v>0</v>
      </c>
      <c r="U53" s="8" cm="1">
        <f t="array" ref="U53">_xll.qwYield($A$1,F53)</f>
        <v>4.7041206694949447E-2</v>
      </c>
      <c r="V53" s="8" cm="1">
        <f t="array" ref="V53">100*(_xll.qwYield($A$4,F53)-U53)</f>
        <v>7.1634495770252216E-3</v>
      </c>
      <c r="W53" s="6">
        <f>IF(ISNA(G53*INDEX(_xll.qwTblData(_xll.qwCurveScenariosPerSecurity($A$1,F53,"Crv210")),2,2)),0,(G53*INDEX(_xll.qwTblData(_xll.qwCurveScenariosPerSecurity($A$1,F53,"Crv210")),2,2)))</f>
        <v>-75499.733053191216</v>
      </c>
      <c r="X53" s="6" cm="1">
        <f t="array" ref="X53">ABS(Q53/_xll.qwMV01($A$1,"CT10"))</f>
        <v>385.03353433313714</v>
      </c>
      <c r="Y53" s="6" cm="1">
        <f t="array" ref="Y53">IF(N53="BondFuture",-(_xll.qwCurveYield($A$1,_xll.qwSecVal($A$1,AA53,"CreditCurveName()"),AA53)-_xll.qwCurveYield($A$4,_xll.qwSecVal($A$4,AA53,"CreditCurveName()"),AA53))*P53*10000,IF(N53="Bond",-(_xll.qwCurveYield($A$1,_xll.qwSecVal($A$1,F53,"CreditCurveName()"),F53)-_xll.qwCurveYield($A$4,_xll.qwSecVal($A$4,F53,"CreditCurveName()"),F53))*P53*10000,O53))</f>
        <v>-218195.88780041764</v>
      </c>
      <c r="Z53" s="6" cm="1">
        <f t="array" ref="Z53">IF(OR(N53="BondFuture",N53="Bond"),P53*(_xll.qwCurveZSpread($A$4,_xll.qwSecVal($A$1,AA53,"CreditCurveName()"),AA53)-_xll.qwCurveZSpread($A$1,_xll.qwSecVal($A$1,AA53,"CreditCurveName()"),AA53)),0)</f>
        <v>0</v>
      </c>
      <c r="AA53" s="9" cm="1">
        <f t="array" ref="AA53">IF(_xll.qwSecType(F53)="Bond",F53,IF(_xll.qwSecType(F53)="BondFuture",_xll.qwFutCTD($A$1,F53),0))</f>
        <v>0</v>
      </c>
      <c r="AB53" s="6" cm="1">
        <f t="array" ref="AB53">IF(_xll.qwSecType(F53)="BondFuture",-(I53*_xll.qwDelta($A$4,F53)*_xll.qwMVFactor($A$1,F53)/_xll.qwMVFactor($A$1,_xll.qwFutCTD($A$1,F53)))*(_xll.qwFXRate($A$1,F53)*_xll.qwMVFactor($A$1,_xll.qwFutCTD($A$1,F53))*(_xll.qwIncome($A$4,_xll.qwFutCTD($A$4,F53),_xll.qwBondSettle($A$4,_xll.qwFutCTD($A$4,F53)),_xll.qwBondSettle($A$1,_xll.qwFutCTD($A$1,F53)))+(_xll.qwSecVal($A$1,AA53,"Price")-_xll.qwSecVal($A$4,AA53,"Price"))-_xll.qwBondRepoFromTo($A$1,AA53,_xll.qwBondSettle($A$4,AA53),_xll.qwBondSettle($A$1,AA53))*_xll.qwSecVal($A$1,AA53,"Price")*(_xll.qwBondSettle($A$1,AA53)-_xll.qwBondSettle($A$4,AA53))/360))+O53,0)</f>
        <v>0</v>
      </c>
      <c r="AC53" s="9" cm="1">
        <f t="array" ref="AC53">O53+T53+IF(ISNUMBER(_xll.qwIncome($A$1,F53,_xll.qwSettle($A$4,F53),_xll.qwSettle($A$1,F53))*_xll.qwMVFactor($A$1,F53)*_xll.qwFXRate($A$1,F53)*I53),_xll.qwIncome($A$1,F53,_xll.qwSettle($A$4,F53),_xll.qwSettle($A$1,F53))*_xll.qwMVFactor($A$1,F53)*_xll.qwFXRate($A$1,F53)*I53,0)+IF(ISNUMBER(-(_xll.qwBondRepoFromTo($A$1,F53,_xll.qwSettle($A$4,F53),_xll.qwSettle($A$1,F53))*_xll.qwSecVal($A$1,F53,"Price")*(_xll.qwSettle($A$1,F53)-_xll.qwSettle($A$4,F53))/360)*_xll.qwMVFactor($A$1,F53)*_xll.qwFXRate($A$1,F53)*I53),-(_xll.qwBondRepoFromTo($A$1,F53,_xll.qwSettle($A$4,F53),_xll.qwSettle($A$1,F53))*_xll.qwSecVal($A$1,F53,"Price")*(_xll.qwSettle($A$1,F53)-_xll.qwSettle($A$4,F53))/360)*_xll.qwMVFactor($A$1,F53)*_xll.qwFXRate($A$1,F53)*I53,0)</f>
        <v>-218195.88780041764</v>
      </c>
      <c r="AD53" s="6"/>
    </row>
    <row r="54" spans="2:30" s="7" customFormat="1" x14ac:dyDescent="0.35">
      <c r="B54" s="7" t="str">
        <v>jcleary</v>
      </c>
      <c r="C54" s="7" t="str">
        <v>MAMS</v>
      </c>
      <c r="D54" s="7" t="str">
        <v>jcleary|MAMS|RV_US_FV_Spread|249795190</v>
      </c>
      <c r="E54" s="7" t="str">
        <v>RV_US_FV_Spread</v>
      </c>
      <c r="F54" s="7" t="str">
        <v>249795190</v>
      </c>
      <c r="G54" s="7">
        <v>684.4</v>
      </c>
      <c r="H54" s="7">
        <v>0</v>
      </c>
      <c r="I54" s="7">
        <v>684.4</v>
      </c>
      <c r="J54" s="7">
        <v>0</v>
      </c>
      <c r="K54" s="7">
        <v>0</v>
      </c>
      <c r="L54" s="7">
        <v>0</v>
      </c>
      <c r="M54" s="7">
        <v>0</v>
      </c>
      <c r="N54" s="7" t="str">
        <v>SwapTrade</v>
      </c>
      <c r="O54" s="6" cm="1">
        <f t="array" ref="O54">(_xll.qwPrice($A$1,F54)-_xll.qwPrice($A$4,F54))*_xll.qwMVFactor($A$1,F54)*I54*_xll.qwFXRate($A$1,F54)</f>
        <v>-71899.689740940594</v>
      </c>
      <c r="P54" s="6" cm="1">
        <f t="array" ref="P54">IF(ISNUMBER(_xll.qwDV01($A$1,F54)*I54*_xll.qwMVFactor($A$1,F54)*_xll.qwFXRate($A$1,F54)),_xll.qwDV01($A$1,F54)*I54*_xll.qwMVFactor($A$1,F54)*_xll.qwFXRate($A$1,F54),0)</f>
        <v>-181261.69750033776</v>
      </c>
      <c r="Q54" s="6" cm="1">
        <f t="array" ref="Q54">IF(ISNUMBER(_xll.qwDV01($A$1,F54)*G54*_xll.qwMVFactor($A$1,F54)*_xll.qwFXRate($A$1,F54)),_xll.qwDV01($A$1,F54)*G54*_xll.qwMVFactor($A$1,F54)*_xll.qwFXRate($A$1,F54),0)</f>
        <v>-181261.69750033776</v>
      </c>
      <c r="R54" s="6" cm="1">
        <f t="array" ref="R54">IF(ISNUMBER(_xll.qwDV01($A$1,F54)*J54*_xll.qwMVFactor($A$1,F54)*_xll.qwFXRate($A$1,F54)),_xll.qwDV01($A$1,F54)*J54*_xll.qwMVFactor($A$1,F54)*_xll.qwFXRate($A$1,F54),0)</f>
        <v>0</v>
      </c>
      <c r="S54" s="6" cm="1">
        <f t="array" ref="S54">IF(ISNUMBER(_xll.qwDV01($A$1,F54)*J54*_xll.qwMVFactor($A$1,F54)*_xll.qwFXRate($A$1,F54)),_xll.qwDV01($A$1,F54)*J54*_xll.qwMVFactor($A$1,F54)*_xll.qwFXRate($A$1,F54),0)</f>
        <v>0</v>
      </c>
      <c r="T54" s="6" cm="1">
        <f t="array" ref="T54">_xll.qwFXRate($A$1,F54)*J54*(_xll.qwPrice($A$1,F54)-M54)*_xll.qwMVFactor($A$1,F54)+L54</f>
        <v>0</v>
      </c>
      <c r="U54" s="8" cm="1">
        <f t="array" ref="U54">_xll.qwYield($A$1,F54)</f>
        <v>4.6945489118217436E-2</v>
      </c>
      <c r="V54" s="8" cm="1">
        <f t="array" ref="V54">100*(_xll.qwYield($A$4,F54)-U54)</f>
        <v>3.3817583327627743E-3</v>
      </c>
      <c r="W54" s="6">
        <f>IF(ISNA(G54*INDEX(_xll.qwTblData(_xll.qwCurveScenariosPerSecurity($A$1,F54,"Crv210")),2,2)),0,(G54*INDEX(_xll.qwTblData(_xll.qwCurveScenariosPerSecurity($A$1,F54,"Crv210")),2,2)))</f>
        <v>-70920.507520449668</v>
      </c>
      <c r="X54" s="6" cm="1">
        <f t="array" ref="X54">ABS(Q54/_xll.qwMV01($A$1,"CT10"))</f>
        <v>244.01287294213677</v>
      </c>
      <c r="Y54" s="6" cm="1">
        <f t="array" ref="Y54">IF(N54="BondFuture",-(_xll.qwCurveYield($A$1,_xll.qwSecVal($A$1,AA54,"CreditCurveName()"),AA54)-_xll.qwCurveYield($A$4,_xll.qwSecVal($A$4,AA54,"CreditCurveName()"),AA54))*P54*10000,IF(N54="Bond",-(_xll.qwCurveYield($A$1,_xll.qwSecVal($A$1,F54,"CreditCurveName()"),F54)-_xll.qwCurveYield($A$4,_xll.qwSecVal($A$4,F54,"CreditCurveName()"),F54))*P54*10000,O54))</f>
        <v>-71899.689740940594</v>
      </c>
      <c r="Z54" s="6" cm="1">
        <f t="array" ref="Z54">IF(OR(N54="BondFuture",N54="Bond"),P54*(_xll.qwCurveZSpread($A$4,_xll.qwSecVal($A$1,AA54,"CreditCurveName()"),AA54)-_xll.qwCurveZSpread($A$1,_xll.qwSecVal($A$1,AA54,"CreditCurveName()"),AA54)),0)</f>
        <v>0</v>
      </c>
      <c r="AA54" s="9" cm="1">
        <f t="array" ref="AA54">IF(_xll.qwSecType(F54)="Bond",F54,IF(_xll.qwSecType(F54)="BondFuture",_xll.qwFutCTD($A$1,F54),0))</f>
        <v>0</v>
      </c>
      <c r="AB54" s="6" cm="1">
        <f t="array" ref="AB54">IF(_xll.qwSecType(F54)="BondFuture",-(I54*_xll.qwDelta($A$4,F54)*_xll.qwMVFactor($A$1,F54)/_xll.qwMVFactor($A$1,_xll.qwFutCTD($A$1,F54)))*(_xll.qwFXRate($A$1,F54)*_xll.qwMVFactor($A$1,_xll.qwFutCTD($A$1,F54))*(_xll.qwIncome($A$4,_xll.qwFutCTD($A$4,F54),_xll.qwBondSettle($A$4,_xll.qwFutCTD($A$4,F54)),_xll.qwBondSettle($A$1,_xll.qwFutCTD($A$1,F54)))+(_xll.qwSecVal($A$1,AA54,"Price")-_xll.qwSecVal($A$4,AA54,"Price"))-_xll.qwBondRepoFromTo($A$1,AA54,_xll.qwBondSettle($A$4,AA54),_xll.qwBondSettle($A$1,AA54))*_xll.qwSecVal($A$1,AA54,"Price")*(_xll.qwBondSettle($A$1,AA54)-_xll.qwBondSettle($A$4,AA54))/360))+O54,0)</f>
        <v>0</v>
      </c>
      <c r="AC54" s="9" cm="1">
        <f t="array" ref="AC54">O54+T54+IF(ISNUMBER(_xll.qwIncome($A$1,F54,_xll.qwSettle($A$4,F54),_xll.qwSettle($A$1,F54))*_xll.qwMVFactor($A$1,F54)*_xll.qwFXRate($A$1,F54)*I54),_xll.qwIncome($A$1,F54,_xll.qwSettle($A$4,F54),_xll.qwSettle($A$1,F54))*_xll.qwMVFactor($A$1,F54)*_xll.qwFXRate($A$1,F54)*I54,0)+IF(ISNUMBER(-(_xll.qwBondRepoFromTo($A$1,F54,_xll.qwSettle($A$4,F54),_xll.qwSettle($A$1,F54))*_xll.qwSecVal($A$1,F54,"Price")*(_xll.qwSettle($A$1,F54)-_xll.qwSettle($A$4,F54))/360)*_xll.qwMVFactor($A$1,F54)*_xll.qwFXRate($A$1,F54)*I54),-(_xll.qwBondRepoFromTo($A$1,F54,_xll.qwSettle($A$4,F54),_xll.qwSettle($A$1,F54))*_xll.qwSecVal($A$1,F54,"Price")*(_xll.qwSettle($A$1,F54)-_xll.qwSettle($A$4,F54))/360)*_xll.qwMVFactor($A$1,F54)*_xll.qwFXRate($A$1,F54)*I54,0)</f>
        <v>-71899.689740940594</v>
      </c>
      <c r="AD54" s="6"/>
    </row>
    <row r="55" spans="2:30" s="7" customFormat="1" x14ac:dyDescent="0.35">
      <c r="B55" s="7" t="str">
        <v>jcleary</v>
      </c>
      <c r="C55" s="7" t="str">
        <v>MAMS</v>
      </c>
      <c r="D55" s="7" t="str">
        <v>jcleary|MAMS|RV_US_FV_Spread|249800651</v>
      </c>
      <c r="E55" s="7" t="str">
        <v>RV_US_FV_Spread</v>
      </c>
      <c r="F55" s="7" t="str">
        <v>249800651</v>
      </c>
      <c r="G55" s="7">
        <v>177</v>
      </c>
      <c r="H55" s="7">
        <v>0</v>
      </c>
      <c r="I55" s="7">
        <v>177</v>
      </c>
      <c r="J55" s="7">
        <v>0</v>
      </c>
      <c r="K55" s="7">
        <v>0</v>
      </c>
      <c r="L55" s="7">
        <v>0</v>
      </c>
      <c r="M55" s="7">
        <v>0</v>
      </c>
      <c r="N55" s="7" t="str">
        <v>SwapTrade</v>
      </c>
      <c r="O55" s="6" cm="1">
        <f t="array" ref="O55">(_xll.qwPrice($A$1,F55)-_xll.qwPrice($A$4,F55))*_xll.qwMVFactor($A$1,F55)*I55*_xll.qwFXRate($A$1,F55)</f>
        <v>-40252.03138516847</v>
      </c>
      <c r="P55" s="6" cm="1">
        <f t="array" ref="P55">IF(ISNUMBER(_xll.qwDV01($A$1,F55)*I55*_xll.qwMVFactor($A$1,F55)*_xll.qwFXRate($A$1,F55)),_xll.qwDV01($A$1,F55)*I55*_xll.qwMVFactor($A$1,F55)*_xll.qwFXRate($A$1,F55),0)</f>
        <v>-57911.172254158104</v>
      </c>
      <c r="Q55" s="6" cm="1">
        <f t="array" ref="Q55">IF(ISNUMBER(_xll.qwDV01($A$1,F55)*G55*_xll.qwMVFactor($A$1,F55)*_xll.qwFXRate($A$1,F55)),_xll.qwDV01($A$1,F55)*G55*_xll.qwMVFactor($A$1,F55)*_xll.qwFXRate($A$1,F55),0)</f>
        <v>-57911.172254158104</v>
      </c>
      <c r="R55" s="6" cm="1">
        <f t="array" ref="R55">IF(ISNUMBER(_xll.qwDV01($A$1,F55)*J55*_xll.qwMVFactor($A$1,F55)*_xll.qwFXRate($A$1,F55)),_xll.qwDV01($A$1,F55)*J55*_xll.qwMVFactor($A$1,F55)*_xll.qwFXRate($A$1,F55),0)</f>
        <v>0</v>
      </c>
      <c r="S55" s="6" cm="1">
        <f t="array" ref="S55">IF(ISNUMBER(_xll.qwDV01($A$1,F55)*J55*_xll.qwMVFactor($A$1,F55)*_xll.qwFXRate($A$1,F55)),_xll.qwDV01($A$1,F55)*J55*_xll.qwMVFactor($A$1,F55)*_xll.qwFXRate($A$1,F55),0)</f>
        <v>0</v>
      </c>
      <c r="T55" s="6" cm="1">
        <f t="array" ref="T55">_xll.qwFXRate($A$1,F55)*J55*(_xll.qwPrice($A$1,F55)-M55)*_xll.qwMVFactor($A$1,F55)+L55</f>
        <v>0</v>
      </c>
      <c r="U55" s="8" cm="1">
        <f t="array" ref="U55">_xll.qwYield($A$1,F55)</f>
        <v>4.6981852235261815E-2</v>
      </c>
      <c r="V55" s="8" cm="1">
        <f t="array" ref="V55">100*(_xll.qwYield($A$4,F55)-U55)</f>
        <v>6.4370592505004487E-3</v>
      </c>
      <c r="W55" s="6">
        <f>IF(ISNA(G55*INDEX(_xll.qwTblData(_xll.qwCurveScenariosPerSecurity($A$1,F55,"Crv210")),2,2)),0,(G55*INDEX(_xll.qwTblData(_xll.qwCurveScenariosPerSecurity($A$1,F55,"Crv210")),2,2)))</f>
        <v>-17161.836937399516</v>
      </c>
      <c r="X55" s="6" cm="1">
        <f t="array" ref="X55">ABS(Q55/_xll.qwMV01($A$1,"CT10"))</f>
        <v>77.95950116354696</v>
      </c>
      <c r="Y55" s="6" cm="1">
        <f t="array" ref="Y55">IF(N55="BondFuture",-(_xll.qwCurveYield($A$1,_xll.qwSecVal($A$1,AA55,"CreditCurveName()"),AA55)-_xll.qwCurveYield($A$4,_xll.qwSecVal($A$4,AA55,"CreditCurveName()"),AA55))*P55*10000,IF(N55="Bond",-(_xll.qwCurveYield($A$1,_xll.qwSecVal($A$1,F55,"CreditCurveName()"),F55)-_xll.qwCurveYield($A$4,_xll.qwSecVal($A$4,F55,"CreditCurveName()"),F55))*P55*10000,O55))</f>
        <v>-40252.03138516847</v>
      </c>
      <c r="Z55" s="6" cm="1">
        <f t="array" ref="Z55">IF(OR(N55="BondFuture",N55="Bond"),P55*(_xll.qwCurveZSpread($A$4,_xll.qwSecVal($A$1,AA55,"CreditCurveName()"),AA55)-_xll.qwCurveZSpread($A$1,_xll.qwSecVal($A$1,AA55,"CreditCurveName()"),AA55)),0)</f>
        <v>0</v>
      </c>
      <c r="AA55" s="9" cm="1">
        <f t="array" ref="AA55">IF(_xll.qwSecType(F55)="Bond",F55,IF(_xll.qwSecType(F55)="BondFuture",_xll.qwFutCTD($A$1,F55),0))</f>
        <v>0</v>
      </c>
      <c r="AB55" s="6" cm="1">
        <f t="array" ref="AB55">IF(_xll.qwSecType(F55)="BondFuture",-(I55*_xll.qwDelta($A$4,F55)*_xll.qwMVFactor($A$1,F55)/_xll.qwMVFactor($A$1,_xll.qwFutCTD($A$1,F55)))*(_xll.qwFXRate($A$1,F55)*_xll.qwMVFactor($A$1,_xll.qwFutCTD($A$1,F55))*(_xll.qwIncome($A$4,_xll.qwFutCTD($A$4,F55),_xll.qwBondSettle($A$4,_xll.qwFutCTD($A$4,F55)),_xll.qwBondSettle($A$1,_xll.qwFutCTD($A$1,F55)))+(_xll.qwSecVal($A$1,AA55,"Price")-_xll.qwSecVal($A$4,AA55,"Price"))-_xll.qwBondRepoFromTo($A$1,AA55,_xll.qwBondSettle($A$4,AA55),_xll.qwBondSettle($A$1,AA55))*_xll.qwSecVal($A$1,AA55,"Price")*(_xll.qwBondSettle($A$1,AA55)-_xll.qwBondSettle($A$4,AA55))/360))+O55,0)</f>
        <v>0</v>
      </c>
      <c r="AC55" s="9" cm="1">
        <f t="array" ref="AC55">O55+T55+IF(ISNUMBER(_xll.qwIncome($A$1,F55,_xll.qwSettle($A$4,F55),_xll.qwSettle($A$1,F55))*_xll.qwMVFactor($A$1,F55)*_xll.qwFXRate($A$1,F55)*I55),_xll.qwIncome($A$1,F55,_xll.qwSettle($A$4,F55),_xll.qwSettle($A$1,F55))*_xll.qwMVFactor($A$1,F55)*_xll.qwFXRate($A$1,F55)*I55,0)+IF(ISNUMBER(-(_xll.qwBondRepoFromTo($A$1,F55,_xll.qwSettle($A$4,F55),_xll.qwSettle($A$1,F55))*_xll.qwSecVal($A$1,F55,"Price")*(_xll.qwSettle($A$1,F55)-_xll.qwSettle($A$4,F55))/360)*_xll.qwMVFactor($A$1,F55)*_xll.qwFXRate($A$1,F55)*I55),-(_xll.qwBondRepoFromTo($A$1,F55,_xll.qwSettle($A$4,F55),_xll.qwSettle($A$1,F55))*_xll.qwSecVal($A$1,F55,"Price")*(_xll.qwSettle($A$1,F55)-_xll.qwSettle($A$4,F55))/360)*_xll.qwMVFactor($A$1,F55)*_xll.qwFXRate($A$1,F55)*I55,0)</f>
        <v>-40252.03138516847</v>
      </c>
      <c r="AD55" s="6"/>
    </row>
    <row r="56" spans="2:30" s="7" customFormat="1" x14ac:dyDescent="0.35">
      <c r="B56" s="7" t="str">
        <v>jcleary</v>
      </c>
      <c r="C56" s="7" t="str">
        <v>MAMS</v>
      </c>
      <c r="D56" s="7" t="str">
        <v>jcleary|MAMS|RV_US_FV_Spread|249800652</v>
      </c>
      <c r="E56" s="7" t="str">
        <v>RV_US_FV_Spread</v>
      </c>
      <c r="F56" s="7" t="str">
        <v>249800652</v>
      </c>
      <c r="G56" s="7">
        <v>212</v>
      </c>
      <c r="H56" s="7">
        <v>0</v>
      </c>
      <c r="I56" s="7">
        <v>212</v>
      </c>
      <c r="J56" s="7">
        <v>0</v>
      </c>
      <c r="K56" s="7">
        <v>0</v>
      </c>
      <c r="L56" s="7">
        <v>0</v>
      </c>
      <c r="M56" s="7">
        <v>0</v>
      </c>
      <c r="N56" s="7" t="str">
        <v>SwapTrade</v>
      </c>
      <c r="O56" s="6" cm="1">
        <f t="array" ref="O56">(_xll.qwPrice($A$1,F56)-_xll.qwPrice($A$4,F56))*_xll.qwMVFactor($A$1,F56)*I56*_xll.qwFXRate($A$1,F56)</f>
        <v>-53276.555039459643</v>
      </c>
      <c r="P56" s="6" cm="1">
        <f t="array" ref="P56">IF(ISNUMBER(_xll.qwDV01($A$1,F56)*I56*_xll.qwMVFactor($A$1,F56)*_xll.qwFXRate($A$1,F56)),_xll.qwDV01($A$1,F56)*I56*_xll.qwMVFactor($A$1,F56)*_xll.qwFXRate($A$1,F56),0)</f>
        <v>-72225.963042852221</v>
      </c>
      <c r="Q56" s="6" cm="1">
        <f t="array" ref="Q56">IF(ISNUMBER(_xll.qwDV01($A$1,F56)*G56*_xll.qwMVFactor($A$1,F56)*_xll.qwFXRate($A$1,F56)),_xll.qwDV01($A$1,F56)*G56*_xll.qwMVFactor($A$1,F56)*_xll.qwFXRate($A$1,F56),0)</f>
        <v>-72225.963042852221</v>
      </c>
      <c r="R56" s="6" cm="1">
        <f t="array" ref="R56">IF(ISNUMBER(_xll.qwDV01($A$1,F56)*J56*_xll.qwMVFactor($A$1,F56)*_xll.qwFXRate($A$1,F56)),_xll.qwDV01($A$1,F56)*J56*_xll.qwMVFactor($A$1,F56)*_xll.qwFXRate($A$1,F56),0)</f>
        <v>0</v>
      </c>
      <c r="S56" s="6" cm="1">
        <f t="array" ref="S56">IF(ISNUMBER(_xll.qwDV01($A$1,F56)*J56*_xll.qwMVFactor($A$1,F56)*_xll.qwFXRate($A$1,F56)),_xll.qwDV01($A$1,F56)*J56*_xll.qwMVFactor($A$1,F56)*_xll.qwFXRate($A$1,F56),0)</f>
        <v>0</v>
      </c>
      <c r="T56" s="6" cm="1">
        <f t="array" ref="T56">_xll.qwFXRate($A$1,F56)*J56*(_xll.qwPrice($A$1,F56)-M56)*_xll.qwMVFactor($A$1,F56)+L56</f>
        <v>0</v>
      </c>
      <c r="U56" s="8" cm="1">
        <f t="array" ref="U56">_xll.qwYield($A$1,F56)</f>
        <v>4.7015063131400602E-2</v>
      </c>
      <c r="V56" s="8" cm="1">
        <f t="array" ref="V56">100*(_xll.qwYield($A$4,F56)-U56)</f>
        <v>6.9190954513340119E-3</v>
      </c>
      <c r="W56" s="6">
        <f>IF(ISNA(G56*INDEX(_xll.qwTblData(_xll.qwCurveScenariosPerSecurity($A$1,F56,"Crv210")),2,2)),0,(G56*INDEX(_xll.qwTblData(_xll.qwCurveScenariosPerSecurity($A$1,F56,"Crv210")),2,2)))</f>
        <v>-19918.884981994208</v>
      </c>
      <c r="X56" s="6" cm="1">
        <f t="array" ref="X56">ABS(Q56/_xll.qwMV01($A$1,"CT10"))</f>
        <v>97.229944252652302</v>
      </c>
      <c r="Y56" s="6" cm="1">
        <f t="array" ref="Y56">IF(N56="BondFuture",-(_xll.qwCurveYield($A$1,_xll.qwSecVal($A$1,AA56,"CreditCurveName()"),AA56)-_xll.qwCurveYield($A$4,_xll.qwSecVal($A$4,AA56,"CreditCurveName()"),AA56))*P56*10000,IF(N56="Bond",-(_xll.qwCurveYield($A$1,_xll.qwSecVal($A$1,F56,"CreditCurveName()"),F56)-_xll.qwCurveYield($A$4,_xll.qwSecVal($A$4,F56,"CreditCurveName()"),F56))*P56*10000,O56))</f>
        <v>-53276.555039459643</v>
      </c>
      <c r="Z56" s="6" cm="1">
        <f t="array" ref="Z56">IF(OR(N56="BondFuture",N56="Bond"),P56*(_xll.qwCurveZSpread($A$4,_xll.qwSecVal($A$1,AA56,"CreditCurveName()"),AA56)-_xll.qwCurveZSpread($A$1,_xll.qwSecVal($A$1,AA56,"CreditCurveName()"),AA56)),0)</f>
        <v>0</v>
      </c>
      <c r="AA56" s="9" cm="1">
        <f t="array" ref="AA56">IF(_xll.qwSecType(F56)="Bond",F56,IF(_xll.qwSecType(F56)="BondFuture",_xll.qwFutCTD($A$1,F56),0))</f>
        <v>0</v>
      </c>
      <c r="AB56" s="6" cm="1">
        <f t="array" ref="AB56">IF(_xll.qwSecType(F56)="BondFuture",-(I56*_xll.qwDelta($A$4,F56)*_xll.qwMVFactor($A$1,F56)/_xll.qwMVFactor($A$1,_xll.qwFutCTD($A$1,F56)))*(_xll.qwFXRate($A$1,F56)*_xll.qwMVFactor($A$1,_xll.qwFutCTD($A$1,F56))*(_xll.qwIncome($A$4,_xll.qwFutCTD($A$4,F56),_xll.qwBondSettle($A$4,_xll.qwFutCTD($A$4,F56)),_xll.qwBondSettle($A$1,_xll.qwFutCTD($A$1,F56)))+(_xll.qwSecVal($A$1,AA56,"Price")-_xll.qwSecVal($A$4,AA56,"Price"))-_xll.qwBondRepoFromTo($A$1,AA56,_xll.qwBondSettle($A$4,AA56),_xll.qwBondSettle($A$1,AA56))*_xll.qwSecVal($A$1,AA56,"Price")*(_xll.qwBondSettle($A$1,AA56)-_xll.qwBondSettle($A$4,AA56))/360))+O56,0)</f>
        <v>0</v>
      </c>
      <c r="AC56" s="9" cm="1">
        <f t="array" ref="AC56">O56+T56+IF(ISNUMBER(_xll.qwIncome($A$1,F56,_xll.qwSettle($A$4,F56),_xll.qwSettle($A$1,F56))*_xll.qwMVFactor($A$1,F56)*_xll.qwFXRate($A$1,F56)*I56),_xll.qwIncome($A$1,F56,_xll.qwSettle($A$4,F56),_xll.qwSettle($A$1,F56))*_xll.qwMVFactor($A$1,F56)*_xll.qwFXRate($A$1,F56)*I56,0)+IF(ISNUMBER(-(_xll.qwBondRepoFromTo($A$1,F56,_xll.qwSettle($A$4,F56),_xll.qwSettle($A$1,F56))*_xll.qwSecVal($A$1,F56,"Price")*(_xll.qwSettle($A$1,F56)-_xll.qwSettle($A$4,F56))/360)*_xll.qwMVFactor($A$1,F56)*_xll.qwFXRate($A$1,F56)*I56),-(_xll.qwBondRepoFromTo($A$1,F56,_xll.qwSettle($A$4,F56),_xll.qwSettle($A$1,F56))*_xll.qwSecVal($A$1,F56,"Price")*(_xll.qwSettle($A$1,F56)-_xll.qwSettle($A$4,F56))/360)*_xll.qwMVFactor($A$1,F56)*_xll.qwFXRate($A$1,F56)*I56,0)</f>
        <v>-53276.555039459643</v>
      </c>
      <c r="AD56" s="6"/>
    </row>
    <row r="57" spans="2:30" s="7" customFormat="1" x14ac:dyDescent="0.35">
      <c r="B57" s="7" t="str">
        <v>jcleary</v>
      </c>
      <c r="C57" s="7" t="str">
        <v>MAMS</v>
      </c>
      <c r="D57" s="7" t="str">
        <v>jcleary|MAMS|RV_US_FV_Spread|249801055</v>
      </c>
      <c r="E57" s="7" t="str">
        <v>RV_US_FV_Spread</v>
      </c>
      <c r="F57" s="7" t="str">
        <v>249801055</v>
      </c>
      <c r="G57" s="7">
        <v>440</v>
      </c>
      <c r="H57" s="7">
        <v>0</v>
      </c>
      <c r="I57" s="7">
        <v>440</v>
      </c>
      <c r="J57" s="7">
        <v>0</v>
      </c>
      <c r="K57" s="7">
        <v>0</v>
      </c>
      <c r="L57" s="7">
        <v>0</v>
      </c>
      <c r="M57" s="7">
        <v>0</v>
      </c>
      <c r="N57" s="7" t="str">
        <v>SwapTrade</v>
      </c>
      <c r="O57" s="6" cm="1">
        <f t="array" ref="O57">(_xll.qwPrice($A$1,F57)-_xll.qwPrice($A$4,F57))*_xll.qwMVFactor($A$1,F57)*I57*_xll.qwFXRate($A$1,F57)</f>
        <v>-175517.4355922465</v>
      </c>
      <c r="P57" s="6" cm="1">
        <f t="array" ref="P57">IF(ISNUMBER(_xll.qwDV01($A$1,F57)*I57*_xll.qwMVFactor($A$1,F57)*_xll.qwFXRate($A$1,F57)),_xll.qwDV01($A$1,F57)*I57*_xll.qwMVFactor($A$1,F57)*_xll.qwFXRate($A$1,F57),0)</f>
        <v>-187428.05132524247</v>
      </c>
      <c r="Q57" s="6" cm="1">
        <f t="array" ref="Q57">IF(ISNUMBER(_xll.qwDV01($A$1,F57)*G57*_xll.qwMVFactor($A$1,F57)*_xll.qwFXRate($A$1,F57)),_xll.qwDV01($A$1,F57)*G57*_xll.qwMVFactor($A$1,F57)*_xll.qwFXRate($A$1,F57),0)</f>
        <v>-187428.05132524247</v>
      </c>
      <c r="R57" s="6" cm="1">
        <f t="array" ref="R57">IF(ISNUMBER(_xll.qwDV01($A$1,F57)*J57*_xll.qwMVFactor($A$1,F57)*_xll.qwFXRate($A$1,F57)),_xll.qwDV01($A$1,F57)*J57*_xll.qwMVFactor($A$1,F57)*_xll.qwFXRate($A$1,F57),0)</f>
        <v>0</v>
      </c>
      <c r="S57" s="6" cm="1">
        <f t="array" ref="S57">IF(ISNUMBER(_xll.qwDV01($A$1,F57)*J57*_xll.qwMVFactor($A$1,F57)*_xll.qwFXRate($A$1,F57)),_xll.qwDV01($A$1,F57)*J57*_xll.qwMVFactor($A$1,F57)*_xll.qwFXRate($A$1,F57),0)</f>
        <v>0</v>
      </c>
      <c r="T57" s="6" cm="1">
        <f t="array" ref="T57">_xll.qwFXRate($A$1,F57)*J57*(_xll.qwPrice($A$1,F57)-M57)*_xll.qwMVFactor($A$1,F57)+L57</f>
        <v>0</v>
      </c>
      <c r="U57" s="8" cm="1">
        <f t="array" ref="U57">_xll.qwYield($A$1,F57)</f>
        <v>4.710832052552244E-2</v>
      </c>
      <c r="V57" s="8" cm="1">
        <f t="array" ref="V57">100*(_xll.qwYield($A$4,F57)-U57)</f>
        <v>8.990898775992906E-3</v>
      </c>
      <c r="W57" s="6">
        <f>IF(ISNA(G57*INDEX(_xll.qwTblData(_xll.qwCurveScenariosPerSecurity($A$1,F57,"Crv210")),2,2)),0,(G57*INDEX(_xll.qwTblData(_xll.qwCurveScenariosPerSecurity($A$1,F57,"Crv210")),2,2)))</f>
        <v>-25870.043785993781</v>
      </c>
      <c r="X57" s="6" cm="1">
        <f t="array" ref="X57">ABS(Q57/_xll.qwMV01($A$1,"CT10"))</f>
        <v>252.31396320633851</v>
      </c>
      <c r="Y57" s="6" cm="1">
        <f t="array" ref="Y57">IF(N57="BondFuture",-(_xll.qwCurveYield($A$1,_xll.qwSecVal($A$1,AA57,"CreditCurveName()"),AA57)-_xll.qwCurveYield($A$4,_xll.qwSecVal($A$4,AA57,"CreditCurveName()"),AA57))*P57*10000,IF(N57="Bond",-(_xll.qwCurveYield($A$1,_xll.qwSecVal($A$1,F57,"CreditCurveName()"),F57)-_xll.qwCurveYield($A$4,_xll.qwSecVal($A$4,F57,"CreditCurveName()"),F57))*P57*10000,O57))</f>
        <v>-175517.4355922465</v>
      </c>
      <c r="Z57" s="6" cm="1">
        <f t="array" ref="Z57">IF(OR(N57="BondFuture",N57="Bond"),P57*(_xll.qwCurveZSpread($A$4,_xll.qwSecVal($A$1,AA57,"CreditCurveName()"),AA57)-_xll.qwCurveZSpread($A$1,_xll.qwSecVal($A$1,AA57,"CreditCurveName()"),AA57)),0)</f>
        <v>0</v>
      </c>
      <c r="AA57" s="9" cm="1">
        <f t="array" ref="AA57">IF(_xll.qwSecType(F57)="Bond",F57,IF(_xll.qwSecType(F57)="BondFuture",_xll.qwFutCTD($A$1,F57),0))</f>
        <v>0</v>
      </c>
      <c r="AB57" s="6" cm="1">
        <f t="array" ref="AB57">IF(_xll.qwSecType(F57)="BondFuture",-(I57*_xll.qwDelta($A$4,F57)*_xll.qwMVFactor($A$1,F57)/_xll.qwMVFactor($A$1,_xll.qwFutCTD($A$1,F57)))*(_xll.qwFXRate($A$1,F57)*_xll.qwMVFactor($A$1,_xll.qwFutCTD($A$1,F57))*(_xll.qwIncome($A$4,_xll.qwFutCTD($A$4,F57),_xll.qwBondSettle($A$4,_xll.qwFutCTD($A$4,F57)),_xll.qwBondSettle($A$1,_xll.qwFutCTD($A$1,F57)))+(_xll.qwSecVal($A$1,AA57,"Price")-_xll.qwSecVal($A$4,AA57,"Price"))-_xll.qwBondRepoFromTo($A$1,AA57,_xll.qwBondSettle($A$4,AA57),_xll.qwBondSettle($A$1,AA57))*_xll.qwSecVal($A$1,AA57,"Price")*(_xll.qwBondSettle($A$1,AA57)-_xll.qwBondSettle($A$4,AA57))/360))+O57,0)</f>
        <v>0</v>
      </c>
      <c r="AC57" s="9" cm="1">
        <f t="array" ref="AC57">O57+T57+IF(ISNUMBER(_xll.qwIncome($A$1,F57,_xll.qwSettle($A$4,F57),_xll.qwSettle($A$1,F57))*_xll.qwMVFactor($A$1,F57)*_xll.qwFXRate($A$1,F57)*I57),_xll.qwIncome($A$1,F57,_xll.qwSettle($A$4,F57),_xll.qwSettle($A$1,F57))*_xll.qwMVFactor($A$1,F57)*_xll.qwFXRate($A$1,F57)*I57,0)+IF(ISNUMBER(-(_xll.qwBondRepoFromTo($A$1,F57,_xll.qwSettle($A$4,F57),_xll.qwSettle($A$1,F57))*_xll.qwSecVal($A$1,F57,"Price")*(_xll.qwSettle($A$1,F57)-_xll.qwSettle($A$4,F57))/360)*_xll.qwMVFactor($A$1,F57)*_xll.qwFXRate($A$1,F57)*I57),-(_xll.qwBondRepoFromTo($A$1,F57,_xll.qwSettle($A$4,F57),_xll.qwSettle($A$1,F57))*_xll.qwSecVal($A$1,F57,"Price")*(_xll.qwSettle($A$1,F57)-_xll.qwSettle($A$4,F57))/360)*_xll.qwMVFactor($A$1,F57)*_xll.qwFXRate($A$1,F57)*I57,0)</f>
        <v>-175517.4355922465</v>
      </c>
      <c r="AD57" s="6"/>
    </row>
    <row r="58" spans="2:30" s="7" customFormat="1" x14ac:dyDescent="0.35">
      <c r="B58" s="7" t="str">
        <v>jcleary</v>
      </c>
      <c r="C58" s="7" t="str">
        <v>MAMS</v>
      </c>
      <c r="D58" s="7" t="str">
        <v>jcleary|MAMS|RV_US_FV_Spread|250656579</v>
      </c>
      <c r="E58" s="7" t="str">
        <v>RV_US_FV_Spread</v>
      </c>
      <c r="F58" s="7" t="str">
        <v>250656579</v>
      </c>
      <c r="G58" s="7">
        <v>301.3</v>
      </c>
      <c r="H58" s="7">
        <v>0</v>
      </c>
      <c r="I58" s="7">
        <v>301.3</v>
      </c>
      <c r="J58" s="7">
        <v>0</v>
      </c>
      <c r="K58" s="7">
        <v>0</v>
      </c>
      <c r="L58" s="7">
        <v>0</v>
      </c>
      <c r="M58" s="7">
        <v>0</v>
      </c>
      <c r="N58" s="7" t="str">
        <v>SwapTrade</v>
      </c>
      <c r="O58" s="6" cm="1">
        <f t="array" ref="O58">(_xll.qwPrice($A$1,F58)-_xll.qwPrice($A$4,F58))*_xll.qwMVFactor($A$1,F58)*I58*_xll.qwFXRate($A$1,F58)</f>
        <v>100698.7197756206</v>
      </c>
      <c r="P58" s="6" cm="1">
        <f t="array" ref="P58">IF(ISNUMBER(_xll.qwDV01($A$1,F58)*I58*_xll.qwMVFactor($A$1,F58)*_xll.qwFXRate($A$1,F58)),_xll.qwDV01($A$1,F58)*I58*_xll.qwMVFactor($A$1,F58)*_xll.qwFXRate($A$1,F58),0)</f>
        <v>116647.11443238523</v>
      </c>
      <c r="Q58" s="6" cm="1">
        <f t="array" ref="Q58">IF(ISNUMBER(_xll.qwDV01($A$1,F58)*G58*_xll.qwMVFactor($A$1,F58)*_xll.qwFXRate($A$1,F58)),_xll.qwDV01($A$1,F58)*G58*_xll.qwMVFactor($A$1,F58)*_xll.qwFXRate($A$1,F58),0)</f>
        <v>116647.11443238523</v>
      </c>
      <c r="R58" s="6" cm="1">
        <f t="array" ref="R58">IF(ISNUMBER(_xll.qwDV01($A$1,F58)*J58*_xll.qwMVFactor($A$1,F58)*_xll.qwFXRate($A$1,F58)),_xll.qwDV01($A$1,F58)*J58*_xll.qwMVFactor($A$1,F58)*_xll.qwFXRate($A$1,F58),0)</f>
        <v>0</v>
      </c>
      <c r="S58" s="6" cm="1">
        <f t="array" ref="S58">IF(ISNUMBER(_xll.qwDV01($A$1,F58)*J58*_xll.qwMVFactor($A$1,F58)*_xll.qwFXRate($A$1,F58)),_xll.qwDV01($A$1,F58)*J58*_xll.qwMVFactor($A$1,F58)*_xll.qwFXRate($A$1,F58),0)</f>
        <v>0</v>
      </c>
      <c r="T58" s="6" cm="1">
        <f t="array" ref="T58">_xll.qwFXRate($A$1,F58)*J58*(_xll.qwPrice($A$1,F58)-M58)*_xll.qwMVFactor($A$1,F58)+L58</f>
        <v>0</v>
      </c>
      <c r="U58" s="8" cm="1">
        <f t="array" ref="U58">_xll.qwYield($A$1,F58)</f>
        <v>4.7040746613169065E-2</v>
      </c>
      <c r="V58" s="8" cm="1">
        <f t="array" ref="V58">100*(_xll.qwYield($A$4,F58)-U58)</f>
        <v>8.1369158680115461E-3</v>
      </c>
      <c r="W58" s="6">
        <f>IF(ISNA(G58*INDEX(_xll.qwTblData(_xll.qwCurveScenariosPerSecurity($A$1,F58,"Crv210")),2,2)),0,(G58*INDEX(_xll.qwTblData(_xll.qwCurveScenariosPerSecurity($A$1,F58,"Crv210")),2,2)))</f>
        <v>23532.904595270466</v>
      </c>
      <c r="X58" s="6" cm="1">
        <f t="array" ref="X58">ABS(Q58/_xll.qwMV01($A$1,"CT10"))</f>
        <v>157.02930020835467</v>
      </c>
      <c r="Y58" s="6" cm="1">
        <f t="array" ref="Y58">IF(N58="BondFuture",-(_xll.qwCurveYield($A$1,_xll.qwSecVal($A$1,AA58,"CreditCurveName()"),AA58)-_xll.qwCurveYield($A$4,_xll.qwSecVal($A$4,AA58,"CreditCurveName()"),AA58))*P58*10000,IF(N58="Bond",-(_xll.qwCurveYield($A$1,_xll.qwSecVal($A$1,F58,"CreditCurveName()"),F58)-_xll.qwCurveYield($A$4,_xll.qwSecVal($A$4,F58,"CreditCurveName()"),F58))*P58*10000,O58))</f>
        <v>100698.7197756206</v>
      </c>
      <c r="Z58" s="6" cm="1">
        <f t="array" ref="Z58">IF(OR(N58="BondFuture",N58="Bond"),P58*(_xll.qwCurveZSpread($A$4,_xll.qwSecVal($A$1,AA58,"CreditCurveName()"),AA58)-_xll.qwCurveZSpread($A$1,_xll.qwSecVal($A$1,AA58,"CreditCurveName()"),AA58)),0)</f>
        <v>0</v>
      </c>
      <c r="AA58" s="9" cm="1">
        <f t="array" ref="AA58">IF(_xll.qwSecType(F58)="Bond",F58,IF(_xll.qwSecType(F58)="BondFuture",_xll.qwFutCTD($A$1,F58),0))</f>
        <v>0</v>
      </c>
      <c r="AB58" s="6" cm="1">
        <f t="array" ref="AB58">IF(_xll.qwSecType(F58)="BondFuture",-(I58*_xll.qwDelta($A$4,F58)*_xll.qwMVFactor($A$1,F58)/_xll.qwMVFactor($A$1,_xll.qwFutCTD($A$1,F58)))*(_xll.qwFXRate($A$1,F58)*_xll.qwMVFactor($A$1,_xll.qwFutCTD($A$1,F58))*(_xll.qwIncome($A$4,_xll.qwFutCTD($A$4,F58),_xll.qwBondSettle($A$4,_xll.qwFutCTD($A$4,F58)),_xll.qwBondSettle($A$1,_xll.qwFutCTD($A$1,F58)))+(_xll.qwSecVal($A$1,AA58,"Price")-_xll.qwSecVal($A$4,AA58,"Price"))-_xll.qwBondRepoFromTo($A$1,AA58,_xll.qwBondSettle($A$4,AA58),_xll.qwBondSettle($A$1,AA58))*_xll.qwSecVal($A$1,AA58,"Price")*(_xll.qwBondSettle($A$1,AA58)-_xll.qwBondSettle($A$4,AA58))/360))+O58,0)</f>
        <v>0</v>
      </c>
      <c r="AC58" s="9" cm="1">
        <f t="array" ref="AC58">O58+T58+IF(ISNUMBER(_xll.qwIncome($A$1,F58,_xll.qwSettle($A$4,F58),_xll.qwSettle($A$1,F58))*_xll.qwMVFactor($A$1,F58)*_xll.qwFXRate($A$1,F58)*I58),_xll.qwIncome($A$1,F58,_xll.qwSettle($A$4,F58),_xll.qwSettle($A$1,F58))*_xll.qwMVFactor($A$1,F58)*_xll.qwFXRate($A$1,F58)*I58,0)+IF(ISNUMBER(-(_xll.qwBondRepoFromTo($A$1,F58,_xll.qwSettle($A$4,F58),_xll.qwSettle($A$1,F58))*_xll.qwSecVal($A$1,F58,"Price")*(_xll.qwSettle($A$1,F58)-_xll.qwSettle($A$4,F58))/360)*_xll.qwMVFactor($A$1,F58)*_xll.qwFXRate($A$1,F58)*I58),-(_xll.qwBondRepoFromTo($A$1,F58,_xll.qwSettle($A$4,F58),_xll.qwSettle($A$1,F58))*_xll.qwSecVal($A$1,F58,"Price")*(_xll.qwSettle($A$1,F58)-_xll.qwSettle($A$4,F58))/360)*_xll.qwMVFactor($A$1,F58)*_xll.qwFXRate($A$1,F58)*I58,0)</f>
        <v>100698.7197756206</v>
      </c>
      <c r="AD58" s="6"/>
    </row>
    <row r="59" spans="2:30" s="7" customFormat="1" x14ac:dyDescent="0.35">
      <c r="B59" s="7" t="str">
        <v>jcleary</v>
      </c>
      <c r="C59" s="7" t="str">
        <v>MAMS</v>
      </c>
      <c r="D59" s="7" t="str">
        <v>jcleary|MAMS|RV_US_FV_Spread|250657548</v>
      </c>
      <c r="E59" s="7" t="str">
        <v>RV_US_FV_Spread</v>
      </c>
      <c r="F59" s="7" t="str">
        <v>250657548</v>
      </c>
      <c r="G59" s="7">
        <v>274.39999999999998</v>
      </c>
      <c r="H59" s="7">
        <v>0</v>
      </c>
      <c r="I59" s="7">
        <v>274.39999999999998</v>
      </c>
      <c r="J59" s="7">
        <v>0</v>
      </c>
      <c r="K59" s="7">
        <v>0</v>
      </c>
      <c r="L59" s="7">
        <v>0</v>
      </c>
      <c r="M59" s="7">
        <v>0</v>
      </c>
      <c r="N59" s="7" t="str">
        <v>SwapTrade</v>
      </c>
      <c r="O59" s="6" cm="1">
        <f t="array" ref="O59">(_xll.qwPrice($A$1,F59)-_xll.qwPrice($A$4,F59))*_xll.qwMVFactor($A$1,F59)*I59*_xll.qwFXRate($A$1,F59)</f>
        <v>-109594.13349163601</v>
      </c>
      <c r="P59" s="6" cm="1">
        <f t="array" ref="P59">IF(ISNUMBER(_xll.qwDV01($A$1,F59)*I59*_xll.qwMVFactor($A$1,F59)*_xll.qwFXRate($A$1,F59)),_xll.qwDV01($A$1,F59)*I59*_xll.qwMVFactor($A$1,F59)*_xll.qwFXRate($A$1,F59),0)</f>
        <v>-117066.73612585901</v>
      </c>
      <c r="Q59" s="6" cm="1">
        <f t="array" ref="Q59">IF(ISNUMBER(_xll.qwDV01($A$1,F59)*G59*_xll.qwMVFactor($A$1,F59)*_xll.qwFXRate($A$1,F59)),_xll.qwDV01($A$1,F59)*G59*_xll.qwMVFactor($A$1,F59)*_xll.qwFXRate($A$1,F59),0)</f>
        <v>-117066.73612585901</v>
      </c>
      <c r="R59" s="6" cm="1">
        <f t="array" ref="R59">IF(ISNUMBER(_xll.qwDV01($A$1,F59)*J59*_xll.qwMVFactor($A$1,F59)*_xll.qwFXRate($A$1,F59)),_xll.qwDV01($A$1,F59)*J59*_xll.qwMVFactor($A$1,F59)*_xll.qwFXRate($A$1,F59),0)</f>
        <v>0</v>
      </c>
      <c r="S59" s="6" cm="1">
        <f t="array" ref="S59">IF(ISNUMBER(_xll.qwDV01($A$1,F59)*J59*_xll.qwMVFactor($A$1,F59)*_xll.qwFXRate($A$1,F59)),_xll.qwDV01($A$1,F59)*J59*_xll.qwMVFactor($A$1,F59)*_xll.qwFXRate($A$1,F59),0)</f>
        <v>0</v>
      </c>
      <c r="T59" s="6" cm="1">
        <f t="array" ref="T59">_xll.qwFXRate($A$1,F59)*J59*(_xll.qwPrice($A$1,F59)-M59)*_xll.qwMVFactor($A$1,F59)+L59</f>
        <v>0</v>
      </c>
      <c r="U59" s="8" cm="1">
        <f t="array" ref="U59">_xll.qwYield($A$1,F59)</f>
        <v>4.710832052552244E-2</v>
      </c>
      <c r="V59" s="8" cm="1">
        <f t="array" ref="V59">100*(_xll.qwYield($A$4,F59)-U59)</f>
        <v>8.990898775992906E-3</v>
      </c>
      <c r="W59" s="6">
        <f>IF(ISNA(G59*INDEX(_xll.qwTblData(_xll.qwCurveScenariosPerSecurity($A$1,F59,"Crv210")),2,2)),0,(G59*INDEX(_xll.qwTblData(_xll.qwCurveScenariosPerSecurity($A$1,F59,"Crv210")),2,2)))</f>
        <v>-16187.60856804938</v>
      </c>
      <c r="X59" s="6" cm="1">
        <f t="array" ref="X59">ABS(Q59/_xll.qwMV01($A$1,"CT10"))</f>
        <v>157.59419117200235</v>
      </c>
      <c r="Y59" s="6" cm="1">
        <f t="array" ref="Y59">IF(N59="BondFuture",-(_xll.qwCurveYield($A$1,_xll.qwSecVal($A$1,AA59,"CreditCurveName()"),AA59)-_xll.qwCurveYield($A$4,_xll.qwSecVal($A$4,AA59,"CreditCurveName()"),AA59))*P59*10000,IF(N59="Bond",-(_xll.qwCurveYield($A$1,_xll.qwSecVal($A$1,F59,"CreditCurveName()"),F59)-_xll.qwCurveYield($A$4,_xll.qwSecVal($A$4,F59,"CreditCurveName()"),F59))*P59*10000,O59))</f>
        <v>-109594.13349163601</v>
      </c>
      <c r="Z59" s="6" cm="1">
        <f t="array" ref="Z59">IF(OR(N59="BondFuture",N59="Bond"),P59*(_xll.qwCurveZSpread($A$4,_xll.qwSecVal($A$1,AA59,"CreditCurveName()"),AA59)-_xll.qwCurveZSpread($A$1,_xll.qwSecVal($A$1,AA59,"CreditCurveName()"),AA59)),0)</f>
        <v>0</v>
      </c>
      <c r="AA59" s="9" cm="1">
        <f t="array" ref="AA59">IF(_xll.qwSecType(F59)="Bond",F59,IF(_xll.qwSecType(F59)="BondFuture",_xll.qwFutCTD($A$1,F59),0))</f>
        <v>0</v>
      </c>
      <c r="AB59" s="6" cm="1">
        <f t="array" ref="AB59">IF(_xll.qwSecType(F59)="BondFuture",-(I59*_xll.qwDelta($A$4,F59)*_xll.qwMVFactor($A$1,F59)/_xll.qwMVFactor($A$1,_xll.qwFutCTD($A$1,F59)))*(_xll.qwFXRate($A$1,F59)*_xll.qwMVFactor($A$1,_xll.qwFutCTD($A$1,F59))*(_xll.qwIncome($A$4,_xll.qwFutCTD($A$4,F59),_xll.qwBondSettle($A$4,_xll.qwFutCTD($A$4,F59)),_xll.qwBondSettle($A$1,_xll.qwFutCTD($A$1,F59)))+(_xll.qwSecVal($A$1,AA59,"Price")-_xll.qwSecVal($A$4,AA59,"Price"))-_xll.qwBondRepoFromTo($A$1,AA59,_xll.qwBondSettle($A$4,AA59),_xll.qwBondSettle($A$1,AA59))*_xll.qwSecVal($A$1,AA59,"Price")*(_xll.qwBondSettle($A$1,AA59)-_xll.qwBondSettle($A$4,AA59))/360))+O59,0)</f>
        <v>0</v>
      </c>
      <c r="AC59" s="9" cm="1">
        <f t="array" ref="AC59">O59+T59+IF(ISNUMBER(_xll.qwIncome($A$1,F59,_xll.qwSettle($A$4,F59),_xll.qwSettle($A$1,F59))*_xll.qwMVFactor($A$1,F59)*_xll.qwFXRate($A$1,F59)*I59),_xll.qwIncome($A$1,F59,_xll.qwSettle($A$4,F59),_xll.qwSettle($A$1,F59))*_xll.qwMVFactor($A$1,F59)*_xll.qwFXRate($A$1,F59)*I59,0)+IF(ISNUMBER(-(_xll.qwBondRepoFromTo($A$1,F59,_xll.qwSettle($A$4,F59),_xll.qwSettle($A$1,F59))*_xll.qwSecVal($A$1,F59,"Price")*(_xll.qwSettle($A$1,F59)-_xll.qwSettle($A$4,F59))/360)*_xll.qwMVFactor($A$1,F59)*_xll.qwFXRate($A$1,F59)*I59),-(_xll.qwBondRepoFromTo($A$1,F59,_xll.qwSettle($A$4,F59),_xll.qwSettle($A$1,F59))*_xll.qwSecVal($A$1,F59,"Price")*(_xll.qwSettle($A$1,F59)-_xll.qwSettle($A$4,F59))/360)*_xll.qwMVFactor($A$1,F59)*_xll.qwFXRate($A$1,F59)*I59,0)</f>
        <v>-109594.13349163601</v>
      </c>
      <c r="AD59" s="6"/>
    </row>
    <row r="60" spans="2:30" s="7" customFormat="1" x14ac:dyDescent="0.35">
      <c r="B60" s="7" t="str">
        <v>jcleary</v>
      </c>
      <c r="C60" s="7" t="str">
        <v>MAMS</v>
      </c>
      <c r="D60" s="7" t="str">
        <v>jcleary|MAMS|RV_US_FV_Spread|251360193</v>
      </c>
      <c r="E60" s="7" t="str">
        <v>RV_US_FV_Spread</v>
      </c>
      <c r="F60" s="7" t="str">
        <v>251360193</v>
      </c>
      <c r="G60" s="7">
        <v>1437</v>
      </c>
      <c r="H60" s="7">
        <v>0</v>
      </c>
      <c r="I60" s="7">
        <v>1437</v>
      </c>
      <c r="J60" s="7">
        <v>0</v>
      </c>
      <c r="K60" s="7">
        <v>0</v>
      </c>
      <c r="L60" s="7">
        <v>0</v>
      </c>
      <c r="M60" s="7">
        <v>0</v>
      </c>
      <c r="N60" s="7" t="str">
        <v>SwapTrade</v>
      </c>
      <c r="O60" s="6" cm="1">
        <f t="array" ref="O60">(_xll.qwPrice($A$1,F60)-_xll.qwPrice($A$4,F60))*_xll.qwMVFactor($A$1,F60)*I60*_xll.qwFXRate($A$1,F60)</f>
        <v>480356.88194813771</v>
      </c>
      <c r="P60" s="6" cm="1">
        <f t="array" ref="P60">IF(ISNUMBER(_xll.qwDV01($A$1,F60)*I60*_xll.qwMVFactor($A$1,F60)*_xll.qwFXRate($A$1,F60)),_xll.qwDV01($A$1,F60)*I60*_xll.qwMVFactor($A$1,F60)*_xll.qwFXRate($A$1,F60),0)</f>
        <v>556273.64682819275</v>
      </c>
      <c r="Q60" s="6" cm="1">
        <f t="array" ref="Q60">IF(ISNUMBER(_xll.qwDV01($A$1,F60)*G60*_xll.qwMVFactor($A$1,F60)*_xll.qwFXRate($A$1,F60)),_xll.qwDV01($A$1,F60)*G60*_xll.qwMVFactor($A$1,F60)*_xll.qwFXRate($A$1,F60),0)</f>
        <v>556273.64682819275</v>
      </c>
      <c r="R60" s="6" cm="1">
        <f t="array" ref="R60">IF(ISNUMBER(_xll.qwDV01($A$1,F60)*J60*_xll.qwMVFactor($A$1,F60)*_xll.qwFXRate($A$1,F60)),_xll.qwDV01($A$1,F60)*J60*_xll.qwMVFactor($A$1,F60)*_xll.qwFXRate($A$1,F60),0)</f>
        <v>0</v>
      </c>
      <c r="S60" s="6" cm="1">
        <f t="array" ref="S60">IF(ISNUMBER(_xll.qwDV01($A$1,F60)*J60*_xll.qwMVFactor($A$1,F60)*_xll.qwFXRate($A$1,F60)),_xll.qwDV01($A$1,F60)*J60*_xll.qwMVFactor($A$1,F60)*_xll.qwFXRate($A$1,F60),0)</f>
        <v>0</v>
      </c>
      <c r="T60" s="6" cm="1">
        <f t="array" ref="T60">_xll.qwFXRate($A$1,F60)*J60*(_xll.qwPrice($A$1,F60)-M60)*_xll.qwMVFactor($A$1,F60)+L60</f>
        <v>0</v>
      </c>
      <c r="U60" s="8" cm="1">
        <f t="array" ref="U60">_xll.qwYield($A$1,F60)</f>
        <v>4.7040746613169065E-2</v>
      </c>
      <c r="V60" s="8" cm="1">
        <f t="array" ref="V60">100*(_xll.qwYield($A$4,F60)-U60)</f>
        <v>8.1369158680115461E-3</v>
      </c>
      <c r="W60" s="6">
        <f>IF(ISNA(G60*INDEX(_xll.qwTblData(_xll.qwCurveScenariosPerSecurity($A$1,F60,"Crv210")),2,2)),0,(G60*INDEX(_xll.qwTblData(_xll.qwCurveScenariosPerSecurity($A$1,F60,"Crv210")),2,2)))</f>
        <v>112202.13234848462</v>
      </c>
      <c r="X60" s="6" cm="1">
        <f t="array" ref="X60">ABS(Q60/_xll.qwMV01($A$1,"CT10"))</f>
        <v>748.85059875539309</v>
      </c>
      <c r="Y60" s="6" cm="1">
        <f t="array" ref="Y60">IF(N60="BondFuture",-(_xll.qwCurveYield($A$1,_xll.qwSecVal($A$1,AA60,"CreditCurveName()"),AA60)-_xll.qwCurveYield($A$4,_xll.qwSecVal($A$4,AA60,"CreditCurveName()"),AA60))*P60*10000,IF(N60="Bond",-(_xll.qwCurveYield($A$1,_xll.qwSecVal($A$1,F60,"CreditCurveName()"),F60)-_xll.qwCurveYield($A$4,_xll.qwSecVal($A$4,F60,"CreditCurveName()"),F60))*P60*10000,O60))</f>
        <v>480356.88194813771</v>
      </c>
      <c r="Z60" s="6" cm="1">
        <f t="array" ref="Z60">IF(OR(N60="BondFuture",N60="Bond"),P60*(_xll.qwCurveZSpread($A$4,_xll.qwSecVal($A$1,AA60,"CreditCurveName()"),AA60)-_xll.qwCurveZSpread($A$1,_xll.qwSecVal($A$1,AA60,"CreditCurveName()"),AA60)),0)</f>
        <v>0</v>
      </c>
      <c r="AA60" s="9" cm="1">
        <f t="array" ref="AA60">IF(_xll.qwSecType(F60)="Bond",F60,IF(_xll.qwSecType(F60)="BondFuture",_xll.qwFutCTD($A$1,F60),0))</f>
        <v>0</v>
      </c>
      <c r="AB60" s="6" cm="1">
        <f t="array" ref="AB60">IF(_xll.qwSecType(F60)="BondFuture",-(I60*_xll.qwDelta($A$4,F60)*_xll.qwMVFactor($A$1,F60)/_xll.qwMVFactor($A$1,_xll.qwFutCTD($A$1,F60)))*(_xll.qwFXRate($A$1,F60)*_xll.qwMVFactor($A$1,_xll.qwFutCTD($A$1,F60))*(_xll.qwIncome($A$4,_xll.qwFutCTD($A$4,F60),_xll.qwBondSettle($A$4,_xll.qwFutCTD($A$4,F60)),_xll.qwBondSettle($A$1,_xll.qwFutCTD($A$1,F60)))+(_xll.qwSecVal($A$1,AA60,"Price")-_xll.qwSecVal($A$4,AA60,"Price"))-_xll.qwBondRepoFromTo($A$1,AA60,_xll.qwBondSettle($A$4,AA60),_xll.qwBondSettle($A$1,AA60))*_xll.qwSecVal($A$1,AA60,"Price")*(_xll.qwBondSettle($A$1,AA60)-_xll.qwBondSettle($A$4,AA60))/360))+O60,0)</f>
        <v>0</v>
      </c>
      <c r="AC60" s="9" cm="1">
        <f t="array" ref="AC60">O60+T60+IF(ISNUMBER(_xll.qwIncome($A$1,F60,_xll.qwSettle($A$4,F60),_xll.qwSettle($A$1,F60))*_xll.qwMVFactor($A$1,F60)*_xll.qwFXRate($A$1,F60)*I60),_xll.qwIncome($A$1,F60,_xll.qwSettle($A$4,F60),_xll.qwSettle($A$1,F60))*_xll.qwMVFactor($A$1,F60)*_xll.qwFXRate($A$1,F60)*I60,0)+IF(ISNUMBER(-(_xll.qwBondRepoFromTo($A$1,F60,_xll.qwSettle($A$4,F60),_xll.qwSettle($A$1,F60))*_xll.qwSecVal($A$1,F60,"Price")*(_xll.qwSettle($A$1,F60)-_xll.qwSettle($A$4,F60))/360)*_xll.qwMVFactor($A$1,F60)*_xll.qwFXRate($A$1,F60)*I60),-(_xll.qwBondRepoFromTo($A$1,F60,_xll.qwSettle($A$4,F60),_xll.qwSettle($A$1,F60))*_xll.qwSecVal($A$1,F60,"Price")*(_xll.qwSettle($A$1,F60)-_xll.qwSettle($A$4,F60))/360)*_xll.qwMVFactor($A$1,F60)*_xll.qwFXRate($A$1,F60)*I60,0)</f>
        <v>480356.88194813771</v>
      </c>
      <c r="AD60" s="6"/>
    </row>
    <row r="61" spans="2:30" s="7" customFormat="1" x14ac:dyDescent="0.35">
      <c r="B61" s="7" t="str">
        <v>jcleary</v>
      </c>
      <c r="C61" s="7" t="str">
        <v>MAMS</v>
      </c>
      <c r="D61" s="7" t="str">
        <v>jcleary|MAMS|RV_US_FV_Spread|251365860</v>
      </c>
      <c r="E61" s="7" t="str">
        <v>RV_US_FV_Spread</v>
      </c>
      <c r="F61" s="7" t="str">
        <v>251365860</v>
      </c>
      <c r="G61" s="7">
        <v>1134.4000000000001</v>
      </c>
      <c r="H61" s="7">
        <v>0</v>
      </c>
      <c r="I61" s="7">
        <v>1134.4000000000001</v>
      </c>
      <c r="J61" s="7">
        <v>0</v>
      </c>
      <c r="K61" s="7">
        <v>0</v>
      </c>
      <c r="L61" s="7">
        <v>0</v>
      </c>
      <c r="M61" s="7">
        <v>0</v>
      </c>
      <c r="N61" s="7" t="str">
        <v>SwapTrade</v>
      </c>
      <c r="O61" s="6" cm="1">
        <f t="array" ref="O61">(_xll.qwPrice($A$1,F61)-_xll.qwPrice($A$4,F61))*_xll.qwMVFactor($A$1,F61)*I61*_xll.qwFXRate($A$1,F61)</f>
        <v>379074.37241586164</v>
      </c>
      <c r="P61" s="6" cm="1">
        <f t="array" ref="P61">IF(ISNUMBER(_xll.qwDV01($A$1,F61)*I61*_xll.qwMVFactor($A$1,F61)*_xll.qwFXRate($A$1,F61)),_xll.qwDV01($A$1,F61)*I61*_xll.qwMVFactor($A$1,F61)*_xll.qwFXRate($A$1,F61),0)</f>
        <v>438949.50309545145</v>
      </c>
      <c r="Q61" s="6" cm="1">
        <f t="array" ref="Q61">IF(ISNUMBER(_xll.qwDV01($A$1,F61)*G61*_xll.qwMVFactor($A$1,F61)*_xll.qwFXRate($A$1,F61)),_xll.qwDV01($A$1,F61)*G61*_xll.qwMVFactor($A$1,F61)*_xll.qwFXRate($A$1,F61),0)</f>
        <v>438949.50309545145</v>
      </c>
      <c r="R61" s="6" cm="1">
        <f t="array" ref="R61">IF(ISNUMBER(_xll.qwDV01($A$1,F61)*J61*_xll.qwMVFactor($A$1,F61)*_xll.qwFXRate($A$1,F61)),_xll.qwDV01($A$1,F61)*J61*_xll.qwMVFactor($A$1,F61)*_xll.qwFXRate($A$1,F61),0)</f>
        <v>0</v>
      </c>
      <c r="S61" s="6" cm="1">
        <f t="array" ref="S61">IF(ISNUMBER(_xll.qwDV01($A$1,F61)*J61*_xll.qwMVFactor($A$1,F61)*_xll.qwFXRate($A$1,F61)),_xll.qwDV01($A$1,F61)*J61*_xll.qwMVFactor($A$1,F61)*_xll.qwFXRate($A$1,F61),0)</f>
        <v>0</v>
      </c>
      <c r="T61" s="6" cm="1">
        <f t="array" ref="T61">_xll.qwFXRate($A$1,F61)*J61*(_xll.qwPrice($A$1,F61)-M61)*_xll.qwMVFactor($A$1,F61)+L61</f>
        <v>0</v>
      </c>
      <c r="U61" s="8" cm="1">
        <f t="array" ref="U61">_xll.qwYield($A$1,F61)</f>
        <v>4.7040746613169065E-2</v>
      </c>
      <c r="V61" s="8" cm="1">
        <f t="array" ref="V61">100*(_xll.qwYield($A$4,F61)-U61)</f>
        <v>8.1369158680115461E-3</v>
      </c>
      <c r="W61" s="6">
        <f>IF(ISNA(G61*INDEX(_xll.qwTblData(_xll.qwCurveScenariosPerSecurity($A$1,F61,"Crv210")),2,2)),0,(G61*INDEX(_xll.qwTblData(_xll.qwCurveScenariosPerSecurity($A$1,F61,"Crv210")),2,2)))</f>
        <v>88511.677465567278</v>
      </c>
      <c r="X61" s="6" cm="1">
        <f t="array" ref="X61">ABS(Q61/_xll.qwMV01($A$1,"CT10"))</f>
        <v>590.90988776955976</v>
      </c>
      <c r="Y61" s="6" cm="1">
        <f t="array" ref="Y61">IF(N61="BondFuture",-(_xll.qwCurveYield($A$1,_xll.qwSecVal($A$1,AA61,"CreditCurveName()"),AA61)-_xll.qwCurveYield($A$4,_xll.qwSecVal($A$4,AA61,"CreditCurveName()"),AA61))*P61*10000,IF(N61="Bond",-(_xll.qwCurveYield($A$1,_xll.qwSecVal($A$1,F61,"CreditCurveName()"),F61)-_xll.qwCurveYield($A$4,_xll.qwSecVal($A$4,F61,"CreditCurveName()"),F61))*P61*10000,O61))</f>
        <v>379074.37241586164</v>
      </c>
      <c r="Z61" s="6" cm="1">
        <f t="array" ref="Z61">IF(OR(N61="BondFuture",N61="Bond"),P61*(_xll.qwCurveZSpread($A$4,_xll.qwSecVal($A$1,AA61,"CreditCurveName()"),AA61)-_xll.qwCurveZSpread($A$1,_xll.qwSecVal($A$1,AA61,"CreditCurveName()"),AA61)),0)</f>
        <v>0</v>
      </c>
      <c r="AA61" s="9" cm="1">
        <f t="array" ref="AA61">IF(_xll.qwSecType(F61)="Bond",F61,IF(_xll.qwSecType(F61)="BondFuture",_xll.qwFutCTD($A$1,F61),0))</f>
        <v>0</v>
      </c>
      <c r="AB61" s="6" cm="1">
        <f t="array" ref="AB61">IF(_xll.qwSecType(F61)="BondFuture",-(I61*_xll.qwDelta($A$4,F61)*_xll.qwMVFactor($A$1,F61)/_xll.qwMVFactor($A$1,_xll.qwFutCTD($A$1,F61)))*(_xll.qwFXRate($A$1,F61)*_xll.qwMVFactor($A$1,_xll.qwFutCTD($A$1,F61))*(_xll.qwIncome($A$4,_xll.qwFutCTD($A$4,F61),_xll.qwBondSettle($A$4,_xll.qwFutCTD($A$4,F61)),_xll.qwBondSettle($A$1,_xll.qwFutCTD($A$1,F61)))+(_xll.qwSecVal($A$1,AA61,"Price")-_xll.qwSecVal($A$4,AA61,"Price"))-_xll.qwBondRepoFromTo($A$1,AA61,_xll.qwBondSettle($A$4,AA61),_xll.qwBondSettle($A$1,AA61))*_xll.qwSecVal($A$1,AA61,"Price")*(_xll.qwBondSettle($A$1,AA61)-_xll.qwBondSettle($A$4,AA61))/360))+O61,0)</f>
        <v>0</v>
      </c>
      <c r="AC61" s="9" cm="1">
        <f t="array" ref="AC61">O61+T61+IF(ISNUMBER(_xll.qwIncome($A$1,F61,_xll.qwSettle($A$4,F61),_xll.qwSettle($A$1,F61))*_xll.qwMVFactor($A$1,F61)*_xll.qwFXRate($A$1,F61)*I61),_xll.qwIncome($A$1,F61,_xll.qwSettle($A$4,F61),_xll.qwSettle($A$1,F61))*_xll.qwMVFactor($A$1,F61)*_xll.qwFXRate($A$1,F61)*I61,0)+IF(ISNUMBER(-(_xll.qwBondRepoFromTo($A$1,F61,_xll.qwSettle($A$4,F61),_xll.qwSettle($A$1,F61))*_xll.qwSecVal($A$1,F61,"Price")*(_xll.qwSettle($A$1,F61)-_xll.qwSettle($A$4,F61))/360)*_xll.qwMVFactor($A$1,F61)*_xll.qwFXRate($A$1,F61)*I61),-(_xll.qwBondRepoFromTo($A$1,F61,_xll.qwSettle($A$4,F61),_xll.qwSettle($A$1,F61))*_xll.qwSecVal($A$1,F61,"Price")*(_xll.qwSettle($A$1,F61)-_xll.qwSettle($A$4,F61))/360)*_xll.qwMVFactor($A$1,F61)*_xll.qwFXRate($A$1,F61)*I61,0)</f>
        <v>379074.37241586164</v>
      </c>
      <c r="AD61" s="6"/>
    </row>
    <row r="62" spans="2:30" s="7" customFormat="1" x14ac:dyDescent="0.35">
      <c r="B62" s="7" t="str">
        <v>jcleary</v>
      </c>
      <c r="C62" s="7" t="str">
        <v>MAMS</v>
      </c>
      <c r="D62" s="7" t="str">
        <v>jcleary|MAMS|RV_US_FV_Spread|251443899</v>
      </c>
      <c r="E62" s="7" t="str">
        <v>RV_US_FV_Spread</v>
      </c>
      <c r="F62" s="7" t="str">
        <v>251443899</v>
      </c>
      <c r="G62" s="7">
        <v>1160.9000000000001</v>
      </c>
      <c r="H62" s="7">
        <v>0</v>
      </c>
      <c r="I62" s="7">
        <v>1160.9000000000001</v>
      </c>
      <c r="J62" s="7">
        <v>0</v>
      </c>
      <c r="K62" s="7">
        <v>0</v>
      </c>
      <c r="L62" s="7">
        <v>0</v>
      </c>
      <c r="M62" s="7">
        <v>0</v>
      </c>
      <c r="N62" s="7" t="str">
        <v>SwapTrade</v>
      </c>
      <c r="O62" s="6" cm="1">
        <f t="array" ref="O62">(_xll.qwPrice($A$1,F62)-_xll.qwPrice($A$4,F62))*_xll.qwMVFactor($A$1,F62)*I62*_xll.qwFXRate($A$1,F62)</f>
        <v>388097.06666972185</v>
      </c>
      <c r="P62" s="6" cm="1">
        <f t="array" ref="P62">IF(ISNUMBER(_xll.qwDV01($A$1,F62)*I62*_xll.qwMVFactor($A$1,F62)*_xll.qwFXRate($A$1,F62)),_xll.qwDV01($A$1,F62)*I62*_xll.qwMVFactor($A$1,F62)*_xll.qwFXRate($A$1,F62),0)</f>
        <v>449420.66763949726</v>
      </c>
      <c r="Q62" s="6" cm="1">
        <f t="array" ref="Q62">IF(ISNUMBER(_xll.qwDV01($A$1,F62)*G62*_xll.qwMVFactor($A$1,F62)*_xll.qwFXRate($A$1,F62)),_xll.qwDV01($A$1,F62)*G62*_xll.qwMVFactor($A$1,F62)*_xll.qwFXRate($A$1,F62),0)</f>
        <v>449420.66763949726</v>
      </c>
      <c r="R62" s="6" cm="1">
        <f t="array" ref="R62">IF(ISNUMBER(_xll.qwDV01($A$1,F62)*J62*_xll.qwMVFactor($A$1,F62)*_xll.qwFXRate($A$1,F62)),_xll.qwDV01($A$1,F62)*J62*_xll.qwMVFactor($A$1,F62)*_xll.qwFXRate($A$1,F62),0)</f>
        <v>0</v>
      </c>
      <c r="S62" s="6" cm="1">
        <f t="array" ref="S62">IF(ISNUMBER(_xll.qwDV01($A$1,F62)*J62*_xll.qwMVFactor($A$1,F62)*_xll.qwFXRate($A$1,F62)),_xll.qwDV01($A$1,F62)*J62*_xll.qwMVFactor($A$1,F62)*_xll.qwFXRate($A$1,F62),0)</f>
        <v>0</v>
      </c>
      <c r="T62" s="6" cm="1">
        <f t="array" ref="T62">_xll.qwFXRate($A$1,F62)*J62*(_xll.qwPrice($A$1,F62)-M62)*_xll.qwMVFactor($A$1,F62)+L62</f>
        <v>0</v>
      </c>
      <c r="U62" s="8" cm="1">
        <f t="array" ref="U62">_xll.qwYield($A$1,F62)</f>
        <v>4.7040746613169065E-2</v>
      </c>
      <c r="V62" s="8" cm="1">
        <f t="array" ref="V62">100*(_xll.qwYield($A$4,F62)-U62)</f>
        <v>8.1369158680115461E-3</v>
      </c>
      <c r="W62" s="6">
        <f>IF(ISNA(G62*INDEX(_xll.qwTblData(_xll.qwCurveScenariosPerSecurity($A$1,F62,"Crv210")),2,2)),0,(G62*INDEX(_xll.qwTblData(_xll.qwCurveScenariosPerSecurity($A$1,F62,"Crv210")),2,2)))</f>
        <v>90651.607945411553</v>
      </c>
      <c r="X62" s="6" cm="1">
        <f t="array" ref="X62">ABS(Q62/_xll.qwMV01($A$1,"CT10"))</f>
        <v>605.00607564972506</v>
      </c>
      <c r="Y62" s="6" cm="1">
        <f t="array" ref="Y62">IF(N62="BondFuture",-(_xll.qwCurveYield($A$1,_xll.qwSecVal($A$1,AA62,"CreditCurveName()"),AA62)-_xll.qwCurveYield($A$4,_xll.qwSecVal($A$4,AA62,"CreditCurveName()"),AA62))*P62*10000,IF(N62="Bond",-(_xll.qwCurveYield($A$1,_xll.qwSecVal($A$1,F62,"CreditCurveName()"),F62)-_xll.qwCurveYield($A$4,_xll.qwSecVal($A$4,F62,"CreditCurveName()"),F62))*P62*10000,O62))</f>
        <v>388097.06666972185</v>
      </c>
      <c r="Z62" s="6" cm="1">
        <f t="array" ref="Z62">IF(OR(N62="BondFuture",N62="Bond"),P62*(_xll.qwCurveZSpread($A$4,_xll.qwSecVal($A$1,AA62,"CreditCurveName()"),AA62)-_xll.qwCurveZSpread($A$1,_xll.qwSecVal($A$1,AA62,"CreditCurveName()"),AA62)),0)</f>
        <v>0</v>
      </c>
      <c r="AA62" s="9" cm="1">
        <f t="array" ref="AA62">IF(_xll.qwSecType(F62)="Bond",F62,IF(_xll.qwSecType(F62)="BondFuture",_xll.qwFutCTD($A$1,F62),0))</f>
        <v>0</v>
      </c>
      <c r="AB62" s="6" cm="1">
        <f t="array" ref="AB62">IF(_xll.qwSecType(F62)="BondFuture",-(I62*_xll.qwDelta($A$4,F62)*_xll.qwMVFactor($A$1,F62)/_xll.qwMVFactor($A$1,_xll.qwFutCTD($A$1,F62)))*(_xll.qwFXRate($A$1,F62)*_xll.qwMVFactor($A$1,_xll.qwFutCTD($A$1,F62))*(_xll.qwIncome($A$4,_xll.qwFutCTD($A$4,F62),_xll.qwBondSettle($A$4,_xll.qwFutCTD($A$4,F62)),_xll.qwBondSettle($A$1,_xll.qwFutCTD($A$1,F62)))+(_xll.qwSecVal($A$1,AA62,"Price")-_xll.qwSecVal($A$4,AA62,"Price"))-_xll.qwBondRepoFromTo($A$1,AA62,_xll.qwBondSettle($A$4,AA62),_xll.qwBondSettle($A$1,AA62))*_xll.qwSecVal($A$1,AA62,"Price")*(_xll.qwBondSettle($A$1,AA62)-_xll.qwBondSettle($A$4,AA62))/360))+O62,0)</f>
        <v>0</v>
      </c>
      <c r="AC62" s="9" cm="1">
        <f t="array" ref="AC62">O62+T62+IF(ISNUMBER(_xll.qwIncome($A$1,F62,_xll.qwSettle($A$4,F62),_xll.qwSettle($A$1,F62))*_xll.qwMVFactor($A$1,F62)*_xll.qwFXRate($A$1,F62)*I62),_xll.qwIncome($A$1,F62,_xll.qwSettle($A$4,F62),_xll.qwSettle($A$1,F62))*_xll.qwMVFactor($A$1,F62)*_xll.qwFXRate($A$1,F62)*I62,0)+IF(ISNUMBER(-(_xll.qwBondRepoFromTo($A$1,F62,_xll.qwSettle($A$4,F62),_xll.qwSettle($A$1,F62))*_xll.qwSecVal($A$1,F62,"Price")*(_xll.qwSettle($A$1,F62)-_xll.qwSettle($A$4,F62))/360)*_xll.qwMVFactor($A$1,F62)*_xll.qwFXRate($A$1,F62)*I62),-(_xll.qwBondRepoFromTo($A$1,F62,_xll.qwSettle($A$4,F62),_xll.qwSettle($A$1,F62))*_xll.qwSecVal($A$1,F62,"Price")*(_xll.qwSettle($A$1,F62)-_xll.qwSettle($A$4,F62))/360)*_xll.qwMVFactor($A$1,F62)*_xll.qwFXRate($A$1,F62)*I62,0)</f>
        <v>388097.06666972185</v>
      </c>
      <c r="AD62" s="6"/>
    </row>
    <row r="63" spans="2:30" s="7" customFormat="1" x14ac:dyDescent="0.35">
      <c r="B63" s="7" t="str">
        <v>jcleary</v>
      </c>
      <c r="C63" s="7" t="str">
        <v>MAMS</v>
      </c>
      <c r="D63" s="7" t="str">
        <v>jcleary|MAMS|RV_US_FV_Spread|252372485</v>
      </c>
      <c r="E63" s="7" t="str">
        <v>RV_US_FV_Spread</v>
      </c>
      <c r="F63" s="7" t="str">
        <v>252372485</v>
      </c>
      <c r="G63" s="7">
        <v>332.1</v>
      </c>
      <c r="H63" s="7">
        <v>0</v>
      </c>
      <c r="I63" s="7">
        <v>332.1</v>
      </c>
      <c r="J63" s="7">
        <v>0</v>
      </c>
      <c r="K63" s="7">
        <v>0</v>
      </c>
      <c r="L63" s="7">
        <v>0</v>
      </c>
      <c r="M63" s="7">
        <v>0</v>
      </c>
      <c r="N63" s="7" t="str">
        <v>SwapTrade</v>
      </c>
      <c r="O63" s="6" cm="1">
        <f t="array" ref="O63">(_xll.qwPrice($A$1,F63)-_xll.qwPrice($A$4,F63))*_xll.qwMVFactor($A$1,F63)*I63*_xll.qwFXRate($A$1,F63)</f>
        <v>38762.40930971635</v>
      </c>
      <c r="P63" s="6" cm="1">
        <f t="array" ref="P63">IF(ISNUMBER(_xll.qwDV01($A$1,F63)*I63*_xll.qwMVFactor($A$1,F63)*_xll.qwFXRate($A$1,F63)),_xll.qwDV01($A$1,F63)*I63*_xll.qwMVFactor($A$1,F63)*_xll.qwFXRate($A$1,F63),0)</f>
        <v>89807.836337817978</v>
      </c>
      <c r="Q63" s="6" cm="1">
        <f t="array" ref="Q63">IF(ISNUMBER(_xll.qwDV01($A$1,F63)*G63*_xll.qwMVFactor($A$1,F63)*_xll.qwFXRate($A$1,F63)),_xll.qwDV01($A$1,F63)*G63*_xll.qwMVFactor($A$1,F63)*_xll.qwFXRate($A$1,F63),0)</f>
        <v>89807.836337817978</v>
      </c>
      <c r="R63" s="6" cm="1">
        <f t="array" ref="R63">IF(ISNUMBER(_xll.qwDV01($A$1,F63)*J63*_xll.qwMVFactor($A$1,F63)*_xll.qwFXRate($A$1,F63)),_xll.qwDV01($A$1,F63)*J63*_xll.qwMVFactor($A$1,F63)*_xll.qwFXRate($A$1,F63),0)</f>
        <v>0</v>
      </c>
      <c r="S63" s="6" cm="1">
        <f t="array" ref="S63">IF(ISNUMBER(_xll.qwDV01($A$1,F63)*J63*_xll.qwMVFactor($A$1,F63)*_xll.qwFXRate($A$1,F63)),_xll.qwDV01($A$1,F63)*J63*_xll.qwMVFactor($A$1,F63)*_xll.qwFXRate($A$1,F63),0)</f>
        <v>0</v>
      </c>
      <c r="T63" s="6" cm="1">
        <f t="array" ref="T63">_xll.qwFXRate($A$1,F63)*J63*(_xll.qwPrice($A$1,F63)-M63)*_xll.qwMVFactor($A$1,F63)+L63</f>
        <v>0</v>
      </c>
      <c r="U63" s="8" cm="1">
        <f t="array" ref="U63">_xll.qwYield($A$1,F63)</f>
        <v>4.6972980020397445E-2</v>
      </c>
      <c r="V63" s="8" cm="1">
        <f t="array" ref="V63">100*(_xll.qwYield($A$4,F63)-U63)</f>
        <v>3.7479365912557183E-3</v>
      </c>
      <c r="W63" s="6">
        <f>IF(ISNA(G63*INDEX(_xll.qwTblData(_xll.qwCurveScenariosPerSecurity($A$1,F63,"Crv210")),2,2)),0,(G63*INDEX(_xll.qwTblData(_xll.qwCurveScenariosPerSecurity($A$1,F63,"Crv210")),2,2)))</f>
        <v>34679.791942799558</v>
      </c>
      <c r="X63" s="6" cm="1">
        <f t="array" ref="X63">ABS(Q63/_xll.qwMV01($A$1,"CT10"))</f>
        <v>120.89850453633404</v>
      </c>
      <c r="Y63" s="6" cm="1">
        <f t="array" ref="Y63">IF(N63="BondFuture",-(_xll.qwCurveYield($A$1,_xll.qwSecVal($A$1,AA63,"CreditCurveName()"),AA63)-_xll.qwCurveYield($A$4,_xll.qwSecVal($A$4,AA63,"CreditCurveName()"),AA63))*P63*10000,IF(N63="Bond",-(_xll.qwCurveYield($A$1,_xll.qwSecVal($A$1,F63,"CreditCurveName()"),F63)-_xll.qwCurveYield($A$4,_xll.qwSecVal($A$4,F63,"CreditCurveName()"),F63))*P63*10000,O63))</f>
        <v>38762.40930971635</v>
      </c>
      <c r="Z63" s="6" cm="1">
        <f t="array" ref="Z63">IF(OR(N63="BondFuture",N63="Bond"),P63*(_xll.qwCurveZSpread($A$4,_xll.qwSecVal($A$1,AA63,"CreditCurveName()"),AA63)-_xll.qwCurveZSpread($A$1,_xll.qwSecVal($A$1,AA63,"CreditCurveName()"),AA63)),0)</f>
        <v>0</v>
      </c>
      <c r="AA63" s="9" cm="1">
        <f t="array" ref="AA63">IF(_xll.qwSecType(F63)="Bond",F63,IF(_xll.qwSecType(F63)="BondFuture",_xll.qwFutCTD($A$1,F63),0))</f>
        <v>0</v>
      </c>
      <c r="AB63" s="6" cm="1">
        <f t="array" ref="AB63">IF(_xll.qwSecType(F63)="BondFuture",-(I63*_xll.qwDelta($A$4,F63)*_xll.qwMVFactor($A$1,F63)/_xll.qwMVFactor($A$1,_xll.qwFutCTD($A$1,F63)))*(_xll.qwFXRate($A$1,F63)*_xll.qwMVFactor($A$1,_xll.qwFutCTD($A$1,F63))*(_xll.qwIncome($A$4,_xll.qwFutCTD($A$4,F63),_xll.qwBondSettle($A$4,_xll.qwFutCTD($A$4,F63)),_xll.qwBondSettle($A$1,_xll.qwFutCTD($A$1,F63)))+(_xll.qwSecVal($A$1,AA63,"Price")-_xll.qwSecVal($A$4,AA63,"Price"))-_xll.qwBondRepoFromTo($A$1,AA63,_xll.qwBondSettle($A$4,AA63),_xll.qwBondSettle($A$1,AA63))*_xll.qwSecVal($A$1,AA63,"Price")*(_xll.qwBondSettle($A$1,AA63)-_xll.qwBondSettle($A$4,AA63))/360))+O63,0)</f>
        <v>0</v>
      </c>
      <c r="AC63" s="9" cm="1">
        <f t="array" ref="AC63">O63+T63+IF(ISNUMBER(_xll.qwIncome($A$1,F63,_xll.qwSettle($A$4,F63),_xll.qwSettle($A$1,F63))*_xll.qwMVFactor($A$1,F63)*_xll.qwFXRate($A$1,F63)*I63),_xll.qwIncome($A$1,F63,_xll.qwSettle($A$4,F63),_xll.qwSettle($A$1,F63))*_xll.qwMVFactor($A$1,F63)*_xll.qwFXRate($A$1,F63)*I63,0)+IF(ISNUMBER(-(_xll.qwBondRepoFromTo($A$1,F63,_xll.qwSettle($A$4,F63),_xll.qwSettle($A$1,F63))*_xll.qwSecVal($A$1,F63,"Price")*(_xll.qwSettle($A$1,F63)-_xll.qwSettle($A$4,F63))/360)*_xll.qwMVFactor($A$1,F63)*_xll.qwFXRate($A$1,F63)*I63),-(_xll.qwBondRepoFromTo($A$1,F63,_xll.qwSettle($A$4,F63),_xll.qwSettle($A$1,F63))*_xll.qwSecVal($A$1,F63,"Price")*(_xll.qwSettle($A$1,F63)-_xll.qwSettle($A$4,F63))/360)*_xll.qwMVFactor($A$1,F63)*_xll.qwFXRate($A$1,F63)*I63,0)</f>
        <v>38762.40930971635</v>
      </c>
      <c r="AD63" s="6"/>
    </row>
    <row r="64" spans="2:30" s="7" customFormat="1" x14ac:dyDescent="0.35">
      <c r="B64" s="7" t="str">
        <v>jcleary</v>
      </c>
      <c r="C64" s="7" t="str">
        <v>MAMS</v>
      </c>
      <c r="D64" s="7" t="str">
        <v>jcleary|MAMS|RV_US_FV_Spread|252372486</v>
      </c>
      <c r="E64" s="7" t="str">
        <v>RV_US_FV_Spread</v>
      </c>
      <c r="F64" s="7" t="str">
        <v>252372486</v>
      </c>
      <c r="G64" s="7">
        <v>244.2</v>
      </c>
      <c r="H64" s="7">
        <v>0</v>
      </c>
      <c r="I64" s="7">
        <v>244.2</v>
      </c>
      <c r="J64" s="7">
        <v>0</v>
      </c>
      <c r="K64" s="7">
        <v>0</v>
      </c>
      <c r="L64" s="7">
        <v>0</v>
      </c>
      <c r="M64" s="7">
        <v>0</v>
      </c>
      <c r="N64" s="7" t="str">
        <v>SwapTrade</v>
      </c>
      <c r="O64" s="6" cm="1">
        <f t="array" ref="O64">(_xll.qwPrice($A$1,F64)-_xll.qwPrice($A$4,F64))*_xll.qwMVFactor($A$1,F64)*I64*_xll.qwFXRate($A$1,F64)</f>
        <v>-89230.012256438044</v>
      </c>
      <c r="P64" s="6" cm="1">
        <f t="array" ref="P64">IF(ISNUMBER(_xll.qwDV01($A$1,F64)*I64*_xll.qwMVFactor($A$1,F64)*_xll.qwFXRate($A$1,F64)),_xll.qwDV01($A$1,F64)*I64*_xll.qwMVFactor($A$1,F64)*_xll.qwFXRate($A$1,F64),0)</f>
        <v>-92183.709491276037</v>
      </c>
      <c r="Q64" s="6" cm="1">
        <f t="array" ref="Q64">IF(ISNUMBER(_xll.qwDV01($A$1,F64)*G64*_xll.qwMVFactor($A$1,F64)*_xll.qwFXRate($A$1,F64)),_xll.qwDV01($A$1,F64)*G64*_xll.qwMVFactor($A$1,F64)*_xll.qwFXRate($A$1,F64),0)</f>
        <v>-92183.709491276037</v>
      </c>
      <c r="R64" s="6" cm="1">
        <f t="array" ref="R64">IF(ISNUMBER(_xll.qwDV01($A$1,F64)*J64*_xll.qwMVFactor($A$1,F64)*_xll.qwFXRate($A$1,F64)),_xll.qwDV01($A$1,F64)*J64*_xll.qwMVFactor($A$1,F64)*_xll.qwFXRate($A$1,F64),0)</f>
        <v>0</v>
      </c>
      <c r="S64" s="6" cm="1">
        <f t="array" ref="S64">IF(ISNUMBER(_xll.qwDV01($A$1,F64)*J64*_xll.qwMVFactor($A$1,F64)*_xll.qwFXRate($A$1,F64)),_xll.qwDV01($A$1,F64)*J64*_xll.qwMVFactor($A$1,F64)*_xll.qwFXRate($A$1,F64),0)</f>
        <v>0</v>
      </c>
      <c r="T64" s="6" cm="1">
        <f t="array" ref="T64">_xll.qwFXRate($A$1,F64)*J64*(_xll.qwPrice($A$1,F64)-M64)*_xll.qwMVFactor($A$1,F64)+L64</f>
        <v>0</v>
      </c>
      <c r="U64" s="8" cm="1">
        <f t="array" ref="U64">_xll.qwYield($A$1,F64)</f>
        <v>4.7267568926535303E-2</v>
      </c>
      <c r="V64" s="8" cm="1">
        <f t="array" ref="V64">100*(_xll.qwYield($A$4,F64)-U64)</f>
        <v>9.6672840081100941E-3</v>
      </c>
      <c r="W64" s="6">
        <f>IF(ISNA(G64*INDEX(_xll.qwTblData(_xll.qwCurveScenariosPerSecurity($A$1,F64,"Crv210")),2,2)),0,(G64*INDEX(_xll.qwTblData(_xll.qwCurveScenariosPerSecurity($A$1,F64,"Crv210")),2,2)))</f>
        <v>-17021.316890257298</v>
      </c>
      <c r="X64" s="6" cm="1">
        <f t="array" ref="X64">ABS(Q64/_xll.qwMV01($A$1,"CT10"))</f>
        <v>124.09688368601796</v>
      </c>
      <c r="Y64" s="6" cm="1">
        <f t="array" ref="Y64">IF(N64="BondFuture",-(_xll.qwCurveYield($A$1,_xll.qwSecVal($A$1,AA64,"CreditCurveName()"),AA64)-_xll.qwCurveYield($A$4,_xll.qwSecVal($A$4,AA64,"CreditCurveName()"),AA64))*P64*10000,IF(N64="Bond",-(_xll.qwCurveYield($A$1,_xll.qwSecVal($A$1,F64,"CreditCurveName()"),F64)-_xll.qwCurveYield($A$4,_xll.qwSecVal($A$4,F64,"CreditCurveName()"),F64))*P64*10000,O64))</f>
        <v>-89230.012256438044</v>
      </c>
      <c r="Z64" s="6" cm="1">
        <f t="array" ref="Z64">IF(OR(N64="BondFuture",N64="Bond"),P64*(_xll.qwCurveZSpread($A$4,_xll.qwSecVal($A$1,AA64,"CreditCurveName()"),AA64)-_xll.qwCurveZSpread($A$1,_xll.qwSecVal($A$1,AA64,"CreditCurveName()"),AA64)),0)</f>
        <v>0</v>
      </c>
      <c r="AA64" s="9" cm="1">
        <f t="array" ref="AA64">IF(_xll.qwSecType(F64)="Bond",F64,IF(_xll.qwSecType(F64)="BondFuture",_xll.qwFutCTD($A$1,F64),0))</f>
        <v>0</v>
      </c>
      <c r="AB64" s="6" cm="1">
        <f t="array" ref="AB64">IF(_xll.qwSecType(F64)="BondFuture",-(I64*_xll.qwDelta($A$4,F64)*_xll.qwMVFactor($A$1,F64)/_xll.qwMVFactor($A$1,_xll.qwFutCTD($A$1,F64)))*(_xll.qwFXRate($A$1,F64)*_xll.qwMVFactor($A$1,_xll.qwFutCTD($A$1,F64))*(_xll.qwIncome($A$4,_xll.qwFutCTD($A$4,F64),_xll.qwBondSettle($A$4,_xll.qwFutCTD($A$4,F64)),_xll.qwBondSettle($A$1,_xll.qwFutCTD($A$1,F64)))+(_xll.qwSecVal($A$1,AA64,"Price")-_xll.qwSecVal($A$4,AA64,"Price"))-_xll.qwBondRepoFromTo($A$1,AA64,_xll.qwBondSettle($A$4,AA64),_xll.qwBondSettle($A$1,AA64))*_xll.qwSecVal($A$1,AA64,"Price")*(_xll.qwBondSettle($A$1,AA64)-_xll.qwBondSettle($A$4,AA64))/360))+O64,0)</f>
        <v>0</v>
      </c>
      <c r="AC64" s="9" cm="1">
        <f t="array" ref="AC64">O64+T64+IF(ISNUMBER(_xll.qwIncome($A$1,F64,_xll.qwSettle($A$4,F64),_xll.qwSettle($A$1,F64))*_xll.qwMVFactor($A$1,F64)*_xll.qwFXRate($A$1,F64)*I64),_xll.qwIncome($A$1,F64,_xll.qwSettle($A$4,F64),_xll.qwSettle($A$1,F64))*_xll.qwMVFactor($A$1,F64)*_xll.qwFXRate($A$1,F64)*I64,0)+IF(ISNUMBER(-(_xll.qwBondRepoFromTo($A$1,F64,_xll.qwSettle($A$4,F64),_xll.qwSettle($A$1,F64))*_xll.qwSecVal($A$1,F64,"Price")*(_xll.qwSettle($A$1,F64)-_xll.qwSettle($A$4,F64))/360)*_xll.qwMVFactor($A$1,F64)*_xll.qwFXRate($A$1,F64)*I64),-(_xll.qwBondRepoFromTo($A$1,F64,_xll.qwSettle($A$4,F64),_xll.qwSettle($A$1,F64))*_xll.qwSecVal($A$1,F64,"Price")*(_xll.qwSettle($A$1,F64)-_xll.qwSettle($A$4,F64))/360)*_xll.qwMVFactor($A$1,F64)*_xll.qwFXRate($A$1,F64)*I64,0)</f>
        <v>-89230.012256438044</v>
      </c>
      <c r="AD64" s="6"/>
    </row>
    <row r="65" spans="2:36" s="7" customFormat="1" x14ac:dyDescent="0.35">
      <c r="B65" s="7" t="str">
        <v>jcleary</v>
      </c>
      <c r="C65" s="7" t="str">
        <v>MAMS</v>
      </c>
      <c r="D65" s="7" t="str">
        <v>jcleary|MAMS|RV_US_FV_Spread|252981101</v>
      </c>
      <c r="E65" s="7" t="str">
        <v>RV_US_FV_Spread</v>
      </c>
      <c r="F65" s="7" t="str">
        <v>252981101</v>
      </c>
      <c r="G65" s="7">
        <v>335.5</v>
      </c>
      <c r="H65" s="7">
        <v>0</v>
      </c>
      <c r="I65" s="7">
        <v>335.5</v>
      </c>
      <c r="J65" s="7">
        <v>0</v>
      </c>
      <c r="K65" s="7">
        <v>0</v>
      </c>
      <c r="L65" s="7">
        <v>0</v>
      </c>
      <c r="M65" s="7">
        <v>0</v>
      </c>
      <c r="N65" s="7" t="str">
        <v>SwapTrade</v>
      </c>
      <c r="O65" s="6" cm="1">
        <f t="array" ref="O65">(_xll.qwPrice($A$1,F65)-_xll.qwPrice($A$4,F65))*_xll.qwMVFactor($A$1,F65)*I65*_xll.qwFXRate($A$1,F65)</f>
        <v>39249.810941194322</v>
      </c>
      <c r="P65" s="6" cm="1">
        <f t="array" ref="P65">IF(ISNUMBER(_xll.qwDV01($A$1,F65)*I65*_xll.qwMVFactor($A$1,F65)*_xll.qwFXRate($A$1,F65)),_xll.qwDV01($A$1,F65)*I65*_xll.qwMVFactor($A$1,F65)*_xll.qwFXRate($A$1,F65),0)</f>
        <v>90932.211231138121</v>
      </c>
      <c r="Q65" s="6" cm="1">
        <f t="array" ref="Q65">IF(ISNUMBER(_xll.qwDV01($A$1,F65)*G65*_xll.qwMVFactor($A$1,F65)*_xll.qwFXRate($A$1,F65)),_xll.qwDV01($A$1,F65)*G65*_xll.qwMVFactor($A$1,F65)*_xll.qwFXRate($A$1,F65),0)</f>
        <v>90932.211231138121</v>
      </c>
      <c r="R65" s="6" cm="1">
        <f t="array" ref="R65">IF(ISNUMBER(_xll.qwDV01($A$1,F65)*J65*_xll.qwMVFactor($A$1,F65)*_xll.qwFXRate($A$1,F65)),_xll.qwDV01($A$1,F65)*J65*_xll.qwMVFactor($A$1,F65)*_xll.qwFXRate($A$1,F65),0)</f>
        <v>0</v>
      </c>
      <c r="S65" s="6" cm="1">
        <f t="array" ref="S65">IF(ISNUMBER(_xll.qwDV01($A$1,F65)*J65*_xll.qwMVFactor($A$1,F65)*_xll.qwFXRate($A$1,F65)),_xll.qwDV01($A$1,F65)*J65*_xll.qwMVFactor($A$1,F65)*_xll.qwFXRate($A$1,F65),0)</f>
        <v>0</v>
      </c>
      <c r="T65" s="6" cm="1">
        <f t="array" ref="T65">_xll.qwFXRate($A$1,F65)*J65*(_xll.qwPrice($A$1,F65)-M65)*_xll.qwMVFactor($A$1,F65)+L65</f>
        <v>0</v>
      </c>
      <c r="U65" s="8" cm="1">
        <f t="array" ref="U65">_xll.qwYield($A$1,F65)</f>
        <v>4.6972980020397445E-2</v>
      </c>
      <c r="V65" s="8" cm="1">
        <f t="array" ref="V65">100*(_xll.qwYield($A$4,F65)-U65)</f>
        <v>3.7479365912557183E-3</v>
      </c>
      <c r="W65" s="6">
        <f>IF(ISNA(G65*INDEX(_xll.qwTblData(_xll.qwCurveScenariosPerSecurity($A$1,F65,"Crv210")),2,2)),0,(G65*INDEX(_xll.qwTblData(_xll.qwCurveScenariosPerSecurity($A$1,F65,"Crv210")),2,2)))</f>
        <v>35126.908658732951</v>
      </c>
      <c r="X65" s="6" cm="1">
        <f t="array" ref="X65">ABS(Q65/_xll.qwMV01($A$1,"CT10"))</f>
        <v>122.41212794252853</v>
      </c>
      <c r="Y65" s="6" cm="1">
        <f t="array" ref="Y65">IF(N65="BondFuture",-(_xll.qwCurveYield($A$1,_xll.qwSecVal($A$1,AA65,"CreditCurveName()"),AA65)-_xll.qwCurveYield($A$4,_xll.qwSecVal($A$4,AA65,"CreditCurveName()"),AA65))*P65*10000,IF(N65="Bond",-(_xll.qwCurveYield($A$1,_xll.qwSecVal($A$1,F65,"CreditCurveName()"),F65)-_xll.qwCurveYield($A$4,_xll.qwSecVal($A$4,F65,"CreditCurveName()"),F65))*P65*10000,O65))</f>
        <v>39249.810941194322</v>
      </c>
      <c r="Z65" s="6" cm="1">
        <f t="array" ref="Z65">IF(OR(N65="BondFuture",N65="Bond"),P65*(_xll.qwCurveZSpread($A$4,_xll.qwSecVal($A$1,AA65,"CreditCurveName()"),AA65)-_xll.qwCurveZSpread($A$1,_xll.qwSecVal($A$1,AA65,"CreditCurveName()"),AA65)),0)</f>
        <v>0</v>
      </c>
      <c r="AA65" s="9" cm="1">
        <f t="array" ref="AA65">IF(_xll.qwSecType(F65)="Bond",F65,IF(_xll.qwSecType(F65)="BondFuture",_xll.qwFutCTD($A$1,F65),0))</f>
        <v>0</v>
      </c>
      <c r="AB65" s="6" cm="1">
        <f t="array" ref="AB65">IF(_xll.qwSecType(F65)="BondFuture",-(I65*_xll.qwDelta($A$4,F65)*_xll.qwMVFactor($A$1,F65)/_xll.qwMVFactor($A$1,_xll.qwFutCTD($A$1,F65)))*(_xll.qwFXRate($A$1,F65)*_xll.qwMVFactor($A$1,_xll.qwFutCTD($A$1,F65))*(_xll.qwIncome($A$4,_xll.qwFutCTD($A$4,F65),_xll.qwBondSettle($A$4,_xll.qwFutCTD($A$4,F65)),_xll.qwBondSettle($A$1,_xll.qwFutCTD($A$1,F65)))+(_xll.qwSecVal($A$1,AA65,"Price")-_xll.qwSecVal($A$4,AA65,"Price"))-_xll.qwBondRepoFromTo($A$1,AA65,_xll.qwBondSettle($A$4,AA65),_xll.qwBondSettle($A$1,AA65))*_xll.qwSecVal($A$1,AA65,"Price")*(_xll.qwBondSettle($A$1,AA65)-_xll.qwBondSettle($A$4,AA65))/360))+O65,0)</f>
        <v>0</v>
      </c>
      <c r="AC65" s="9" cm="1">
        <f t="array" ref="AC65">O65+T65+IF(ISNUMBER(_xll.qwIncome($A$1,F65,_xll.qwSettle($A$4,F65),_xll.qwSettle($A$1,F65))*_xll.qwMVFactor($A$1,F65)*_xll.qwFXRate($A$1,F65)*I65),_xll.qwIncome($A$1,F65,_xll.qwSettle($A$4,F65),_xll.qwSettle($A$1,F65))*_xll.qwMVFactor($A$1,F65)*_xll.qwFXRate($A$1,F65)*I65,0)+IF(ISNUMBER(-(_xll.qwBondRepoFromTo($A$1,F65,_xll.qwSettle($A$4,F65),_xll.qwSettle($A$1,F65))*_xll.qwSecVal($A$1,F65,"Price")*(_xll.qwSettle($A$1,F65)-_xll.qwSettle($A$4,F65))/360)*_xll.qwMVFactor($A$1,F65)*_xll.qwFXRate($A$1,F65)*I65),-(_xll.qwBondRepoFromTo($A$1,F65,_xll.qwSettle($A$4,F65),_xll.qwSettle($A$1,F65))*_xll.qwSecVal($A$1,F65,"Price")*(_xll.qwSettle($A$1,F65)-_xll.qwSettle($A$4,F65))/360)*_xll.qwMVFactor($A$1,F65)*_xll.qwFXRate($A$1,F65)*I65,0)</f>
        <v>39249.810941194322</v>
      </c>
      <c r="AD65" s="6"/>
    </row>
    <row r="66" spans="2:36" s="7" customFormat="1" x14ac:dyDescent="0.35">
      <c r="B66" s="7" t="str">
        <v>jcleary</v>
      </c>
      <c r="C66" s="7" t="str">
        <v>MAMS</v>
      </c>
      <c r="D66" s="7" t="str">
        <v>jcleary|MAMS|RV_US_FV_Spread|252981116</v>
      </c>
      <c r="E66" s="7" t="str">
        <v>RV_US_FV_Spread</v>
      </c>
      <c r="F66" s="7" t="str">
        <v>252981116</v>
      </c>
      <c r="G66" s="7">
        <v>212</v>
      </c>
      <c r="H66" s="7">
        <v>0</v>
      </c>
      <c r="I66" s="7">
        <v>212</v>
      </c>
      <c r="J66" s="7">
        <v>0</v>
      </c>
      <c r="K66" s="7">
        <v>0</v>
      </c>
      <c r="L66" s="7">
        <v>0</v>
      </c>
      <c r="M66" s="7">
        <v>0</v>
      </c>
      <c r="N66" s="7" t="str">
        <v>SwapTrade</v>
      </c>
      <c r="O66" s="6" cm="1">
        <f t="array" ref="O66">(_xll.qwPrice($A$1,F66)-_xll.qwPrice($A$4,F66))*_xll.qwMVFactor($A$1,F66)*I66*_xll.qwFXRate($A$1,F66)</f>
        <v>-85600.245211755173</v>
      </c>
      <c r="P66" s="6" cm="1">
        <f t="array" ref="P66">IF(ISNUMBER(_xll.qwDV01($A$1,F66)*I66*_xll.qwMVFactor($A$1,F66)*_xll.qwFXRate($A$1,F66)),_xll.qwDV01($A$1,F66)*I66*_xll.qwMVFactor($A$1,F66)*_xll.qwFXRate($A$1,F66),0)</f>
        <v>-91473.749436377824</v>
      </c>
      <c r="Q66" s="6" cm="1">
        <f t="array" ref="Q66">IF(ISNUMBER(_xll.qwDV01($A$1,F66)*G66*_xll.qwMVFactor($A$1,F66)*_xll.qwFXRate($A$1,F66)),_xll.qwDV01($A$1,F66)*G66*_xll.qwMVFactor($A$1,F66)*_xll.qwFXRate($A$1,F66),0)</f>
        <v>-91473.749436377824</v>
      </c>
      <c r="R66" s="6" cm="1">
        <f t="array" ref="R66">IF(ISNUMBER(_xll.qwDV01($A$1,F66)*J66*_xll.qwMVFactor($A$1,F66)*_xll.qwFXRate($A$1,F66)),_xll.qwDV01($A$1,F66)*J66*_xll.qwMVFactor($A$1,F66)*_xll.qwFXRate($A$1,F66),0)</f>
        <v>0</v>
      </c>
      <c r="S66" s="6" cm="1">
        <f t="array" ref="S66">IF(ISNUMBER(_xll.qwDV01($A$1,F66)*J66*_xll.qwMVFactor($A$1,F66)*_xll.qwFXRate($A$1,F66)),_xll.qwDV01($A$1,F66)*J66*_xll.qwMVFactor($A$1,F66)*_xll.qwFXRate($A$1,F66),0)</f>
        <v>0</v>
      </c>
      <c r="T66" s="6" cm="1">
        <f t="array" ref="T66">_xll.qwFXRate($A$1,F66)*J66*(_xll.qwPrice($A$1,F66)-M66)*_xll.qwMVFactor($A$1,F66)+L66</f>
        <v>0</v>
      </c>
      <c r="U66" s="8" cm="1">
        <f t="array" ref="U66">_xll.qwYield($A$1,F66)</f>
        <v>4.710832052552244E-2</v>
      </c>
      <c r="V66" s="8" cm="1">
        <f t="array" ref="V66">100*(_xll.qwYield($A$4,F66)-U66)</f>
        <v>8.990898775992906E-3</v>
      </c>
      <c r="W66" s="6">
        <f>IF(ISNA(G66*INDEX(_xll.qwTblData(_xll.qwCurveScenariosPerSecurity($A$1,F66,"Crv210")),2,2)),0,(G66*INDEX(_xll.qwTblData(_xll.qwCurveScenariosPerSecurity($A$1,F66,"Crv210")),2,2)))</f>
        <v>-12800.275312063501</v>
      </c>
      <c r="X66" s="6" cm="1">
        <f t="array" ref="X66">ABS(Q66/_xll.qwMV01($A$1,"CT10"))</f>
        <v>123.14114182185746</v>
      </c>
      <c r="Y66" s="6" cm="1">
        <f t="array" ref="Y66">IF(N66="BondFuture",-(_xll.qwCurveYield($A$1,_xll.qwSecVal($A$1,AA66,"CreditCurveName()"),AA66)-_xll.qwCurveYield($A$4,_xll.qwSecVal($A$4,AA66,"CreditCurveName()"),AA66))*P66*10000,IF(N66="Bond",-(_xll.qwCurveYield($A$1,_xll.qwSecVal($A$1,F66,"CreditCurveName()"),F66)-_xll.qwCurveYield($A$4,_xll.qwSecVal($A$4,F66,"CreditCurveName()"),F66))*P66*10000,O66))</f>
        <v>-85600.245211755173</v>
      </c>
      <c r="Z66" s="6" cm="1">
        <f t="array" ref="Z66">IF(OR(N66="BondFuture",N66="Bond"),P66*(_xll.qwCurveZSpread($A$4,_xll.qwSecVal($A$1,AA66,"CreditCurveName()"),AA66)-_xll.qwCurveZSpread($A$1,_xll.qwSecVal($A$1,AA66,"CreditCurveName()"),AA66)),0)</f>
        <v>0</v>
      </c>
      <c r="AA66" s="9" cm="1">
        <f t="array" ref="AA66">IF(_xll.qwSecType(F66)="Bond",F66,IF(_xll.qwSecType(F66)="BondFuture",_xll.qwFutCTD($A$1,F66),0))</f>
        <v>0</v>
      </c>
      <c r="AB66" s="6" cm="1">
        <f t="array" ref="AB66">IF(_xll.qwSecType(F66)="BondFuture",-(I66*_xll.qwDelta($A$4,F66)*_xll.qwMVFactor($A$1,F66)/_xll.qwMVFactor($A$1,_xll.qwFutCTD($A$1,F66)))*(_xll.qwFXRate($A$1,F66)*_xll.qwMVFactor($A$1,_xll.qwFutCTD($A$1,F66))*(_xll.qwIncome($A$4,_xll.qwFutCTD($A$4,F66),_xll.qwBondSettle($A$4,_xll.qwFutCTD($A$4,F66)),_xll.qwBondSettle($A$1,_xll.qwFutCTD($A$1,F66)))+(_xll.qwSecVal($A$1,AA66,"Price")-_xll.qwSecVal($A$4,AA66,"Price"))-_xll.qwBondRepoFromTo($A$1,AA66,_xll.qwBondSettle($A$4,AA66),_xll.qwBondSettle($A$1,AA66))*_xll.qwSecVal($A$1,AA66,"Price")*(_xll.qwBondSettle($A$1,AA66)-_xll.qwBondSettle($A$4,AA66))/360))+O66,0)</f>
        <v>0</v>
      </c>
      <c r="AC66" s="9" cm="1">
        <f t="array" ref="AC66">O66+T66+IF(ISNUMBER(_xll.qwIncome($A$1,F66,_xll.qwSettle($A$4,F66),_xll.qwSettle($A$1,F66))*_xll.qwMVFactor($A$1,F66)*_xll.qwFXRate($A$1,F66)*I66),_xll.qwIncome($A$1,F66,_xll.qwSettle($A$4,F66),_xll.qwSettle($A$1,F66))*_xll.qwMVFactor($A$1,F66)*_xll.qwFXRate($A$1,F66)*I66,0)+IF(ISNUMBER(-(_xll.qwBondRepoFromTo($A$1,F66,_xll.qwSettle($A$4,F66),_xll.qwSettle($A$1,F66))*_xll.qwSecVal($A$1,F66,"Price")*(_xll.qwSettle($A$1,F66)-_xll.qwSettle($A$4,F66))/360)*_xll.qwMVFactor($A$1,F66)*_xll.qwFXRate($A$1,F66)*I66),-(_xll.qwBondRepoFromTo($A$1,F66,_xll.qwSettle($A$4,F66),_xll.qwSettle($A$1,F66))*_xll.qwSecVal($A$1,F66,"Price")*(_xll.qwSettle($A$1,F66)-_xll.qwSettle($A$4,F66))/360)*_xll.qwMVFactor($A$1,F66)*_xll.qwFXRate($A$1,F66)*I66,0)</f>
        <v>-85600.245211755173</v>
      </c>
      <c r="AD66" s="6"/>
    </row>
    <row r="67" spans="2:36" s="7" customFormat="1" x14ac:dyDescent="0.35">
      <c r="B67" s="7" t="str">
        <v>jcleary</v>
      </c>
      <c r="C67" s="7" t="str">
        <v>MAMS</v>
      </c>
      <c r="D67" s="7" t="str">
        <v>jcleary|MAMS|RV_US_FV_Spread|253071448</v>
      </c>
      <c r="E67" s="7" t="str">
        <v>RV_US_FV_Spread</v>
      </c>
      <c r="F67" s="7" t="str">
        <v>253071448</v>
      </c>
      <c r="G67" s="7">
        <v>404.6</v>
      </c>
      <c r="H67" s="7">
        <v>0</v>
      </c>
      <c r="I67" s="7">
        <v>404.6</v>
      </c>
      <c r="J67" s="7">
        <v>0</v>
      </c>
      <c r="K67" s="7">
        <v>0</v>
      </c>
      <c r="L67" s="7">
        <v>0</v>
      </c>
      <c r="M67" s="7">
        <v>0</v>
      </c>
      <c r="N67" s="7" t="str">
        <v>SwapTrade</v>
      </c>
      <c r="O67" s="6" cm="1">
        <f t="array" ref="O67">(_xll.qwPrice($A$1,F67)-_xll.qwPrice($A$4,F67))*_xll.qwMVFactor($A$1,F67)*I67*_xll.qwFXRate($A$1,F67)</f>
        <v>-136761.75634513644</v>
      </c>
      <c r="P67" s="6" cm="1">
        <f t="array" ref="P67">IF(ISNUMBER(_xll.qwDV01($A$1,F67)*I67*_xll.qwMVFactor($A$1,F67)*_xll.qwFXRate($A$1,F67)),_xll.qwDV01($A$1,F67)*I67*_xll.qwMVFactor($A$1,F67)*_xll.qwFXRate($A$1,F67),0)</f>
        <v>-158581.16383448491</v>
      </c>
      <c r="Q67" s="6" cm="1">
        <f t="array" ref="Q67">IF(ISNUMBER(_xll.qwDV01($A$1,F67)*G67*_xll.qwMVFactor($A$1,F67)*_xll.qwFXRate($A$1,F67)),_xll.qwDV01($A$1,F67)*G67*_xll.qwMVFactor($A$1,F67)*_xll.qwFXRate($A$1,F67),0)</f>
        <v>-158581.16383448491</v>
      </c>
      <c r="R67" s="6" cm="1">
        <f t="array" ref="R67">IF(ISNUMBER(_xll.qwDV01($A$1,F67)*J67*_xll.qwMVFactor($A$1,F67)*_xll.qwFXRate($A$1,F67)),_xll.qwDV01($A$1,F67)*J67*_xll.qwMVFactor($A$1,F67)*_xll.qwFXRate($A$1,F67),0)</f>
        <v>0</v>
      </c>
      <c r="S67" s="6" cm="1">
        <f t="array" ref="S67">IF(ISNUMBER(_xll.qwDV01($A$1,F67)*J67*_xll.qwMVFactor($A$1,F67)*_xll.qwFXRate($A$1,F67)),_xll.qwDV01($A$1,F67)*J67*_xll.qwMVFactor($A$1,F67)*_xll.qwFXRate($A$1,F67),0)</f>
        <v>0</v>
      </c>
      <c r="T67" s="6" cm="1">
        <f t="array" ref="T67">_xll.qwFXRate($A$1,F67)*J67*(_xll.qwPrice($A$1,F67)-M67)*_xll.qwMVFactor($A$1,F67)+L67</f>
        <v>0</v>
      </c>
      <c r="U67" s="8" cm="1">
        <f t="array" ref="U67">_xll.qwYield($A$1,F67)</f>
        <v>4.7040746613169065E-2</v>
      </c>
      <c r="V67" s="8" cm="1">
        <f t="array" ref="V67">100*(_xll.qwYield($A$4,F67)-U67)</f>
        <v>8.1369158680115461E-3</v>
      </c>
      <c r="W67" s="6">
        <f>IF(ISNA(G67*INDEX(_xll.qwTblData(_xll.qwCurveScenariosPerSecurity($A$1,F67,"Crv210")),2,2)),0,(G67*INDEX(_xll.qwTblData(_xll.qwCurveScenariosPerSecurity($A$1,F67,"Crv210")),2,2)))</f>
        <v>-32240.88707781511</v>
      </c>
      <c r="X67" s="6" cm="1">
        <f t="array" ref="X67">ABS(Q67/_xll.qwMV01($A$1,"CT10"))</f>
        <v>213.48054175476446</v>
      </c>
      <c r="Y67" s="6" cm="1">
        <f t="array" ref="Y67">IF(N67="BondFuture",-(_xll.qwCurveYield($A$1,_xll.qwSecVal($A$1,AA67,"CreditCurveName()"),AA67)-_xll.qwCurveYield($A$4,_xll.qwSecVal($A$4,AA67,"CreditCurveName()"),AA67))*P67*10000,IF(N67="Bond",-(_xll.qwCurveYield($A$1,_xll.qwSecVal($A$1,F67,"CreditCurveName()"),F67)-_xll.qwCurveYield($A$4,_xll.qwSecVal($A$4,F67,"CreditCurveName()"),F67))*P67*10000,O67))</f>
        <v>-136761.75634513644</v>
      </c>
      <c r="Z67" s="6" cm="1">
        <f t="array" ref="Z67">IF(OR(N67="BondFuture",N67="Bond"),P67*(_xll.qwCurveZSpread($A$4,_xll.qwSecVal($A$1,AA67,"CreditCurveName()"),AA67)-_xll.qwCurveZSpread($A$1,_xll.qwSecVal($A$1,AA67,"CreditCurveName()"),AA67)),0)</f>
        <v>0</v>
      </c>
      <c r="AA67" s="9" cm="1">
        <f t="array" ref="AA67">IF(_xll.qwSecType(F67)="Bond",F67,IF(_xll.qwSecType(F67)="BondFuture",_xll.qwFutCTD($A$1,F67),0))</f>
        <v>0</v>
      </c>
      <c r="AB67" s="6" cm="1">
        <f t="array" ref="AB67">IF(_xll.qwSecType(F67)="BondFuture",-(I67*_xll.qwDelta($A$4,F67)*_xll.qwMVFactor($A$1,F67)/_xll.qwMVFactor($A$1,_xll.qwFutCTD($A$1,F67)))*(_xll.qwFXRate($A$1,F67)*_xll.qwMVFactor($A$1,_xll.qwFutCTD($A$1,F67))*(_xll.qwIncome($A$4,_xll.qwFutCTD($A$4,F67),_xll.qwBondSettle($A$4,_xll.qwFutCTD($A$4,F67)),_xll.qwBondSettle($A$1,_xll.qwFutCTD($A$1,F67)))+(_xll.qwSecVal($A$1,AA67,"Price")-_xll.qwSecVal($A$4,AA67,"Price"))-_xll.qwBondRepoFromTo($A$1,AA67,_xll.qwBondSettle($A$4,AA67),_xll.qwBondSettle($A$1,AA67))*_xll.qwSecVal($A$1,AA67,"Price")*(_xll.qwBondSettle($A$1,AA67)-_xll.qwBondSettle($A$4,AA67))/360))+O67,0)</f>
        <v>0</v>
      </c>
      <c r="AC67" s="9" cm="1">
        <f t="array" ref="AC67">O67+T67+IF(ISNUMBER(_xll.qwIncome($A$1,F67,_xll.qwSettle($A$4,F67),_xll.qwSettle($A$1,F67))*_xll.qwMVFactor($A$1,F67)*_xll.qwFXRate($A$1,F67)*I67),_xll.qwIncome($A$1,F67,_xll.qwSettle($A$4,F67),_xll.qwSettle($A$1,F67))*_xll.qwMVFactor($A$1,F67)*_xll.qwFXRate($A$1,F67)*I67,0)+IF(ISNUMBER(-(_xll.qwBondRepoFromTo($A$1,F67,_xll.qwSettle($A$4,F67),_xll.qwSettle($A$1,F67))*_xll.qwSecVal($A$1,F67,"Price")*(_xll.qwSettle($A$1,F67)-_xll.qwSettle($A$4,F67))/360)*_xll.qwMVFactor($A$1,F67)*_xll.qwFXRate($A$1,F67)*I67),-(_xll.qwBondRepoFromTo($A$1,F67,_xll.qwSettle($A$4,F67),_xll.qwSettle($A$1,F67))*_xll.qwSecVal($A$1,F67,"Price")*(_xll.qwSettle($A$1,F67)-_xll.qwSettle($A$4,F67))/360)*_xll.qwMVFactor($A$1,F67)*_xll.qwFXRate($A$1,F67)*I67,0)</f>
        <v>-136761.75634513644</v>
      </c>
      <c r="AD67" s="6"/>
    </row>
    <row r="68" spans="2:36" s="7" customFormat="1" x14ac:dyDescent="0.35">
      <c r="B68" s="7" t="str">
        <v>jcleary</v>
      </c>
      <c r="C68" s="7" t="str">
        <v>MAMS</v>
      </c>
      <c r="D68" s="7" t="str">
        <v>jcleary|MAMS|RV_US_FV_Spread|253368726</v>
      </c>
      <c r="E68" s="7" t="str">
        <v>RV_US_FV_Spread</v>
      </c>
      <c r="F68" s="7" t="str">
        <v>253368726</v>
      </c>
      <c r="G68" s="7">
        <v>467.4</v>
      </c>
      <c r="H68" s="7">
        <v>0</v>
      </c>
      <c r="I68" s="7">
        <v>467.4</v>
      </c>
      <c r="J68" s="7">
        <v>0</v>
      </c>
      <c r="K68" s="7">
        <v>0</v>
      </c>
      <c r="L68" s="7">
        <v>0</v>
      </c>
      <c r="M68" s="7">
        <v>0</v>
      </c>
      <c r="N68" s="7" t="str">
        <v>SwapTrade</v>
      </c>
      <c r="O68" s="6" cm="1">
        <f t="array" ref="O68">(_xll.qwPrice($A$1,F68)-_xll.qwPrice($A$4,F68))*_xll.qwMVFactor($A$1,F68)*I68*_xll.qwFXRate($A$1,F68)</f>
        <v>-157999.11516520541</v>
      </c>
      <c r="P68" s="6" cm="1">
        <f t="array" ref="P68">IF(ISNUMBER(_xll.qwDV01($A$1,F68)*I68*_xll.qwMVFactor($A$1,F68)*_xll.qwFXRate($A$1,F68)),_xll.qwDV01($A$1,F68)*I68*_xll.qwMVFactor($A$1,F68)*_xll.qwFXRate($A$1,F68),0)</f>
        <v>-183191.06422108857</v>
      </c>
      <c r="Q68" s="6" cm="1">
        <f t="array" ref="Q68">IF(ISNUMBER(_xll.qwDV01($A$1,F68)*G68*_xll.qwMVFactor($A$1,F68)*_xll.qwFXRate($A$1,F68)),_xll.qwDV01($A$1,F68)*G68*_xll.qwMVFactor($A$1,F68)*_xll.qwFXRate($A$1,F68),0)</f>
        <v>-183191.06422108857</v>
      </c>
      <c r="R68" s="6" cm="1">
        <f t="array" ref="R68">IF(ISNUMBER(_xll.qwDV01($A$1,F68)*J68*_xll.qwMVFactor($A$1,F68)*_xll.qwFXRate($A$1,F68)),_xll.qwDV01($A$1,F68)*J68*_xll.qwMVFactor($A$1,F68)*_xll.qwFXRate($A$1,F68),0)</f>
        <v>0</v>
      </c>
      <c r="S68" s="6" cm="1">
        <f t="array" ref="S68">IF(ISNUMBER(_xll.qwDV01($A$1,F68)*J68*_xll.qwMVFactor($A$1,F68)*_xll.qwFXRate($A$1,F68)),_xll.qwDV01($A$1,F68)*J68*_xll.qwMVFactor($A$1,F68)*_xll.qwFXRate($A$1,F68),0)</f>
        <v>0</v>
      </c>
      <c r="T68" s="6" cm="1">
        <f t="array" ref="T68">_xll.qwFXRate($A$1,F68)*J68*(_xll.qwPrice($A$1,F68)-M68)*_xll.qwMVFactor($A$1,F68)+L68</f>
        <v>0</v>
      </c>
      <c r="U68" s="8" cm="1">
        <f t="array" ref="U68">_xll.qwYield($A$1,F68)</f>
        <v>4.7040746613169065E-2</v>
      </c>
      <c r="V68" s="8" cm="1">
        <f t="array" ref="V68">100*(_xll.qwYield($A$4,F68)-U68)</f>
        <v>8.1369158680115461E-3</v>
      </c>
      <c r="W68" s="6">
        <f>IF(ISNA(G68*INDEX(_xll.qwTblData(_xll.qwCurveScenariosPerSecurity($A$1,F68,"Crv210")),2,2)),0,(G68*INDEX(_xll.qwTblData(_xll.qwCurveScenariosPerSecurity($A$1,F68,"Crv210")),2,2)))</f>
        <v>-37242.104285593785</v>
      </c>
      <c r="X68" s="6" cm="1">
        <f t="array" ref="X68">ABS(Q68/_xll.qwMV01($A$1,"CT10"))</f>
        <v>246.61016913312318</v>
      </c>
      <c r="Y68" s="6" cm="1">
        <f t="array" ref="Y68">IF(N68="BondFuture",-(_xll.qwCurveYield($A$1,_xll.qwSecVal($A$1,AA68,"CreditCurveName()"),AA68)-_xll.qwCurveYield($A$4,_xll.qwSecVal($A$4,AA68,"CreditCurveName()"),AA68))*P68*10000,IF(N68="Bond",-(_xll.qwCurveYield($A$1,_xll.qwSecVal($A$1,F68,"CreditCurveName()"),F68)-_xll.qwCurveYield($A$4,_xll.qwSecVal($A$4,F68,"CreditCurveName()"),F68))*P68*10000,O68))</f>
        <v>-157999.11516520541</v>
      </c>
      <c r="Z68" s="6" cm="1">
        <f t="array" ref="Z68">IF(OR(N68="BondFuture",N68="Bond"),P68*(_xll.qwCurveZSpread($A$4,_xll.qwSecVal($A$1,AA68,"CreditCurveName()"),AA68)-_xll.qwCurveZSpread($A$1,_xll.qwSecVal($A$1,AA68,"CreditCurveName()"),AA68)),0)</f>
        <v>0</v>
      </c>
      <c r="AA68" s="9" cm="1">
        <f t="array" ref="AA68">IF(_xll.qwSecType(F68)="Bond",F68,IF(_xll.qwSecType(F68)="BondFuture",_xll.qwFutCTD($A$1,F68),0))</f>
        <v>0</v>
      </c>
      <c r="AB68" s="6" cm="1">
        <f t="array" ref="AB68">IF(_xll.qwSecType(F68)="BondFuture",-(I68*_xll.qwDelta($A$4,F68)*_xll.qwMVFactor($A$1,F68)/_xll.qwMVFactor($A$1,_xll.qwFutCTD($A$1,F68)))*(_xll.qwFXRate($A$1,F68)*_xll.qwMVFactor($A$1,_xll.qwFutCTD($A$1,F68))*(_xll.qwIncome($A$4,_xll.qwFutCTD($A$4,F68),_xll.qwBondSettle($A$4,_xll.qwFutCTD($A$4,F68)),_xll.qwBondSettle($A$1,_xll.qwFutCTD($A$1,F68)))+(_xll.qwSecVal($A$1,AA68,"Price")-_xll.qwSecVal($A$4,AA68,"Price"))-_xll.qwBondRepoFromTo($A$1,AA68,_xll.qwBondSettle($A$4,AA68),_xll.qwBondSettle($A$1,AA68))*_xll.qwSecVal($A$1,AA68,"Price")*(_xll.qwBondSettle($A$1,AA68)-_xll.qwBondSettle($A$4,AA68))/360))+O68,0)</f>
        <v>0</v>
      </c>
      <c r="AC68" s="9" cm="1">
        <f t="array" ref="AC68">O68+T68+IF(ISNUMBER(_xll.qwIncome($A$1,F68,_xll.qwSettle($A$4,F68),_xll.qwSettle($A$1,F68))*_xll.qwMVFactor($A$1,F68)*_xll.qwFXRate($A$1,F68)*I68),_xll.qwIncome($A$1,F68,_xll.qwSettle($A$4,F68),_xll.qwSettle($A$1,F68))*_xll.qwMVFactor($A$1,F68)*_xll.qwFXRate($A$1,F68)*I68,0)+IF(ISNUMBER(-(_xll.qwBondRepoFromTo($A$1,F68,_xll.qwSettle($A$4,F68),_xll.qwSettle($A$1,F68))*_xll.qwSecVal($A$1,F68,"Price")*(_xll.qwSettle($A$1,F68)-_xll.qwSettle($A$4,F68))/360)*_xll.qwMVFactor($A$1,F68)*_xll.qwFXRate($A$1,F68)*I68),-(_xll.qwBondRepoFromTo($A$1,F68,_xll.qwSettle($A$4,F68),_xll.qwSettle($A$1,F68))*_xll.qwSecVal($A$1,F68,"Price")*(_xll.qwSettle($A$1,F68)-_xll.qwSettle($A$4,F68))/360)*_xll.qwMVFactor($A$1,F68)*_xll.qwFXRate($A$1,F68)*I68,0)</f>
        <v>-157999.11516520541</v>
      </c>
      <c r="AD68" s="6"/>
    </row>
    <row r="69" spans="2:36" s="7" customFormat="1" x14ac:dyDescent="0.35">
      <c r="B69" s="7" t="str">
        <v>jcleary</v>
      </c>
      <c r="C69" s="7" t="str">
        <v>MAMS</v>
      </c>
      <c r="D69" s="7" t="str">
        <v>jcleary|MAMS|RV_US_FV_Spread|253368727</v>
      </c>
      <c r="E69" s="7" t="str">
        <v>RV_US_FV_Spread</v>
      </c>
      <c r="F69" s="7" t="str">
        <v>253368727</v>
      </c>
      <c r="G69" s="7">
        <v>425.2</v>
      </c>
      <c r="H69" s="7">
        <v>0</v>
      </c>
      <c r="I69" s="7">
        <v>425.2</v>
      </c>
      <c r="J69" s="7">
        <v>0</v>
      </c>
      <c r="K69" s="7">
        <v>0</v>
      </c>
      <c r="L69" s="7">
        <v>0</v>
      </c>
      <c r="M69" s="7">
        <v>0</v>
      </c>
      <c r="N69" s="7" t="str">
        <v>SwapTrade</v>
      </c>
      <c r="O69" s="6" cm="1">
        <f t="array" ref="O69">(_xll.qwPrice($A$1,F69)-_xll.qwPrice($A$4,F69))*_xll.qwMVFactor($A$1,F69)*I69*_xll.qwFXRate($A$1,F69)</f>
        <v>171921.72614167913</v>
      </c>
      <c r="P69" s="6" cm="1">
        <f t="array" ref="P69">IF(ISNUMBER(_xll.qwDV01($A$1,F69)*I69*_xll.qwMVFactor($A$1,F69)*_xll.qwFXRate($A$1,F69)),_xll.qwDV01($A$1,F69)*I69*_xll.qwMVFactor($A$1,F69)*_xll.qwFXRate($A$1,F69),0)</f>
        <v>183716.3920818287</v>
      </c>
      <c r="Q69" s="6" cm="1">
        <f t="array" ref="Q69">IF(ISNUMBER(_xll.qwDV01($A$1,F69)*G69*_xll.qwMVFactor($A$1,F69)*_xll.qwFXRate($A$1,F69)),_xll.qwDV01($A$1,F69)*G69*_xll.qwMVFactor($A$1,F69)*_xll.qwFXRate($A$1,F69),0)</f>
        <v>183716.3920818287</v>
      </c>
      <c r="R69" s="6" cm="1">
        <f t="array" ref="R69">IF(ISNUMBER(_xll.qwDV01($A$1,F69)*J69*_xll.qwMVFactor($A$1,F69)*_xll.qwFXRate($A$1,F69)),_xll.qwDV01($A$1,F69)*J69*_xll.qwMVFactor($A$1,F69)*_xll.qwFXRate($A$1,F69),0)</f>
        <v>0</v>
      </c>
      <c r="S69" s="6" cm="1">
        <f t="array" ref="S69">IF(ISNUMBER(_xll.qwDV01($A$1,F69)*J69*_xll.qwMVFactor($A$1,F69)*_xll.qwFXRate($A$1,F69)),_xll.qwDV01($A$1,F69)*J69*_xll.qwMVFactor($A$1,F69)*_xll.qwFXRate($A$1,F69),0)</f>
        <v>0</v>
      </c>
      <c r="T69" s="6" cm="1">
        <f t="array" ref="T69">_xll.qwFXRate($A$1,F69)*J69*(_xll.qwPrice($A$1,F69)-M69)*_xll.qwMVFactor($A$1,F69)+L69</f>
        <v>0</v>
      </c>
      <c r="U69" s="8" cm="1">
        <f t="array" ref="U69">_xll.qwYield($A$1,F69)</f>
        <v>4.710832052552244E-2</v>
      </c>
      <c r="V69" s="8" cm="1">
        <f t="array" ref="V69">100*(_xll.qwYield($A$4,F69)-U69)</f>
        <v>8.990898775992906E-3</v>
      </c>
      <c r="W69" s="6">
        <f>IF(ISNA(G69*INDEX(_xll.qwTblData(_xll.qwCurveScenariosPerSecurity($A$1,F69,"Crv210")),2,2)),0,(G69*INDEX(_xll.qwTblData(_xll.qwCurveScenariosPerSecurity($A$1,F69,"Crv210")),2,2)))</f>
        <v>25743.653198634373</v>
      </c>
      <c r="X69" s="6" cm="1">
        <f t="array" ref="X69">ABS(Q69/_xll.qwMV01($A$1,"CT10"))</f>
        <v>247.31736079194292</v>
      </c>
      <c r="Y69" s="6" cm="1">
        <f t="array" ref="Y69">IF(N69="BondFuture",-(_xll.qwCurveYield($A$1,_xll.qwSecVal($A$1,AA69,"CreditCurveName()"),AA69)-_xll.qwCurveYield($A$4,_xll.qwSecVal($A$4,AA69,"CreditCurveName()"),AA69))*P69*10000,IF(N69="Bond",-(_xll.qwCurveYield($A$1,_xll.qwSecVal($A$1,F69,"CreditCurveName()"),F69)-_xll.qwCurveYield($A$4,_xll.qwSecVal($A$4,F69,"CreditCurveName()"),F69))*P69*10000,O69))</f>
        <v>171921.72614167913</v>
      </c>
      <c r="Z69" s="6" cm="1">
        <f t="array" ref="Z69">IF(OR(N69="BondFuture",N69="Bond"),P69*(_xll.qwCurveZSpread($A$4,_xll.qwSecVal($A$1,AA69,"CreditCurveName()"),AA69)-_xll.qwCurveZSpread($A$1,_xll.qwSecVal($A$1,AA69,"CreditCurveName()"),AA69)),0)</f>
        <v>0</v>
      </c>
      <c r="AA69" s="9" cm="1">
        <f t="array" ref="AA69">IF(_xll.qwSecType(F69)="Bond",F69,IF(_xll.qwSecType(F69)="BondFuture",_xll.qwFutCTD($A$1,F69),0))</f>
        <v>0</v>
      </c>
      <c r="AB69" s="6" cm="1">
        <f t="array" ref="AB69">IF(_xll.qwSecType(F69)="BondFuture",-(I69*_xll.qwDelta($A$4,F69)*_xll.qwMVFactor($A$1,F69)/_xll.qwMVFactor($A$1,_xll.qwFutCTD($A$1,F69)))*(_xll.qwFXRate($A$1,F69)*_xll.qwMVFactor($A$1,_xll.qwFutCTD($A$1,F69))*(_xll.qwIncome($A$4,_xll.qwFutCTD($A$4,F69),_xll.qwBondSettle($A$4,_xll.qwFutCTD($A$4,F69)),_xll.qwBondSettle($A$1,_xll.qwFutCTD($A$1,F69)))+(_xll.qwSecVal($A$1,AA69,"Price")-_xll.qwSecVal($A$4,AA69,"Price"))-_xll.qwBondRepoFromTo($A$1,AA69,_xll.qwBondSettle($A$4,AA69),_xll.qwBondSettle($A$1,AA69))*_xll.qwSecVal($A$1,AA69,"Price")*(_xll.qwBondSettle($A$1,AA69)-_xll.qwBondSettle($A$4,AA69))/360))+O69,0)</f>
        <v>0</v>
      </c>
      <c r="AC69" s="9" cm="1">
        <f t="array" ref="AC69">O69+T69+IF(ISNUMBER(_xll.qwIncome($A$1,F69,_xll.qwSettle($A$4,F69),_xll.qwSettle($A$1,F69))*_xll.qwMVFactor($A$1,F69)*_xll.qwFXRate($A$1,F69)*I69),_xll.qwIncome($A$1,F69,_xll.qwSettle($A$4,F69),_xll.qwSettle($A$1,F69))*_xll.qwMVFactor($A$1,F69)*_xll.qwFXRate($A$1,F69)*I69,0)+IF(ISNUMBER(-(_xll.qwBondRepoFromTo($A$1,F69,_xll.qwSettle($A$4,F69),_xll.qwSettle($A$1,F69))*_xll.qwSecVal($A$1,F69,"Price")*(_xll.qwSettle($A$1,F69)-_xll.qwSettle($A$4,F69))/360)*_xll.qwMVFactor($A$1,F69)*_xll.qwFXRate($A$1,F69)*I69),-(_xll.qwBondRepoFromTo($A$1,F69,_xll.qwSettle($A$4,F69),_xll.qwSettle($A$1,F69))*_xll.qwSecVal($A$1,F69,"Price")*(_xll.qwSettle($A$1,F69)-_xll.qwSettle($A$4,F69))/360)*_xll.qwMVFactor($A$1,F69)*_xll.qwFXRate($A$1,F69)*I69,0)</f>
        <v>171921.72614167913</v>
      </c>
      <c r="AD69" s="6"/>
    </row>
    <row r="70" spans="2:36" s="7" customFormat="1" x14ac:dyDescent="0.35">
      <c r="B70" s="7" t="str">
        <v>jcleary</v>
      </c>
      <c r="C70" s="7" t="str">
        <v>MAMS</v>
      </c>
      <c r="D70" s="7" t="str">
        <v>jcleary|MAMS|RV_US_FV_Spread|255065189</v>
      </c>
      <c r="E70" s="7" t="str">
        <v>RV_US_FV_Spread</v>
      </c>
      <c r="F70" s="7" t="str">
        <v>255065189</v>
      </c>
      <c r="G70" s="7">
        <v>452.1</v>
      </c>
      <c r="H70" s="7">
        <v>0</v>
      </c>
      <c r="I70" s="7">
        <v>0</v>
      </c>
      <c r="J70" s="7">
        <v>452.1</v>
      </c>
      <c r="K70" s="7">
        <v>0</v>
      </c>
      <c r="L70" s="7">
        <v>0</v>
      </c>
      <c r="M70" s="7">
        <v>0</v>
      </c>
      <c r="N70" s="7" t="str">
        <v>SwapTrade</v>
      </c>
      <c r="O70" s="6" cm="1">
        <f t="array" ref="O70">(_xll.qwPrice($A$1,F70)-_xll.qwPrice($A$4,F70))*_xll.qwMVFactor($A$1,F70)*I70*_xll.qwFXRate($A$1,F70)</f>
        <v>0</v>
      </c>
      <c r="P70" s="6" cm="1">
        <f t="array" ref="P70">IF(ISNUMBER(_xll.qwDV01($A$1,F70)*I70*_xll.qwMVFactor($A$1,F70)*_xll.qwFXRate($A$1,F70)),_xll.qwDV01($A$1,F70)*I70*_xll.qwMVFactor($A$1,F70)*_xll.qwFXRate($A$1,F70),0)</f>
        <v>0</v>
      </c>
      <c r="Q70" s="6" cm="1">
        <f t="array" ref="Q70">IF(ISNUMBER(_xll.qwDV01($A$1,F70)*G70*_xll.qwMVFactor($A$1,F70)*_xll.qwFXRate($A$1,F70)),_xll.qwDV01($A$1,F70)*G70*_xll.qwMVFactor($A$1,F70)*_xll.qwFXRate($A$1,F70),0)</f>
        <v>140295.36783070242</v>
      </c>
      <c r="R70" s="6" cm="1">
        <f t="array" ref="R70">IF(ISNUMBER(_xll.qwDV01($A$1,F70)*J70*_xll.qwMVFactor($A$1,F70)*_xll.qwFXRate($A$1,F70)),_xll.qwDV01($A$1,F70)*J70*_xll.qwMVFactor($A$1,F70)*_xll.qwFXRate($A$1,F70),0)</f>
        <v>140295.36783070242</v>
      </c>
      <c r="S70" s="6" cm="1">
        <f t="array" ref="S70">IF(ISNUMBER(_xll.qwDV01($A$1,F70)*J70*_xll.qwMVFactor($A$1,F70)*_xll.qwFXRate($A$1,F70)),_xll.qwDV01($A$1,F70)*J70*_xll.qwMVFactor($A$1,F70)*_xll.qwFXRate($A$1,F70),0)</f>
        <v>140295.36783070242</v>
      </c>
      <c r="T70" s="6" cm="1">
        <f t="array" ref="T70">_xll.qwFXRate($A$1,F70)*J70*(_xll.qwPrice($A$1,F70)-M70)*_xll.qwMVFactor($A$1,F70)+L70</f>
        <v>751327.78855923272</v>
      </c>
      <c r="U70" s="8" cm="1">
        <f t="array" ref="U70">_xll.qwYield($A$1,F70)</f>
        <v>4.6964694366957667E-2</v>
      </c>
      <c r="V70" s="8" cm="1">
        <f t="array" ref="V70">100*(_xll.qwYield($A$4,F70)-U70)</f>
        <v>6.295694037512789E-3</v>
      </c>
      <c r="W70" s="6">
        <f>IF(ISNA(G70*INDEX(_xll.qwTblData(_xll.qwCurveScenariosPerSecurity($A$1,F70,"Crv210")),2,2)),0,(G70*INDEX(_xll.qwTblData(_xll.qwCurveScenariosPerSecurity($A$1,F70,"Crv210")),2,2)))</f>
        <v>46134.452444410788</v>
      </c>
      <c r="X70" s="6" cm="1">
        <f t="array" ref="X70">ABS(Q70/_xll.qwMV01($A$1,"CT10"))</f>
        <v>188.86436702811824</v>
      </c>
      <c r="Y70" s="6" cm="1">
        <f t="array" ref="Y70">IF(N70="BondFuture",-(_xll.qwCurveYield($A$1,_xll.qwSecVal($A$1,AA70,"CreditCurveName()"),AA70)-_xll.qwCurveYield($A$4,_xll.qwSecVal($A$4,AA70,"CreditCurveName()"),AA70))*P70*10000,IF(N70="Bond",-(_xll.qwCurveYield($A$1,_xll.qwSecVal($A$1,F70,"CreditCurveName()"),F70)-_xll.qwCurveYield($A$4,_xll.qwSecVal($A$4,F70,"CreditCurveName()"),F70))*P70*10000,O70))</f>
        <v>0</v>
      </c>
      <c r="Z70" s="6" cm="1">
        <f t="array" ref="Z70">IF(OR(N70="BondFuture",N70="Bond"),P70*(_xll.qwCurveZSpread($A$4,_xll.qwSecVal($A$1,AA70,"CreditCurveName()"),AA70)-_xll.qwCurveZSpread($A$1,_xll.qwSecVal($A$1,AA70,"CreditCurveName()"),AA70)),0)</f>
        <v>0</v>
      </c>
      <c r="AA70" s="9" cm="1">
        <f t="array" ref="AA70">IF(_xll.qwSecType(F70)="Bond",F70,IF(_xll.qwSecType(F70)="BondFuture",_xll.qwFutCTD($A$1,F70),0))</f>
        <v>0</v>
      </c>
      <c r="AB70" s="6" cm="1">
        <f t="array" ref="AB70">IF(_xll.qwSecType(F70)="BondFuture",-(I70*_xll.qwDelta($A$4,F70)*_xll.qwMVFactor($A$1,F70)/_xll.qwMVFactor($A$1,_xll.qwFutCTD($A$1,F70)))*(_xll.qwFXRate($A$1,F70)*_xll.qwMVFactor($A$1,_xll.qwFutCTD($A$1,F70))*(_xll.qwIncome($A$4,_xll.qwFutCTD($A$4,F70),_xll.qwBondSettle($A$4,_xll.qwFutCTD($A$4,F70)),_xll.qwBondSettle($A$1,_xll.qwFutCTD($A$1,F70)))+(_xll.qwSecVal($A$1,AA70,"Price")-_xll.qwSecVal($A$4,AA70,"Price"))-_xll.qwBondRepoFromTo($A$1,AA70,_xll.qwBondSettle($A$4,AA70),_xll.qwBondSettle($A$1,AA70))*_xll.qwSecVal($A$1,AA70,"Price")*(_xll.qwBondSettle($A$1,AA70)-_xll.qwBondSettle($A$4,AA70))/360))+O70,0)</f>
        <v>0</v>
      </c>
      <c r="AC70" s="9" cm="1">
        <f t="array" ref="AC70">O70+T70+IF(ISNUMBER(_xll.qwIncome($A$1,F70,_xll.qwSettle($A$4,F70),_xll.qwSettle($A$1,F70))*_xll.qwMVFactor($A$1,F70)*_xll.qwFXRate($A$1,F70)*I70),_xll.qwIncome($A$1,F70,_xll.qwSettle($A$4,F70),_xll.qwSettle($A$1,F70))*_xll.qwMVFactor($A$1,F70)*_xll.qwFXRate($A$1,F70)*I70,0)+IF(ISNUMBER(-(_xll.qwBondRepoFromTo($A$1,F70,_xll.qwSettle($A$4,F70),_xll.qwSettle($A$1,F70))*_xll.qwSecVal($A$1,F70,"Price")*(_xll.qwSettle($A$1,F70)-_xll.qwSettle($A$4,F70))/360)*_xll.qwMVFactor($A$1,F70)*_xll.qwFXRate($A$1,F70)*I70),-(_xll.qwBondRepoFromTo($A$1,F70,_xll.qwSettle($A$4,F70),_xll.qwSettle($A$1,F70))*_xll.qwSecVal($A$1,F70,"Price")*(_xll.qwSettle($A$1,F70)-_xll.qwSettle($A$4,F70))/360)*_xll.qwMVFactor($A$1,F70)*_xll.qwFXRate($A$1,F70)*I70,0)</f>
        <v>751327.78855923272</v>
      </c>
      <c r="AD70" s="6"/>
    </row>
    <row r="71" spans="2:36" s="7" customFormat="1" x14ac:dyDescent="0.35">
      <c r="B71" s="7" t="str">
        <v>jcleary</v>
      </c>
      <c r="C71" s="7" t="str">
        <v>MAMS</v>
      </c>
      <c r="D71" s="7" t="str">
        <v>jcleary|MAMS|RV_US_FV_Spread|255065193</v>
      </c>
      <c r="E71" s="7" t="str">
        <v>RV_US_FV_Spread</v>
      </c>
      <c r="F71" s="7" t="str">
        <v>255065193</v>
      </c>
      <c r="G71" s="7">
        <v>368.69999999999987</v>
      </c>
      <c r="H71" s="7">
        <v>0</v>
      </c>
      <c r="I71" s="7">
        <v>0</v>
      </c>
      <c r="J71" s="7">
        <v>368.69999999999987</v>
      </c>
      <c r="K71" s="7">
        <v>0</v>
      </c>
      <c r="L71" s="7">
        <v>0</v>
      </c>
      <c r="M71" s="7">
        <v>0</v>
      </c>
      <c r="N71" s="7" t="str">
        <v>SwapTrade</v>
      </c>
      <c r="O71" s="6" cm="1">
        <f t="array" ref="O71">(_xll.qwPrice($A$1,F71)-_xll.qwPrice($A$4,F71))*_xll.qwMVFactor($A$1,F71)*I71*_xll.qwFXRate($A$1,F71)</f>
        <v>0</v>
      </c>
      <c r="P71" s="6" cm="1">
        <f t="array" ref="P71">IF(ISNUMBER(_xll.qwDV01($A$1,F71)*I71*_xll.qwMVFactor($A$1,F71)*_xll.qwFXRate($A$1,F71)),_xll.qwDV01($A$1,F71)*I71*_xll.qwMVFactor($A$1,F71)*_xll.qwFXRate($A$1,F71),0)</f>
        <v>0</v>
      </c>
      <c r="Q71" s="6" cm="1">
        <f t="array" ref="Q71">IF(ISNUMBER(_xll.qwDV01($A$1,F71)*G71*_xll.qwMVFactor($A$1,F71)*_xll.qwFXRate($A$1,F71)),_xll.qwDV01($A$1,F71)*G71*_xll.qwMVFactor($A$1,F71)*_xll.qwFXRate($A$1,F71),0)</f>
        <v>-144977.95143859132</v>
      </c>
      <c r="R71" s="6" cm="1">
        <f t="array" ref="R71">IF(ISNUMBER(_xll.qwDV01($A$1,F71)*J71*_xll.qwMVFactor($A$1,F71)*_xll.qwFXRate($A$1,F71)),_xll.qwDV01($A$1,F71)*J71*_xll.qwMVFactor($A$1,F71)*_xll.qwFXRate($A$1,F71),0)</f>
        <v>-144977.95143859132</v>
      </c>
      <c r="S71" s="6" cm="1">
        <f t="array" ref="S71">IF(ISNUMBER(_xll.qwDV01($A$1,F71)*J71*_xll.qwMVFactor($A$1,F71)*_xll.qwFXRate($A$1,F71)),_xll.qwDV01($A$1,F71)*J71*_xll.qwMVFactor($A$1,F71)*_xll.qwFXRate($A$1,F71),0)</f>
        <v>-144977.95143859132</v>
      </c>
      <c r="T71" s="6" cm="1">
        <f t="array" ref="T71">_xll.qwFXRate($A$1,F71)*J71*(_xll.qwPrice($A$1,F71)-M71)*_xll.qwMVFactor($A$1,F71)+L71</f>
        <v>-765984.33512740757</v>
      </c>
      <c r="U71" s="8" cm="1">
        <f t="array" ref="U71">_xll.qwYield($A$1,F71)</f>
        <v>4.7040746613169065E-2</v>
      </c>
      <c r="V71" s="8" cm="1">
        <f t="array" ref="V71">100*(_xll.qwYield($A$4,F71)-U71)</f>
        <v>8.6692189960033139E-3</v>
      </c>
      <c r="W71" s="6">
        <f>IF(ISNA(G71*INDEX(_xll.qwTblData(_xll.qwCurveScenariosPerSecurity($A$1,F71,"Crv210")),2,2)),0,(G71*INDEX(_xll.qwTblData(_xll.qwCurveScenariosPerSecurity($A$1,F71,"Crv210")),2,2)))</f>
        <v>-29483.272079314229</v>
      </c>
      <c r="X71" s="6" cm="1">
        <f t="array" ref="X71">ABS(Q71/_xll.qwMV01($A$1,"CT10"))</f>
        <v>195.16801912180227</v>
      </c>
      <c r="Y71" s="6" cm="1">
        <f t="array" ref="Y71">IF(N71="BondFuture",-(_xll.qwCurveYield($A$1,_xll.qwSecVal($A$1,AA71,"CreditCurveName()"),AA71)-_xll.qwCurveYield($A$4,_xll.qwSecVal($A$4,AA71,"CreditCurveName()"),AA71))*P71*10000,IF(N71="Bond",-(_xll.qwCurveYield($A$1,_xll.qwSecVal($A$1,F71,"CreditCurveName()"),F71)-_xll.qwCurveYield($A$4,_xll.qwSecVal($A$4,F71,"CreditCurveName()"),F71))*P71*10000,O71))</f>
        <v>0</v>
      </c>
      <c r="Z71" s="6" cm="1">
        <f t="array" ref="Z71">IF(OR(N71="BondFuture",N71="Bond"),P71*(_xll.qwCurveZSpread($A$4,_xll.qwSecVal($A$1,AA71,"CreditCurveName()"),AA71)-_xll.qwCurveZSpread($A$1,_xll.qwSecVal($A$1,AA71,"CreditCurveName()"),AA71)),0)</f>
        <v>0</v>
      </c>
      <c r="AA71" s="9" cm="1">
        <f t="array" ref="AA71">IF(_xll.qwSecType(F71)="Bond",F71,IF(_xll.qwSecType(F71)="BondFuture",_xll.qwFutCTD($A$1,F71),0))</f>
        <v>0</v>
      </c>
      <c r="AB71" s="6" cm="1">
        <f t="array" ref="AB71">IF(_xll.qwSecType(F71)="BondFuture",-(I71*_xll.qwDelta($A$4,F71)*_xll.qwMVFactor($A$1,F71)/_xll.qwMVFactor($A$1,_xll.qwFutCTD($A$1,F71)))*(_xll.qwFXRate($A$1,F71)*_xll.qwMVFactor($A$1,_xll.qwFutCTD($A$1,F71))*(_xll.qwIncome($A$4,_xll.qwFutCTD($A$4,F71),_xll.qwBondSettle($A$4,_xll.qwFutCTD($A$4,F71)),_xll.qwBondSettle($A$1,_xll.qwFutCTD($A$1,F71)))+(_xll.qwSecVal($A$1,AA71,"Price")-_xll.qwSecVal($A$4,AA71,"Price"))-_xll.qwBondRepoFromTo($A$1,AA71,_xll.qwBondSettle($A$4,AA71),_xll.qwBondSettle($A$1,AA71))*_xll.qwSecVal($A$1,AA71,"Price")*(_xll.qwBondSettle($A$1,AA71)-_xll.qwBondSettle($A$4,AA71))/360))+O71,0)</f>
        <v>0</v>
      </c>
      <c r="AC71" s="9" cm="1">
        <f t="array" ref="AC71">O71+T71+IF(ISNUMBER(_xll.qwIncome($A$1,F71,_xll.qwSettle($A$4,F71),_xll.qwSettle($A$1,F71))*_xll.qwMVFactor($A$1,F71)*_xll.qwFXRate($A$1,F71)*I71),_xll.qwIncome($A$1,F71,_xll.qwSettle($A$4,F71),_xll.qwSettle($A$1,F71))*_xll.qwMVFactor($A$1,F71)*_xll.qwFXRate($A$1,F71)*I71,0)+IF(ISNUMBER(-(_xll.qwBondRepoFromTo($A$1,F71,_xll.qwSettle($A$4,F71),_xll.qwSettle($A$1,F71))*_xll.qwSecVal($A$1,F71,"Price")*(_xll.qwSettle($A$1,F71)-_xll.qwSettle($A$4,F71))/360)*_xll.qwMVFactor($A$1,F71)*_xll.qwFXRate($A$1,F71)*I71),-(_xll.qwBondRepoFromTo($A$1,F71,_xll.qwSettle($A$4,F71),_xll.qwSettle($A$1,F71))*_xll.qwSecVal($A$1,F71,"Price")*(_xll.qwSettle($A$1,F71)-_xll.qwSettle($A$4,F71))/360)*_xll.qwMVFactor($A$1,F71)*_xll.qwFXRate($A$1,F71)*I71,0)</f>
        <v>-765984.33512740757</v>
      </c>
      <c r="AD71" s="6"/>
    </row>
    <row r="72" spans="2:36" s="7" customFormat="1" x14ac:dyDescent="0.35">
      <c r="B72" s="7" t="str">
        <v>jcleary</v>
      </c>
      <c r="C72" s="7" t="str">
        <v>MAMS</v>
      </c>
      <c r="D72" s="7" t="str">
        <v>jcleary|MAMS|RV_US_FV_Spread|91282CGQ8</v>
      </c>
      <c r="E72" s="7" t="str">
        <v>RV_US_FV_Spread</v>
      </c>
      <c r="F72" s="7" t="str">
        <v>91282CGQ8</v>
      </c>
      <c r="G72" s="7">
        <v>0</v>
      </c>
      <c r="H72" s="7">
        <v>0</v>
      </c>
      <c r="I72" s="7">
        <v>254</v>
      </c>
      <c r="J72" s="7">
        <v>-254</v>
      </c>
      <c r="K72" s="7">
        <v>97.08984375</v>
      </c>
      <c r="L72" s="7">
        <v>0</v>
      </c>
      <c r="M72" s="7">
        <v>97.08984375</v>
      </c>
      <c r="N72" s="7" t="str">
        <v>Bond</v>
      </c>
      <c r="O72" s="6" cm="1">
        <f t="array" ref="O72">(_xll.qwPrice($A$1,F72)-_xll.qwPrice($A$4,F72))*_xll.qwMVFactor($A$1,F72)*I72*_xll.qwFXRate($A$1,F72)</f>
        <v>69453.125170407191</v>
      </c>
      <c r="P72" s="6" cm="1">
        <f t="array" ref="P72">IF(ISNUMBER(_xll.qwDV01($A$1,F72)*I72*_xll.qwMVFactor($A$1,F72)*_xll.qwFXRate($A$1,F72)),_xll.qwDV01($A$1,F72)*I72*_xll.qwMVFactor($A$1,F72)*_xll.qwFXRate($A$1,F72),0)</f>
        <v>76763.115259836923</v>
      </c>
      <c r="Q72" s="6" cm="1">
        <f t="array" ref="Q72">IF(ISNUMBER(_xll.qwDV01($A$1,F72)*G72*_xll.qwMVFactor($A$1,F72)*_xll.qwFXRate($A$1,F72)),_xll.qwDV01($A$1,F72)*G72*_xll.qwMVFactor($A$1,F72)*_xll.qwFXRate($A$1,F72),0)</f>
        <v>0</v>
      </c>
      <c r="R72" s="6" cm="1">
        <f t="array" ref="R72">IF(ISNUMBER(_xll.qwDV01($A$1,F72)*J72*_xll.qwMVFactor($A$1,F72)*_xll.qwFXRate($A$1,F72)),_xll.qwDV01($A$1,F72)*J72*_xll.qwMVFactor($A$1,F72)*_xll.qwFXRate($A$1,F72),0)</f>
        <v>-76763.115259836923</v>
      </c>
      <c r="S72" s="6" cm="1">
        <f t="array" ref="S72">IF(ISNUMBER(_xll.qwDV01($A$1,F72)*J72*_xll.qwMVFactor($A$1,F72)*_xll.qwFXRate($A$1,F72)),_xll.qwDV01($A$1,F72)*J72*_xll.qwMVFactor($A$1,F72)*_xll.qwFXRate($A$1,F72),0)</f>
        <v>-76763.115259836923</v>
      </c>
      <c r="T72" s="6" cm="1">
        <f t="array" ref="T72">_xll.qwFXRate($A$1,F72)*J72*(_xll.qwPrice($A$1,F72)-M72)*_xll.qwMVFactor($A$1,F72)+L72</f>
        <v>-49609.375174052846</v>
      </c>
      <c r="U72" s="8" cm="1">
        <f t="array" ref="U72">_xll.qwYield($A$1,F72)</f>
        <v>4.9386947187098656E-2</v>
      </c>
      <c r="V72" s="8" cm="1">
        <f t="array" ref="V72">100*(_xll.qwYield($A$4,F72)-U72)</f>
        <v>8.3467186792945958E-3</v>
      </c>
      <c r="W72" s="6">
        <f>IF(ISNA(G72*INDEX(_xll.qwTblData(_xll.qwCurveScenariosPerSecurity($A$1,F72,"Crv210")),2,2)),0,(G72*INDEX(_xll.qwTblData(_xll.qwCurveScenariosPerSecurity($A$1,F72,"Crv210")),2,2)))</f>
        <v>0</v>
      </c>
      <c r="X72" s="6" cm="1">
        <f t="array" ref="X72">ABS(Q72/_xll.qwMV01($A$1,"CT10"))</f>
        <v>0</v>
      </c>
      <c r="Y72" s="6" cm="1">
        <f t="array" ref="Y72">IF(N72="BondFuture",-(_xll.qwCurveYield($A$1,_xll.qwSecVal($A$1,AA72,"CreditCurveName()"),AA72)-_xll.qwCurveYield($A$4,_xll.qwSecVal($A$4,AA72,"CreditCurveName()"),AA72))*P72*10000,IF(N72="Bond",-(_xll.qwCurveYield($A$1,_xll.qwSecVal($A$1,F72,"CreditCurveName()"),F72)-_xll.qwCurveYield($A$4,_xll.qwSecVal($A$4,F72,"CreditCurveName()"),F72))*P72*10000,O72))</f>
        <v>58385.80539035899</v>
      </c>
      <c r="Z72" s="6" cm="1">
        <f t="array" ref="Z72">IF(OR(N72="BondFuture",N72="Bond"),P72*(_xll.qwCurveZSpread($A$4,_xll.qwSecVal($A$1,AA72,"CreditCurveName()"),AA72)-_xll.qwCurveZSpread($A$1,_xll.qwSecVal($A$1,AA72,"CreditCurveName()"),AA72)),0)</f>
        <v>5686.2074116535059</v>
      </c>
      <c r="AA72" s="9" t="str" cm="1">
        <f t="array" ref="AA72">IF(_xll.qwSecType(F72)="Bond",F72,IF(_xll.qwSecType(F72)="BondFuture",_xll.qwFutCTD($A$1,F72),0))</f>
        <v>91282CGQ8</v>
      </c>
      <c r="AB72" s="6" cm="1">
        <f t="array" ref="AB72">IF(_xll.qwSecType(F72)="BondFuture",-(I72*_xll.qwDelta($A$4,F72)*_xll.qwMVFactor($A$1,F72)/_xll.qwMVFactor($A$1,_xll.qwFutCTD($A$1,F72)))*(_xll.qwFXRate($A$1,F72)*_xll.qwMVFactor($A$1,_xll.qwFutCTD($A$1,F72))*(_xll.qwIncome($A$4,_xll.qwFutCTD($A$4,F72),_xll.qwBondSettle($A$4,_xll.qwFutCTD($A$4,F72)),_xll.qwBondSettle($A$1,_xll.qwFutCTD($A$1,F72)))+(_xll.qwSecVal($A$1,AA72,"Price")-_xll.qwSecVal($A$4,AA72,"Price"))-_xll.qwBondRepoFromTo($A$1,AA72,_xll.qwBondSettle($A$4,AA72),_xll.qwBondSettle($A$1,AA72))*_xll.qwSecVal($A$1,AA72,"Price")*(_xll.qwBondSettle($A$1,AA72)-_xll.qwBondSettle($A$4,AA72))/360))+O72,0)</f>
        <v>0</v>
      </c>
      <c r="AC72" s="9" cm="1">
        <f t="array" ref="AC72">O72+T72+IF(ISNUMBER(_xll.qwIncome($A$1,F72,_xll.qwSettle($A$4,F72),_xll.qwSettle($A$1,F72))*_xll.qwMVFactor($A$1,F72)*_xll.qwFXRate($A$1,F72)*I72),_xll.qwIncome($A$1,F72,_xll.qwSettle($A$4,F72),_xll.qwSettle($A$1,F72))*_xll.qwMVFactor($A$1,F72)*_xll.qwFXRate($A$1,F72)*I72,0)+IF(ISNUMBER(-(_xll.qwBondRepoFromTo($A$1,F72,_xll.qwSettle($A$4,F72),_xll.qwSettle($A$1,F72))*_xll.qwSecVal($A$1,F72,"Price")*(_xll.qwSettle($A$1,F72)-_xll.qwSettle($A$4,F72))/360)*_xll.qwMVFactor($A$1,F72)*_xll.qwFXRate($A$1,F72)*I72),-(_xll.qwBondRepoFromTo($A$1,F72,_xll.qwSettle($A$4,F72),_xll.qwSettle($A$1,F72))*_xll.qwSecVal($A$1,F72,"Price")*(_xll.qwSettle($A$1,F72)-_xll.qwSettle($A$4,F72))/360)*_xll.qwMVFactor($A$1,F72)*_xll.qwFXRate($A$1,F72)*I72,0)</f>
        <v>21156.54246673992</v>
      </c>
      <c r="AD72" s="6"/>
    </row>
    <row r="73" spans="2:36" s="7" customFormat="1" x14ac:dyDescent="0.35">
      <c r="B73" s="7" t="str">
        <v>jcleary</v>
      </c>
      <c r="C73" s="7" t="str">
        <v>MAMS</v>
      </c>
      <c r="D73" s="7" t="str">
        <v>jcleary|MAMS|RV_US_FV_Spread|91282CMA6</v>
      </c>
      <c r="E73" s="7" t="str">
        <v>RV_US_FV_Spread</v>
      </c>
      <c r="F73" s="7" t="str">
        <v>91282CMA6</v>
      </c>
      <c r="G73" s="7">
        <v>183.2</v>
      </c>
      <c r="H73" s="7">
        <v>0</v>
      </c>
      <c r="I73" s="7">
        <v>183.2</v>
      </c>
      <c r="J73" s="7">
        <v>0</v>
      </c>
      <c r="K73" s="7">
        <v>0</v>
      </c>
      <c r="L73" s="7">
        <v>0</v>
      </c>
      <c r="M73" s="7">
        <v>0</v>
      </c>
      <c r="N73" s="7" t="str">
        <v>Bond</v>
      </c>
      <c r="O73" s="6" cm="1">
        <f t="array" ref="O73">(_xll.qwPrice($A$1,F73)-_xll.qwPrice($A$4,F73))*_xll.qwMVFactor($A$1,F73)*I73*_xll.qwFXRate($A$1,F73)</f>
        <v>35781.250019864157</v>
      </c>
      <c r="P73" s="6" cm="1">
        <f t="array" ref="P73">IF(ISNUMBER(_xll.qwDV01($A$1,F73)*I73*_xll.qwMVFactor($A$1,F73)*_xll.qwFXRate($A$1,F73)),_xll.qwDV01($A$1,F73)*I73*_xll.qwMVFactor($A$1,F73)*_xll.qwFXRate($A$1,F73),0)</f>
        <v>51765.063972197822</v>
      </c>
      <c r="Q73" s="6" cm="1">
        <f t="array" ref="Q73">IF(ISNUMBER(_xll.qwDV01($A$1,F73)*G73*_xll.qwMVFactor($A$1,F73)*_xll.qwFXRate($A$1,F73)),_xll.qwDV01($A$1,F73)*G73*_xll.qwMVFactor($A$1,F73)*_xll.qwFXRate($A$1,F73),0)</f>
        <v>51765.063972197822</v>
      </c>
      <c r="R73" s="6" cm="1">
        <f t="array" ref="R73">IF(ISNUMBER(_xll.qwDV01($A$1,F73)*J73*_xll.qwMVFactor($A$1,F73)*_xll.qwFXRate($A$1,F73)),_xll.qwDV01($A$1,F73)*J73*_xll.qwMVFactor($A$1,F73)*_xll.qwFXRate($A$1,F73),0)</f>
        <v>0</v>
      </c>
      <c r="S73" s="6" cm="1">
        <f t="array" ref="S73">IF(ISNUMBER(_xll.qwDV01($A$1,F73)*J73*_xll.qwMVFactor($A$1,F73)*_xll.qwFXRate($A$1,F73)),_xll.qwDV01($A$1,F73)*J73*_xll.qwMVFactor($A$1,F73)*_xll.qwFXRate($A$1,F73),0)</f>
        <v>0</v>
      </c>
      <c r="T73" s="6" cm="1">
        <f t="array" ref="T73">_xll.qwFXRate($A$1,F73)*J73*(_xll.qwPrice($A$1,F73)-M73)*_xll.qwMVFactor($A$1,F73)+L73</f>
        <v>0</v>
      </c>
      <c r="U73" s="8" cm="1">
        <f t="array" ref="U73">_xll.qwYield($A$1,F73)</f>
        <v>4.9265776520481377E-2</v>
      </c>
      <c r="V73" s="8" cm="1">
        <f t="array" ref="V73">100*(_xll.qwYield($A$4,F73)-U73)</f>
        <v>6.2264645675123853E-3</v>
      </c>
      <c r="W73" s="6">
        <f>IF(ISNA(G73*INDEX(_xll.qwTblData(_xll.qwCurveScenariosPerSecurity($A$1,F73,"Crv210")),2,2)),0,(G73*INDEX(_xll.qwTblData(_xll.qwCurveScenariosPerSecurity($A$1,F73,"Crv210")),2,2)))</f>
        <v>18506.457566351626</v>
      </c>
      <c r="X73" s="6" cm="1">
        <f t="array" ref="X73">ABS(Q73/_xll.qwMV01($A$1,"CT10"))</f>
        <v>69.685665267842651</v>
      </c>
      <c r="Y73" s="6" cm="1">
        <f t="array" ref="Y73">IF(N73="BondFuture",-(_xll.qwCurveYield($A$1,_xll.qwSecVal($A$1,AA73,"CreditCurveName()"),AA73)-_xll.qwCurveYield($A$4,_xll.qwSecVal($A$4,AA73,"CreditCurveName()"),AA73))*P73*10000,IF(N73="Bond",-(_xll.qwCurveYield($A$1,_xll.qwSecVal($A$1,F73,"CreditCurveName()"),F73)-_xll.qwCurveYield($A$4,_xll.qwSecVal($A$4,F73,"CreditCurveName()"),F73))*P73*10000,O73))</f>
        <v>30750.107801856971</v>
      </c>
      <c r="Z73" s="6" cm="1">
        <f t="array" ref="Z73">IF(OR(N73="BondFuture",N73="Bond"),P73*(_xll.qwCurveZSpread($A$4,_xll.qwSecVal($A$1,AA73,"CreditCurveName()"),AA73)-_xll.qwCurveZSpread($A$1,_xll.qwSecVal($A$1,AA73,"CreditCurveName()"),AA73)),0)</f>
        <v>1481.225863933194</v>
      </c>
      <c r="AA73" s="9" t="str" cm="1">
        <f t="array" ref="AA73">IF(_xll.qwSecType(F73)="Bond",F73,IF(_xll.qwSecType(F73)="BondFuture",_xll.qwFutCTD($A$1,F73),0))</f>
        <v>91282CMA6</v>
      </c>
      <c r="AB73" s="6" cm="1">
        <f t="array" ref="AB73">IF(_xll.qwSecType(F73)="BondFuture",-(I73*_xll.qwDelta($A$4,F73)*_xll.qwMVFactor($A$1,F73)/_xll.qwMVFactor($A$1,_xll.qwFutCTD($A$1,F73)))*(_xll.qwFXRate($A$1,F73)*_xll.qwMVFactor($A$1,_xll.qwFutCTD($A$1,F73))*(_xll.qwIncome($A$4,_xll.qwFutCTD($A$4,F73),_xll.qwBondSettle($A$4,_xll.qwFutCTD($A$4,F73)),_xll.qwBondSettle($A$1,_xll.qwFutCTD($A$1,F73)))+(_xll.qwSecVal($A$1,AA73,"Price")-_xll.qwSecVal($A$4,AA73,"Price"))-_xll.qwBondRepoFromTo($A$1,AA73,_xll.qwBondSettle($A$4,AA73),_xll.qwBondSettle($A$1,AA73))*_xll.qwSecVal($A$1,AA73,"Price")*(_xll.qwBondSettle($A$1,AA73)-_xll.qwBondSettle($A$4,AA73))/360))+O73,0)</f>
        <v>0</v>
      </c>
      <c r="AC73" s="9" cm="1">
        <f t="array" ref="AC73">O73+T73+IF(ISNUMBER(_xll.qwIncome($A$1,F73,_xll.qwSettle($A$4,F73),_xll.qwSettle($A$1,F73))*_xll.qwMVFactor($A$1,F73)*_xll.qwFXRate($A$1,F73)*I73),_xll.qwIncome($A$1,F73,_xll.qwSettle($A$4,F73),_xll.qwSettle($A$1,F73))*_xll.qwMVFactor($A$1,F73)*_xll.qwFXRate($A$1,F73)*I73,0)+IF(ISNUMBER(-(_xll.qwBondRepoFromTo($A$1,F73,_xll.qwSettle($A$4,F73),_xll.qwSettle($A$1,F73))*_xll.qwSecVal($A$1,F73,"Price")*(_xll.qwSettle($A$1,F73)-_xll.qwSettle($A$4,F73))/360)*_xll.qwMVFactor($A$1,F73)*_xll.qwFXRate($A$1,F73)*I73),-(_xll.qwBondRepoFromTo($A$1,F73,_xll.qwSettle($A$4,F73),_xll.qwSettle($A$1,F73))*_xll.qwSecVal($A$1,F73,"Price")*(_xll.qwSettle($A$1,F73)-_xll.qwSettle($A$4,F73))/360)*_xll.qwMVFactor($A$1,F73)*_xll.qwFXRate($A$1,F73)*I73,0)</f>
        <v>37015.355994311292</v>
      </c>
      <c r="AD73" s="6"/>
    </row>
    <row r="74" spans="2:36" s="7" customFormat="1" x14ac:dyDescent="0.35">
      <c r="B74" s="7" t="str">
        <v>jcleary</v>
      </c>
      <c r="C74" s="7" t="str">
        <v>MAMS</v>
      </c>
      <c r="D74" s="7" t="str">
        <v>jcleary|MAMS|RV_US_FV_Spread|91282CMZ1</v>
      </c>
      <c r="E74" s="7" t="str">
        <v>RV_US_FV_Spread</v>
      </c>
      <c r="F74" s="7" t="str">
        <v>91282CMZ1</v>
      </c>
      <c r="G74" s="7">
        <v>385.3</v>
      </c>
      <c r="H74" s="7">
        <v>0</v>
      </c>
      <c r="I74" s="7">
        <v>385.3</v>
      </c>
      <c r="J74" s="7">
        <v>0</v>
      </c>
      <c r="K74" s="7">
        <v>0</v>
      </c>
      <c r="L74" s="7">
        <v>0</v>
      </c>
      <c r="M74" s="7">
        <v>0</v>
      </c>
      <c r="N74" s="7" t="str">
        <v>Bond</v>
      </c>
      <c r="O74" s="6" cm="1">
        <f t="array" ref="O74">(_xll.qwPrice($A$1,F74)-_xll.qwPrice($A$4,F74))*_xll.qwMVFactor($A$1,F74)*I74*_xll.qwFXRate($A$1,F74)</f>
        <v>90304.688526207407</v>
      </c>
      <c r="P74" s="6" cm="1">
        <f t="array" ref="P74">IF(ISNUMBER(_xll.qwDV01($A$1,F74)*I74*_xll.qwMVFactor($A$1,F74)*_xll.qwFXRate($A$1,F74)),_xll.qwDV01($A$1,F74)*I74*_xll.qwMVFactor($A$1,F74)*_xll.qwFXRate($A$1,F74),0)</f>
        <v>121289.47960832193</v>
      </c>
      <c r="Q74" s="6" cm="1">
        <f t="array" ref="Q74">IF(ISNUMBER(_xll.qwDV01($A$1,F74)*G74*_xll.qwMVFactor($A$1,F74)*_xll.qwFXRate($A$1,F74)),_xll.qwDV01($A$1,F74)*G74*_xll.qwMVFactor($A$1,F74)*_xll.qwFXRate($A$1,F74),0)</f>
        <v>121289.47960832193</v>
      </c>
      <c r="R74" s="6" cm="1">
        <f t="array" ref="R74">IF(ISNUMBER(_xll.qwDV01($A$1,F74)*J74*_xll.qwMVFactor($A$1,F74)*_xll.qwFXRate($A$1,F74)),_xll.qwDV01($A$1,F74)*J74*_xll.qwMVFactor($A$1,F74)*_xll.qwFXRate($A$1,F74),0)</f>
        <v>0</v>
      </c>
      <c r="S74" s="6" cm="1">
        <f t="array" ref="S74">IF(ISNUMBER(_xll.qwDV01($A$1,F74)*J74*_xll.qwMVFactor($A$1,F74)*_xll.qwFXRate($A$1,F74)),_xll.qwDV01($A$1,F74)*J74*_xll.qwMVFactor($A$1,F74)*_xll.qwFXRate($A$1,F74),0)</f>
        <v>0</v>
      </c>
      <c r="T74" s="6" cm="1">
        <f t="array" ref="T74">_xll.qwFXRate($A$1,F74)*J74*(_xll.qwPrice($A$1,F74)-M74)*_xll.qwMVFactor($A$1,F74)+L74</f>
        <v>0</v>
      </c>
      <c r="U74" s="8" cm="1">
        <f t="array" ref="U74">_xll.qwYield($A$1,F74)</f>
        <v>4.9488324411070719E-2</v>
      </c>
      <c r="V74" s="8" cm="1">
        <f t="array" ref="V74">100*(_xll.qwYield($A$4,F74)-U74)</f>
        <v>6.638003319388297E-3</v>
      </c>
      <c r="W74" s="6">
        <f>IF(ISNA(G74*INDEX(_xll.qwTblData(_xll.qwCurveScenariosPerSecurity($A$1,F74,"Crv210")),2,2)),0,(G74*INDEX(_xll.qwTblData(_xll.qwCurveScenariosPerSecurity($A$1,F74,"Crv210")),2,2)))</f>
        <v>36960.888182433482</v>
      </c>
      <c r="X74" s="6" cm="1">
        <f t="array" ref="X74">ABS(Q74/_xll.qwMV01($A$1,"CT10"))</f>
        <v>163.27881060933018</v>
      </c>
      <c r="Y74" s="6" cm="1">
        <f t="array" ref="Y74">IF(N74="BondFuture",-(_xll.qwCurveYield($A$1,_xll.qwSecVal($A$1,AA74,"CreditCurveName()"),AA74)-_xll.qwCurveYield($A$4,_xll.qwSecVal($A$4,AA74,"CreditCurveName()"),AA74))*P74*10000,IF(N74="Bond",-(_xll.qwCurveYield($A$1,_xll.qwSecVal($A$1,F74,"CreditCurveName()"),F74)-_xll.qwCurveYield($A$4,_xll.qwSecVal($A$4,F74,"CreditCurveName()"),F74))*P74*10000,O74))</f>
        <v>105639.36094278154</v>
      </c>
      <c r="Z74" s="6" cm="1">
        <f t="array" ref="Z74">IF(OR(N74="BondFuture",N74="Bond"),P74*(_xll.qwCurveZSpread($A$4,_xll.qwSecVal($A$1,AA74,"CreditCurveName()"),AA74)-_xll.qwCurveZSpread($A$1,_xll.qwSecVal($A$1,AA74,"CreditCurveName()"),AA74)),0)</f>
        <v>-25127.364075066173</v>
      </c>
      <c r="AA74" s="9" t="str" cm="1">
        <f t="array" ref="AA74">IF(_xll.qwSecType(F74)="Bond",F74,IF(_xll.qwSecType(F74)="BondFuture",_xll.qwFutCTD($A$1,F74),0))</f>
        <v>91282CMZ1</v>
      </c>
      <c r="AB74" s="6" cm="1">
        <f t="array" ref="AB74">IF(_xll.qwSecType(F74)="BondFuture",-(I74*_xll.qwDelta($A$4,F74)*_xll.qwMVFactor($A$1,F74)/_xll.qwMVFactor($A$1,_xll.qwFutCTD($A$1,F74)))*(_xll.qwFXRate($A$1,F74)*_xll.qwMVFactor($A$1,_xll.qwFutCTD($A$1,F74))*(_xll.qwIncome($A$4,_xll.qwFutCTD($A$4,F74),_xll.qwBondSettle($A$4,_xll.qwFutCTD($A$4,F74)),_xll.qwBondSettle($A$1,_xll.qwFutCTD($A$1,F74)))+(_xll.qwSecVal($A$1,AA74,"Price")-_xll.qwSecVal($A$4,AA74,"Price"))-_xll.qwBondRepoFromTo($A$1,AA74,_xll.qwBondSettle($A$4,AA74),_xll.qwBondSettle($A$1,AA74))*_xll.qwSecVal($A$1,AA74,"Price")*(_xll.qwBondSettle($A$1,AA74)-_xll.qwBondSettle($A$4,AA74))/360))+O74,0)</f>
        <v>0</v>
      </c>
      <c r="AC74" s="9" cm="1">
        <f t="array" ref="AC74">O74+T74+IF(ISNUMBER(_xll.qwIncome($A$1,F74,_xll.qwSettle($A$4,F74),_xll.qwSettle($A$1,F74))*_xll.qwMVFactor($A$1,F74)*_xll.qwFXRate($A$1,F74)*I74),_xll.qwIncome($A$1,F74,_xll.qwSettle($A$4,F74),_xll.qwSettle($A$1,F74))*_xll.qwMVFactor($A$1,F74)*_xll.qwFXRate($A$1,F74)*I74,0)+IF(ISNUMBER(-(_xll.qwBondRepoFromTo($A$1,F74,_xll.qwSettle($A$4,F74),_xll.qwSettle($A$1,F74))*_xll.qwSecVal($A$1,F74,"Price")*(_xll.qwSettle($A$1,F74)-_xll.qwSettle($A$4,F74))/360)*_xll.qwMVFactor($A$1,F74)*_xll.qwFXRate($A$1,F74)*I74),-(_xll.qwBondRepoFromTo($A$1,F74,_xll.qwSettle($A$4,F74),_xll.qwSettle($A$1,F74))*_xll.qwSecVal($A$1,F74,"Price")*(_xll.qwSettle($A$1,F74)-_xll.qwSettle($A$4,F74))/360)*_xll.qwMVFactor($A$1,F74)*_xll.qwFXRate($A$1,F74)*I74,0)</f>
        <v>90528.262727793801</v>
      </c>
      <c r="AD74" s="6"/>
      <c r="AG74" s="17"/>
      <c r="AH74" s="17"/>
      <c r="AI74" s="17"/>
      <c r="AJ74" s="17"/>
    </row>
    <row r="75" spans="2:36" s="7" customFormat="1" x14ac:dyDescent="0.35">
      <c r="B75" s="7" t="str">
        <v>jcleary</v>
      </c>
      <c r="C75" s="7" t="str">
        <v>MAMS</v>
      </c>
      <c r="D75" s="7" t="str">
        <v>jcleary|MAMS|RV_US_FV_Spread|91282CNG2</v>
      </c>
      <c r="E75" s="7" t="str">
        <v>RV_US_FV_Spread</v>
      </c>
      <c r="F75" s="7" t="str">
        <v>91282CNG2</v>
      </c>
      <c r="G75" s="7">
        <v>193</v>
      </c>
      <c r="H75" s="7">
        <v>0</v>
      </c>
      <c r="I75" s="7">
        <v>193</v>
      </c>
      <c r="J75" s="7">
        <v>0</v>
      </c>
      <c r="K75" s="7">
        <v>0</v>
      </c>
      <c r="L75" s="7">
        <v>0</v>
      </c>
      <c r="M75" s="7">
        <v>0</v>
      </c>
      <c r="N75" s="7" t="str">
        <v>Bond</v>
      </c>
      <c r="O75" s="6" cm="1">
        <f t="array" ref="O75">(_xll.qwPrice($A$1,F75)-_xll.qwPrice($A$4,F75))*_xll.qwMVFactor($A$1,F75)*I75*_xll.qwFXRate($A$1,F75)</f>
        <v>60312.500238120774</v>
      </c>
      <c r="P75" s="6" cm="1">
        <f t="array" ref="P75">IF(ISNUMBER(_xll.qwDV01($A$1,F75)*I75*_xll.qwMVFactor($A$1,F75)*_xll.qwFXRate($A$1,F75)),_xll.qwDV01($A$1,F75)*I75*_xll.qwMVFactor($A$1,F75)*_xll.qwFXRate($A$1,F75),0)</f>
        <v>62166.52735702155</v>
      </c>
      <c r="Q75" s="6" cm="1">
        <f t="array" ref="Q75">IF(ISNUMBER(_xll.qwDV01($A$1,F75)*G75*_xll.qwMVFactor($A$1,F75)*_xll.qwFXRate($A$1,F75)),_xll.qwDV01($A$1,F75)*G75*_xll.qwMVFactor($A$1,F75)*_xll.qwFXRate($A$1,F75),0)</f>
        <v>62166.52735702155</v>
      </c>
      <c r="R75" s="6" cm="1">
        <f t="array" ref="R75">IF(ISNUMBER(_xll.qwDV01($A$1,F75)*J75*_xll.qwMVFactor($A$1,F75)*_xll.qwFXRate($A$1,F75)),_xll.qwDV01($A$1,F75)*J75*_xll.qwMVFactor($A$1,F75)*_xll.qwFXRate($A$1,F75),0)</f>
        <v>0</v>
      </c>
      <c r="S75" s="6" cm="1">
        <f t="array" ref="S75">IF(ISNUMBER(_xll.qwDV01($A$1,F75)*J75*_xll.qwMVFactor($A$1,F75)*_xll.qwFXRate($A$1,F75)),_xll.qwDV01($A$1,F75)*J75*_xll.qwMVFactor($A$1,F75)*_xll.qwFXRate($A$1,F75),0)</f>
        <v>0</v>
      </c>
      <c r="T75" s="6" cm="1">
        <f t="array" ref="T75">_xll.qwFXRate($A$1,F75)*J75*(_xll.qwPrice($A$1,F75)-M75)*_xll.qwMVFactor($A$1,F75)+L75</f>
        <v>0</v>
      </c>
      <c r="U75" s="8" cm="1">
        <f t="array" ref="U75">_xll.qwYield($A$1,F75)</f>
        <v>4.9556169323728354E-2</v>
      </c>
      <c r="V75" s="8" cm="1">
        <f t="array" ref="V75">100*(_xll.qwYield($A$4,F75)-U75)</f>
        <v>9.00638663748482E-3</v>
      </c>
      <c r="W75" s="6">
        <f>IF(ISNA(G75*INDEX(_xll.qwTblData(_xll.qwCurveScenariosPerSecurity($A$1,F75,"Crv210")),2,2)),0,(G75*INDEX(_xll.qwTblData(_xll.qwCurveScenariosPerSecurity($A$1,F75,"Crv210")),2,2)))</f>
        <v>18295.03316635808</v>
      </c>
      <c r="X75" s="6" cm="1">
        <f t="array" ref="X75">ABS(Q75/_xll.qwMV01($A$1,"CT10"))</f>
        <v>83.68802207203484</v>
      </c>
      <c r="Y75" s="6" cm="1">
        <f t="array" ref="Y75">IF(N75="BondFuture",-(_xll.qwCurveYield($A$1,_xll.qwSecVal($A$1,AA75,"CreditCurveName()"),AA75)-_xll.qwCurveYield($A$4,_xll.qwSecVal($A$4,AA75,"CreditCurveName()"),AA75))*P75*10000,IF(N75="Bond",-(_xll.qwCurveYield($A$1,_xll.qwSecVal($A$1,F75,"CreditCurveName()"),F75)-_xll.qwCurveYield($A$4,_xll.qwSecVal($A$4,F75,"CreditCurveName()"),F75))*P75*10000,O75))</f>
        <v>56810.795893563918</v>
      </c>
      <c r="Z75" s="6" cm="1">
        <f t="array" ref="Z75">IF(OR(N75="BondFuture",N75="Bond"),P75*(_xll.qwCurveZSpread($A$4,_xll.qwSecVal($A$1,AA75,"CreditCurveName()"),AA75)-_xll.qwCurveZSpread($A$1,_xll.qwSecVal($A$1,AA75,"CreditCurveName()"),AA75)),0)</f>
        <v>-821.21774503989332</v>
      </c>
      <c r="AA75" s="9" t="str" cm="1">
        <f t="array" ref="AA75">IF(_xll.qwSecType(F75)="Bond",F75,IF(_xll.qwSecType(F75)="BondFuture",_xll.qwFutCTD($A$1,F75),0))</f>
        <v>91282CNG2</v>
      </c>
      <c r="AB75" s="6" cm="1">
        <f t="array" ref="AB75">IF(_xll.qwSecType(F75)="BondFuture",-(I75*_xll.qwDelta($A$4,F75)*_xll.qwMVFactor($A$1,F75)/_xll.qwMVFactor($A$1,_xll.qwFutCTD($A$1,F75)))*(_xll.qwFXRate($A$1,F75)*_xll.qwMVFactor($A$1,_xll.qwFutCTD($A$1,F75))*(_xll.qwIncome($A$4,_xll.qwFutCTD($A$4,F75),_xll.qwBondSettle($A$4,_xll.qwFutCTD($A$4,F75)),_xll.qwBondSettle($A$1,_xll.qwFutCTD($A$1,F75)))+(_xll.qwSecVal($A$1,AA75,"Price")-_xll.qwSecVal($A$4,AA75,"Price"))-_xll.qwBondRepoFromTo($A$1,AA75,_xll.qwBondSettle($A$4,AA75),_xll.qwBondSettle($A$1,AA75))*_xll.qwSecVal($A$1,AA75,"Price")*(_xll.qwBondSettle($A$1,AA75)-_xll.qwBondSettle($A$4,AA75))/360))+O75,0)</f>
        <v>0</v>
      </c>
      <c r="AC75" s="9" cm="1">
        <f t="array" ref="AC75">O75+T75+IF(ISNUMBER(_xll.qwIncome($A$1,F75,_xll.qwSettle($A$4,F75),_xll.qwSettle($A$1,F75))*_xll.qwMVFactor($A$1,F75)*_xll.qwFXRate($A$1,F75)*I75),_xll.qwIncome($A$1,F75,_xll.qwSettle($A$4,F75),_xll.qwSettle($A$1,F75))*_xll.qwMVFactor($A$1,F75)*_xll.qwFXRate($A$1,F75)*I75,0)+IF(ISNUMBER(-(_xll.qwBondRepoFromTo($A$1,F75,_xll.qwSettle($A$4,F75),_xll.qwSettle($A$1,F75))*_xll.qwSecVal($A$1,F75,"Price")*(_xll.qwSettle($A$1,F75)-_xll.qwSettle($A$4,F75))/360)*_xll.qwMVFactor($A$1,F75)*_xll.qwFXRate($A$1,F75)*I75),-(_xll.qwBondRepoFromTo($A$1,F75,_xll.qwSettle($A$4,F75),_xll.qwSettle($A$1,F75))*_xll.qwSecVal($A$1,F75,"Price")*(_xll.qwSettle($A$1,F75)-_xll.qwSettle($A$4,F75))/360)*_xll.qwMVFactor($A$1,F75)*_xll.qwFXRate($A$1,F75)*I75,0)</f>
        <v>61129.279005906792</v>
      </c>
      <c r="AD75" s="6"/>
    </row>
    <row r="76" spans="2:36" s="7" customFormat="1" x14ac:dyDescent="0.35">
      <c r="B76" s="7" t="str">
        <v>jcleary</v>
      </c>
      <c r="C76" s="7" t="str">
        <v>MAMS</v>
      </c>
      <c r="D76" s="7" t="str">
        <v>jcleary|MAMS|RV_US_FV_Spread|91282CNN7</v>
      </c>
      <c r="E76" s="7" t="str">
        <v>RV_US_FV_Spread</v>
      </c>
      <c r="F76" s="7" t="str">
        <v>91282CNN7</v>
      </c>
      <c r="G76" s="7">
        <v>427.3</v>
      </c>
      <c r="H76" s="7">
        <v>0</v>
      </c>
      <c r="I76" s="7">
        <v>427.3</v>
      </c>
      <c r="J76" s="7">
        <v>0</v>
      </c>
      <c r="K76" s="7">
        <v>0</v>
      </c>
      <c r="L76" s="7">
        <v>0</v>
      </c>
      <c r="M76" s="7">
        <v>0</v>
      </c>
      <c r="N76" s="7" t="str">
        <v>Bond</v>
      </c>
      <c r="O76" s="6" cm="1">
        <f t="array" ref="O76">(_xll.qwPrice($A$1,F76)-_xll.qwPrice($A$4,F76))*_xll.qwMVFactor($A$1,F76)*I76*_xll.qwFXRate($A$1,F76)</f>
        <v>166914.06455419777</v>
      </c>
      <c r="P76" s="6" cm="1">
        <f t="array" ref="P76">IF(ISNUMBER(_xll.qwDV01($A$1,F76)*I76*_xll.qwMVFactor($A$1,F76)*_xll.qwFXRate($A$1,F76)),_xll.qwDV01($A$1,F76)*I76*_xll.qwMVFactor($A$1,F76)*_xll.qwFXRate($A$1,F76),0)</f>
        <v>142917.24656345649</v>
      </c>
      <c r="Q76" s="6" cm="1">
        <f t="array" ref="Q76">IF(ISNUMBER(_xll.qwDV01($A$1,F76)*G76*_xll.qwMVFactor($A$1,F76)*_xll.qwFXRate($A$1,F76)),_xll.qwDV01($A$1,F76)*G76*_xll.qwMVFactor($A$1,F76)*_xll.qwFXRate($A$1,F76),0)</f>
        <v>142917.24656345649</v>
      </c>
      <c r="R76" s="6" cm="1">
        <f t="array" ref="R76">IF(ISNUMBER(_xll.qwDV01($A$1,F76)*J76*_xll.qwMVFactor($A$1,F76)*_xll.qwFXRate($A$1,F76)),_xll.qwDV01($A$1,F76)*J76*_xll.qwMVFactor($A$1,F76)*_xll.qwFXRate($A$1,F76),0)</f>
        <v>0</v>
      </c>
      <c r="S76" s="6" cm="1">
        <f t="array" ref="S76">IF(ISNUMBER(_xll.qwDV01($A$1,F76)*J76*_xll.qwMVFactor($A$1,F76)*_xll.qwFXRate($A$1,F76)),_xll.qwDV01($A$1,F76)*J76*_xll.qwMVFactor($A$1,F76)*_xll.qwFXRate($A$1,F76),0)</f>
        <v>0</v>
      </c>
      <c r="T76" s="6" cm="1">
        <f t="array" ref="T76">_xll.qwFXRate($A$1,F76)*J76*(_xll.qwPrice($A$1,F76)-M76)*_xll.qwMVFactor($A$1,F76)+L76</f>
        <v>0</v>
      </c>
      <c r="U76" s="8" cm="1">
        <f t="array" ref="U76">_xll.qwYield($A$1,F76)</f>
        <v>4.963159507980909E-2</v>
      </c>
      <c r="V76" s="8" cm="1">
        <f t="array" ref="V76">100*(_xll.qwYield($A$4,F76)-U76)</f>
        <v>1.0956512901921095E-2</v>
      </c>
      <c r="W76" s="6">
        <f>IF(ISNA(G76*INDEX(_xll.qwTblData(_xll.qwCurveScenariosPerSecurity($A$1,F76,"Crv210")),2,2)),0,(G76*INDEX(_xll.qwTblData(_xll.qwCurveScenariosPerSecurity($A$1,F76,"Crv210")),2,2)))</f>
        <v>38986.279799080039</v>
      </c>
      <c r="X76" s="6" cm="1">
        <f t="array" ref="X76">ABS(Q76/_xll.qwMV01($A$1,"CT10"))</f>
        <v>192.39391668426674</v>
      </c>
      <c r="Y76" s="6" cm="1">
        <f t="array" ref="Y76">IF(N76="BondFuture",-(_xll.qwCurveYield($A$1,_xll.qwSecVal($A$1,AA76,"CreditCurveName()"),AA76)-_xll.qwCurveYield($A$4,_xll.qwSecVal($A$4,AA76,"CreditCurveName()"),AA76))*P76*10000,IF(N76="Bond",-(_xll.qwCurveYield($A$1,_xll.qwSecVal($A$1,F76,"CreditCurveName()"),F76)-_xll.qwCurveYield($A$4,_xll.qwSecVal($A$4,F76,"CreditCurveName()"),F76))*P76*10000,O76))</f>
        <v>143964.12017998035</v>
      </c>
      <c r="Z76" s="6" cm="1">
        <f t="array" ref="Z76">IF(OR(N76="BondFuture",N76="Bond"),P76*(_xll.qwCurveZSpread($A$4,_xll.qwSecVal($A$1,AA76,"CreditCurveName()"),AA76)-_xll.qwCurveZSpread($A$1,_xll.qwSecVal($A$1,AA76,"CreditCurveName()"),AA76)),0)</f>
        <v>12623.345575450761</v>
      </c>
      <c r="AA76" s="9" t="str" cm="1">
        <f t="array" ref="AA76">IF(_xll.qwSecType(F76)="Bond",F76,IF(_xll.qwSecType(F76)="BondFuture",_xll.qwFutCTD($A$1,F76),0))</f>
        <v>91282CNN7</v>
      </c>
      <c r="AB76" s="6" cm="1">
        <f t="array" ref="AB76">IF(_xll.qwSecType(F76)="BondFuture",-(I76*_xll.qwDelta($A$4,F76)*_xll.qwMVFactor($A$1,F76)/_xll.qwMVFactor($A$1,_xll.qwFutCTD($A$1,F76)))*(_xll.qwFXRate($A$1,F76)*_xll.qwMVFactor($A$1,_xll.qwFutCTD($A$1,F76))*(_xll.qwIncome($A$4,_xll.qwFutCTD($A$4,F76),_xll.qwBondSettle($A$4,_xll.qwFutCTD($A$4,F76)),_xll.qwBondSettle($A$1,_xll.qwFutCTD($A$1,F76)))+(_xll.qwSecVal($A$1,AA76,"Price")-_xll.qwSecVal($A$4,AA76,"Price"))-_xll.qwBondRepoFromTo($A$1,AA76,_xll.qwBondSettle($A$4,AA76),_xll.qwBondSettle($A$1,AA76))*_xll.qwSecVal($A$1,AA76,"Price")*(_xll.qwBondSettle($A$1,AA76)-_xll.qwBondSettle($A$4,AA76))/360))+O76,0)</f>
        <v>0</v>
      </c>
      <c r="AC76" s="9" cm="1">
        <f t="array" ref="AC76">O76+T76+IF(ISNUMBER(_xll.qwIncome($A$1,F76,_xll.qwSettle($A$4,F76),_xll.qwSettle($A$1,F76))*_xll.qwMVFactor($A$1,F76)*_xll.qwFXRate($A$1,F76)*I76),_xll.qwIncome($A$1,F76,_xll.qwSettle($A$4,F76),_xll.qwSettle($A$1,F76))*_xll.qwMVFactor($A$1,F76)*_xll.qwFXRate($A$1,F76)*I76,0)+IF(ISNUMBER(-(_xll.qwBondRepoFromTo($A$1,F76,_xll.qwSettle($A$4,F76),_xll.qwSettle($A$1,F76))*_xll.qwSecVal($A$1,F76,"Price")*(_xll.qwSettle($A$1,F76)-_xll.qwSettle($A$4,F76))/360)*_xll.qwMVFactor($A$1,F76)*_xll.qwFXRate($A$1,F76)*I76),-(_xll.qwBondRepoFromTo($A$1,F76,_xll.qwSettle($A$4,F76),_xll.qwSettle($A$1,F76))*_xll.qwSecVal($A$1,F76,"Price")*(_xll.qwSettle($A$1,F76)-_xll.qwSettle($A$4,F76))/360)*_xll.qwMVFactor($A$1,F76)*_xll.qwFXRate($A$1,F76)*I76,0)</f>
        <v>167288.73890747625</v>
      </c>
      <c r="AD76" s="6"/>
    </row>
    <row r="77" spans="2:36" s="7" customFormat="1" x14ac:dyDescent="0.35">
      <c r="B77" s="7" t="str">
        <v>jcleary</v>
      </c>
      <c r="C77" s="7" t="str">
        <v>MAMS</v>
      </c>
      <c r="D77" s="7" t="str">
        <v>jcleary|MAMS|RV_US_FV_Spread|91282CNX5</v>
      </c>
      <c r="E77" s="7" t="str">
        <v>RV_US_FV_Spread</v>
      </c>
      <c r="F77" s="7" t="str">
        <v>91282CNX5</v>
      </c>
      <c r="G77" s="7">
        <v>-518.5</v>
      </c>
      <c r="H77" s="7">
        <v>0</v>
      </c>
      <c r="I77" s="7">
        <v>-518.5</v>
      </c>
      <c r="J77" s="7">
        <v>0</v>
      </c>
      <c r="K77" s="7">
        <v>0</v>
      </c>
      <c r="L77" s="7">
        <v>0</v>
      </c>
      <c r="M77" s="7">
        <v>0</v>
      </c>
      <c r="N77" s="7" t="str">
        <v>Bond</v>
      </c>
      <c r="O77" s="6" cm="1">
        <f t="array" ref="O77">(_xll.qwPrice($A$1,F77)-_xll.qwPrice($A$4,F77))*_xll.qwMVFactor($A$1,F77)*I77*_xll.qwFXRate($A$1,F77)</f>
        <v>-182285.15624992631</v>
      </c>
      <c r="P77" s="6" cm="1">
        <f t="array" ref="P77">IF(ISNUMBER(_xll.qwDV01($A$1,F77)*I77*_xll.qwMVFactor($A$1,F77)*_xll.qwFXRate($A$1,F77)),_xll.qwDV01($A$1,F77)*I77*_xll.qwMVFactor($A$1,F77)*_xll.qwFXRate($A$1,F77),0)</f>
        <v>-175731.53215266758</v>
      </c>
      <c r="Q77" s="6" cm="1">
        <f t="array" ref="Q77">IF(ISNUMBER(_xll.qwDV01($A$1,F77)*G77*_xll.qwMVFactor($A$1,F77)*_xll.qwFXRate($A$1,F77)),_xll.qwDV01($A$1,F77)*G77*_xll.qwMVFactor($A$1,F77)*_xll.qwFXRate($A$1,F77),0)</f>
        <v>-175731.53215266758</v>
      </c>
      <c r="R77" s="6" cm="1">
        <f t="array" ref="R77">IF(ISNUMBER(_xll.qwDV01($A$1,F77)*J77*_xll.qwMVFactor($A$1,F77)*_xll.qwFXRate($A$1,F77)),_xll.qwDV01($A$1,F77)*J77*_xll.qwMVFactor($A$1,F77)*_xll.qwFXRate($A$1,F77),0)</f>
        <v>0</v>
      </c>
      <c r="S77" s="6" cm="1">
        <f t="array" ref="S77">IF(ISNUMBER(_xll.qwDV01($A$1,F77)*J77*_xll.qwMVFactor($A$1,F77)*_xll.qwFXRate($A$1,F77)),_xll.qwDV01($A$1,F77)*J77*_xll.qwMVFactor($A$1,F77)*_xll.qwFXRate($A$1,F77),0)</f>
        <v>0</v>
      </c>
      <c r="T77" s="6" cm="1">
        <f t="array" ref="T77">_xll.qwFXRate($A$1,F77)*J77*(_xll.qwPrice($A$1,F77)-M77)*_xll.qwMVFactor($A$1,F77)+L77</f>
        <v>0</v>
      </c>
      <c r="U77" s="8" cm="1">
        <f t="array" ref="U77">_xll.qwYield($A$1,F77)</f>
        <v>4.9729790837178177E-2</v>
      </c>
      <c r="V77" s="8" cm="1">
        <f t="array" ref="V77">100*(_xll.qwYield($A$4,F77)-U77)</f>
        <v>9.4903045885025294E-3</v>
      </c>
      <c r="W77" s="6">
        <f>IF(ISNA(G77*INDEX(_xll.qwTblData(_xll.qwCurveScenariosPerSecurity($A$1,F77,"Crv210")),2,2)),0,(G77*INDEX(_xll.qwTblData(_xll.qwCurveScenariosPerSecurity($A$1,F77,"Crv210")),2,2)))</f>
        <v>-45906.231214841639</v>
      </c>
      <c r="X77" s="6" cm="1">
        <f t="array" ref="X77">ABS(Q77/_xll.qwMV01($A$1,"CT10"))</f>
        <v>236.56821390529015</v>
      </c>
      <c r="Y77" s="6" cm="1">
        <f t="array" ref="Y77">IF(N77="BondFuture",-(_xll.qwCurveYield($A$1,_xll.qwSecVal($A$1,AA77,"CreditCurveName()"),AA77)-_xll.qwCurveYield($A$4,_xll.qwSecVal($A$4,AA77,"CreditCurveName()"),AA77))*P77*10000,IF(N77="Bond",-(_xll.qwCurveYield($A$1,_xll.qwSecVal($A$1,F77,"CreditCurveName()"),F77)-_xll.qwCurveYield($A$4,_xll.qwSecVal($A$4,F77,"CreditCurveName()"),F77))*P77*10000,O77))</f>
        <v>-185494.90283905566</v>
      </c>
      <c r="Z77" s="6" cm="1">
        <f t="array" ref="Z77">IF(OR(N77="BondFuture",N77="Bond"),P77*(_xll.qwCurveZSpread($A$4,_xll.qwSecVal($A$1,AA77,"CreditCurveName()"),AA77)-_xll.qwCurveZSpread($A$1,_xll.qwSecVal($A$1,AA77,"CreditCurveName()"),AA77)),0)</f>
        <v>18720.326245751578</v>
      </c>
      <c r="AA77" s="9" t="str" cm="1">
        <f t="array" ref="AA77">IF(_xll.qwSecType(F77)="Bond",F77,IF(_xll.qwSecType(F77)="BondFuture",_xll.qwFutCTD($A$1,F77),0))</f>
        <v>91282CNX5</v>
      </c>
      <c r="AB77" s="6" cm="1">
        <f t="array" ref="AB77">IF(_xll.qwSecType(F77)="BondFuture",-(I77*_xll.qwDelta($A$4,F77)*_xll.qwMVFactor($A$1,F77)/_xll.qwMVFactor($A$1,_xll.qwFutCTD($A$1,F77)))*(_xll.qwFXRate($A$1,F77)*_xll.qwMVFactor($A$1,_xll.qwFutCTD($A$1,F77))*(_xll.qwIncome($A$4,_xll.qwFutCTD($A$4,F77),_xll.qwBondSettle($A$4,_xll.qwFutCTD($A$4,F77)),_xll.qwBondSettle($A$1,_xll.qwFutCTD($A$1,F77)))+(_xll.qwSecVal($A$1,AA77,"Price")-_xll.qwSecVal($A$4,AA77,"Price"))-_xll.qwBondRepoFromTo($A$1,AA77,_xll.qwBondSettle($A$4,AA77),_xll.qwBondSettle($A$1,AA77))*_xll.qwSecVal($A$1,AA77,"Price")*(_xll.qwBondSettle($A$1,AA77)-_xll.qwBondSettle($A$4,AA77))/360))+O77,0)</f>
        <v>0</v>
      </c>
      <c r="AC77" s="9" cm="1">
        <f t="array" ref="AC77">O77+T77+IF(ISNUMBER(_xll.qwIncome($A$1,F77,_xll.qwSettle($A$4,F77),_xll.qwSettle($A$1,F77))*_xll.qwMVFactor($A$1,F77)*_xll.qwFXRate($A$1,F77)*I77),_xll.qwIncome($A$1,F77,_xll.qwSettle($A$4,F77),_xll.qwSettle($A$1,F77))*_xll.qwMVFactor($A$1,F77)*_xll.qwFXRate($A$1,F77)*I77,0)+IF(ISNUMBER(-(_xll.qwBondRepoFromTo($A$1,F77,_xll.qwSettle($A$4,F77),_xll.qwSettle($A$1,F77))*_xll.qwSecVal($A$1,F77,"Price")*(_xll.qwSettle($A$1,F77)-_xll.qwSettle($A$4,F77))/360)*_xll.qwMVFactor($A$1,F77)*_xll.qwFXRate($A$1,F77)*I77),-(_xll.qwBondRepoFromTo($A$1,F77,_xll.qwSettle($A$4,F77),_xll.qwSettle($A$1,F77))*_xll.qwSecVal($A$1,F77,"Price")*(_xll.qwSettle($A$1,F77)-_xll.qwSettle($A$4,F77))/360)*_xll.qwMVFactor($A$1,F77)*_xll.qwFXRate($A$1,F77)*I77,0)</f>
        <v>-181436.65716784017</v>
      </c>
      <c r="AD77" s="6"/>
    </row>
    <row r="78" spans="2:36" s="7" customFormat="1" x14ac:dyDescent="0.35">
      <c r="B78" s="7" t="str">
        <v>jcleary</v>
      </c>
      <c r="C78" s="7" t="str">
        <v>MAMS</v>
      </c>
      <c r="D78" s="7" t="str">
        <v>jcleary|MAMS|RV_US_FV_Spread|91282CPD7</v>
      </c>
      <c r="E78" s="7" t="str">
        <v>RV_US_FV_Spread</v>
      </c>
      <c r="F78" s="7" t="str">
        <v>91282CPD7</v>
      </c>
      <c r="G78" s="7">
        <v>382</v>
      </c>
      <c r="H78" s="7">
        <v>0</v>
      </c>
      <c r="I78" s="7">
        <v>382</v>
      </c>
      <c r="J78" s="7">
        <v>0</v>
      </c>
      <c r="K78" s="7">
        <v>0</v>
      </c>
      <c r="L78" s="7">
        <v>0</v>
      </c>
      <c r="M78" s="7">
        <v>0</v>
      </c>
      <c r="N78" s="7" t="str">
        <v>Bond</v>
      </c>
      <c r="O78" s="6" cm="1">
        <f t="array" ref="O78">(_xll.qwPrice($A$1,F78)-_xll.qwPrice($A$4,F78))*_xll.qwMVFactor($A$1,F78)*I78*_xll.qwFXRate($A$1,F78)</f>
        <v>134296.87499810001</v>
      </c>
      <c r="P78" s="6" cm="1">
        <f t="array" ref="P78">IF(ISNUMBER(_xll.qwDV01($A$1,F78)*I78*_xll.qwMVFactor($A$1,F78)*_xll.qwFXRate($A$1,F78)),_xll.qwDV01($A$1,F78)*I78*_xll.qwMVFactor($A$1,F78)*_xll.qwFXRate($A$1,F78),0)</f>
        <v>134351.09735837614</v>
      </c>
      <c r="Q78" s="6" cm="1">
        <f t="array" ref="Q78">IF(ISNUMBER(_xll.qwDV01($A$1,F78)*G78*_xll.qwMVFactor($A$1,F78)*_xll.qwFXRate($A$1,F78)),_xll.qwDV01($A$1,F78)*G78*_xll.qwMVFactor($A$1,F78)*_xll.qwFXRate($A$1,F78),0)</f>
        <v>134351.09735837614</v>
      </c>
      <c r="R78" s="6" cm="1">
        <f t="array" ref="R78">IF(ISNUMBER(_xll.qwDV01($A$1,F78)*J78*_xll.qwMVFactor($A$1,F78)*_xll.qwFXRate($A$1,F78)),_xll.qwDV01($A$1,F78)*J78*_xll.qwMVFactor($A$1,F78)*_xll.qwFXRate($A$1,F78),0)</f>
        <v>0</v>
      </c>
      <c r="S78" s="6" cm="1">
        <f t="array" ref="S78">IF(ISNUMBER(_xll.qwDV01($A$1,F78)*J78*_xll.qwMVFactor($A$1,F78)*_xll.qwFXRate($A$1,F78)),_xll.qwDV01($A$1,F78)*J78*_xll.qwMVFactor($A$1,F78)*_xll.qwFXRate($A$1,F78),0)</f>
        <v>0</v>
      </c>
      <c r="T78" s="6" cm="1">
        <f t="array" ref="T78">_xll.qwFXRate($A$1,F78)*J78*(_xll.qwPrice($A$1,F78)-M78)*_xll.qwMVFactor($A$1,F78)+L78</f>
        <v>0</v>
      </c>
      <c r="U78" s="8" cm="1">
        <f t="array" ref="U78">_xll.qwYield($A$1,F78)</f>
        <v>4.9768935624346013E-2</v>
      </c>
      <c r="V78" s="8" cm="1">
        <f t="array" ref="V78">100*(_xll.qwYield($A$4,F78)-U78)</f>
        <v>9.118333355648961E-3</v>
      </c>
      <c r="W78" s="6">
        <f>IF(ISNA(G78*INDEX(_xll.qwTblData(_xll.qwCurveScenariosPerSecurity($A$1,F78,"Crv210")),2,2)),0,(G78*INDEX(_xll.qwTblData(_xll.qwCurveScenariosPerSecurity($A$1,F78,"Crv210")),2,2)))</f>
        <v>32246.665802107087</v>
      </c>
      <c r="X78" s="6" cm="1">
        <f t="array" ref="X78">ABS(Q78/_xll.qwMV01($A$1,"CT10"))</f>
        <v>180.86224338313392</v>
      </c>
      <c r="Y78" s="6" cm="1">
        <f t="array" ref="Y78">IF(N78="BondFuture",-(_xll.qwCurveYield($A$1,_xll.qwSecVal($A$1,AA78,"CreditCurveName()"),AA78)-_xll.qwCurveYield($A$4,_xll.qwSecVal($A$4,AA78,"CreditCurveName()"),AA78))*P78*10000,IF(N78="Bond",-(_xll.qwCurveYield($A$1,_xll.qwSecVal($A$1,F78,"CreditCurveName()"),F78)-_xll.qwCurveYield($A$4,_xll.qwSecVal($A$4,F78,"CreditCurveName()"),F78))*P78*10000,O78))</f>
        <v>152379.84753505734</v>
      </c>
      <c r="Z78" s="6" cm="1">
        <f t="array" ref="Z78">IF(OR(N78="BondFuture",N78="Bond"),P78*(_xll.qwCurveZSpread($A$4,_xll.qwSecVal($A$1,AA78,"CreditCurveName()"),AA78)-_xll.qwCurveZSpread($A$1,_xll.qwSecVal($A$1,AA78,"CreditCurveName()"),AA78)),0)</f>
        <v>-29874.038293965143</v>
      </c>
      <c r="AA78" s="9" t="str" cm="1">
        <f t="array" ref="AA78">IF(_xll.qwSecType(F78)="Bond",F78,IF(_xll.qwSecType(F78)="BondFuture",_xll.qwFutCTD($A$1,F78),0))</f>
        <v>91282CPD7</v>
      </c>
      <c r="AB78" s="6" cm="1">
        <f t="array" ref="AB78">IF(_xll.qwSecType(F78)="BondFuture",-(I78*_xll.qwDelta($A$4,F78)*_xll.qwMVFactor($A$1,F78)/_xll.qwMVFactor($A$1,_xll.qwFutCTD($A$1,F78)))*(_xll.qwFXRate($A$1,F78)*_xll.qwMVFactor($A$1,_xll.qwFutCTD($A$1,F78))*(_xll.qwIncome($A$4,_xll.qwFutCTD($A$4,F78),_xll.qwBondSettle($A$4,_xll.qwFutCTD($A$4,F78)),_xll.qwBondSettle($A$1,_xll.qwFutCTD($A$1,F78)))+(_xll.qwSecVal($A$1,AA78,"Price")-_xll.qwSecVal($A$4,AA78,"Price"))-_xll.qwBondRepoFromTo($A$1,AA78,_xll.qwBondSettle($A$4,AA78),_xll.qwBondSettle($A$1,AA78))*_xll.qwSecVal($A$1,AA78,"Price")*(_xll.qwBondSettle($A$1,AA78)-_xll.qwBondSettle($A$4,AA78))/360))+O78,0)</f>
        <v>0</v>
      </c>
      <c r="AC78" s="9" cm="1">
        <f t="array" ref="AC78">O78+T78+IF(ISNUMBER(_xll.qwIncome($A$1,F78,_xll.qwSettle($A$4,F78),_xll.qwSettle($A$1,F78))*_xll.qwMVFactor($A$1,F78)*_xll.qwFXRate($A$1,F78)*I78),_xll.qwIncome($A$1,F78,_xll.qwSettle($A$4,F78),_xll.qwSettle($A$1,F78))*_xll.qwMVFactor($A$1,F78)*_xll.qwFXRate($A$1,F78)*I78,0)+IF(ISNUMBER(-(_xll.qwBondRepoFromTo($A$1,F78,_xll.qwSettle($A$4,F78),_xll.qwSettle($A$1,F78))*_xll.qwSecVal($A$1,F78,"Price")*(_xll.qwSettle($A$1,F78)-_xll.qwSettle($A$4,F78))/360)*_xll.qwMVFactor($A$1,F78)*_xll.qwFXRate($A$1,F78)*I78),-(_xll.qwBondRepoFromTo($A$1,F78,_xll.qwSettle($A$4,F78),_xll.qwSettle($A$1,F78))*_xll.qwSecVal($A$1,F78,"Price")*(_xll.qwSettle($A$1,F78)-_xll.qwSettle($A$4,F78))/360)*_xll.qwMVFactor($A$1,F78)*_xll.qwFXRate($A$1,F78)*I78,0)</f>
        <v>132522.26584705137</v>
      </c>
      <c r="AD78" s="6"/>
    </row>
    <row r="79" spans="2:36" s="7" customFormat="1" x14ac:dyDescent="0.35">
      <c r="B79" s="7" t="str">
        <v>jcleary</v>
      </c>
      <c r="C79" s="7" t="str">
        <v>MAMS</v>
      </c>
      <c r="D79" s="7" t="str">
        <v>jcleary|MAMS|RV_US_FV_Spread|91282CQU8</v>
      </c>
      <c r="E79" s="7" t="str">
        <v>RV_US_FV_Spread</v>
      </c>
      <c r="F79" s="7" t="str">
        <v>91282CQU8</v>
      </c>
      <c r="G79" s="7">
        <v>336.42</v>
      </c>
      <c r="H79" s="7">
        <v>0</v>
      </c>
      <c r="I79" s="7">
        <v>336.42</v>
      </c>
      <c r="J79" s="7">
        <v>0</v>
      </c>
      <c r="K79" s="7">
        <v>0</v>
      </c>
      <c r="L79" s="7">
        <v>0</v>
      </c>
      <c r="M79" s="7">
        <v>0</v>
      </c>
      <c r="N79" s="7" t="str">
        <v>Bond</v>
      </c>
      <c r="O79" s="6" cm="1">
        <f t="array" ref="O79">(_xll.qwPrice($A$1,F79)-_xll.qwPrice($A$4,F79))*_xll.qwMVFactor($A$1,F79)*I79*_xll.qwFXRate($A$1,F79)</f>
        <v>183979.68855393084</v>
      </c>
      <c r="P79" s="6" cm="1">
        <f t="array" ref="P79">IF(ISNUMBER(_xll.qwDV01($A$1,F79)*I79*_xll.qwMVFactor($A$1,F79)*_xll.qwFXRate($A$1,F79)),_xll.qwDV01($A$1,F79)*I79*_xll.qwMVFactor($A$1,F79)*_xll.qwFXRate($A$1,F79),0)</f>
        <v>134566.1944242238</v>
      </c>
      <c r="Q79" s="6" cm="1">
        <f t="array" ref="Q79">IF(ISNUMBER(_xll.qwDV01($A$1,F79)*G79*_xll.qwMVFactor($A$1,F79)*_xll.qwFXRate($A$1,F79)),_xll.qwDV01($A$1,F79)*G79*_xll.qwMVFactor($A$1,F79)*_xll.qwFXRate($A$1,F79),0)</f>
        <v>134566.1944242238</v>
      </c>
      <c r="R79" s="6" cm="1">
        <f t="array" ref="R79">IF(ISNUMBER(_xll.qwDV01($A$1,F79)*J79*_xll.qwMVFactor($A$1,F79)*_xll.qwFXRate($A$1,F79)),_xll.qwDV01($A$1,F79)*J79*_xll.qwMVFactor($A$1,F79)*_xll.qwFXRate($A$1,F79),0)</f>
        <v>0</v>
      </c>
      <c r="S79" s="6" cm="1">
        <f t="array" ref="S79">IF(ISNUMBER(_xll.qwDV01($A$1,F79)*J79*_xll.qwMVFactor($A$1,F79)*_xll.qwFXRate($A$1,F79)),_xll.qwDV01($A$1,F79)*J79*_xll.qwMVFactor($A$1,F79)*_xll.qwFXRate($A$1,F79),0)</f>
        <v>0</v>
      </c>
      <c r="T79" s="6" cm="1">
        <f t="array" ref="T79">_xll.qwFXRate($A$1,F79)*J79*(_xll.qwPrice($A$1,F79)-M79)*_xll.qwMVFactor($A$1,F79)+L79</f>
        <v>0</v>
      </c>
      <c r="U79" s="8" cm="1">
        <f t="array" ref="U79">_xll.qwYield($A$1,F79)</f>
        <v>4.9959341642026582E-2</v>
      </c>
      <c r="V79" s="8" cm="1">
        <f t="array" ref="V79">100*(_xll.qwYield($A$4,F79)-U79)</f>
        <v>1.3184758780281775E-2</v>
      </c>
      <c r="W79" s="6">
        <f>IF(ISNA(G79*INDEX(_xll.qwTblData(_xll.qwCurveScenariosPerSecurity($A$1,F79,"Crv210")),2,2)),0,(G79*INDEX(_xll.qwTblData(_xll.qwCurveScenariosPerSecurity($A$1,F79,"Crv210")),2,2)))</f>
        <v>22623.849465004289</v>
      </c>
      <c r="X79" s="6" cm="1">
        <f t="array" ref="X79">ABS(Q79/_xll.qwMV01($A$1,"CT10"))</f>
        <v>181.15180512575643</v>
      </c>
      <c r="Y79" s="6" cm="1">
        <f t="array" ref="Y79">IF(N79="BondFuture",-(_xll.qwCurveYield($A$1,_xll.qwSecVal($A$1,AA79,"CreditCurveName()"),AA79)-_xll.qwCurveYield($A$4,_xll.qwSecVal($A$4,AA79,"CreditCurveName()"),AA79))*P79*10000,IF(N79="Bond",-(_xll.qwCurveYield($A$1,_xll.qwSecVal($A$1,F79,"CreditCurveName()"),F79)-_xll.qwCurveYield($A$4,_xll.qwSecVal($A$4,F79,"CreditCurveName()"),F79))*P79*10000,O79))</f>
        <v>182329.66100060008</v>
      </c>
      <c r="Z79" s="6" cm="1">
        <f t="array" ref="Z79">IF(OR(N79="BondFuture",N79="Bond"),P79*(_xll.qwCurveZSpread($A$4,_xll.qwSecVal($A$1,AA79,"CreditCurveName()"),AA79)-_xll.qwCurveZSpread($A$1,_xll.qwSecVal($A$1,AA79,"CreditCurveName()"),AA79)),0)</f>
        <v>-4907.3795664675654</v>
      </c>
      <c r="AA79" s="9" t="str" cm="1">
        <f t="array" ref="AA79">IF(_xll.qwSecType(F79)="Bond",F79,IF(_xll.qwSecType(F79)="BondFuture",_xll.qwFutCTD($A$1,F79),0))</f>
        <v>91282CQU8</v>
      </c>
      <c r="AB79" s="6" cm="1">
        <f t="array" ref="AB79">IF(_xll.qwSecType(F79)="BondFuture",-(I79*_xll.qwDelta($A$4,F79)*_xll.qwMVFactor($A$1,F79)/_xll.qwMVFactor($A$1,_xll.qwFutCTD($A$1,F79)))*(_xll.qwFXRate($A$1,F79)*_xll.qwMVFactor($A$1,_xll.qwFutCTD($A$1,F79))*(_xll.qwIncome($A$4,_xll.qwFutCTD($A$4,F79),_xll.qwBondSettle($A$4,_xll.qwFutCTD($A$4,F79)),_xll.qwBondSettle($A$1,_xll.qwFutCTD($A$1,F79)))+(_xll.qwSecVal($A$1,AA79,"Price")-_xll.qwSecVal($A$4,AA79,"Price"))-_xll.qwBondRepoFromTo($A$1,AA79,_xll.qwBondSettle($A$4,AA79),_xll.qwBondSettle($A$1,AA79))*_xll.qwSecVal($A$1,AA79,"Price")*(_xll.qwBondSettle($A$1,AA79)-_xll.qwBondSettle($A$4,AA79))/360))+O79,0)</f>
        <v>0</v>
      </c>
      <c r="AC79" s="9" cm="1">
        <f t="array" ref="AC79">O79+T79+IF(ISNUMBER(_xll.qwIncome($A$1,F79,_xll.qwSettle($A$4,F79),_xll.qwSettle($A$1,F79))*_xll.qwMVFactor($A$1,F79)*_xll.qwFXRate($A$1,F79)*I79),_xll.qwIncome($A$1,F79,_xll.qwSettle($A$4,F79),_xll.qwSettle($A$1,F79))*_xll.qwMVFactor($A$1,F79)*_xll.qwFXRate($A$1,F79)*I79,0)+IF(ISNUMBER(-(_xll.qwBondRepoFromTo($A$1,F79,_xll.qwSettle($A$4,F79),_xll.qwSettle($A$1,F79))*_xll.qwSecVal($A$1,F79,"Price")*(_xll.qwSettle($A$1,F79)-_xll.qwSettle($A$4,F79))/360)*_xll.qwMVFactor($A$1,F79)*_xll.qwFXRate($A$1,F79)*I79),-(_xll.qwBondRepoFromTo($A$1,F79,_xll.qwSettle($A$4,F79),_xll.qwSettle($A$1,F79))*_xll.qwSecVal($A$1,F79,"Price")*(_xll.qwSettle($A$1,F79)-_xll.qwSettle($A$4,F79))/360)*_xll.qwMVFactor($A$1,F79)*_xll.qwFXRate($A$1,F79)*I79,0)</f>
        <v>186706.33820714246</v>
      </c>
      <c r="AD79" s="6"/>
    </row>
    <row r="80" spans="2:36" s="7" customFormat="1" x14ac:dyDescent="0.35">
      <c r="B80" s="7" t="str">
        <v>jcleary</v>
      </c>
      <c r="C80" s="7" t="str">
        <v>MAMS</v>
      </c>
      <c r="D80" s="7" t="str">
        <v>jcleary|MAMS|RV_US_FV_Spread|91282CQX2</v>
      </c>
      <c r="E80" s="7" t="str">
        <v>RV_US_FV_Spread</v>
      </c>
      <c r="F80" s="7" t="str">
        <v>91282CQX2</v>
      </c>
      <c r="G80" s="7">
        <v>71.144000000000005</v>
      </c>
      <c r="H80" s="7">
        <v>0</v>
      </c>
      <c r="I80" s="7">
        <v>71.144000000000005</v>
      </c>
      <c r="J80" s="7">
        <v>0</v>
      </c>
      <c r="K80" s="7">
        <v>0</v>
      </c>
      <c r="L80" s="7">
        <v>0</v>
      </c>
      <c r="M80" s="7">
        <v>0</v>
      </c>
      <c r="N80" s="7" t="str">
        <v>Bond</v>
      </c>
      <c r="O80" s="6" cm="1">
        <f t="array" ref="O80">(_xll.qwPrice($A$1,F80)-_xll.qwPrice($A$4,F80))*_xll.qwMVFactor($A$1,F80)*I80*_xll.qwFXRate($A$1,F80)</f>
        <v>38906.875253765284</v>
      </c>
      <c r="P80" s="6" cm="1">
        <f t="array" ref="P80">IF(ISNUMBER(_xll.qwDV01($A$1,F80)*I80*_xll.qwMVFactor($A$1,F80)*_xll.qwFXRate($A$1,F80)),_xll.qwDV01($A$1,F80)*I80*_xll.qwMVFactor($A$1,F80)*_xll.qwFXRate($A$1,F80),0)</f>
        <v>28904.57299145055</v>
      </c>
      <c r="Q80" s="6" cm="1">
        <f t="array" ref="Q80">IF(ISNUMBER(_xll.qwDV01($A$1,F80)*G80*_xll.qwMVFactor($A$1,F80)*_xll.qwFXRate($A$1,F80)),_xll.qwDV01($A$1,F80)*G80*_xll.qwMVFactor($A$1,F80)*_xll.qwFXRate($A$1,F80),0)</f>
        <v>28904.57299145055</v>
      </c>
      <c r="R80" s="6" cm="1">
        <f t="array" ref="R80">IF(ISNUMBER(_xll.qwDV01($A$1,F80)*J80*_xll.qwMVFactor($A$1,F80)*_xll.qwFXRate($A$1,F80)),_xll.qwDV01($A$1,F80)*J80*_xll.qwMVFactor($A$1,F80)*_xll.qwFXRate($A$1,F80),0)</f>
        <v>0</v>
      </c>
      <c r="S80" s="6" cm="1">
        <f t="array" ref="S80">IF(ISNUMBER(_xll.qwDV01($A$1,F80)*J80*_xll.qwMVFactor($A$1,F80)*_xll.qwFXRate($A$1,F80)),_xll.qwDV01($A$1,F80)*J80*_xll.qwMVFactor($A$1,F80)*_xll.qwFXRate($A$1,F80),0)</f>
        <v>0</v>
      </c>
      <c r="T80" s="6" cm="1">
        <f t="array" ref="T80">_xll.qwFXRate($A$1,F80)*J80*(_xll.qwPrice($A$1,F80)-M80)*_xll.qwMVFactor($A$1,F80)+L80</f>
        <v>0</v>
      </c>
      <c r="U80" s="8" cm="1">
        <f t="array" ref="U80">_xll.qwYield($A$1,F80)</f>
        <v>4.9969213068575401E-2</v>
      </c>
      <c r="V80" s="8" cm="1">
        <f t="array" ref="V80">100*(_xll.qwYield($A$4,F80)-U80)</f>
        <v>1.299627344368004E-2</v>
      </c>
      <c r="W80" s="6">
        <f>IF(ISNA(G80*INDEX(_xll.qwTblData(_xll.qwCurveScenariosPerSecurity($A$1,F80,"Crv210")),2,2)),0,(G80*INDEX(_xll.qwTblData(_xll.qwCurveScenariosPerSecurity($A$1,F80,"Crv210")),2,2)))</f>
        <v>4559.2241867816729</v>
      </c>
      <c r="X80" s="6" cm="1">
        <f t="array" ref="X80">ABS(Q80/_xll.qwMV01($A$1,"CT10"))</f>
        <v>38.911077155704113</v>
      </c>
      <c r="Y80" s="6" cm="1">
        <f t="array" ref="Y80">IF(N80="BondFuture",-(_xll.qwCurveYield($A$1,_xll.qwSecVal($A$1,AA80,"CreditCurveName()"),AA80)-_xll.qwCurveYield($A$4,_xll.qwSecVal($A$4,AA80,"CreditCurveName()"),AA80))*P80*10000,IF(N80="Bond",-(_xll.qwCurveYield($A$1,_xll.qwSecVal($A$1,F80,"CreditCurveName()"),F80)-_xll.qwCurveYield($A$4,_xll.qwSecVal($A$4,F80,"CreditCurveName()"),F80))*P80*10000,O80))</f>
        <v>39957.351800007687</v>
      </c>
      <c r="Z80" s="6" cm="1">
        <f t="array" ref="Z80">IF(OR(N80="BondFuture",N80="Bond"),P80*(_xll.qwCurveZSpread($A$4,_xll.qwSecVal($A$1,AA80,"CreditCurveName()"),AA80)-_xll.qwCurveZSpread($A$1,_xll.qwSecVal($A$1,AA80,"CreditCurveName()"),AA80)),0)</f>
        <v>-2392.1783417395977</v>
      </c>
      <c r="AA80" s="9" t="str" cm="1">
        <f t="array" ref="AA80">IF(_xll.qwSecType(F80)="Bond",F80,IF(_xll.qwSecType(F80)="BondFuture",_xll.qwFutCTD($A$1,F80),0))</f>
        <v>91282CQX2</v>
      </c>
      <c r="AB80" s="6" cm="1">
        <f t="array" ref="AB80">IF(_xll.qwSecType(F80)="BondFuture",-(I80*_xll.qwDelta($A$4,F80)*_xll.qwMVFactor($A$1,F80)/_xll.qwMVFactor($A$1,_xll.qwFutCTD($A$1,F80)))*(_xll.qwFXRate($A$1,F80)*_xll.qwMVFactor($A$1,_xll.qwFutCTD($A$1,F80))*(_xll.qwIncome($A$4,_xll.qwFutCTD($A$4,F80),_xll.qwBondSettle($A$4,_xll.qwFutCTD($A$4,F80)),_xll.qwBondSettle($A$1,_xll.qwFutCTD($A$1,F80)))+(_xll.qwSecVal($A$1,AA80,"Price")-_xll.qwSecVal($A$4,AA80,"Price"))-_xll.qwBondRepoFromTo($A$1,AA80,_xll.qwBondSettle($A$4,AA80),_xll.qwBondSettle($A$1,AA80))*_xll.qwSecVal($A$1,AA80,"Price")*(_xll.qwBondSettle($A$1,AA80)-_xll.qwBondSettle($A$4,AA80))/360))+O80,0)</f>
        <v>0</v>
      </c>
      <c r="AC80" s="9" cm="1">
        <f t="array" ref="AC80">O80+T80+IF(ISNUMBER(_xll.qwIncome($A$1,F80,_xll.qwSettle($A$4,F80),_xll.qwSettle($A$1,F80))*_xll.qwMVFactor($A$1,F80)*_xll.qwFXRate($A$1,F80)*I80),_xll.qwIncome($A$1,F80,_xll.qwSettle($A$4,F80),_xll.qwSettle($A$1,F80))*_xll.qwMVFactor($A$1,F80)*_xll.qwFXRate($A$1,F80)*I80,0)+IF(ISNUMBER(-(_xll.qwBondRepoFromTo($A$1,F80,_xll.qwSettle($A$4,F80),_xll.qwSettle($A$1,F80))*_xll.qwSecVal($A$1,F80,"Price")*(_xll.qwSettle($A$1,F80)-_xll.qwSettle($A$4,F80))/360)*_xll.qwMVFactor($A$1,F80)*_xll.qwFXRate($A$1,F80)*I80),-(_xll.qwBondRepoFromTo($A$1,F80,_xll.qwSettle($A$4,F80),_xll.qwSettle($A$1,F80))*_xll.qwSecVal($A$1,F80,"Price")*(_xll.qwSettle($A$1,F80)-_xll.qwSettle($A$4,F80))/360)*_xll.qwMVFactor($A$1,F80)*_xll.qwFXRate($A$1,F80)*I80,0)</f>
        <v>39444.735341672458</v>
      </c>
      <c r="AD80" s="6"/>
    </row>
    <row r="81" spans="2:30" s="7" customFormat="1" x14ac:dyDescent="0.35">
      <c r="B81" s="7" t="str">
        <v>jcleary</v>
      </c>
      <c r="C81" s="7" t="str">
        <v>MAMS</v>
      </c>
      <c r="D81" s="7" t="str">
        <v>jcleary|MAMS|RV_US_FV_Spread|91282CRA1</v>
      </c>
      <c r="E81" s="7" t="str">
        <v>RV_US_FV_Spread</v>
      </c>
      <c r="F81" s="7" t="str">
        <v>91282CRA1</v>
      </c>
      <c r="G81" s="7">
        <v>336.20600000000002</v>
      </c>
      <c r="H81" s="7">
        <v>0</v>
      </c>
      <c r="I81" s="7">
        <v>336.20600000000002</v>
      </c>
      <c r="J81" s="7">
        <v>0</v>
      </c>
      <c r="K81" s="7">
        <v>0</v>
      </c>
      <c r="L81" s="7">
        <v>0</v>
      </c>
      <c r="M81" s="7">
        <v>0</v>
      </c>
      <c r="N81" s="7" t="str">
        <v>Bond</v>
      </c>
      <c r="O81" s="6" cm="1">
        <f t="array" ref="O81">(_xll.qwPrice($A$1,F81)-_xll.qwPrice($A$4,F81))*_xll.qwMVFactor($A$1,F81)*I81*_xll.qwFXRate($A$1,F81)</f>
        <v>196995.70322194105</v>
      </c>
      <c r="P81" s="6" cm="1">
        <f t="array" ref="P81">IF(ISNUMBER(_xll.qwDV01($A$1,F81)*I81*_xll.qwMVFactor($A$1,F81)*_xll.qwFXRate($A$1,F81)),_xll.qwDV01($A$1,F81)*I81*_xll.qwMVFactor($A$1,F81)*_xll.qwFXRate($A$1,F81),0)</f>
        <v>139578.0510929967</v>
      </c>
      <c r="Q81" s="6" cm="1">
        <f t="array" ref="Q81">IF(ISNUMBER(_xll.qwDV01($A$1,F81)*G81*_xll.qwMVFactor($A$1,F81)*_xll.qwFXRate($A$1,F81)),_xll.qwDV01($A$1,F81)*G81*_xll.qwMVFactor($A$1,F81)*_xll.qwFXRate($A$1,F81),0)</f>
        <v>139578.0510929967</v>
      </c>
      <c r="R81" s="6" cm="1">
        <f t="array" ref="R81">IF(ISNUMBER(_xll.qwDV01($A$1,F81)*J81*_xll.qwMVFactor($A$1,F81)*_xll.qwFXRate($A$1,F81)),_xll.qwDV01($A$1,F81)*J81*_xll.qwMVFactor($A$1,F81)*_xll.qwFXRate($A$1,F81),0)</f>
        <v>0</v>
      </c>
      <c r="S81" s="6" cm="1">
        <f t="array" ref="S81">IF(ISNUMBER(_xll.qwDV01($A$1,F81)*J81*_xll.qwMVFactor($A$1,F81)*_xll.qwFXRate($A$1,F81)),_xll.qwDV01($A$1,F81)*J81*_xll.qwMVFactor($A$1,F81)*_xll.qwFXRate($A$1,F81),0)</f>
        <v>0</v>
      </c>
      <c r="T81" s="6" cm="1">
        <f t="array" ref="T81">_xll.qwFXRate($A$1,F81)*J81*(_xll.qwPrice($A$1,F81)-M81)*_xll.qwMVFactor($A$1,F81)+L81</f>
        <v>0</v>
      </c>
      <c r="U81" s="8" cm="1">
        <f t="array" ref="U81">_xll.qwYield($A$1,F81)</f>
        <v>4.9997991022012626E-2</v>
      </c>
      <c r="V81" s="8" cm="1">
        <f t="array" ref="V81">100*(_xll.qwYield($A$4,F81)-U81)</f>
        <v>1.3799258348727583E-2</v>
      </c>
      <c r="W81" s="6">
        <f>IF(ISNA(G81*INDEX(_xll.qwTblData(_xll.qwCurveScenariosPerSecurity($A$1,F81,"Crv210")),2,2)),0,(G81*INDEX(_xll.qwTblData(_xll.qwCurveScenariosPerSecurity($A$1,F81,"Crv210")),2,2)))</f>
        <v>20672.436566038959</v>
      </c>
      <c r="X81" s="6" cm="1">
        <f t="array" ref="X81">ABS(Q81/_xll.qwMV01($A$1,"CT10"))</f>
        <v>187.89872166348334</v>
      </c>
      <c r="Y81" s="6" cm="1">
        <f t="array" ref="Y81">IF(N81="BondFuture",-(_xll.qwCurveYield($A$1,_xll.qwSecVal($A$1,AA81,"CreditCurveName()"),AA81)-_xll.qwCurveYield($A$4,_xll.qwSecVal($A$4,AA81,"CreditCurveName()"),AA81))*P81*10000,IF(N81="Bond",-(_xll.qwCurveYield($A$1,_xll.qwSecVal($A$1,F81,"CreditCurveName()"),F81)-_xll.qwCurveYield($A$4,_xll.qwSecVal($A$4,F81,"CreditCurveName()"),F81))*P81*10000,O81))</f>
        <v>196207.23628145643</v>
      </c>
      <c r="Z81" s="6" cm="1">
        <f t="array" ref="Z81">IF(OR(N81="BondFuture",N81="Bond"),P81*(_xll.qwCurveZSpread($A$4,_xll.qwSecVal($A$1,AA81,"CreditCurveName()"),AA81)-_xll.qwCurveZSpread($A$1,_xll.qwSecVal($A$1,AA81,"CreditCurveName()"),AA81)),0)</f>
        <v>-3599.877592943632</v>
      </c>
      <c r="AA81" s="9" t="str" cm="1">
        <f t="array" ref="AA81">IF(_xll.qwSecType(F81)="Bond",F81,IF(_xll.qwSecType(F81)="BondFuture",_xll.qwFutCTD($A$1,F81),0))</f>
        <v>91282CRA1</v>
      </c>
      <c r="AB81" s="6" cm="1">
        <f t="array" ref="AB81">IF(_xll.qwSecType(F81)="BondFuture",-(I81*_xll.qwDelta($A$4,F81)*_xll.qwMVFactor($A$1,F81)/_xll.qwMVFactor($A$1,_xll.qwFutCTD($A$1,F81)))*(_xll.qwFXRate($A$1,F81)*_xll.qwMVFactor($A$1,_xll.qwFutCTD($A$1,F81))*(_xll.qwIncome($A$4,_xll.qwFutCTD($A$4,F81),_xll.qwBondSettle($A$4,_xll.qwFutCTD($A$4,F81)),_xll.qwBondSettle($A$1,_xll.qwFutCTD($A$1,F81)))+(_xll.qwSecVal($A$1,AA81,"Price")-_xll.qwSecVal($A$4,AA81,"Price"))-_xll.qwBondRepoFromTo($A$1,AA81,_xll.qwBondSettle($A$4,AA81),_xll.qwBondSettle($A$1,AA81))*_xll.qwSecVal($A$1,AA81,"Price")*(_xll.qwBondSettle($A$1,AA81)-_xll.qwBondSettle($A$4,AA81))/360))+O81,0)</f>
        <v>0</v>
      </c>
      <c r="AC81" s="9" cm="1">
        <f t="array" ref="AC81">O81+T81+IF(ISNUMBER(_xll.qwIncome($A$1,F81,_xll.qwSettle($A$4,F81),_xll.qwSettle($A$1,F81))*_xll.qwMVFactor($A$1,F81)*_xll.qwFXRate($A$1,F81)*I81),_xll.qwIncome($A$1,F81,_xll.qwSettle($A$4,F81),_xll.qwSettle($A$1,F81))*_xll.qwMVFactor($A$1,F81)*_xll.qwFXRate($A$1,F81)*I81,0)+IF(ISNUMBER(-(_xll.qwBondRepoFromTo($A$1,F81,_xll.qwSettle($A$4,F81),_xll.qwSettle($A$1,F81))*_xll.qwSecVal($A$1,F81,"Price")*(_xll.qwSettle($A$1,F81)-_xll.qwSettle($A$4,F81))/360)*_xll.qwMVFactor($A$1,F81)*_xll.qwFXRate($A$1,F81)*I81),-(_xll.qwBondRepoFromTo($A$1,F81,_xll.qwSettle($A$4,F81),_xll.qwSettle($A$1,F81))*_xll.qwSecVal($A$1,F81,"Price")*(_xll.qwSettle($A$1,F81)-_xll.qwSettle($A$4,F81))/360)*_xll.qwMVFactor($A$1,F81)*_xll.qwFXRate($A$1,F81)*I81,0)</f>
        <v>201462.51803601204</v>
      </c>
      <c r="AD81" s="6"/>
    </row>
    <row r="82" spans="2:30" s="7" customFormat="1" x14ac:dyDescent="0.35">
      <c r="B82" s="7" t="str">
        <v>jcleary</v>
      </c>
      <c r="C82" s="7" t="str">
        <v>MAMS</v>
      </c>
      <c r="D82" s="7" t="str">
        <v>jcleary|MAMS|RV_US_FV_Spread|91282CRK9</v>
      </c>
      <c r="E82" s="7" t="str">
        <v>RV_US_FV_Spread</v>
      </c>
      <c r="F82" s="7" t="str">
        <v>91282CRK9</v>
      </c>
      <c r="G82" s="7">
        <v>-656.3</v>
      </c>
      <c r="H82" s="7">
        <v>0</v>
      </c>
      <c r="I82" s="7">
        <v>-656.3</v>
      </c>
      <c r="J82" s="7">
        <v>0</v>
      </c>
      <c r="K82" s="7">
        <v>0</v>
      </c>
      <c r="L82" s="7">
        <v>0</v>
      </c>
      <c r="M82" s="7">
        <v>0</v>
      </c>
      <c r="N82" s="7" t="str">
        <v>Bond</v>
      </c>
      <c r="O82" s="6" cm="1">
        <f t="array" ref="O82">(_xll.qwPrice($A$1,F82)-_xll.qwPrice($A$4,F82))*_xll.qwMVFactor($A$1,F82)*I82*_xll.qwFXRate($A$1,F82)</f>
        <v>-410187.50020024175</v>
      </c>
      <c r="P82" s="6" cm="1">
        <f t="array" ref="P82">IF(ISNUMBER(_xll.qwDV01($A$1,F82)*I82*_xll.qwMVFactor($A$1,F82)*_xll.qwFXRate($A$1,F82)),_xll.qwDV01($A$1,F82)*I82*_xll.qwMVFactor($A$1,F82)*_xll.qwFXRate($A$1,F82),0)</f>
        <v>-276590.38606486772</v>
      </c>
      <c r="Q82" s="6" cm="1">
        <f t="array" ref="Q82">IF(ISNUMBER(_xll.qwDV01($A$1,F82)*G82*_xll.qwMVFactor($A$1,F82)*_xll.qwFXRate($A$1,F82)),_xll.qwDV01($A$1,F82)*G82*_xll.qwMVFactor($A$1,F82)*_xll.qwFXRate($A$1,F82),0)</f>
        <v>-276590.38606486772</v>
      </c>
      <c r="R82" s="6" cm="1">
        <f t="array" ref="R82">IF(ISNUMBER(_xll.qwDV01($A$1,F82)*J82*_xll.qwMVFactor($A$1,F82)*_xll.qwFXRate($A$1,F82)),_xll.qwDV01($A$1,F82)*J82*_xll.qwMVFactor($A$1,F82)*_xll.qwFXRate($A$1,F82),0)</f>
        <v>0</v>
      </c>
      <c r="S82" s="6" cm="1">
        <f t="array" ref="S82">IF(ISNUMBER(_xll.qwDV01($A$1,F82)*J82*_xll.qwMVFactor($A$1,F82)*_xll.qwFXRate($A$1,F82)),_xll.qwDV01($A$1,F82)*J82*_xll.qwMVFactor($A$1,F82)*_xll.qwFXRate($A$1,F82),0)</f>
        <v>0</v>
      </c>
      <c r="T82" s="6" cm="1">
        <f t="array" ref="T82">_xll.qwFXRate($A$1,F82)*J82*(_xll.qwPrice($A$1,F82)-M82)*_xll.qwMVFactor($A$1,F82)+L82</f>
        <v>0</v>
      </c>
      <c r="U82" s="8" cm="1">
        <f t="array" ref="U82">_xll.qwYield($A$1,F82)</f>
        <v>4.9943821083561817E-2</v>
      </c>
      <c r="V82" s="8" cm="1">
        <f t="array" ref="V82">100*(_xll.qwYield($A$4,F82)-U82)</f>
        <v>1.4531107818758354E-2</v>
      </c>
      <c r="W82" s="6">
        <f>IF(ISNA(G82*INDEX(_xll.qwTblData(_xll.qwCurveScenariosPerSecurity($A$1,F82,"Crv210")),2,2)),0,(G82*INDEX(_xll.qwTblData(_xll.qwCurveScenariosPerSecurity($A$1,F82,"Crv210")),2,2)))</f>
        <v>-37988.211633744882</v>
      </c>
      <c r="X82" s="6" cm="1">
        <f t="array" ref="X82">ABS(Q82/_xll.qwMV01($A$1,"CT10"))</f>
        <v>372.34349927533566</v>
      </c>
      <c r="Y82" s="6" cm="1">
        <f t="array" ref="Y82">IF(N82="BondFuture",-(_xll.qwCurveYield($A$1,_xll.qwSecVal($A$1,AA82,"CreditCurveName()"),AA82)-_xll.qwCurveYield($A$4,_xll.qwSecVal($A$4,AA82,"CreditCurveName()"),AA82))*P82*10000,IF(N82="Bond",-(_xll.qwCurveYield($A$1,_xll.qwSecVal($A$1,F82,"CreditCurveName()"),F82)-_xll.qwCurveYield($A$4,_xll.qwSecVal($A$4,F82,"CreditCurveName()"),F82))*P82*10000,O82))</f>
        <v>-396475.82620723068</v>
      </c>
      <c r="Z82" s="6" cm="1">
        <f t="array" ref="Z82">IF(OR(N82="BondFuture",N82="Bond"),P82*(_xll.qwCurveZSpread($A$4,_xll.qwSecVal($A$1,AA82,"CreditCurveName()"),AA82)-_xll.qwCurveZSpread($A$1,_xll.qwSecVal($A$1,AA82,"CreditCurveName()"),AA82)),0)</f>
        <v>-5440.6459621247386</v>
      </c>
      <c r="AA82" s="9" t="str" cm="1">
        <f t="array" ref="AA82">IF(_xll.qwSecType(F82)="Bond",F82,IF(_xll.qwSecType(F82)="BondFuture",_xll.qwFutCTD($A$1,F82),0))</f>
        <v>91282CRK9</v>
      </c>
      <c r="AB82" s="6" cm="1">
        <f t="array" ref="AB82">IF(_xll.qwSecType(F82)="BondFuture",-(I82*_xll.qwDelta($A$4,F82)*_xll.qwMVFactor($A$1,F82)/_xll.qwMVFactor($A$1,_xll.qwFutCTD($A$1,F82)))*(_xll.qwFXRate($A$1,F82)*_xll.qwMVFactor($A$1,_xll.qwFutCTD($A$1,F82))*(_xll.qwIncome($A$4,_xll.qwFutCTD($A$4,F82),_xll.qwBondSettle($A$4,_xll.qwFutCTD($A$4,F82)),_xll.qwBondSettle($A$1,_xll.qwFutCTD($A$1,F82)))+(_xll.qwSecVal($A$1,AA82,"Price")-_xll.qwSecVal($A$4,AA82,"Price"))-_xll.qwBondRepoFromTo($A$1,AA82,_xll.qwBondSettle($A$4,AA82),_xll.qwBondSettle($A$1,AA82))*_xll.qwSecVal($A$1,AA82,"Price")*(_xll.qwBondSettle($A$1,AA82)-_xll.qwBondSettle($A$4,AA82))/360))+O82,0)</f>
        <v>0</v>
      </c>
      <c r="AC82" s="9" cm="1">
        <f t="array" ref="AC82">O82+T82+IF(ISNUMBER(_xll.qwIncome($A$1,F82,_xll.qwSettle($A$4,F82),_xll.qwSettle($A$1,F82))*_xll.qwMVFactor($A$1,F82)*_xll.qwFXRate($A$1,F82)*I82),_xll.qwIncome($A$1,F82,_xll.qwSettle($A$4,F82),_xll.qwSettle($A$1,F82))*_xll.qwMVFactor($A$1,F82)*_xll.qwFXRate($A$1,F82)*I82,0)+IF(ISNUMBER(-(_xll.qwBondRepoFromTo($A$1,F82,_xll.qwSettle($A$4,F82),_xll.qwSettle($A$1,F82))*_xll.qwSecVal($A$1,F82,"Price")*(_xll.qwSettle($A$1,F82)-_xll.qwSettle($A$4,F82))/360)*_xll.qwMVFactor($A$1,F82)*_xll.qwFXRate($A$1,F82)*I82),-(_xll.qwBondRepoFromTo($A$1,F82,_xll.qwSettle($A$4,F82),_xll.qwSettle($A$1,F82))*_xll.qwSecVal($A$1,F82,"Price")*(_xll.qwSettle($A$1,F82)-_xll.qwSettle($A$4,F82))/360)*_xll.qwMVFactor($A$1,F82)*_xll.qwFXRate($A$1,F82)*I82,0)</f>
        <v>-420211.41797992704</v>
      </c>
      <c r="AD82" s="6"/>
    </row>
    <row r="83" spans="2:30" s="7" customFormat="1" x14ac:dyDescent="0.35">
      <c r="B83" s="7" t="str">
        <v>jcleary</v>
      </c>
      <c r="C83" s="7" t="str">
        <v>MAMS</v>
      </c>
      <c r="D83" s="7" t="str">
        <v>jcleary|MAMS|RV_US_FV_Spread|91282CRN3</v>
      </c>
      <c r="E83" s="7" t="str">
        <v>RV_US_FV_Spread</v>
      </c>
      <c r="F83" s="7" t="str">
        <v>91282CRN3</v>
      </c>
      <c r="G83" s="7">
        <v>418.29999999999995</v>
      </c>
      <c r="H83" s="7">
        <v>0</v>
      </c>
      <c r="I83" s="7">
        <v>241.6</v>
      </c>
      <c r="J83" s="7">
        <v>176.7</v>
      </c>
      <c r="K83" s="7">
        <v>100</v>
      </c>
      <c r="L83" s="7">
        <v>0</v>
      </c>
      <c r="M83" s="7">
        <v>100</v>
      </c>
      <c r="N83" s="7" t="str">
        <v>Bond</v>
      </c>
      <c r="O83" s="6" cm="1">
        <f t="array" ref="O83">(_xll.qwPrice($A$1,F83)-_xll.qwPrice($A$4,F83))*_xll.qwMVFactor($A$1,F83)*I83*_xll.qwFXRate($A$1,F83)</f>
        <v>151000.00000003434</v>
      </c>
      <c r="P83" s="6" cm="1">
        <f t="array" ref="P83">IF(ISNUMBER(_xll.qwDV01($A$1,F83)*I83*_xll.qwMVFactor($A$1,F83)*_xll.qwFXRate($A$1,F83)),_xll.qwDV01($A$1,F83)*I83*_xll.qwMVFactor($A$1,F83)*_xll.qwFXRate($A$1,F83),0)</f>
        <v>105013.41535018582</v>
      </c>
      <c r="Q83" s="6" cm="1">
        <f t="array" ref="Q83">IF(ISNUMBER(_xll.qwDV01($A$1,F83)*G83*_xll.qwMVFactor($A$1,F83)*_xll.qwFXRate($A$1,F83)),_xll.qwDV01($A$1,F83)*G83*_xll.qwMVFactor($A$1,F83)*_xll.qwFXRate($A$1,F83),0)</f>
        <v>181817.51507029272</v>
      </c>
      <c r="R83" s="6" cm="1">
        <f t="array" ref="R83">IF(ISNUMBER(_xll.qwDV01($A$1,F83)*J83*_xll.qwMVFactor($A$1,F83)*_xll.qwFXRate($A$1,F83)),_xll.qwDV01($A$1,F83)*J83*_xll.qwMVFactor($A$1,F83)*_xll.qwFXRate($A$1,F83),0)</f>
        <v>76804.099720106926</v>
      </c>
      <c r="S83" s="6" cm="1">
        <f t="array" ref="S83">IF(ISNUMBER(_xll.qwDV01($A$1,F83)*J83*_xll.qwMVFactor($A$1,F83)*_xll.qwFXRate($A$1,F83)),_xll.qwDV01($A$1,F83)*J83*_xll.qwMVFactor($A$1,F83)*_xll.qwFXRate($A$1,F83),0)</f>
        <v>76804.099720106926</v>
      </c>
      <c r="T83" s="6" cm="1">
        <f t="array" ref="T83">_xll.qwFXRate($A$1,F83)*J83*(_xll.qwPrice($A$1,F83)-M83)*_xll.qwMVFactor($A$1,F83)+L83</f>
        <v>62121.093750376654</v>
      </c>
      <c r="U83" s="8" cm="1">
        <f t="array" ref="U83">_xll.qwYield($A$1,F83)</f>
        <v>4.9913746673386834E-2</v>
      </c>
      <c r="V83" s="8" cm="1">
        <f t="array" ref="V83">100*(_xll.qwYield($A$4,F83)-U83)</f>
        <v>1.4414355454046845E-2</v>
      </c>
      <c r="W83" s="6">
        <f>IF(ISNA(G83*INDEX(_xll.qwTblData(_xll.qwCurveScenariosPerSecurity($A$1,F83,"Crv210")),2,2)),0,(G83*INDEX(_xll.qwTblData(_xll.qwCurveScenariosPerSecurity($A$1,F83,"Crv210")),2,2)))</f>
        <v>23630.694342554503</v>
      </c>
      <c r="X83" s="6" cm="1">
        <f t="array" ref="X83">ABS(Q83/_xll.qwMV01($A$1,"CT10"))</f>
        <v>244.76110957429219</v>
      </c>
      <c r="Y83" s="6" cm="1">
        <f t="array" ref="Y83">IF(N83="BondFuture",-(_xll.qwCurveYield($A$1,_xll.qwSecVal($A$1,AA83,"CreditCurveName()"),AA83)-_xll.qwCurveYield($A$4,_xll.qwSecVal($A$4,AA83,"CreditCurveName()"),AA83))*P83*10000,IF(N83="Bond",-(_xll.qwCurveYield($A$1,_xll.qwSecVal($A$1,F83,"CreditCurveName()"),F83)-_xll.qwCurveYield($A$4,_xll.qwSecVal($A$4,F83,"CreditCurveName()"),F83))*P83*10000,O83))</f>
        <v>151757.20983258513</v>
      </c>
      <c r="Z83" s="6" cm="1">
        <f t="array" ref="Z83">IF(OR(N83="BondFuture",N83="Bond"),P83*(_xll.qwCurveZSpread($A$4,_xll.qwSecVal($A$1,AA83,"CreditCurveName()"),AA83)-_xll.qwCurveZSpread($A$1,_xll.qwSecVal($A$1,AA83,"CreditCurveName()"),AA83)),0)</f>
        <v>-387.14020248131914</v>
      </c>
      <c r="AA83" s="9" t="str" cm="1">
        <f t="array" ref="AA83">IF(_xll.qwSecType(F83)="Bond",F83,IF(_xll.qwSecType(F83)="BondFuture",_xll.qwFutCTD($A$1,F83),0))</f>
        <v>91282CRN3</v>
      </c>
      <c r="AB83" s="6" cm="1">
        <f t="array" ref="AB83">IF(_xll.qwSecType(F83)="BondFuture",-(I83*_xll.qwDelta($A$4,F83)*_xll.qwMVFactor($A$1,F83)/_xll.qwMVFactor($A$1,_xll.qwFutCTD($A$1,F83)))*(_xll.qwFXRate($A$1,F83)*_xll.qwMVFactor($A$1,_xll.qwFutCTD($A$1,F83))*(_xll.qwIncome($A$4,_xll.qwFutCTD($A$4,F83),_xll.qwBondSettle($A$4,_xll.qwFutCTD($A$4,F83)),_xll.qwBondSettle($A$1,_xll.qwFutCTD($A$1,F83)))+(_xll.qwSecVal($A$1,AA83,"Price")-_xll.qwSecVal($A$4,AA83,"Price"))-_xll.qwBondRepoFromTo($A$1,AA83,_xll.qwBondSettle($A$4,AA83),_xll.qwBondSettle($A$1,AA83))*_xll.qwSecVal($A$1,AA83,"Price")*(_xll.qwBondSettle($A$1,AA83)-_xll.qwBondSettle($A$4,AA83))/360))+O83,0)</f>
        <v>0</v>
      </c>
      <c r="AC83" s="9" cm="1">
        <f t="array" ref="AC83">O83+T83+IF(ISNUMBER(_xll.qwIncome($A$1,F83,_xll.qwSettle($A$4,F83),_xll.qwSettle($A$1,F83))*_xll.qwMVFactor($A$1,F83)*_xll.qwFXRate($A$1,F83)*I83),_xll.qwIncome($A$1,F83,_xll.qwSettle($A$4,F83),_xll.qwSettle($A$1,F83))*_xll.qwMVFactor($A$1,F83)*_xll.qwFXRate($A$1,F83)*I83,0)+IF(ISNUMBER(-(_xll.qwBondRepoFromTo($A$1,F83,_xll.qwSettle($A$4,F83),_xll.qwSettle($A$1,F83))*_xll.qwSecVal($A$1,F83,"Price")*(_xll.qwSettle($A$1,F83)-_xll.qwSettle($A$4,F83))/360)*_xll.qwMVFactor($A$1,F83)*_xll.qwFXRate($A$1,F83)*I83),-(_xll.qwBondRepoFromTo($A$1,F83,_xll.qwSettle($A$4,F83),_xll.qwSettle($A$1,F83))*_xll.qwSecVal($A$1,F83,"Price")*(_xll.qwSettle($A$1,F83)-_xll.qwSettle($A$4,F83))/360)*_xll.qwMVFactor($A$1,F83)*_xll.qwFXRate($A$1,F83)*I83,0)</f>
        <v>220765.12628774045</v>
      </c>
      <c r="AD83" s="6"/>
    </row>
    <row r="84" spans="2:30" s="7" customFormat="1" x14ac:dyDescent="0.35">
      <c r="B84" s="7" t="str">
        <v>jcleary</v>
      </c>
      <c r="C84" s="7" t="str">
        <v>MAMS</v>
      </c>
      <c r="D84" s="7" t="str">
        <v>jcleary|MAMS|RV_US_FV_Spread|91282CRQ6</v>
      </c>
      <c r="E84" s="7" t="str">
        <v>RV_US_FV_Spread</v>
      </c>
      <c r="F84" s="7" t="str">
        <v>91282CRQ6</v>
      </c>
      <c r="G84" s="7">
        <v>950.5</v>
      </c>
      <c r="H84" s="7">
        <v>0</v>
      </c>
      <c r="I84" s="7">
        <v>950.5</v>
      </c>
      <c r="J84" s="7">
        <v>0</v>
      </c>
      <c r="K84" s="7">
        <v>0</v>
      </c>
      <c r="L84" s="7">
        <v>0</v>
      </c>
      <c r="M84" s="7">
        <v>0</v>
      </c>
      <c r="N84" s="7" t="str">
        <v>Bond</v>
      </c>
      <c r="O84" s="6" cm="1">
        <f t="array" ref="O84">(_xll.qwPrice($A$1,F84)-_xll.qwPrice($A$4,F84))*_xll.qwMVFactor($A$1,F84)*I84*_xll.qwFXRate($A$1,F84)</f>
        <v>148515.62499945972</v>
      </c>
      <c r="P84" s="6" cm="1">
        <f t="array" ref="P84">IF(ISNUMBER(_xll.qwDV01($A$1,F84)*I84*_xll.qwMVFactor($A$1,F84)*_xll.qwFXRate($A$1,F84)),_xll.qwDV01($A$1,F84)*I84*_xll.qwMVFactor($A$1,F84)*_xll.qwFXRate($A$1,F84),0)</f>
        <v>262010.9395934378</v>
      </c>
      <c r="Q84" s="6" cm="1">
        <f t="array" ref="Q84">IF(ISNUMBER(_xll.qwDV01($A$1,F84)*G84*_xll.qwMVFactor($A$1,F84)*_xll.qwFXRate($A$1,F84)),_xll.qwDV01($A$1,F84)*G84*_xll.qwMVFactor($A$1,F84)*_xll.qwFXRate($A$1,F84),0)</f>
        <v>262010.9395934378</v>
      </c>
      <c r="R84" s="6" cm="1">
        <f t="array" ref="R84">IF(ISNUMBER(_xll.qwDV01($A$1,F84)*J84*_xll.qwMVFactor($A$1,F84)*_xll.qwFXRate($A$1,F84)),_xll.qwDV01($A$1,F84)*J84*_xll.qwMVFactor($A$1,F84)*_xll.qwFXRate($A$1,F84),0)</f>
        <v>0</v>
      </c>
      <c r="S84" s="6" cm="1">
        <f t="array" ref="S84">IF(ISNUMBER(_xll.qwDV01($A$1,F84)*J84*_xll.qwMVFactor($A$1,F84)*_xll.qwFXRate($A$1,F84)),_xll.qwDV01($A$1,F84)*J84*_xll.qwMVFactor($A$1,F84)*_xll.qwFXRate($A$1,F84),0)</f>
        <v>0</v>
      </c>
      <c r="T84" s="6" cm="1">
        <f t="array" ref="T84">_xll.qwFXRate($A$1,F84)*J84*(_xll.qwPrice($A$1,F84)-M84)*_xll.qwMVFactor($A$1,F84)+L84</f>
        <v>0</v>
      </c>
      <c r="U84" s="8" cm="1">
        <f t="array" ref="U84">_xll.qwYield($A$1,F84)</f>
        <v>4.9104058727015398E-2</v>
      </c>
      <c r="V84" s="8" cm="1">
        <f t="array" ref="V84">100*(_xll.qwYield($A$4,F84)-U84)</f>
        <v>5.6688361412600419E-3</v>
      </c>
      <c r="W84" s="6">
        <f>IF(ISNA(G84*INDEX(_xll.qwTblData(_xll.qwCurveScenariosPerSecurity($A$1,F84,"Crv210")),2,2)),0,(G84*INDEX(_xll.qwTblData(_xll.qwCurveScenariosPerSecurity($A$1,F84,"Crv210")),2,2)))</f>
        <v>98134.155861516629</v>
      </c>
      <c r="X84" s="6" cm="1">
        <f t="array" ref="X84">ABS(Q84/_xll.qwMV01($A$1,"CT10"))</f>
        <v>352.71677907763319</v>
      </c>
      <c r="Y84" s="6" cm="1">
        <f t="array" ref="Y84">IF(N84="BondFuture",-(_xll.qwCurveYield($A$1,_xll.qwSecVal($A$1,AA84,"CreditCurveName()"),AA84)-_xll.qwCurveYield($A$4,_xll.qwSecVal($A$4,AA84,"CreditCurveName()"),AA84))*P84*10000,IF(N84="Bond",-(_xll.qwCurveYield($A$1,_xll.qwSecVal($A$1,F84,"CreditCurveName()"),F84)-_xll.qwCurveYield($A$4,_xll.qwSecVal($A$4,F84,"CreditCurveName()"),F84))*P84*10000,O84))</f>
        <v>150614.15898867213</v>
      </c>
      <c r="Z84" s="6" cm="1">
        <f t="array" ref="Z84">IF(OR(N84="BondFuture",N84="Bond"),P84*(_xll.qwCurveZSpread($A$4,_xll.qwSecVal($A$1,AA84,"CreditCurveName()"),AA84)-_xll.qwCurveZSpread($A$1,_xll.qwSecVal($A$1,AA84,"CreditCurveName()"),AA84)),0)</f>
        <v>-2084.4506113939556</v>
      </c>
      <c r="AA84" s="9" t="str" cm="1">
        <f t="array" ref="AA84">IF(_xll.qwSecType(F84)="Bond",F84,IF(_xll.qwSecType(F84)="BondFuture",_xll.qwFutCTD($A$1,F84),0))</f>
        <v>91282CRQ6</v>
      </c>
      <c r="AB84" s="6" cm="1">
        <f t="array" ref="AB84">IF(_xll.qwSecType(F84)="BondFuture",-(I84*_xll.qwDelta($A$4,F84)*_xll.qwMVFactor($A$1,F84)/_xll.qwMVFactor($A$1,_xll.qwFutCTD($A$1,F84)))*(_xll.qwFXRate($A$1,F84)*_xll.qwMVFactor($A$1,_xll.qwFutCTD($A$1,F84))*(_xll.qwIncome($A$4,_xll.qwFutCTD($A$4,F84),_xll.qwBondSettle($A$4,_xll.qwFutCTD($A$4,F84)),_xll.qwBondSettle($A$1,_xll.qwFutCTD($A$1,F84)))+(_xll.qwSecVal($A$1,AA84,"Price")-_xll.qwSecVal($A$4,AA84,"Price"))-_xll.qwBondRepoFromTo($A$1,AA84,_xll.qwBondSettle($A$4,AA84),_xll.qwBondSettle($A$1,AA84))*_xll.qwSecVal($A$1,AA84,"Price")*(_xll.qwBondSettle($A$1,AA84)-_xll.qwBondSettle($A$4,AA84))/360))+O84,0)</f>
        <v>0</v>
      </c>
      <c r="AC84" s="9" cm="1">
        <f t="array" ref="AC84">O84+T84+IF(ISNUMBER(_xll.qwIncome($A$1,F84,_xll.qwSettle($A$4,F84),_xll.qwSettle($A$1,F84))*_xll.qwMVFactor($A$1,F84)*_xll.qwFXRate($A$1,F84)*I84),_xll.qwIncome($A$1,F84,_xll.qwSettle($A$4,F84),_xll.qwSettle($A$1,F84))*_xll.qwMVFactor($A$1,F84)*_xll.qwFXRate($A$1,F84)*I84,0)+IF(ISNUMBER(-(_xll.qwBondRepoFromTo($A$1,F84,_xll.qwSettle($A$4,F84),_xll.qwSettle($A$1,F84))*_xll.qwSecVal($A$1,F84,"Price")*(_xll.qwSettle($A$1,F84)-_xll.qwSettle($A$4,F84))/360)*_xll.qwMVFactor($A$1,F84)*_xll.qwFXRate($A$1,F84)*I84),-(_xll.qwBondRepoFromTo($A$1,F84,_xll.qwSettle($A$4,F84),_xll.qwSettle($A$1,F84))*_xll.qwSecVal($A$1,F84,"Price")*(_xll.qwSettle($A$1,F84)-_xll.qwSettle($A$4,F84))/360)*_xll.qwMVFactor($A$1,F84)*_xll.qwFXRate($A$1,F84)*I84,0)</f>
        <v>148515.62499945972</v>
      </c>
      <c r="AD84" s="6"/>
    </row>
    <row r="85" spans="2:30" s="7" customFormat="1" x14ac:dyDescent="0.35">
      <c r="B85" s="7" t="str">
        <v>jcleary</v>
      </c>
      <c r="C85" s="7" t="str">
        <v>MAMS</v>
      </c>
      <c r="D85" s="7" t="str">
        <v>jcleary|MAMS|RV_US_FV_Spread|FVZ6</v>
      </c>
      <c r="E85" s="7" t="str">
        <v>RV_US_FV_Spread</v>
      </c>
      <c r="F85" s="7" t="str">
        <v>FVZ6</v>
      </c>
      <c r="G85" s="7">
        <v>-19246</v>
      </c>
      <c r="H85" s="7">
        <v>0</v>
      </c>
      <c r="I85" s="7">
        <v>-19246</v>
      </c>
      <c r="J85" s="7">
        <v>0</v>
      </c>
      <c r="K85" s="7">
        <v>0</v>
      </c>
      <c r="L85" s="7">
        <v>0</v>
      </c>
      <c r="M85" s="7">
        <v>0</v>
      </c>
      <c r="N85" s="7" t="str">
        <v>BondFuture</v>
      </c>
      <c r="O85" s="6" cm="1">
        <f t="array" ref="O85">(_xll.qwPrice($A$1,F85)-_xll.qwPrice($A$4,F85))*_xll.qwMVFactor($A$1,F85)*I85*_xll.qwFXRate($A$1,F85)</f>
        <v>-1052525.2479999757</v>
      </c>
      <c r="P85" s="6" cm="1">
        <f t="array" ref="P85">IF(ISNUMBER(_xll.qwDV01($A$1,F85)*I85*_xll.qwMVFactor($A$1,F85)*_xll.qwFXRate($A$1,F85)),_xll.qwDV01($A$1,F85)*I85*_xll.qwMVFactor($A$1,F85)*_xll.qwFXRate($A$1,F85),0)</f>
        <v>-802865.28195073444</v>
      </c>
      <c r="Q85" s="6" cm="1">
        <f t="array" ref="Q85">IF(ISNUMBER(_xll.qwDV01($A$1,F85)*G85*_xll.qwMVFactor($A$1,F85)*_xll.qwFXRate($A$1,F85)),_xll.qwDV01($A$1,F85)*G85*_xll.qwMVFactor($A$1,F85)*_xll.qwFXRate($A$1,F85),0)</f>
        <v>-802865.28195073444</v>
      </c>
      <c r="R85" s="6" cm="1">
        <f t="array" ref="R85">IF(ISNUMBER(_xll.qwDV01($A$1,F85)*J85*_xll.qwMVFactor($A$1,F85)*_xll.qwFXRate($A$1,F85)),_xll.qwDV01($A$1,F85)*J85*_xll.qwMVFactor($A$1,F85)*_xll.qwFXRate($A$1,F85),0)</f>
        <v>0</v>
      </c>
      <c r="S85" s="6" cm="1">
        <f t="array" ref="S85">IF(ISNUMBER(_xll.qwDV01($A$1,F85)*J85*_xll.qwMVFactor($A$1,F85)*_xll.qwFXRate($A$1,F85)),_xll.qwDV01($A$1,F85)*J85*_xll.qwMVFactor($A$1,F85)*_xll.qwFXRate($A$1,F85),0)</f>
        <v>0</v>
      </c>
      <c r="T85" s="6" cm="1">
        <f t="array" ref="T85">_xll.qwFXRate($A$1,F85)*J85*(_xll.qwPrice($A$1,F85)-M85)*_xll.qwMVFactor($A$1,F85)+L85</f>
        <v>0</v>
      </c>
      <c r="U85" s="8" cm="1">
        <f t="array" ref="U85">_xll.qwYield($A$1,F85)</f>
        <v>4.9965388641448436E-2</v>
      </c>
      <c r="V85" s="8" cm="1">
        <f t="array" ref="V85">100*(_xll.qwYield($A$4,F85)-U85)</f>
        <v>1.0807603322507409E-2</v>
      </c>
      <c r="W85" s="6">
        <f>IF(ISNA(G85*INDEX(_xll.qwTblData(_xll.qwCurveScenariosPerSecurity($A$1,F85,"Crv210")),2,2)),0,(G85*INDEX(_xll.qwTblData(_xll.qwCurveScenariosPerSecurity($A$1,F85,"Crv210")),2,2)))</f>
        <v>-158694.64391102293</v>
      </c>
      <c r="X85" s="6" cm="1">
        <f t="array" ref="X85">ABS(Q85/_xll.qwMV01($A$1,"CT10"))</f>
        <v>1080.8100483221633</v>
      </c>
      <c r="Y85" s="6" cm="1">
        <f t="array" ref="Y85">IF(N85="BondFuture",-(_xll.qwCurveYield($A$1,_xll.qwSecVal($A$1,AA85,"CreditCurveName()"),AA85)-_xll.qwCurveYield($A$4,_xll.qwSecVal($A$4,AA85,"CreditCurveName()"),AA85))*P85*10000,IF(N85="Bond",-(_xll.qwCurveYield($A$1,_xll.qwSecVal($A$1,F85,"CreditCurveName()"),F85)-_xll.qwCurveYield($A$4,_xll.qwSecVal($A$4,F85,"CreditCurveName()"),F85))*P85*10000,O85))</f>
        <v>-1019167.0316407036</v>
      </c>
      <c r="Z85" s="6" cm="1">
        <f t="array" ref="Z85">IF(OR(N85="BondFuture",N85="Bond"),P85*(_xll.qwCurveZSpread($A$4,_xll.qwSecVal($A$1,AA85,"CreditCurveName()"),AA85)-_xll.qwCurveZSpread($A$1,_xll.qwSecVal($A$1,AA85,"CreditCurveName()"),AA85)),0)</f>
        <v>169451.33341014292</v>
      </c>
      <c r="AA85" s="9" t="str" cm="1">
        <f t="array" ref="AA85">IF(_xll.qwSecType(F85)="Bond",F85,IF(_xll.qwSecType(F85)="BondFuture",_xll.qwFutCTD($A$1,F85),0))</f>
        <v>91282CQD6</v>
      </c>
      <c r="AB85" s="6" cm="1">
        <f t="array" ref="AB85">IF(_xll.qwSecType(F85)="BondFuture",-(I85*_xll.qwDelta($A$4,F85)*_xll.qwMVFactor($A$1,F85)/_xll.qwMVFactor($A$1,_xll.qwFutCTD($A$1,F85)))*(_xll.qwFXRate($A$1,F85)*_xll.qwMVFactor($A$1,_xll.qwFutCTD($A$1,F85))*(_xll.qwIncome($A$4,_xll.qwFutCTD($A$4,F85),_xll.qwBondSettle($A$4,_xll.qwFutCTD($A$4,F85)),_xll.qwBondSettle($A$1,_xll.qwFutCTD($A$1,F85)))+(_xll.qwSecVal($A$1,AA85,"Price")-_xll.qwSecVal($A$4,AA85,"Price"))-_xll.qwBondRepoFromTo($A$1,AA85,_xll.qwBondSettle($A$4,AA85),_xll.qwBondSettle($A$1,AA85))*_xll.qwSecVal($A$1,AA85,"Price")*(_xll.qwBondSettle($A$1,AA85)-_xll.qwBondSettle($A$4,AA85))/360))+O85,0)</f>
        <v>-145894.87904971349</v>
      </c>
      <c r="AC85" s="9" cm="1">
        <f t="array" ref="AC85">O85+T85+IF(ISNUMBER(_xll.qwIncome($A$1,F85,_xll.qwSettle($A$4,F85),_xll.qwSettle($A$1,F85))*_xll.qwMVFactor($A$1,F85)*_xll.qwFXRate($A$1,F85)*I85),_xll.qwIncome($A$1,F85,_xll.qwSettle($A$4,F85),_xll.qwSettle($A$1,F85))*_xll.qwMVFactor($A$1,F85)*_xll.qwFXRate($A$1,F85)*I85,0)+IF(ISNUMBER(-(_xll.qwBondRepoFromTo($A$1,F85,_xll.qwSettle($A$4,F85),_xll.qwSettle($A$1,F85))*_xll.qwSecVal($A$1,F85,"Price")*(_xll.qwSettle($A$1,F85)-_xll.qwSettle($A$4,F85))/360)*_xll.qwMVFactor($A$1,F85)*_xll.qwFXRate($A$1,F85)*I85),-(_xll.qwBondRepoFromTo($A$1,F85,_xll.qwSettle($A$4,F85),_xll.qwSettle($A$1,F85))*_xll.qwSecVal($A$1,F85,"Price")*(_xll.qwSettle($A$1,F85)-_xll.qwSettle($A$4,F85))/360)*_xll.qwMVFactor($A$1,F85)*_xll.qwFXRate($A$1,F85)*I85,0)</f>
        <v>-1052525.2479999757</v>
      </c>
      <c r="AD85" s="6"/>
    </row>
    <row r="86" spans="2:30" s="7" customFormat="1" hidden="1" x14ac:dyDescent="0.35">
      <c r="B86" s="7" t="str">
        <v>jcleary</v>
      </c>
      <c r="C86" s="7" t="str">
        <v>MAMS</v>
      </c>
      <c r="D86" s="7" t="str">
        <v>jcleary|MAMS|RV_US_FV_Spread|SERV6</v>
      </c>
      <c r="E86" s="7" t="str">
        <v>RV_US_FV_Spread</v>
      </c>
      <c r="F86" s="7" t="str">
        <v>SERV6</v>
      </c>
      <c r="G86" s="7">
        <v>-512</v>
      </c>
      <c r="H86" s="7">
        <v>0</v>
      </c>
      <c r="I86" s="7">
        <v>-512</v>
      </c>
      <c r="J86" s="7">
        <v>0</v>
      </c>
      <c r="K86" s="7">
        <v>0</v>
      </c>
      <c r="L86" s="7">
        <v>0</v>
      </c>
      <c r="M86" s="7">
        <v>0</v>
      </c>
      <c r="N86" s="7" t="str">
        <v>RateFuture</v>
      </c>
      <c r="O86" s="6" cm="1">
        <f t="array" ref="O86">(_xll.qwPrice($A$1,F86)-_xll.qwPrice($A$4,F86))*_xll.qwMVFactor($A$1,F86)*I86*_xll.qwFXRate($A$1,F86)</f>
        <v>5333.759999995149</v>
      </c>
      <c r="P86" s="6" cm="1">
        <f t="array" ref="P86">IF(ISNUMBER(_xll.qwDV01($A$1,F86)*I86*_xll.qwMVFactor($A$1,F86)*_xll.qwFXRate($A$1,F86)),_xll.qwDV01($A$1,F86)*I86*_xll.qwMVFactor($A$1,F86)*_xll.qwFXRate($A$1,F86),0)</f>
        <v>-11699.86064516129</v>
      </c>
      <c r="Q86" s="6" cm="1">
        <f t="array" ref="Q86">IF(ISNUMBER(_xll.qwDV01($A$1,F86)*G86*_xll.qwMVFactor($A$1,F86)*_xll.qwFXRate($A$1,F86)),_xll.qwDV01($A$1,F86)*G86*_xll.qwMVFactor($A$1,F86)*_xll.qwFXRate($A$1,F86),0)</f>
        <v>-11699.86064516129</v>
      </c>
      <c r="R86" s="6" cm="1">
        <f t="array" ref="R86">IF(ISNUMBER(_xll.qwDV01($A$1,F86)*J86*_xll.qwMVFactor($A$1,F86)*_xll.qwFXRate($A$1,F86)),_xll.qwDV01($A$1,F86)*J86*_xll.qwMVFactor($A$1,F86)*_xll.qwFXRate($A$1,F86),0)</f>
        <v>0</v>
      </c>
      <c r="S86" s="6" cm="1">
        <f t="array" ref="S86">IF(ISNUMBER(_xll.qwDV01($A$1,F86)*J86*_xll.qwMVFactor($A$1,F86)*_xll.qwFXRate($A$1,F86)),_xll.qwDV01($A$1,F86)*J86*_xll.qwMVFactor($A$1,F86)*_xll.qwFXRate($A$1,F86),0)</f>
        <v>0</v>
      </c>
      <c r="T86" s="6" cm="1">
        <f t="array" ref="T86">_xll.qwFXRate($A$1,F86)*J86*(_xll.qwPrice($A$1,F86)-M86)*_xll.qwMVFactor($A$1,F86)</f>
        <v>0</v>
      </c>
      <c r="U86" s="8" cm="1">
        <f t="array" ref="U86">_xll.qwYield($A$1,F86)</f>
        <v>3.9119260558155323E-2</v>
      </c>
      <c r="V86" s="8" cm="1">
        <f t="array" ref="V86">100*(_xll.qwYield($A$4,F86)-U86)</f>
        <v>-8.1176879049328632E-3</v>
      </c>
      <c r="W86" s="6">
        <f>IF(ISNA(G86*INDEX(_xll.qwTblData(_xll.qwCurveScenariosPerSecurity($A$1,F86,"Crv210")),2,2)),0,(G86*INDEX(_xll.qwTblData(_xll.qwCurveScenariosPerSecurity($A$1,F86,"Crv210")),2,2)))</f>
        <v>-8407.3087886996364</v>
      </c>
      <c r="X86" s="6" cm="1">
        <f t="array" ref="X86">ABS(Q86/_xll.qwMV01($A$1,"CT10"))</f>
        <v>15.750247561502222</v>
      </c>
      <c r="Y86" s="6" cm="1">
        <f t="array" ref="Y86">IF(N86="BondFuture",-(_xll.qwCurveYield($A$1,_xll.qwSecVal($A$1,AA86,"CreditCurveName()"),AA86)-_xll.qwCurveYield($A$4,_xll.qwSecVal($A$4,AA86,"CreditCurveName()"),AA86))*P86*10000,IF(N86="Bond",-(_xll.qwCurveYield($A$1,_xll.qwSecVal($A$1,F86,"CreditCurveName()"),F86)-_xll.qwCurveYield($A$4,_xll.qwSecVal($A$4,F86,"CreditCurveName()"),F86))*P86*10000,O86))</f>
        <v>5333.759999995149</v>
      </c>
      <c r="Z86" s="6" cm="1">
        <f t="array" ref="Z86">IF(OR(N86="BondFuture",N86="Bond"),P86*(_xll.qwCurveZSpread($A$4,_xll.qwSecVal($A$1,AA86,"CreditCurveName()"),AA86)-_xll.qwCurveZSpread($A$1,_xll.qwSecVal($A$1,AA86,"CreditCurveName()"),AA86)),0)</f>
        <v>0</v>
      </c>
      <c r="AA86" s="9" cm="1">
        <f t="array" ref="AA86">IF(_xll.qwSecType(F86)="Bond",F86,IF(_xll.qwSecType(F86)="BondFuture",_xll.qwFutCTD($A$1,F86),0))</f>
        <v>0</v>
      </c>
      <c r="AB86" s="6" cm="1">
        <f t="array" ref="AB86">IF(_xll.qwSecType(F86)="BondFuture",-(I86*_xll.qwDelta($A$4,F86)*_xll.qwMVFactor($A$1,F86)/_xll.qwMVFactor($A$1,_xll.qwFutCTD($A$1,F86)))*(_xll.qwFXRate($A$1,F86)*_xll.qwMVFactor($A$1,_xll.qwFutCTD($A$1,F86))*(_xll.qwIncome($A$4,_xll.qwFutCTD($A$4,F86),_xll.qwBondSettle($A$4,_xll.qwFutCTD($A$4,F86)),_xll.qwBondSettle($A$1,_xll.qwFutCTD($A$1,F86)))+(_xll.qwSecVal($A$1,AA86,"Price")-_xll.qwSecVal($A$4,AA86,"Price"))-_xll.qwBondRepoFromTo($A$1,AA86,_xll.qwBondSettle($A$4,AA86),_xll.qwBondSettle($A$1,AA86))*_xll.qwSecVal($A$1,AA86,"Price")*(_xll.qwBondSettle($A$1,AA86)-_xll.qwBondSettle($A$4,AA86))/360))+O86,0)</f>
        <v>0</v>
      </c>
      <c r="AC86" s="9" cm="1">
        <f t="array" ref="AC86">O86+T86+IF(ISNUMBER(_xll.qwIncome($A$1,F86,_xll.qwSettle($A$4,F86),_xll.qwSettle($A$1,F86))*_xll.qwMVFactor($A$1,F86)*_xll.qwFXRate($A$1,F86)*I86),_xll.qwIncome($A$1,F86,_xll.qwSettle($A$4,F86),_xll.qwSettle($A$1,F86))*_xll.qwMVFactor($A$1,F86)*_xll.qwFXRate($A$1,F86)*I86,0)+IF(ISNUMBER(-(_xll.qwBondRepoFromTo($A$1,F86,_xll.qwSettle($A$4,F86),_xll.qwSettle($A$1,F86))*_xll.qwSecVal($A$1,F86,"Price")*(_xll.qwSettle($A$1,F86)-_xll.qwSettle($A$4,F86))/360)*_xll.qwMVFactor($A$1,F86)*_xll.qwFXRate($A$1,F86)*I86),-(_xll.qwBondRepoFromTo($A$1,F86,_xll.qwSettle($A$4,F86),_xll.qwSettle($A$1,F86))*_xll.qwSecVal($A$1,F86,"Price")*(_xll.qwSettle($A$1,F86)-_xll.qwSettle($A$4,F86))/360)*_xll.qwMVFactor($A$1,F86)*_xll.qwFXRate($A$1,F86)*I86,0)</f>
        <v>5333.759999995149</v>
      </c>
      <c r="AD86" s="6"/>
    </row>
    <row r="87" spans="2:30" s="7" customFormat="1" hidden="1" x14ac:dyDescent="0.35">
      <c r="B87" s="7" t="str">
        <v>jcleary</v>
      </c>
      <c r="C87" s="7" t="str">
        <v>MAMS</v>
      </c>
      <c r="D87" s="7" t="str">
        <v>jcleary|MAMS|RV_US_FV_Spread|SERX6</v>
      </c>
      <c r="E87" s="7" t="str">
        <v>RV_US_FV_Spread</v>
      </c>
      <c r="F87" s="7" t="str">
        <v>SERX6</v>
      </c>
      <c r="G87" s="7">
        <v>-402</v>
      </c>
      <c r="H87" s="7">
        <v>0</v>
      </c>
      <c r="I87" s="7">
        <v>-402</v>
      </c>
      <c r="J87" s="7">
        <v>0</v>
      </c>
      <c r="K87" s="7">
        <v>0</v>
      </c>
      <c r="L87" s="7">
        <v>0</v>
      </c>
      <c r="M87" s="7">
        <v>0</v>
      </c>
      <c r="N87" s="7" t="str">
        <v>RateFuture</v>
      </c>
      <c r="O87" s="6" cm="1">
        <f t="array" ref="O87">(_xll.qwPrice($A$1,F87)-_xll.qwPrice($A$4,F87))*_xll.qwMVFactor($A$1,F87)*I87*_xll.qwFXRate($A$1,F87)</f>
        <v>50254.020000001903</v>
      </c>
      <c r="P87" s="6" cm="1">
        <f t="array" ref="P87">IF(ISNUMBER(_xll.qwDV01($A$1,F87)*I87*_xll.qwMVFactor($A$1,F87)*_xll.qwFXRate($A$1,F87)),_xll.qwDV01($A$1,F87)*I87*_xll.qwMVFactor($A$1,F87)*_xll.qwFXRate($A$1,F87),0)</f>
        <v>-16751.34</v>
      </c>
      <c r="Q87" s="6" cm="1">
        <f t="array" ref="Q87">IF(ISNUMBER(_xll.qwDV01($A$1,F87)*G87*_xll.qwMVFactor($A$1,F87)*_xll.qwFXRate($A$1,F87)),_xll.qwDV01($A$1,F87)*G87*_xll.qwMVFactor($A$1,F87)*_xll.qwFXRate($A$1,F87),0)</f>
        <v>-16751.34</v>
      </c>
      <c r="R87" s="6" cm="1">
        <f t="array" ref="R87">IF(ISNUMBER(_xll.qwDV01($A$1,F87)*J87*_xll.qwMVFactor($A$1,F87)*_xll.qwFXRate($A$1,F87)),_xll.qwDV01($A$1,F87)*J87*_xll.qwMVFactor($A$1,F87)*_xll.qwFXRate($A$1,F87),0)</f>
        <v>0</v>
      </c>
      <c r="S87" s="6" cm="1">
        <f t="array" ref="S87">IF(ISNUMBER(_xll.qwDV01($A$1,F87)*J87*_xll.qwMVFactor($A$1,F87)*_xll.qwFXRate($A$1,F87)),_xll.qwDV01($A$1,F87)*J87*_xll.qwMVFactor($A$1,F87)*_xll.qwFXRate($A$1,F87),0)</f>
        <v>0</v>
      </c>
      <c r="T87" s="6" cm="1">
        <f t="array" ref="T87">_xll.qwFXRate($A$1,F87)*J87*(_xll.qwPrice($A$1,F87)-M87)*_xll.qwMVFactor($A$1,F87)</f>
        <v>0</v>
      </c>
      <c r="U87" s="8" cm="1">
        <f t="array" ref="U87">_xll.qwYield($A$1,F87)</f>
        <v>3.9863867494098315E-2</v>
      </c>
      <c r="V87" s="8" cm="1">
        <f t="array" ref="V87">100*(_xll.qwYield($A$4,F87)-U87)</f>
        <v>-3.0095968735022183E-2</v>
      </c>
      <c r="W87" s="6">
        <f>IF(ISNA(G87*INDEX(_xll.qwTblData(_xll.qwCurveScenariosPerSecurity($A$1,F87,"Crv210")),2,2)),0,(G87*INDEX(_xll.qwTblData(_xll.qwCurveScenariosPerSecurity($A$1,F87,"Crv210")),2,2)))</f>
        <v>-12014.051088756523</v>
      </c>
      <c r="X87" s="6" cm="1">
        <f t="array" ref="X87">ABS(Q87/_xll.qwMV01($A$1,"CT10"))</f>
        <v>22.550503804163682</v>
      </c>
      <c r="Y87" s="6" cm="1">
        <f t="array" ref="Y87">IF(N87="BondFuture",-(_xll.qwCurveYield($A$1,_xll.qwSecVal($A$1,AA87,"CreditCurveName()"),AA87)-_xll.qwCurveYield($A$4,_xll.qwSecVal($A$4,AA87,"CreditCurveName()"),AA87))*P87*10000,IF(N87="Bond",-(_xll.qwCurveYield($A$1,_xll.qwSecVal($A$1,F87,"CreditCurveName()"),F87)-_xll.qwCurveYield($A$4,_xll.qwSecVal($A$4,F87,"CreditCurveName()"),F87))*P87*10000,O87))</f>
        <v>50254.020000001903</v>
      </c>
      <c r="Z87" s="6" cm="1">
        <f t="array" ref="Z87">IF(OR(N87="BondFuture",N87="Bond"),P87*(_xll.qwCurveZSpread($A$4,_xll.qwSecVal($A$1,AA87,"CreditCurveName()"),AA87)-_xll.qwCurveZSpread($A$1,_xll.qwSecVal($A$1,AA87,"CreditCurveName()"),AA87)),0)</f>
        <v>0</v>
      </c>
      <c r="AA87" s="9" cm="1">
        <f t="array" ref="AA87">IF(_xll.qwSecType(F87)="Bond",F87,IF(_xll.qwSecType(F87)="BondFuture",_xll.qwFutCTD($A$1,F87),0))</f>
        <v>0</v>
      </c>
      <c r="AB87" s="6" cm="1">
        <f t="array" ref="AB87">IF(_xll.qwSecType(F87)="BondFuture",-(I87*_xll.qwDelta($A$4,F87)*_xll.qwMVFactor($A$1,F87)/_xll.qwMVFactor($A$1,_xll.qwFutCTD($A$1,F87)))*(_xll.qwFXRate($A$1,F87)*_xll.qwMVFactor($A$1,_xll.qwFutCTD($A$1,F87))*(_xll.qwIncome($A$4,_xll.qwFutCTD($A$4,F87),_xll.qwBondSettle($A$4,_xll.qwFutCTD($A$4,F87)),_xll.qwBondSettle($A$1,_xll.qwFutCTD($A$1,F87)))+(_xll.qwSecVal($A$1,AA87,"Price")-_xll.qwSecVal($A$4,AA87,"Price"))-_xll.qwBondRepoFromTo($A$1,AA87,_xll.qwBondSettle($A$4,AA87),_xll.qwBondSettle($A$1,AA87))*_xll.qwSecVal($A$1,AA87,"Price")*(_xll.qwBondSettle($A$1,AA87)-_xll.qwBondSettle($A$4,AA87))/360))+O87,0)</f>
        <v>0</v>
      </c>
      <c r="AC87" s="9" cm="1">
        <f t="array" ref="AC87">O87+T87+IF(ISNUMBER(_xll.qwIncome($A$1,F87,_xll.qwSettle($A$4,F87),_xll.qwSettle($A$1,F87))*_xll.qwMVFactor($A$1,F87)*_xll.qwFXRate($A$1,F87)*I87),_xll.qwIncome($A$1,F87,_xll.qwSettle($A$4,F87),_xll.qwSettle($A$1,F87))*_xll.qwMVFactor($A$1,F87)*_xll.qwFXRate($A$1,F87)*I87,0)+IF(ISNUMBER(-(_xll.qwBondRepoFromTo($A$1,F87,_xll.qwSettle($A$4,F87),_xll.qwSettle($A$1,F87))*_xll.qwSecVal($A$1,F87,"Price")*(_xll.qwSettle($A$1,F87)-_xll.qwSettle($A$4,F87))/360)*_xll.qwMVFactor($A$1,F87)*_xll.qwFXRate($A$1,F87)*I87),-(_xll.qwBondRepoFromTo($A$1,F87,_xll.qwSettle($A$4,F87),_xll.qwSettle($A$1,F87))*_xll.qwSecVal($A$1,F87,"Price")*(_xll.qwSettle($A$1,F87)-_xll.qwSettle($A$4,F87))/360)*_xll.qwMVFactor($A$1,F87)*_xll.qwFXRate($A$1,F87)*I87,0)</f>
        <v>50254.020000001903</v>
      </c>
      <c r="AD87" s="6"/>
    </row>
    <row r="88" spans="2:30" s="7" customFormat="1" x14ac:dyDescent="0.35">
      <c r="B88" s="7" t="str">
        <v>jcleary</v>
      </c>
      <c r="C88" s="7" t="str">
        <v>MAMS</v>
      </c>
      <c r="D88" s="7" t="str">
        <v>jcleary|MAMS|RV_US_SpreadCurve_SpreadCurve|254654557</v>
      </c>
      <c r="E88" s="7" t="str">
        <v>RV_US_SpreadCurve_SpreadCurve</v>
      </c>
      <c r="F88" s="7" t="str">
        <v>254654557</v>
      </c>
      <c r="G88" s="7">
        <v>0</v>
      </c>
      <c r="H88" s="7">
        <v>0</v>
      </c>
      <c r="I88" s="7">
        <v>333</v>
      </c>
      <c r="J88" s="7">
        <v>-333</v>
      </c>
      <c r="K88" s="7">
        <v>0</v>
      </c>
      <c r="L88" s="7">
        <v>0</v>
      </c>
      <c r="M88" s="7">
        <v>0</v>
      </c>
      <c r="N88" s="7" t="str">
        <v>SwapTrade</v>
      </c>
      <c r="O88" s="6" cm="1">
        <f t="array" ref="O88">(_xll.qwPrice($A$1,F88)-_xll.qwPrice($A$4,F88))*_xll.qwMVFactor($A$1,F88)*I88*_xll.qwFXRate($A$1,F88)</f>
        <v>-45693.273666201807</v>
      </c>
      <c r="P88" s="6" cm="1">
        <f t="array" ref="P88">IF(ISNUMBER(_xll.qwDV01($A$1,F88)*I88*_xll.qwMVFactor($A$1,F88)*_xll.qwFXRate($A$1,F88)),_xll.qwDV01($A$1,F88)*I88*_xll.qwMVFactor($A$1,F88)*_xll.qwFXRate($A$1,F88),0)</f>
        <v>-92603.566348094668</v>
      </c>
      <c r="Q88" s="6" cm="1">
        <f t="array" ref="Q88">IF(ISNUMBER(_xll.qwDV01($A$1,F88)*G88*_xll.qwMVFactor($A$1,F88)*_xll.qwFXRate($A$1,F88)),_xll.qwDV01($A$1,F88)*G88*_xll.qwMVFactor($A$1,F88)*_xll.qwFXRate($A$1,F88),0)</f>
        <v>0</v>
      </c>
      <c r="R88" s="6" cm="1">
        <f t="array" ref="R88">IF(ISNUMBER(_xll.qwDV01($A$1,F88)*J88*_xll.qwMVFactor($A$1,F88)*_xll.qwFXRate($A$1,F88)),_xll.qwDV01($A$1,F88)*J88*_xll.qwMVFactor($A$1,F88)*_xll.qwFXRate($A$1,F88),0)</f>
        <v>92603.566348094668</v>
      </c>
      <c r="S88" s="6" cm="1">
        <f t="array" ref="S88">IF(ISNUMBER(_xll.qwDV01($A$1,F88)*J88*_xll.qwMVFactor($A$1,F88)*_xll.qwFXRate($A$1,F88)),_xll.qwDV01($A$1,F88)*J88*_xll.qwMVFactor($A$1,F88)*_xll.qwFXRate($A$1,F88),0)</f>
        <v>92603.566348094668</v>
      </c>
      <c r="T88" s="6" cm="1">
        <f t="array" ref="T88">_xll.qwFXRate($A$1,F88)*J88*(_xll.qwPrice($A$1,F88)-M88)*_xll.qwMVFactor($A$1,F88)+L88</f>
        <v>-156516.56942637911</v>
      </c>
      <c r="U88" s="8" cm="1">
        <f t="array" ref="U88">_xll.qwYield($A$1,F88)</f>
        <v>4.6975199025290057E-2</v>
      </c>
      <c r="V88" s="8" cm="1">
        <f t="array" ref="V88">100*(_xll.qwYield($A$4,F88)-U88)</f>
        <v>8.8300974666555287E-3</v>
      </c>
      <c r="W88" s="6">
        <f>IF(ISNA(G88*INDEX(_xll.qwTblData(_xll.qwCurveScenariosPerSecurity($A$1,F88,"Crv210")),2,2)),0,(G88*INDEX(_xll.qwTblData(_xll.qwCurveScenariosPerSecurity($A$1,F88,"Crv210")),2,2)))</f>
        <v>0</v>
      </c>
      <c r="X88" s="6" cm="1">
        <f t="array" ref="X88">ABS(Q88/_xll.qwMV01($A$1,"CT10"))</f>
        <v>0</v>
      </c>
      <c r="Y88" s="6" cm="1">
        <f t="array" ref="Y88">IF(N88="BondFuture",-(_xll.qwCurveYield($A$1,_xll.qwSecVal($A$1,AA88,"CreditCurveName()"),AA88)-_xll.qwCurveYield($A$4,_xll.qwSecVal($A$4,AA88,"CreditCurveName()"),AA88))*P88*10000,IF(N88="Bond",-(_xll.qwCurveYield($A$1,_xll.qwSecVal($A$1,F88,"CreditCurveName()"),F88)-_xll.qwCurveYield($A$4,_xll.qwSecVal($A$4,F88,"CreditCurveName()"),F88))*P88*10000,O88))</f>
        <v>-45693.273666201807</v>
      </c>
      <c r="Z88" s="6" cm="1">
        <f t="array" ref="Z88">IF(OR(N88="BondFuture",N88="Bond"),P88*(_xll.qwCurveZSpread($A$4,_xll.qwSecVal($A$1,AA88,"CreditCurveName()"),AA88)-_xll.qwCurveZSpread($A$1,_xll.qwSecVal($A$1,AA88,"CreditCurveName()"),AA88)),0)</f>
        <v>0</v>
      </c>
      <c r="AA88" s="9" cm="1">
        <f t="array" ref="AA88">IF(_xll.qwSecType(F88)="Bond",F88,IF(_xll.qwSecType(F88)="BondFuture",_xll.qwFutCTD($A$1,F88),0))</f>
        <v>0</v>
      </c>
      <c r="AB88" s="6" cm="1">
        <f t="array" ref="AB88">IF(_xll.qwSecType(F88)="BondFuture",-(I88*_xll.qwDelta($A$4,F88)*_xll.qwMVFactor($A$1,F88)/_xll.qwMVFactor($A$1,_xll.qwFutCTD($A$1,F88)))*(_xll.qwFXRate($A$1,F88)*_xll.qwMVFactor($A$1,_xll.qwFutCTD($A$1,F88))*(_xll.qwIncome($A$4,_xll.qwFutCTD($A$4,F88),_xll.qwBondSettle($A$4,_xll.qwFutCTD($A$4,F88)),_xll.qwBondSettle($A$1,_xll.qwFutCTD($A$1,F88)))+(_xll.qwSecVal($A$1,AA88,"Price")-_xll.qwSecVal($A$4,AA88,"Price"))-_xll.qwBondRepoFromTo($A$1,AA88,_xll.qwBondSettle($A$4,AA88),_xll.qwBondSettle($A$1,AA88))*_xll.qwSecVal($A$1,AA88,"Price")*(_xll.qwBondSettle($A$1,AA88)-_xll.qwBondSettle($A$4,AA88))/360))+O88,0)</f>
        <v>0</v>
      </c>
      <c r="AC88" s="9" cm="1">
        <f t="array" ref="AC88">O88+T88+IF(ISNUMBER(_xll.qwIncome($A$1,F88,_xll.qwSettle($A$4,F88),_xll.qwSettle($A$1,F88))*_xll.qwMVFactor($A$1,F88)*_xll.qwFXRate($A$1,F88)*I88),_xll.qwIncome($A$1,F88,_xll.qwSettle($A$4,F88),_xll.qwSettle($A$1,F88))*_xll.qwMVFactor($A$1,F88)*_xll.qwFXRate($A$1,F88)*I88,0)+IF(ISNUMBER(-(_xll.qwBondRepoFromTo($A$1,F88,_xll.qwSettle($A$4,F88),_xll.qwSettle($A$1,F88))*_xll.qwSecVal($A$1,F88,"Price")*(_xll.qwSettle($A$1,F88)-_xll.qwSettle($A$4,F88))/360)*_xll.qwMVFactor($A$1,F88)*_xll.qwFXRate($A$1,F88)*I88),-(_xll.qwBondRepoFromTo($A$1,F88,_xll.qwSettle($A$4,F88),_xll.qwSettle($A$1,F88))*_xll.qwSecVal($A$1,F88,"Price")*(_xll.qwSettle($A$1,F88)-_xll.qwSettle($A$4,F88))/360)*_xll.qwMVFactor($A$1,F88)*_xll.qwFXRate($A$1,F88)*I88,0)</f>
        <v>-202209.84309258091</v>
      </c>
      <c r="AD88" s="6"/>
    </row>
    <row r="89" spans="2:30" s="7" customFormat="1" x14ac:dyDescent="0.35">
      <c r="B89" s="7" t="str">
        <v>jcleary</v>
      </c>
      <c r="C89" s="7" t="str">
        <v>MAMS</v>
      </c>
      <c r="D89" s="7" t="str">
        <v>jcleary|MAMS|RV_US_SpreadCurve_SpreadCurve|254654559</v>
      </c>
      <c r="E89" s="7" t="str">
        <v>RV_US_SpreadCurve_SpreadCurve</v>
      </c>
      <c r="F89" s="7" t="str">
        <v>254654559</v>
      </c>
      <c r="G89" s="7">
        <v>-2.2737367544323206E-13</v>
      </c>
      <c r="H89" s="7">
        <v>0</v>
      </c>
      <c r="I89" s="7">
        <v>568.6</v>
      </c>
      <c r="J89" s="7">
        <v>-568.60000000000025</v>
      </c>
      <c r="K89" s="7">
        <v>-3.6059317622229997E-2</v>
      </c>
      <c r="L89" s="7">
        <v>0</v>
      </c>
      <c r="M89" s="7">
        <v>-3.6059317622229997E-2</v>
      </c>
      <c r="N89" s="7" t="str">
        <v>SwapTrade</v>
      </c>
      <c r="O89" s="6" cm="1">
        <f t="array" ref="O89">(_xll.qwPrice($A$1,F89)-_xll.qwPrice($A$4,F89))*_xll.qwMVFactor($A$1,F89)*I89*_xll.qwFXRate($A$1,F89)</f>
        <v>-38532.841524169104</v>
      </c>
      <c r="P89" s="6" cm="1">
        <f t="array" ref="P89">IF(ISNUMBER(_xll.qwDV01($A$1,F89)*I89*_xll.qwMVFactor($A$1,F89)*_xll.qwFXRate($A$1,F89)),_xll.qwDV01($A$1,F89)*I89*_xll.qwMVFactor($A$1,F89)*_xll.qwFXRate($A$1,F89),0)</f>
        <v>93445.16481893514</v>
      </c>
      <c r="Q89" s="6" cm="1">
        <f t="array" ref="Q89">IF(ISNUMBER(_xll.qwDV01($A$1,F89)*G89*_xll.qwMVFactor($A$1,F89)*_xll.qwFXRate($A$1,F89)),_xll.qwDV01($A$1,F89)*G89*_xll.qwMVFactor($A$1,F89)*_xll.qwFXRate($A$1,F89),0)</f>
        <v>-3.7367165981849953E-11</v>
      </c>
      <c r="R89" s="6" cm="1">
        <f t="array" ref="R89">IF(ISNUMBER(_xll.qwDV01($A$1,F89)*J89*_xll.qwMVFactor($A$1,F89)*_xll.qwFXRate($A$1,F89)),_xll.qwDV01($A$1,F89)*J89*_xll.qwMVFactor($A$1,F89)*_xll.qwFXRate($A$1,F89),0)</f>
        <v>-93445.164818935169</v>
      </c>
      <c r="S89" s="6" cm="1">
        <f t="array" ref="S89">IF(ISNUMBER(_xll.qwDV01($A$1,F89)*J89*_xll.qwMVFactor($A$1,F89)*_xll.qwFXRate($A$1,F89)),_xll.qwDV01($A$1,F89)*J89*_xll.qwMVFactor($A$1,F89)*_xll.qwFXRate($A$1,F89),0)</f>
        <v>-93445.164818935169</v>
      </c>
      <c r="T89" s="6" cm="1">
        <f t="array" ref="T89">_xll.qwFXRate($A$1,F89)*J89*(_xll.qwPrice($A$1,F89)-M89)*_xll.qwMVFactor($A$1,F89)+L89</f>
        <v>175067.41710596505</v>
      </c>
      <c r="U89" s="8" cm="1">
        <f t="array" ref="U89">_xll.qwYield($A$1,F89)</f>
        <v>4.7242797784342511E-2</v>
      </c>
      <c r="V89" s="8" cm="1">
        <f t="array" ref="V89">100*(_xll.qwYield($A$4,F89)-U89)</f>
        <v>-4.1242714084149812E-3</v>
      </c>
      <c r="W89" s="6">
        <f>IF(ISNA(G89*INDEX(_xll.qwTblData(_xll.qwCurveScenariosPerSecurity($A$1,F89,"Crv210")),2,2)),0,(G89*INDEX(_xll.qwTblData(_xll.qwCurveScenariosPerSecurity($A$1,F89,"Crv210")),2,2)))</f>
        <v>-1.7713205903416545E-11</v>
      </c>
      <c r="X89" s="6" cm="1">
        <f t="array" ref="X89">ABS(Q89/_xll.qwMV01($A$1,"CT10"))</f>
        <v>5.0303344008570249E-14</v>
      </c>
      <c r="Y89" s="6" cm="1">
        <f t="array" ref="Y89">IF(N89="BondFuture",-(_xll.qwCurveYield($A$1,_xll.qwSecVal($A$1,AA89,"CreditCurveName()"),AA89)-_xll.qwCurveYield($A$4,_xll.qwSecVal($A$4,AA89,"CreditCurveName()"),AA89))*P89*10000,IF(N89="Bond",-(_xll.qwCurveYield($A$1,_xll.qwSecVal($A$1,F89,"CreditCurveName()"),F89)-_xll.qwCurveYield($A$4,_xll.qwSecVal($A$4,F89,"CreditCurveName()"),F89))*P89*10000,O89))</f>
        <v>-38532.841524169104</v>
      </c>
      <c r="Z89" s="6" cm="1">
        <f t="array" ref="Z89">IF(OR(N89="BondFuture",N89="Bond"),P89*(_xll.qwCurveZSpread($A$4,_xll.qwSecVal($A$1,AA89,"CreditCurveName()"),AA89)-_xll.qwCurveZSpread($A$1,_xll.qwSecVal($A$1,AA89,"CreditCurveName()"),AA89)),0)</f>
        <v>0</v>
      </c>
      <c r="AA89" s="9" cm="1">
        <f t="array" ref="AA89">IF(_xll.qwSecType(F89)="Bond",F89,IF(_xll.qwSecType(F89)="BondFuture",_xll.qwFutCTD($A$1,F89),0))</f>
        <v>0</v>
      </c>
      <c r="AB89" s="6" cm="1">
        <f t="array" ref="AB89">IF(_xll.qwSecType(F89)="BondFuture",-(I89*_xll.qwDelta($A$4,F89)*_xll.qwMVFactor($A$1,F89)/_xll.qwMVFactor($A$1,_xll.qwFutCTD($A$1,F89)))*(_xll.qwFXRate($A$1,F89)*_xll.qwMVFactor($A$1,_xll.qwFutCTD($A$1,F89))*(_xll.qwIncome($A$4,_xll.qwFutCTD($A$4,F89),_xll.qwBondSettle($A$4,_xll.qwFutCTD($A$4,F89)),_xll.qwBondSettle($A$1,_xll.qwFutCTD($A$1,F89)))+(_xll.qwSecVal($A$1,AA89,"Price")-_xll.qwSecVal($A$4,AA89,"Price"))-_xll.qwBondRepoFromTo($A$1,AA89,_xll.qwBondSettle($A$4,AA89),_xll.qwBondSettle($A$1,AA89))*_xll.qwSecVal($A$1,AA89,"Price")*(_xll.qwBondSettle($A$1,AA89)-_xll.qwBondSettle($A$4,AA89))/360))+O89,0)</f>
        <v>0</v>
      </c>
      <c r="AC89" s="9" cm="1">
        <f t="array" ref="AC89">O89+T89+IF(ISNUMBER(_xll.qwIncome($A$1,F89,_xll.qwSettle($A$4,F89),_xll.qwSettle($A$1,F89))*_xll.qwMVFactor($A$1,F89)*_xll.qwFXRate($A$1,F89)*I89),_xll.qwIncome($A$1,F89,_xll.qwSettle($A$4,F89),_xll.qwSettle($A$1,F89))*_xll.qwMVFactor($A$1,F89)*_xll.qwFXRate($A$1,F89)*I89,0)+IF(ISNUMBER(-(_xll.qwBondRepoFromTo($A$1,F89,_xll.qwSettle($A$4,F89),_xll.qwSettle($A$1,F89))*_xll.qwSecVal($A$1,F89,"Price")*(_xll.qwSettle($A$1,F89)-_xll.qwSettle($A$4,F89))/360)*_xll.qwMVFactor($A$1,F89)*_xll.qwFXRate($A$1,F89)*I89),-(_xll.qwBondRepoFromTo($A$1,F89,_xll.qwSettle($A$4,F89),_xll.qwSettle($A$1,F89))*_xll.qwSecVal($A$1,F89,"Price")*(_xll.qwSettle($A$1,F89)-_xll.qwSettle($A$4,F89))/360)*_xll.qwMVFactor($A$1,F89)*_xll.qwFXRate($A$1,F89)*I89,0)</f>
        <v>136534.57558179594</v>
      </c>
      <c r="AD89" s="6"/>
    </row>
    <row r="90" spans="2:30" s="7" customFormat="1" x14ac:dyDescent="0.35">
      <c r="B90" s="7" t="str">
        <v>jcleary</v>
      </c>
      <c r="C90" s="7" t="str">
        <v>MAMS</v>
      </c>
      <c r="D90" s="7" t="str">
        <v>jcleary|MAMS|RV_US_SpreadCurve_SpreadCurve|91282CRQ6</v>
      </c>
      <c r="E90" s="7" t="str">
        <v>RV_US_SpreadCurve_SpreadCurve</v>
      </c>
      <c r="F90" s="7" t="str">
        <v>91282CRQ6</v>
      </c>
      <c r="G90" s="7">
        <v>0</v>
      </c>
      <c r="H90" s="7">
        <v>0</v>
      </c>
      <c r="I90" s="7">
        <v>337.3</v>
      </c>
      <c r="J90" s="7">
        <v>-337.3</v>
      </c>
      <c r="K90" s="7">
        <v>99.937500000000014</v>
      </c>
      <c r="L90" s="7">
        <v>0</v>
      </c>
      <c r="M90" s="7">
        <v>99.937500000000014</v>
      </c>
      <c r="N90" s="7" t="str">
        <v>Bond</v>
      </c>
      <c r="O90" s="6" cm="1">
        <f t="array" ref="O90">(_xll.qwPrice($A$1,F90)-_xll.qwPrice($A$4,F90))*_xll.qwMVFactor($A$1,F90)*I90*_xll.qwFXRate($A$1,F90)</f>
        <v>52703.124999808271</v>
      </c>
      <c r="P90" s="6" cm="1">
        <f t="array" ref="P90">IF(ISNUMBER(_xll.qwDV01($A$1,F90)*I90*_xll.qwMVFactor($A$1,F90)*_xll.qwFXRate($A$1,F90)),_xll.qwDV01($A$1,F90)*I90*_xll.qwMVFactor($A$1,F90)*_xll.qwFXRate($A$1,F90),0)</f>
        <v>92978.737427529268</v>
      </c>
      <c r="Q90" s="6" cm="1">
        <f t="array" ref="Q90">IF(ISNUMBER(_xll.qwDV01($A$1,F90)*G90*_xll.qwMVFactor($A$1,F90)*_xll.qwFXRate($A$1,F90)),_xll.qwDV01($A$1,F90)*G90*_xll.qwMVFactor($A$1,F90)*_xll.qwFXRate($A$1,F90),0)</f>
        <v>0</v>
      </c>
      <c r="R90" s="6" cm="1">
        <f t="array" ref="R90">IF(ISNUMBER(_xll.qwDV01($A$1,F90)*J90*_xll.qwMVFactor($A$1,F90)*_xll.qwFXRate($A$1,F90)),_xll.qwDV01($A$1,F90)*J90*_xll.qwMVFactor($A$1,F90)*_xll.qwFXRate($A$1,F90),0)</f>
        <v>-92978.737427529268</v>
      </c>
      <c r="S90" s="6" cm="1">
        <f t="array" ref="S90">IF(ISNUMBER(_xll.qwDV01($A$1,F90)*J90*_xll.qwMVFactor($A$1,F90)*_xll.qwFXRate($A$1,F90)),_xll.qwDV01($A$1,F90)*J90*_xll.qwMVFactor($A$1,F90)*_xll.qwFXRate($A$1,F90),0)</f>
        <v>-92978.737427529268</v>
      </c>
      <c r="T90" s="6" cm="1">
        <f t="array" ref="T90">_xll.qwFXRate($A$1,F90)*J90*(_xll.qwPrice($A$1,F90)-M90)*_xll.qwMVFactor($A$1,F90)+L90</f>
        <v>118582.03125023967</v>
      </c>
      <c r="U90" s="8" cm="1">
        <f t="array" ref="U90">_xll.qwYield($A$1,F90)</f>
        <v>4.9104058727015398E-2</v>
      </c>
      <c r="V90" s="8" cm="1">
        <f t="array" ref="V90">100*(_xll.qwYield($A$4,F90)-U90)</f>
        <v>5.6688361412600419E-3</v>
      </c>
      <c r="W90" s="6">
        <f>IF(ISNA(G90*INDEX(_xll.qwTblData(_xll.qwCurveScenariosPerSecurity($A$1,F90,"Crv210")),2,2)),0,(G90*INDEX(_xll.qwTblData(_xll.qwCurveScenariosPerSecurity($A$1,F90,"Crv210")),2,2)))</f>
        <v>0</v>
      </c>
      <c r="X90" s="6" cm="1">
        <f t="array" ref="X90">ABS(Q90/_xll.qwMV01($A$1,"CT10"))</f>
        <v>0</v>
      </c>
      <c r="Y90" s="6" cm="1">
        <f t="array" ref="Y90">IF(N90="BondFuture",-(_xll.qwCurveYield($A$1,_xll.qwSecVal($A$1,AA90,"CreditCurveName()"),AA90)-_xll.qwCurveYield($A$4,_xll.qwSecVal($A$4,AA90,"CreditCurveName()"),AA90))*P90*10000,IF(N90="Bond",-(_xll.qwCurveYield($A$1,_xll.qwSecVal($A$1,F90,"CreditCurveName()"),F90)-_xll.qwCurveYield($A$4,_xll.qwSecVal($A$4,F90,"CreditCurveName()"),F90))*P90*10000,O90))</f>
        <v>53447.823068783917</v>
      </c>
      <c r="Z90" s="6" cm="1">
        <f t="array" ref="Z90">IF(OR(N90="BondFuture",N90="Bond"),P90*(_xll.qwCurveZSpread($A$4,_xll.qwSecVal($A$1,AA90,"CreditCurveName()"),AA90)-_xll.qwCurveZSpread($A$1,_xll.qwSecVal($A$1,AA90,"CreditCurveName()"),AA90)),0)</f>
        <v>-739.7003589933521</v>
      </c>
      <c r="AA90" s="9" t="str" cm="1">
        <f t="array" ref="AA90">IF(_xll.qwSecType(F90)="Bond",F90,IF(_xll.qwSecType(F90)="BondFuture",_xll.qwFutCTD($A$1,F90),0))</f>
        <v>91282CRQ6</v>
      </c>
      <c r="AB90" s="6" cm="1">
        <f t="array" ref="AB90">IF(_xll.qwSecType(F90)="BondFuture",-(I90*_xll.qwDelta($A$4,F90)*_xll.qwMVFactor($A$1,F90)/_xll.qwMVFactor($A$1,_xll.qwFutCTD($A$1,F90)))*(_xll.qwFXRate($A$1,F90)*_xll.qwMVFactor($A$1,_xll.qwFutCTD($A$1,F90))*(_xll.qwIncome($A$4,_xll.qwFutCTD($A$4,F90),_xll.qwBondSettle($A$4,_xll.qwFutCTD($A$4,F90)),_xll.qwBondSettle($A$1,_xll.qwFutCTD($A$1,F90)))+(_xll.qwSecVal($A$1,AA90,"Price")-_xll.qwSecVal($A$4,AA90,"Price"))-_xll.qwBondRepoFromTo($A$1,AA90,_xll.qwBondSettle($A$4,AA90),_xll.qwBondSettle($A$1,AA90))*_xll.qwSecVal($A$1,AA90,"Price")*(_xll.qwBondSettle($A$1,AA90)-_xll.qwBondSettle($A$4,AA90))/360))+O90,0)</f>
        <v>0</v>
      </c>
      <c r="AC90" s="9" cm="1">
        <f t="array" ref="AC90">O90+T90+IF(ISNUMBER(_xll.qwIncome($A$1,F90,_xll.qwSettle($A$4,F90),_xll.qwSettle($A$1,F90))*_xll.qwMVFactor($A$1,F90)*_xll.qwFXRate($A$1,F90)*I90),_xll.qwIncome($A$1,F90,_xll.qwSettle($A$4,F90),_xll.qwSettle($A$1,F90))*_xll.qwMVFactor($A$1,F90)*_xll.qwFXRate($A$1,F90)*I90,0)+IF(ISNUMBER(-(_xll.qwBondRepoFromTo($A$1,F90,_xll.qwSettle($A$4,F90),_xll.qwSettle($A$1,F90))*_xll.qwSecVal($A$1,F90,"Price")*(_xll.qwSettle($A$1,F90)-_xll.qwSettle($A$4,F90))/360)*_xll.qwMVFactor($A$1,F90)*_xll.qwFXRate($A$1,F90)*I90),-(_xll.qwBondRepoFromTo($A$1,F90,_xll.qwSettle($A$4,F90),_xll.qwSettle($A$1,F90))*_xll.qwSecVal($A$1,F90,"Price")*(_xll.qwSettle($A$1,F90)-_xll.qwSettle($A$4,F90))/360)*_xll.qwMVFactor($A$1,F90)*_xll.qwFXRate($A$1,F90)*I90,0)</f>
        <v>171285.15625004793</v>
      </c>
      <c r="AD90" s="6"/>
    </row>
    <row r="91" spans="2:30" s="7" customFormat="1" x14ac:dyDescent="0.35">
      <c r="B91" s="7" t="str">
        <v>jcleary</v>
      </c>
      <c r="C91" s="7" t="str">
        <v>MAMS</v>
      </c>
      <c r="D91" s="7" t="str">
        <v>jcleary|MAMS|RV_US_SpreadCurve_SpreadCurve|TUZ6</v>
      </c>
      <c r="E91" s="7" t="str">
        <v>RV_US_SpreadCurve_SpreadCurve</v>
      </c>
      <c r="F91" s="7" t="str">
        <v>TUZ6</v>
      </c>
      <c r="G91" s="7">
        <v>0</v>
      </c>
      <c r="H91" s="7">
        <v>0</v>
      </c>
      <c r="I91" s="7">
        <v>-2775</v>
      </c>
      <c r="J91" s="7">
        <v>2775</v>
      </c>
      <c r="K91" s="7">
        <v>101.8671875</v>
      </c>
      <c r="L91" s="7">
        <v>0</v>
      </c>
      <c r="M91" s="7">
        <v>101.8671875</v>
      </c>
      <c r="N91" s="7" t="str">
        <v>BondFuture</v>
      </c>
      <c r="O91" s="6" cm="1">
        <f t="array" ref="O91">(_xll.qwPrice($A$1,F91)-_xll.qwPrice($A$4,F91))*_xll.qwMVFactor($A$1,F91)*I91*_xll.qwFXRate($A$1,F91)</f>
        <v>43356.600000007005</v>
      </c>
      <c r="P91" s="6" cm="1">
        <f t="array" ref="P91">IF(ISNUMBER(_xll.qwDV01($A$1,F91)*I91*_xll.qwMVFactor($A$1,F91)*_xll.qwFXRate($A$1,F91)),_xll.qwDV01($A$1,F91)*I91*_xll.qwMVFactor($A$1,F91)*_xll.qwFXRate($A$1,F91),0)</f>
        <v>-105719.78422008599</v>
      </c>
      <c r="Q91" s="6" cm="1">
        <f t="array" ref="Q91">IF(ISNUMBER(_xll.qwDV01($A$1,F91)*G91*_xll.qwMVFactor($A$1,F91)*_xll.qwFXRate($A$1,F91)),_xll.qwDV01($A$1,F91)*G91*_xll.qwMVFactor($A$1,F91)*_xll.qwFXRate($A$1,F91),0)</f>
        <v>0</v>
      </c>
      <c r="R91" s="6" cm="1">
        <f t="array" ref="R91">IF(ISNUMBER(_xll.qwDV01($A$1,F91)*J91*_xll.qwMVFactor($A$1,F91)*_xll.qwFXRate($A$1,F91)),_xll.qwDV01($A$1,F91)*J91*_xll.qwMVFactor($A$1,F91)*_xll.qwFXRate($A$1,F91),0)</f>
        <v>105719.78422008599</v>
      </c>
      <c r="S91" s="6" cm="1">
        <f t="array" ref="S91">IF(ISNUMBER(_xll.qwDV01($A$1,F91)*J91*_xll.qwMVFactor($A$1,F91)*_xll.qwFXRate($A$1,F91)),_xll.qwDV01($A$1,F91)*J91*_xll.qwMVFactor($A$1,F91)*_xll.qwFXRate($A$1,F91),0)</f>
        <v>105719.78422008599</v>
      </c>
      <c r="T91" s="6" cm="1">
        <f t="array" ref="T91">_xll.qwFXRate($A$1,F91)*J91*(_xll.qwPrice($A$1,F91)-M91)*_xll.qwMVFactor($A$1,F91)+L91</f>
        <v>-173434.72500000702</v>
      </c>
      <c r="U91" s="8" cm="1">
        <f t="array" ref="U91">_xll.qwYield($A$1,F91)</f>
        <v>4.8172807667158E-2</v>
      </c>
      <c r="V91" s="8" cm="1">
        <f t="array" ref="V91">100*(_xll.qwYield($A$4,F91)-U91)</f>
        <v>-8.7419396033863728E-3</v>
      </c>
      <c r="W91" s="6">
        <f>IF(ISNA(G91*INDEX(_xll.qwTblData(_xll.qwCurveScenariosPerSecurity($A$1,F91,"Crv210")),2,2)),0,(G91*INDEX(_xll.qwTblData(_xll.qwCurveScenariosPerSecurity($A$1,F91,"Crv210")),2,2)))</f>
        <v>0</v>
      </c>
      <c r="X91" s="6" cm="1">
        <f t="array" ref="X91">ABS(Q91/_xll.qwMV01($A$1,"CT10"))</f>
        <v>0</v>
      </c>
      <c r="Y91" s="6" cm="1">
        <f t="array" ref="Y91">IF(N91="BondFuture",-(_xll.qwCurveYield($A$1,_xll.qwSecVal($A$1,AA91,"CreditCurveName()"),AA91)-_xll.qwCurveYield($A$4,_xll.qwSecVal($A$4,AA91,"CreditCurveName()"),AA91))*P91*10000,IF(N91="Bond",-(_xll.qwCurveYield($A$1,_xll.qwSecVal($A$1,F91,"CreditCurveName()"),F91)-_xll.qwCurveYield($A$4,_xll.qwSecVal($A$4,F91,"CreditCurveName()"),F91))*P91*10000,O91))</f>
        <v>66977.115067830833</v>
      </c>
      <c r="Z91" s="6" cm="1">
        <f t="array" ref="Z91">IF(OR(N91="BondFuture",N91="Bond"),P91*(_xll.qwCurveZSpread($A$4,_xll.qwSecVal($A$1,AA91,"CreditCurveName()"),AA91)-_xll.qwCurveZSpread($A$1,_xll.qwSecVal($A$1,AA91,"CreditCurveName()"),AA91)),0)</f>
        <v>24441.609710208559</v>
      </c>
      <c r="AA91" s="9" t="str" cm="1">
        <f t="array" ref="AA91">IF(_xll.qwSecType(F91)="Bond",F91,IF(_xll.qwSecType(F91)="BondFuture",_xll.qwFutCTD($A$1,F91),0))</f>
        <v>91282CJA0</v>
      </c>
      <c r="AB91" s="6" cm="1">
        <f t="array" ref="AB91">IF(_xll.qwSecType(F91)="BondFuture",-(I91*_xll.qwDelta($A$4,F91)*_xll.qwMVFactor($A$1,F91)/_xll.qwMVFactor($A$1,_xll.qwFutCTD($A$1,F91)))*(_xll.qwFXRate($A$1,F91)*_xll.qwMVFactor($A$1,_xll.qwFutCTD($A$1,F91))*(_xll.qwIncome($A$4,_xll.qwFutCTD($A$4,F91),_xll.qwBondSettle($A$4,_xll.qwFutCTD($A$4,F91)),_xll.qwBondSettle($A$1,_xll.qwFutCTD($A$1,F91)))+(_xll.qwSecVal($A$1,AA91,"Price")-_xll.qwSecVal($A$4,AA91,"Price"))-_xll.qwBondRepoFromTo($A$1,AA91,_xll.qwBondSettle($A$4,AA91),_xll.qwBondSettle($A$1,AA91))*_xll.qwSecVal($A$1,AA91,"Price")*(_xll.qwBondSettle($A$1,AA91)-_xll.qwBondSettle($A$4,AA91))/360))+O91,0)</f>
        <v>-35331.224366644004</v>
      </c>
      <c r="AC91" s="9" cm="1">
        <f t="array" ref="AC91">O91+T91+IF(ISNUMBER(_xll.qwIncome($A$1,F91,_xll.qwSettle($A$4,F91),_xll.qwSettle($A$1,F91))*_xll.qwMVFactor($A$1,F91)*_xll.qwFXRate($A$1,F91)*I91),_xll.qwIncome($A$1,F91,_xll.qwSettle($A$4,F91),_xll.qwSettle($A$1,F91))*_xll.qwMVFactor($A$1,F91)*_xll.qwFXRate($A$1,F91)*I91,0)+IF(ISNUMBER(-(_xll.qwBondRepoFromTo($A$1,F91,_xll.qwSettle($A$4,F91),_xll.qwSettle($A$1,F91))*_xll.qwSecVal($A$1,F91,"Price")*(_xll.qwSettle($A$1,F91)-_xll.qwSettle($A$4,F91))/360)*_xll.qwMVFactor($A$1,F91)*_xll.qwFXRate($A$1,F91)*I91),-(_xll.qwBondRepoFromTo($A$1,F91,_xll.qwSettle($A$4,F91),_xll.qwSettle($A$1,F91))*_xll.qwSecVal($A$1,F91,"Price")*(_xll.qwSettle($A$1,F91)-_xll.qwSettle($A$4,F91))/360)*_xll.qwMVFactor($A$1,F91)*_xll.qwFXRate($A$1,F91)*I91,0)</f>
        <v>-130078.12500000001</v>
      </c>
      <c r="AD91" s="6"/>
    </row>
    <row r="92" spans="2:30" s="7" customFormat="1" x14ac:dyDescent="0.35">
      <c r="B92" s="7" t="str">
        <v>jcleary</v>
      </c>
      <c r="C92" s="7" t="str">
        <v>MAMS</v>
      </c>
      <c r="D92" s="7" t="str">
        <v>jcleary|MAMS|RV_US_Spreads_SpreadCurve|247850509</v>
      </c>
      <c r="E92" s="7" t="str">
        <v>RV_US_Spreads_SpreadCurve</v>
      </c>
      <c r="F92" s="7" t="str">
        <v>247850509</v>
      </c>
      <c r="G92" s="7">
        <v>629.4</v>
      </c>
      <c r="H92" s="7">
        <v>0</v>
      </c>
      <c r="I92" s="7">
        <v>629.4</v>
      </c>
      <c r="J92" s="7">
        <v>0</v>
      </c>
      <c r="K92" s="7">
        <v>0</v>
      </c>
      <c r="L92" s="7">
        <v>0</v>
      </c>
      <c r="M92" s="7">
        <v>0</v>
      </c>
      <c r="N92" s="7" t="str">
        <v>SwapTrade</v>
      </c>
      <c r="O92" s="6" cm="1">
        <f t="array" ref="O92">(_xll.qwPrice($A$1,F92)-_xll.qwPrice($A$4,F92))*_xll.qwMVFactor($A$1,F92)*I92*_xll.qwFXRate($A$1,F92)</f>
        <v>-46705.408086785639</v>
      </c>
      <c r="P92" s="6" cm="1">
        <f t="array" ref="P92">IF(ISNUMBER(_xll.qwDV01($A$1,F92)*I92*_xll.qwMVFactor($A$1,F92)*_xll.qwFXRate($A$1,F92)),_xll.qwDV01($A$1,F92)*I92*_xll.qwMVFactor($A$1,F92)*_xll.qwFXRate($A$1,F92),0)</f>
        <v>-160073.20421322435</v>
      </c>
      <c r="Q92" s="6" cm="1">
        <f t="array" ref="Q92">IF(ISNUMBER(_xll.qwDV01($A$1,F92)*G92*_xll.qwMVFactor($A$1,F92)*_xll.qwFXRate($A$1,F92)),_xll.qwDV01($A$1,F92)*G92*_xll.qwMVFactor($A$1,F92)*_xll.qwFXRate($A$1,F92),0)</f>
        <v>-160073.20421322435</v>
      </c>
      <c r="R92" s="6" cm="1">
        <f t="array" ref="R92">IF(ISNUMBER(_xll.qwDV01($A$1,F92)*J92*_xll.qwMVFactor($A$1,F92)*_xll.qwFXRate($A$1,F92)),_xll.qwDV01($A$1,F92)*J92*_xll.qwMVFactor($A$1,F92)*_xll.qwFXRate($A$1,F92),0)</f>
        <v>0</v>
      </c>
      <c r="S92" s="6" cm="1">
        <f t="array" ref="S92">IF(ISNUMBER(_xll.qwDV01($A$1,F92)*J92*_xll.qwMVFactor($A$1,F92)*_xll.qwFXRate($A$1,F92)),_xll.qwDV01($A$1,F92)*J92*_xll.qwMVFactor($A$1,F92)*_xll.qwFXRate($A$1,F92),0)</f>
        <v>0</v>
      </c>
      <c r="T92" s="6" cm="1">
        <f t="array" ref="T92">_xll.qwFXRate($A$1,F92)*J92*(_xll.qwPrice($A$1,F92)-M92)*_xll.qwMVFactor($A$1,F92)+L92</f>
        <v>0</v>
      </c>
      <c r="U92" s="8" cm="1">
        <f t="array" ref="U92">_xll.qwYield($A$1,F92)</f>
        <v>4.6877079912573123E-2</v>
      </c>
      <c r="V92" s="8" cm="1">
        <f t="array" ref="V92">100*(_xll.qwYield($A$4,F92)-U92)</f>
        <v>2.3294740882362497E-3</v>
      </c>
      <c r="W92" s="6">
        <f>IF(ISNA(G92*INDEX(_xll.qwTblData(_xll.qwCurveScenariosPerSecurity($A$1,F92,"Crv210")),2,2)),0,(G92*INDEX(_xll.qwTblData(_xll.qwCurveScenariosPerSecurity($A$1,F92,"Crv210")),2,2)))</f>
        <v>-65136.725565139932</v>
      </c>
      <c r="X92" s="6" cm="1">
        <f t="array" ref="X92">ABS(Q92/_xll.qwMV01($A$1,"CT10"))</f>
        <v>215.48911314288802</v>
      </c>
      <c r="Y92" s="6" cm="1">
        <f t="array" ref="Y92">IF(N92="BondFuture",-(_xll.qwCurveYield($A$1,_xll.qwSecVal($A$1,AA92,"CreditCurveName()"),AA92)-_xll.qwCurveYield($A$4,_xll.qwSecVal($A$4,AA92,"CreditCurveName()"),AA92))*P92*10000,IF(N92="Bond",-(_xll.qwCurveYield($A$1,_xll.qwSecVal($A$1,F92,"CreditCurveName()"),F92)-_xll.qwCurveYield($A$4,_xll.qwSecVal($A$4,F92,"CreditCurveName()"),F92))*P92*10000,O92))</f>
        <v>-46705.408086785639</v>
      </c>
      <c r="Z92" s="6" cm="1">
        <f t="array" ref="Z92">IF(OR(N92="BondFuture",N92="Bond"),P92*(_xll.qwCurveZSpread($A$4,_xll.qwSecVal($A$1,AA92,"CreditCurveName()"),AA92)-_xll.qwCurveZSpread($A$1,_xll.qwSecVal($A$1,AA92,"CreditCurveName()"),AA92)),0)</f>
        <v>0</v>
      </c>
      <c r="AA92" s="9" cm="1">
        <f t="array" ref="AA92">IF(_xll.qwSecType(F92)="Bond",F92,IF(_xll.qwSecType(F92)="BondFuture",_xll.qwFutCTD($A$1,F92),0))</f>
        <v>0</v>
      </c>
      <c r="AB92" s="6" cm="1">
        <f t="array" ref="AB92">IF(_xll.qwSecType(F92)="BondFuture",-(I92*_xll.qwDelta($A$4,F92)*_xll.qwMVFactor($A$1,F92)/_xll.qwMVFactor($A$1,_xll.qwFutCTD($A$1,F92)))*(_xll.qwFXRate($A$1,F92)*_xll.qwMVFactor($A$1,_xll.qwFutCTD($A$1,F92))*(_xll.qwIncome($A$4,_xll.qwFutCTD($A$4,F92),_xll.qwBondSettle($A$4,_xll.qwFutCTD($A$4,F92)),_xll.qwBondSettle($A$1,_xll.qwFutCTD($A$1,F92)))+(_xll.qwSecVal($A$1,AA92,"Price")-_xll.qwSecVal($A$4,AA92,"Price"))-_xll.qwBondRepoFromTo($A$1,AA92,_xll.qwBondSettle($A$4,AA92),_xll.qwBondSettle($A$1,AA92))*_xll.qwSecVal($A$1,AA92,"Price")*(_xll.qwBondSettle($A$1,AA92)-_xll.qwBondSettle($A$4,AA92))/360))+O92,0)</f>
        <v>0</v>
      </c>
      <c r="AC92" s="9" cm="1">
        <f t="array" ref="AC92">O92+T92+IF(ISNUMBER(_xll.qwIncome($A$1,F92,_xll.qwSettle($A$4,F92),_xll.qwSettle($A$1,F92))*_xll.qwMVFactor($A$1,F92)*_xll.qwFXRate($A$1,F92)*I92),_xll.qwIncome($A$1,F92,_xll.qwSettle($A$4,F92),_xll.qwSettle($A$1,F92))*_xll.qwMVFactor($A$1,F92)*_xll.qwFXRate($A$1,F92)*I92,0)+IF(ISNUMBER(-(_xll.qwBondRepoFromTo($A$1,F92,_xll.qwSettle($A$4,F92),_xll.qwSettle($A$1,F92))*_xll.qwSecVal($A$1,F92,"Price")*(_xll.qwSettle($A$1,F92)-_xll.qwSettle($A$4,F92))/360)*_xll.qwMVFactor($A$1,F92)*_xll.qwFXRate($A$1,F92)*I92),-(_xll.qwBondRepoFromTo($A$1,F92,_xll.qwSettle($A$4,F92),_xll.qwSettle($A$1,F92))*_xll.qwSecVal($A$1,F92,"Price")*(_xll.qwSettle($A$1,F92)-_xll.qwSettle($A$4,F92))/360)*_xll.qwMVFactor($A$1,F92)*_xll.qwFXRate($A$1,F92)*I92,0)</f>
        <v>-46705.408086785639</v>
      </c>
      <c r="AD92" s="6"/>
    </row>
    <row r="93" spans="2:30" s="7" customFormat="1" x14ac:dyDescent="0.35">
      <c r="B93" s="7" t="str">
        <v>jcleary</v>
      </c>
      <c r="C93" s="7" t="str">
        <v>MAMS</v>
      </c>
      <c r="D93" s="7" t="str">
        <v>jcleary|MAMS|RV_US_Spreads_SpreadCurve|247850548</v>
      </c>
      <c r="E93" s="7" t="str">
        <v>RV_US_Spreads_SpreadCurve</v>
      </c>
      <c r="F93" s="7" t="str">
        <v>247850548</v>
      </c>
      <c r="G93" s="7">
        <v>344</v>
      </c>
      <c r="H93" s="7">
        <v>0</v>
      </c>
      <c r="I93" s="7">
        <v>344</v>
      </c>
      <c r="J93" s="7">
        <v>0</v>
      </c>
      <c r="K93" s="7">
        <v>0</v>
      </c>
      <c r="L93" s="7">
        <v>0</v>
      </c>
      <c r="M93" s="7">
        <v>0</v>
      </c>
      <c r="N93" s="7" t="str">
        <v>SwapTrade</v>
      </c>
      <c r="O93" s="6" cm="1">
        <f t="array" ref="O93">(_xll.qwPrice($A$1,F93)-_xll.qwPrice($A$4,F93))*_xll.qwMVFactor($A$1,F93)*I93*_xll.qwFXRate($A$1,F93)</f>
        <v>-129049.69194563178</v>
      </c>
      <c r="P93" s="6" cm="1">
        <f t="array" ref="P93">IF(ISNUMBER(_xll.qwDV01($A$1,F93)*I93*_xll.qwMVFactor($A$1,F93)*_xll.qwFXRate($A$1,F93)),_xll.qwDV01($A$1,F93)*I93*_xll.qwMVFactor($A$1,F93)*_xll.qwFXRate($A$1,F93),0)</f>
        <v>-141858.48167710335</v>
      </c>
      <c r="Q93" s="6" cm="1">
        <f t="array" ref="Q93">IF(ISNUMBER(_xll.qwDV01($A$1,F93)*G93*_xll.qwMVFactor($A$1,F93)*_xll.qwFXRate($A$1,F93)),_xll.qwDV01($A$1,F93)*G93*_xll.qwMVFactor($A$1,F93)*_xll.qwFXRate($A$1,F93),0)</f>
        <v>-141858.48167710335</v>
      </c>
      <c r="R93" s="6" cm="1">
        <f t="array" ref="R93">IF(ISNUMBER(_xll.qwDV01($A$1,F93)*J93*_xll.qwMVFactor($A$1,F93)*_xll.qwFXRate($A$1,F93)),_xll.qwDV01($A$1,F93)*J93*_xll.qwMVFactor($A$1,F93)*_xll.qwFXRate($A$1,F93),0)</f>
        <v>0</v>
      </c>
      <c r="S93" s="6" cm="1">
        <f t="array" ref="S93">IF(ISNUMBER(_xll.qwDV01($A$1,F93)*J93*_xll.qwMVFactor($A$1,F93)*_xll.qwFXRate($A$1,F93)),_xll.qwDV01($A$1,F93)*J93*_xll.qwMVFactor($A$1,F93)*_xll.qwFXRate($A$1,F93),0)</f>
        <v>0</v>
      </c>
      <c r="T93" s="6" cm="1">
        <f t="array" ref="T93">_xll.qwFXRate($A$1,F93)*J93*(_xll.qwPrice($A$1,F93)-M93)*_xll.qwMVFactor($A$1,F93)+L93</f>
        <v>0</v>
      </c>
      <c r="U93" s="8" cm="1">
        <f t="array" ref="U93">_xll.qwYield($A$1,F93)</f>
        <v>4.7070802464331832E-2</v>
      </c>
      <c r="V93" s="8" cm="1">
        <f t="array" ref="V93">100*(_xll.qwYield($A$4,F93)-U93)</f>
        <v>8.7187629565471658E-3</v>
      </c>
      <c r="W93" s="6">
        <f>IF(ISNA(G93*INDEX(_xll.qwTblData(_xll.qwCurveScenariosPerSecurity($A$1,F93,"Crv210")),2,2)),0,(G93*INDEX(_xll.qwTblData(_xll.qwCurveScenariosPerSecurity($A$1,F93,"Crv210")),2,2)))</f>
        <v>-22643.783029997772</v>
      </c>
      <c r="X93" s="6" cm="1">
        <f t="array" ref="X93">ABS(Q93/_xll.qwMV01($A$1,"CT10"))</f>
        <v>190.96861688153922</v>
      </c>
      <c r="Y93" s="6" cm="1">
        <f t="array" ref="Y93">IF(N93="BondFuture",-(_xll.qwCurveYield($A$1,_xll.qwSecVal($A$1,AA93,"CreditCurveName()"),AA93)-_xll.qwCurveYield($A$4,_xll.qwSecVal($A$4,AA93,"CreditCurveName()"),AA93))*P93*10000,IF(N93="Bond",-(_xll.qwCurveYield($A$1,_xll.qwSecVal($A$1,F93,"CreditCurveName()"),F93)-_xll.qwCurveYield($A$4,_xll.qwSecVal($A$4,F93,"CreditCurveName()"),F93))*P93*10000,O93))</f>
        <v>-129049.69194563178</v>
      </c>
      <c r="Z93" s="6" cm="1">
        <f t="array" ref="Z93">IF(OR(N93="BondFuture",N93="Bond"),P93*(_xll.qwCurveZSpread($A$4,_xll.qwSecVal($A$1,AA93,"CreditCurveName()"),AA93)-_xll.qwCurveZSpread($A$1,_xll.qwSecVal($A$1,AA93,"CreditCurveName()"),AA93)),0)</f>
        <v>0</v>
      </c>
      <c r="AA93" s="9" cm="1">
        <f t="array" ref="AA93">IF(_xll.qwSecType(F93)="Bond",F93,IF(_xll.qwSecType(F93)="BondFuture",_xll.qwFutCTD($A$1,F93),0))</f>
        <v>0</v>
      </c>
      <c r="AB93" s="6" cm="1">
        <f t="array" ref="AB93">IF(_xll.qwSecType(F93)="BondFuture",-(I93*_xll.qwDelta($A$4,F93)*_xll.qwMVFactor($A$1,F93)/_xll.qwMVFactor($A$1,_xll.qwFutCTD($A$1,F93)))*(_xll.qwFXRate($A$1,F93)*_xll.qwMVFactor($A$1,_xll.qwFutCTD($A$1,F93))*(_xll.qwIncome($A$4,_xll.qwFutCTD($A$4,F93),_xll.qwBondSettle($A$4,_xll.qwFutCTD($A$4,F93)),_xll.qwBondSettle($A$1,_xll.qwFutCTD($A$1,F93)))+(_xll.qwSecVal($A$1,AA93,"Price")-_xll.qwSecVal($A$4,AA93,"Price"))-_xll.qwBondRepoFromTo($A$1,AA93,_xll.qwBondSettle($A$4,AA93),_xll.qwBondSettle($A$1,AA93))*_xll.qwSecVal($A$1,AA93,"Price")*(_xll.qwBondSettle($A$1,AA93)-_xll.qwBondSettle($A$4,AA93))/360))+O93,0)</f>
        <v>0</v>
      </c>
      <c r="AC93" s="9" cm="1">
        <f t="array" ref="AC93">O93+T93+IF(ISNUMBER(_xll.qwIncome($A$1,F93,_xll.qwSettle($A$4,F93),_xll.qwSettle($A$1,F93))*_xll.qwMVFactor($A$1,F93)*_xll.qwFXRate($A$1,F93)*I93),_xll.qwIncome($A$1,F93,_xll.qwSettle($A$4,F93),_xll.qwSettle($A$1,F93))*_xll.qwMVFactor($A$1,F93)*_xll.qwFXRate($A$1,F93)*I93,0)+IF(ISNUMBER(-(_xll.qwBondRepoFromTo($A$1,F93,_xll.qwSettle($A$4,F93),_xll.qwSettle($A$1,F93))*_xll.qwSecVal($A$1,F93,"Price")*(_xll.qwSettle($A$1,F93)-_xll.qwSettle($A$4,F93))/360)*_xll.qwMVFactor($A$1,F93)*_xll.qwFXRate($A$1,F93)*I93),-(_xll.qwBondRepoFromTo($A$1,F93,_xll.qwSettle($A$4,F93),_xll.qwSettle($A$1,F93))*_xll.qwSecVal($A$1,F93,"Price")*(_xll.qwSettle($A$1,F93)-_xll.qwSettle($A$4,F93))/360)*_xll.qwMVFactor($A$1,F93)*_xll.qwFXRate($A$1,F93)*I93,0)</f>
        <v>-129049.69194563178</v>
      </c>
      <c r="AD93" s="6"/>
    </row>
    <row r="94" spans="2:30" s="7" customFormat="1" x14ac:dyDescent="0.35">
      <c r="B94" s="7" t="str">
        <v>jcleary</v>
      </c>
      <c r="C94" s="7" t="str">
        <v>MAMS</v>
      </c>
      <c r="D94" s="7" t="str">
        <v>jcleary|MAMS|RV_US_Spreads_SpreadCurve|250041827</v>
      </c>
      <c r="E94" s="7" t="str">
        <v>RV_US_Spreads_SpreadCurve</v>
      </c>
      <c r="F94" s="7" t="str">
        <v>250041827</v>
      </c>
      <c r="G94" s="7">
        <v>338.27199999999999</v>
      </c>
      <c r="H94" s="7">
        <v>0</v>
      </c>
      <c r="I94" s="7">
        <v>338.27199999999999</v>
      </c>
      <c r="J94" s="7">
        <v>0</v>
      </c>
      <c r="K94" s="7">
        <v>0</v>
      </c>
      <c r="L94" s="7">
        <v>0</v>
      </c>
      <c r="M94" s="7">
        <v>0</v>
      </c>
      <c r="N94" s="7" t="str">
        <v>SwapTrade</v>
      </c>
      <c r="O94" s="6" cm="1">
        <f t="array" ref="O94">(_xll.qwPrice($A$1,F94)-_xll.qwPrice($A$4,F94))*_xll.qwMVFactor($A$1,F94)*I94*_xll.qwFXRate($A$1,F94)</f>
        <v>-25305.28916277429</v>
      </c>
      <c r="P94" s="6" cm="1">
        <f t="array" ref="P94">IF(ISNUMBER(_xll.qwDV01($A$1,F94)*I94*_xll.qwMVFactor($A$1,F94)*_xll.qwFXRate($A$1,F94)),_xll.qwDV01($A$1,F94)*I94*_xll.qwMVFactor($A$1,F94)*_xll.qwFXRate($A$1,F94),0)</f>
        <v>-85977.73781795027</v>
      </c>
      <c r="Q94" s="6" cm="1">
        <f t="array" ref="Q94">IF(ISNUMBER(_xll.qwDV01($A$1,F94)*G94*_xll.qwMVFactor($A$1,F94)*_xll.qwFXRate($A$1,F94)),_xll.qwDV01($A$1,F94)*G94*_xll.qwMVFactor($A$1,F94)*_xll.qwFXRate($A$1,F94),0)</f>
        <v>-85977.73781795027</v>
      </c>
      <c r="R94" s="6" cm="1">
        <f t="array" ref="R94">IF(ISNUMBER(_xll.qwDV01($A$1,F94)*J94*_xll.qwMVFactor($A$1,F94)*_xll.qwFXRate($A$1,F94)),_xll.qwDV01($A$1,F94)*J94*_xll.qwMVFactor($A$1,F94)*_xll.qwFXRate($A$1,F94),0)</f>
        <v>0</v>
      </c>
      <c r="S94" s="6" cm="1">
        <f t="array" ref="S94">IF(ISNUMBER(_xll.qwDV01($A$1,F94)*J94*_xll.qwMVFactor($A$1,F94)*_xll.qwFXRate($A$1,F94)),_xll.qwDV01($A$1,F94)*J94*_xll.qwMVFactor($A$1,F94)*_xll.qwFXRate($A$1,F94),0)</f>
        <v>0</v>
      </c>
      <c r="T94" s="6" cm="1">
        <f t="array" ref="T94">_xll.qwFXRate($A$1,F94)*J94*(_xll.qwPrice($A$1,F94)-M94)*_xll.qwMVFactor($A$1,F94)+L94</f>
        <v>0</v>
      </c>
      <c r="U94" s="8" cm="1">
        <f t="array" ref="U94">_xll.qwYield($A$1,F94)</f>
        <v>4.6877079912573123E-2</v>
      </c>
      <c r="V94" s="8" cm="1">
        <f t="array" ref="V94">100*(_xll.qwYield($A$4,F94)-U94)</f>
        <v>2.3294740882362497E-3</v>
      </c>
      <c r="W94" s="6">
        <f>IF(ISNA(G94*INDEX(_xll.qwTblData(_xll.qwCurveScenariosPerSecurity($A$1,F94,"Crv210")),2,2)),0,(G94*INDEX(_xll.qwTblData(_xll.qwCurveScenariosPerSecurity($A$1,F94,"Crv210")),2,2)))</f>
        <v>-34969.222160732963</v>
      </c>
      <c r="X94" s="6" cm="1">
        <f t="array" ref="X94">ABS(Q94/_xll.qwMV01($A$1,"CT10"))</f>
        <v>115.74246022927571</v>
      </c>
      <c r="Y94" s="6" cm="1">
        <f t="array" ref="Y94">IF(N94="BondFuture",-(_xll.qwCurveYield($A$1,_xll.qwSecVal($A$1,AA94,"CreditCurveName()"),AA94)-_xll.qwCurveYield($A$4,_xll.qwSecVal($A$4,AA94,"CreditCurveName()"),AA94))*P94*10000,IF(N94="Bond",-(_xll.qwCurveYield($A$1,_xll.qwSecVal($A$1,F94,"CreditCurveName()"),F94)-_xll.qwCurveYield($A$4,_xll.qwSecVal($A$4,F94,"CreditCurveName()"),F94))*P94*10000,O94))</f>
        <v>-25305.28916277429</v>
      </c>
      <c r="Z94" s="6" cm="1">
        <f t="array" ref="Z94">IF(OR(N94="BondFuture",N94="Bond"),P94*(_xll.qwCurveZSpread($A$4,_xll.qwSecVal($A$1,AA94,"CreditCurveName()"),AA94)-_xll.qwCurveZSpread($A$1,_xll.qwSecVal($A$1,AA94,"CreditCurveName()"),AA94)),0)</f>
        <v>0</v>
      </c>
      <c r="AA94" s="9" cm="1">
        <f t="array" ref="AA94">IF(_xll.qwSecType(F94)="Bond",F94,IF(_xll.qwSecType(F94)="BondFuture",_xll.qwFutCTD($A$1,F94),0))</f>
        <v>0</v>
      </c>
      <c r="AB94" s="6" cm="1">
        <f t="array" ref="AB94">IF(_xll.qwSecType(F94)="BondFuture",-(I94*_xll.qwDelta($A$4,F94)*_xll.qwMVFactor($A$1,F94)/_xll.qwMVFactor($A$1,_xll.qwFutCTD($A$1,F94)))*(_xll.qwFXRate($A$1,F94)*_xll.qwMVFactor($A$1,_xll.qwFutCTD($A$1,F94))*(_xll.qwIncome($A$4,_xll.qwFutCTD($A$4,F94),_xll.qwBondSettle($A$4,_xll.qwFutCTD($A$4,F94)),_xll.qwBondSettle($A$1,_xll.qwFutCTD($A$1,F94)))+(_xll.qwSecVal($A$1,AA94,"Price")-_xll.qwSecVal($A$4,AA94,"Price"))-_xll.qwBondRepoFromTo($A$1,AA94,_xll.qwBondSettle($A$4,AA94),_xll.qwBondSettle($A$1,AA94))*_xll.qwSecVal($A$1,AA94,"Price")*(_xll.qwBondSettle($A$1,AA94)-_xll.qwBondSettle($A$4,AA94))/360))+O94,0)</f>
        <v>0</v>
      </c>
      <c r="AC94" s="9" cm="1">
        <f t="array" ref="AC94">O94+T94+IF(ISNUMBER(_xll.qwIncome($A$1,F94,_xll.qwSettle($A$4,F94),_xll.qwSettle($A$1,F94))*_xll.qwMVFactor($A$1,F94)*_xll.qwFXRate($A$1,F94)*I94),_xll.qwIncome($A$1,F94,_xll.qwSettle($A$4,F94),_xll.qwSettle($A$1,F94))*_xll.qwMVFactor($A$1,F94)*_xll.qwFXRate($A$1,F94)*I94,0)+IF(ISNUMBER(-(_xll.qwBondRepoFromTo($A$1,F94,_xll.qwSettle($A$4,F94),_xll.qwSettle($A$1,F94))*_xll.qwSecVal($A$1,F94,"Price")*(_xll.qwSettle($A$1,F94)-_xll.qwSettle($A$4,F94))/360)*_xll.qwMVFactor($A$1,F94)*_xll.qwFXRate($A$1,F94)*I94),-(_xll.qwBondRepoFromTo($A$1,F94,_xll.qwSettle($A$4,F94),_xll.qwSettle($A$1,F94))*_xll.qwSecVal($A$1,F94,"Price")*(_xll.qwSettle($A$1,F94)-_xll.qwSettle($A$4,F94))/360)*_xll.qwMVFactor($A$1,F94)*_xll.qwFXRate($A$1,F94)*I94,0)</f>
        <v>-25305.28916277429</v>
      </c>
      <c r="AD94" s="6"/>
    </row>
    <row r="95" spans="2:30" s="7" customFormat="1" x14ac:dyDescent="0.35">
      <c r="B95" s="7" t="str">
        <v>jcleary</v>
      </c>
      <c r="C95" s="7" t="str">
        <v>MAMS</v>
      </c>
      <c r="D95" s="7" t="str">
        <v>jcleary|MAMS|RV_US_Spreads_SpreadCurve|250313700</v>
      </c>
      <c r="E95" s="7" t="str">
        <v>RV_US_Spreads_SpreadCurve</v>
      </c>
      <c r="F95" s="7" t="str">
        <v>250313700</v>
      </c>
      <c r="G95" s="7">
        <v>330.70800000000003</v>
      </c>
      <c r="H95" s="7">
        <v>0</v>
      </c>
      <c r="I95" s="7">
        <v>330.70800000000003</v>
      </c>
      <c r="J95" s="7">
        <v>0</v>
      </c>
      <c r="K95" s="7">
        <v>0</v>
      </c>
      <c r="L95" s="7">
        <v>0</v>
      </c>
      <c r="M95" s="7">
        <v>0</v>
      </c>
      <c r="N95" s="7" t="str">
        <v>SwapTrade</v>
      </c>
      <c r="O95" s="6" cm="1">
        <f t="array" ref="O95">(_xll.qwPrice($A$1,F95)-_xll.qwPrice($A$4,F95))*_xll.qwMVFactor($A$1,F95)*I95*_xll.qwFXRate($A$1,F95)</f>
        <v>31190.816875425833</v>
      </c>
      <c r="P95" s="6" cm="1">
        <f t="array" ref="P95">IF(ISNUMBER(_xll.qwDV01($A$1,F95)*I95*_xll.qwMVFactor($A$1,F95)*_xll.qwFXRate($A$1,F95)),_xll.qwDV01($A$1,F95)*I95*_xll.qwMVFactor($A$1,F95)*_xll.qwFXRate($A$1,F95),0)</f>
        <v>86397.842015247079</v>
      </c>
      <c r="Q95" s="6" cm="1">
        <f t="array" ref="Q95">IF(ISNUMBER(_xll.qwDV01($A$1,F95)*G95*_xll.qwMVFactor($A$1,F95)*_xll.qwFXRate($A$1,F95)),_xll.qwDV01($A$1,F95)*G95*_xll.qwMVFactor($A$1,F95)*_xll.qwFXRate($A$1,F95),0)</f>
        <v>86397.842015247079</v>
      </c>
      <c r="R95" s="6" cm="1">
        <f t="array" ref="R95">IF(ISNUMBER(_xll.qwDV01($A$1,F95)*J95*_xll.qwMVFactor($A$1,F95)*_xll.qwFXRate($A$1,F95)),_xll.qwDV01($A$1,F95)*J95*_xll.qwMVFactor($A$1,F95)*_xll.qwFXRate($A$1,F95),0)</f>
        <v>0</v>
      </c>
      <c r="S95" s="6" cm="1">
        <f t="array" ref="S95">IF(ISNUMBER(_xll.qwDV01($A$1,F95)*J95*_xll.qwMVFactor($A$1,F95)*_xll.qwFXRate($A$1,F95)),_xll.qwDV01($A$1,F95)*J95*_xll.qwMVFactor($A$1,F95)*_xll.qwFXRate($A$1,F95),0)</f>
        <v>0</v>
      </c>
      <c r="T95" s="6" cm="1">
        <f t="array" ref="T95">_xll.qwFXRate($A$1,F95)*J95*(_xll.qwPrice($A$1,F95)-M95)*_xll.qwMVFactor($A$1,F95)+L95</f>
        <v>0</v>
      </c>
      <c r="U95" s="8" cm="1">
        <f t="array" ref="U95">_xll.qwYield($A$1,F95)</f>
        <v>4.6920273505089038E-2</v>
      </c>
      <c r="V95" s="8" cm="1">
        <f t="array" ref="V95">100*(_xll.qwYield($A$4,F95)-U95)</f>
        <v>3.0252290158870598E-3</v>
      </c>
      <c r="W95" s="6">
        <f>IF(ISNA(G95*INDEX(_xll.qwTblData(_xll.qwCurveScenariosPerSecurity($A$1,F95,"Crv210")),2,2)),0,(G95*INDEX(_xll.qwTblData(_xll.qwCurveScenariosPerSecurity($A$1,F95,"Crv210")),2,2)))</f>
        <v>34272.244376858427</v>
      </c>
      <c r="X95" s="6" cm="1">
        <f t="array" ref="X95">ABS(Q95/_xll.qwMV01($A$1,"CT10"))</f>
        <v>116.30800073524638</v>
      </c>
      <c r="Y95" s="6" cm="1">
        <f t="array" ref="Y95">IF(N95="BondFuture",-(_xll.qwCurveYield($A$1,_xll.qwSecVal($A$1,AA95,"CreditCurveName()"),AA95)-_xll.qwCurveYield($A$4,_xll.qwSecVal($A$4,AA95,"CreditCurveName()"),AA95))*P95*10000,IF(N95="Bond",-(_xll.qwCurveYield($A$1,_xll.qwSecVal($A$1,F95,"CreditCurveName()"),F95)-_xll.qwCurveYield($A$4,_xll.qwSecVal($A$4,F95,"CreditCurveName()"),F95))*P95*10000,O95))</f>
        <v>31190.816875425833</v>
      </c>
      <c r="Z95" s="6" cm="1">
        <f t="array" ref="Z95">IF(OR(N95="BondFuture",N95="Bond"),P95*(_xll.qwCurveZSpread($A$4,_xll.qwSecVal($A$1,AA95,"CreditCurveName()"),AA95)-_xll.qwCurveZSpread($A$1,_xll.qwSecVal($A$1,AA95,"CreditCurveName()"),AA95)),0)</f>
        <v>0</v>
      </c>
      <c r="AA95" s="9" cm="1">
        <f t="array" ref="AA95">IF(_xll.qwSecType(F95)="Bond",F95,IF(_xll.qwSecType(F95)="BondFuture",_xll.qwFutCTD($A$1,F95),0))</f>
        <v>0</v>
      </c>
      <c r="AB95" s="6" cm="1">
        <f t="array" ref="AB95">IF(_xll.qwSecType(F95)="BondFuture",-(I95*_xll.qwDelta($A$4,F95)*_xll.qwMVFactor($A$1,F95)/_xll.qwMVFactor($A$1,_xll.qwFutCTD($A$1,F95)))*(_xll.qwFXRate($A$1,F95)*_xll.qwMVFactor($A$1,_xll.qwFutCTD($A$1,F95))*(_xll.qwIncome($A$4,_xll.qwFutCTD($A$4,F95),_xll.qwBondSettle($A$4,_xll.qwFutCTD($A$4,F95)),_xll.qwBondSettle($A$1,_xll.qwFutCTD($A$1,F95)))+(_xll.qwSecVal($A$1,AA95,"Price")-_xll.qwSecVal($A$4,AA95,"Price"))-_xll.qwBondRepoFromTo($A$1,AA95,_xll.qwBondSettle($A$4,AA95),_xll.qwBondSettle($A$1,AA95))*_xll.qwSecVal($A$1,AA95,"Price")*(_xll.qwBondSettle($A$1,AA95)-_xll.qwBondSettle($A$4,AA95))/360))+O95,0)</f>
        <v>0</v>
      </c>
      <c r="AC95" s="9" cm="1">
        <f t="array" ref="AC95">O95+T95+IF(ISNUMBER(_xll.qwIncome($A$1,F95,_xll.qwSettle($A$4,F95),_xll.qwSettle($A$1,F95))*_xll.qwMVFactor($A$1,F95)*_xll.qwFXRate($A$1,F95)*I95),_xll.qwIncome($A$1,F95,_xll.qwSettle($A$4,F95),_xll.qwSettle($A$1,F95))*_xll.qwMVFactor($A$1,F95)*_xll.qwFXRate($A$1,F95)*I95,0)+IF(ISNUMBER(-(_xll.qwBondRepoFromTo($A$1,F95,_xll.qwSettle($A$4,F95),_xll.qwSettle($A$1,F95))*_xll.qwSecVal($A$1,F95,"Price")*(_xll.qwSettle($A$1,F95)-_xll.qwSettle($A$4,F95))/360)*_xll.qwMVFactor($A$1,F95)*_xll.qwFXRate($A$1,F95)*I95),-(_xll.qwBondRepoFromTo($A$1,F95,_xll.qwSettle($A$4,F95),_xll.qwSettle($A$1,F95))*_xll.qwSecVal($A$1,F95,"Price")*(_xll.qwSettle($A$1,F95)-_xll.qwSettle($A$4,F95))/360)*_xll.qwMVFactor($A$1,F95)*_xll.qwFXRate($A$1,F95)*I95,0)</f>
        <v>31190.816875425833</v>
      </c>
      <c r="AD95" s="6"/>
    </row>
    <row r="96" spans="2:30" s="7" customFormat="1" x14ac:dyDescent="0.35">
      <c r="B96" s="7" t="str">
        <v>jcleary</v>
      </c>
      <c r="C96" s="7" t="str">
        <v>MAMS</v>
      </c>
      <c r="D96" s="7" t="str">
        <v>jcleary|MAMS|RV_US_Spreads_SpreadCurve|251007587</v>
      </c>
      <c r="E96" s="7" t="str">
        <v>RV_US_Spreads_SpreadCurve</v>
      </c>
      <c r="F96" s="7" t="str">
        <v>251007587</v>
      </c>
      <c r="G96" s="7">
        <v>333.6</v>
      </c>
      <c r="H96" s="7">
        <v>0</v>
      </c>
      <c r="I96" s="7">
        <v>333.6</v>
      </c>
      <c r="J96" s="7">
        <v>0</v>
      </c>
      <c r="K96" s="7">
        <v>0</v>
      </c>
      <c r="L96" s="7">
        <v>0</v>
      </c>
      <c r="M96" s="7">
        <v>0</v>
      </c>
      <c r="N96" s="7" t="str">
        <v>SwapTrade</v>
      </c>
      <c r="O96" s="6" cm="1">
        <f t="array" ref="O96">(_xll.qwPrice($A$1,F96)-_xll.qwPrice($A$4,F96))*_xll.qwMVFactor($A$1,F96)*I96*_xll.qwFXRate($A$1,F96)</f>
        <v>-31524.554541010162</v>
      </c>
      <c r="P96" s="6" cm="1">
        <f t="array" ref="P96">IF(ISNUMBER(_xll.qwDV01($A$1,F96)*I96*_xll.qwMVFactor($A$1,F96)*_xll.qwFXRate($A$1,F96)),_xll.qwDV01($A$1,F96)*I96*_xll.qwMVFactor($A$1,F96)*_xll.qwFXRate($A$1,F96),0)</f>
        <v>-87166.942950021126</v>
      </c>
      <c r="Q96" s="6" cm="1">
        <f t="array" ref="Q96">IF(ISNUMBER(_xll.qwDV01($A$1,F96)*G96*_xll.qwMVFactor($A$1,F96)*_xll.qwFXRate($A$1,F96)),_xll.qwDV01($A$1,F96)*G96*_xll.qwMVFactor($A$1,F96)*_xll.qwFXRate($A$1,F96),0)</f>
        <v>-87166.942950021126</v>
      </c>
      <c r="R96" s="6" cm="1">
        <f t="array" ref="R96">IF(ISNUMBER(_xll.qwDV01($A$1,F96)*J96*_xll.qwMVFactor($A$1,F96)*_xll.qwFXRate($A$1,F96)),_xll.qwDV01($A$1,F96)*J96*_xll.qwMVFactor($A$1,F96)*_xll.qwFXRate($A$1,F96),0)</f>
        <v>0</v>
      </c>
      <c r="S96" s="6" cm="1">
        <f t="array" ref="S96">IF(ISNUMBER(_xll.qwDV01($A$1,F96)*J96*_xll.qwMVFactor($A$1,F96)*_xll.qwFXRate($A$1,F96)),_xll.qwDV01($A$1,F96)*J96*_xll.qwMVFactor($A$1,F96)*_xll.qwFXRate($A$1,F96),0)</f>
        <v>0</v>
      </c>
      <c r="T96" s="6" cm="1">
        <f t="array" ref="T96">_xll.qwFXRate($A$1,F96)*J96*(_xll.qwPrice($A$1,F96)-M96)*_xll.qwMVFactor($A$1,F96)+L96</f>
        <v>0</v>
      </c>
      <c r="U96" s="8" cm="1">
        <f t="array" ref="U96">_xll.qwYield($A$1,F96)</f>
        <v>4.6920273505089038E-2</v>
      </c>
      <c r="V96" s="8" cm="1">
        <f t="array" ref="V96">100*(_xll.qwYield($A$4,F96)-U96)</f>
        <v>3.0252290158870598E-3</v>
      </c>
      <c r="W96" s="6">
        <f>IF(ISNA(G96*INDEX(_xll.qwTblData(_xll.qwCurveScenariosPerSecurity($A$1,F96,"Crv210")),2,2)),0,(G96*INDEX(_xll.qwTblData(_xll.qwCurveScenariosPerSecurity($A$1,F96,"Crv210")),2,2)))</f>
        <v>-34574.874820648845</v>
      </c>
      <c r="X96" s="6" cm="1">
        <f t="array" ref="X96">ABS(Q96/_xll.qwMV01($A$1,"CT10"))</f>
        <v>117.34335752195169</v>
      </c>
      <c r="Y96" s="6" cm="1">
        <f t="array" ref="Y96">IF(N96="BondFuture",-(_xll.qwCurveYield($A$1,_xll.qwSecVal($A$1,AA96,"CreditCurveName()"),AA96)-_xll.qwCurveYield($A$4,_xll.qwSecVal($A$4,AA96,"CreditCurveName()"),AA96))*P96*10000,IF(N96="Bond",-(_xll.qwCurveYield($A$1,_xll.qwSecVal($A$1,F96,"CreditCurveName()"),F96)-_xll.qwCurveYield($A$4,_xll.qwSecVal($A$4,F96,"CreditCurveName()"),F96))*P96*10000,O96))</f>
        <v>-31524.554541010162</v>
      </c>
      <c r="Z96" s="6" cm="1">
        <f t="array" ref="Z96">IF(OR(N96="BondFuture",N96="Bond"),P96*(_xll.qwCurveZSpread($A$4,_xll.qwSecVal($A$1,AA96,"CreditCurveName()"),AA96)-_xll.qwCurveZSpread($A$1,_xll.qwSecVal($A$1,AA96,"CreditCurveName()"),AA96)),0)</f>
        <v>0</v>
      </c>
      <c r="AA96" s="9" cm="1">
        <f t="array" ref="AA96">IF(_xll.qwSecType(F96)="Bond",F96,IF(_xll.qwSecType(F96)="BondFuture",_xll.qwFutCTD($A$1,F96),0))</f>
        <v>0</v>
      </c>
      <c r="AB96" s="6" cm="1">
        <f t="array" ref="AB96">IF(_xll.qwSecType(F96)="BondFuture",-(I96*_xll.qwDelta($A$4,F96)*_xll.qwMVFactor($A$1,F96)/_xll.qwMVFactor($A$1,_xll.qwFutCTD($A$1,F96)))*(_xll.qwFXRate($A$1,F96)*_xll.qwMVFactor($A$1,_xll.qwFutCTD($A$1,F96))*(_xll.qwIncome($A$4,_xll.qwFutCTD($A$4,F96),_xll.qwBondSettle($A$4,_xll.qwFutCTD($A$4,F96)),_xll.qwBondSettle($A$1,_xll.qwFutCTD($A$1,F96)))+(_xll.qwSecVal($A$1,AA96,"Price")-_xll.qwSecVal($A$4,AA96,"Price"))-_xll.qwBondRepoFromTo($A$1,AA96,_xll.qwBondSettle($A$4,AA96),_xll.qwBondSettle($A$1,AA96))*_xll.qwSecVal($A$1,AA96,"Price")*(_xll.qwBondSettle($A$1,AA96)-_xll.qwBondSettle($A$4,AA96))/360))+O96,0)</f>
        <v>0</v>
      </c>
      <c r="AC96" s="9" cm="1">
        <f t="array" ref="AC96">O96+T96+IF(ISNUMBER(_xll.qwIncome($A$1,F96,_xll.qwSettle($A$4,F96),_xll.qwSettle($A$1,F96))*_xll.qwMVFactor($A$1,F96)*_xll.qwFXRate($A$1,F96)*I96),_xll.qwIncome($A$1,F96,_xll.qwSettle($A$4,F96),_xll.qwSettle($A$1,F96))*_xll.qwMVFactor($A$1,F96)*_xll.qwFXRate($A$1,F96)*I96,0)+IF(ISNUMBER(-(_xll.qwBondRepoFromTo($A$1,F96,_xll.qwSettle($A$4,F96),_xll.qwSettle($A$1,F96))*_xll.qwSecVal($A$1,F96,"Price")*(_xll.qwSettle($A$1,F96)-_xll.qwSettle($A$4,F96))/360)*_xll.qwMVFactor($A$1,F96)*_xll.qwFXRate($A$1,F96)*I96),-(_xll.qwBondRepoFromTo($A$1,F96,_xll.qwSettle($A$4,F96),_xll.qwSettle($A$1,F96))*_xll.qwSecVal($A$1,F96,"Price")*(_xll.qwSettle($A$1,F96)-_xll.qwSettle($A$4,F96))/360)*_xll.qwMVFactor($A$1,F96)*_xll.qwFXRate($A$1,F96)*I96,0)</f>
        <v>-31524.554541010162</v>
      </c>
      <c r="AD96" s="6"/>
    </row>
    <row r="97" spans="2:30" s="7" customFormat="1" x14ac:dyDescent="0.35">
      <c r="B97" s="7" t="str">
        <v>jcleary</v>
      </c>
      <c r="C97" s="7" t="str">
        <v>MAMS</v>
      </c>
      <c r="D97" s="7" t="str">
        <v>jcleary|MAMS|RV_US_Spreads_SpreadCurve|252245067</v>
      </c>
      <c r="E97" s="7" t="str">
        <v>RV_US_Spreads_SpreadCurve</v>
      </c>
      <c r="F97" s="7" t="str">
        <v>252245067</v>
      </c>
      <c r="G97" s="7">
        <v>116.2</v>
      </c>
      <c r="H97" s="7">
        <v>0</v>
      </c>
      <c r="I97" s="7">
        <v>116.2</v>
      </c>
      <c r="J97" s="7">
        <v>0</v>
      </c>
      <c r="K97" s="7">
        <v>0</v>
      </c>
      <c r="L97" s="7">
        <v>0</v>
      </c>
      <c r="M97" s="7">
        <v>0</v>
      </c>
      <c r="N97" s="7" t="str">
        <v>SwapTrade</v>
      </c>
      <c r="O97" s="6" cm="1">
        <f t="array" ref="O97">(_xll.qwPrice($A$1,F97)-_xll.qwPrice($A$4,F97))*_xll.qwMVFactor($A$1,F97)*I97*_xll.qwFXRate($A$1,F97)</f>
        <v>175142.99948325541</v>
      </c>
      <c r="P97" s="6" cm="1">
        <f t="array" ref="P97">IF(ISNUMBER(_xll.qwDV01($A$1,F97)*I97*_xll.qwMVFactor($A$1,F97)*_xll.qwFXRate($A$1,F97)),_xll.qwDV01($A$1,F97)*I97*_xll.qwMVFactor($A$1,F97)*_xll.qwFXRate($A$1,F97),0)</f>
        <v>89257.335323379812</v>
      </c>
      <c r="Q97" s="6" cm="1">
        <f t="array" ref="Q97">IF(ISNUMBER(_xll.qwDV01($A$1,F97)*G97*_xll.qwMVFactor($A$1,F97)*_xll.qwFXRate($A$1,F97)),_xll.qwDV01($A$1,F97)*G97*_xll.qwMVFactor($A$1,F97)*_xll.qwFXRate($A$1,F97),0)</f>
        <v>89257.335323379812</v>
      </c>
      <c r="R97" s="6" cm="1">
        <f t="array" ref="R97">IF(ISNUMBER(_xll.qwDV01($A$1,F97)*J97*_xll.qwMVFactor($A$1,F97)*_xll.qwFXRate($A$1,F97)),_xll.qwDV01($A$1,F97)*J97*_xll.qwMVFactor($A$1,F97)*_xll.qwFXRate($A$1,F97),0)</f>
        <v>0</v>
      </c>
      <c r="S97" s="6" cm="1">
        <f t="array" ref="S97">IF(ISNUMBER(_xll.qwDV01($A$1,F97)*J97*_xll.qwMVFactor($A$1,F97)*_xll.qwFXRate($A$1,F97)),_xll.qwDV01($A$1,F97)*J97*_xll.qwMVFactor($A$1,F97)*_xll.qwFXRate($A$1,F97),0)</f>
        <v>0</v>
      </c>
      <c r="T97" s="6" cm="1">
        <f t="array" ref="T97">_xll.qwFXRate($A$1,F97)*J97*(_xll.qwPrice($A$1,F97)-M97)*_xll.qwMVFactor($A$1,F97)+L97</f>
        <v>0</v>
      </c>
      <c r="U97" s="8" cm="1">
        <f t="array" ref="U97">_xll.qwYield($A$1,F97)</f>
        <v>4.797921380245114E-2</v>
      </c>
      <c r="V97" s="8" cm="1">
        <f t="array" ref="V97">100*(_xll.qwYield($A$4,F97)-U97)</f>
        <v>1.9357502412116478E-2</v>
      </c>
      <c r="W97" s="6">
        <f>IF(ISNA(G97*INDEX(_xll.qwTblData(_xll.qwCurveScenariosPerSecurity($A$1,F97,"Crv210")),2,2)),0,(G97*INDEX(_xll.qwTblData(_xll.qwCurveScenariosPerSecurity($A$1,F97,"Crv210")),2,2)))</f>
        <v>-43723.903508439929</v>
      </c>
      <c r="X97" s="6" cm="1">
        <f t="array" ref="X97">ABS(Q97/_xll.qwMV01($A$1,"CT10"))</f>
        <v>120.15742500357524</v>
      </c>
      <c r="Y97" s="6" cm="1">
        <f t="array" ref="Y97">IF(N97="BondFuture",-(_xll.qwCurveYield($A$1,_xll.qwSecVal($A$1,AA97,"CreditCurveName()"),AA97)-_xll.qwCurveYield($A$4,_xll.qwSecVal($A$4,AA97,"CreditCurveName()"),AA97))*P97*10000,IF(N97="Bond",-(_xll.qwCurveYield($A$1,_xll.qwSecVal($A$1,F97,"CreditCurveName()"),F97)-_xll.qwCurveYield($A$4,_xll.qwSecVal($A$4,F97,"CreditCurveName()"),F97))*P97*10000,O97))</f>
        <v>175142.99948325541</v>
      </c>
      <c r="Z97" s="6" cm="1">
        <f t="array" ref="Z97">IF(OR(N97="BondFuture",N97="Bond"),P97*(_xll.qwCurveZSpread($A$4,_xll.qwSecVal($A$1,AA97,"CreditCurveName()"),AA97)-_xll.qwCurveZSpread($A$1,_xll.qwSecVal($A$1,AA97,"CreditCurveName()"),AA97)),0)</f>
        <v>0</v>
      </c>
      <c r="AA97" s="9" cm="1">
        <f t="array" ref="AA97">IF(_xll.qwSecType(F97)="Bond",F97,IF(_xll.qwSecType(F97)="BondFuture",_xll.qwFutCTD($A$1,F97),0))</f>
        <v>0</v>
      </c>
      <c r="AB97" s="6" cm="1">
        <f t="array" ref="AB97">IF(_xll.qwSecType(F97)="BondFuture",-(I97*_xll.qwDelta($A$4,F97)*_xll.qwMVFactor($A$1,F97)/_xll.qwMVFactor($A$1,_xll.qwFutCTD($A$1,F97)))*(_xll.qwFXRate($A$1,F97)*_xll.qwMVFactor($A$1,_xll.qwFutCTD($A$1,F97))*(_xll.qwIncome($A$4,_xll.qwFutCTD($A$4,F97),_xll.qwBondSettle($A$4,_xll.qwFutCTD($A$4,F97)),_xll.qwBondSettle($A$1,_xll.qwFutCTD($A$1,F97)))+(_xll.qwSecVal($A$1,AA97,"Price")-_xll.qwSecVal($A$4,AA97,"Price"))-_xll.qwBondRepoFromTo($A$1,AA97,_xll.qwBondSettle($A$4,AA97),_xll.qwBondSettle($A$1,AA97))*_xll.qwSecVal($A$1,AA97,"Price")*(_xll.qwBondSettle($A$1,AA97)-_xll.qwBondSettle($A$4,AA97))/360))+O97,0)</f>
        <v>0</v>
      </c>
      <c r="AC97" s="9" cm="1">
        <f t="array" ref="AC97">O97+T97+IF(ISNUMBER(_xll.qwIncome($A$1,F97,_xll.qwSettle($A$4,F97),_xll.qwSettle($A$1,F97))*_xll.qwMVFactor($A$1,F97)*_xll.qwFXRate($A$1,F97)*I97),_xll.qwIncome($A$1,F97,_xll.qwSettle($A$4,F97),_xll.qwSettle($A$1,F97))*_xll.qwMVFactor($A$1,F97)*_xll.qwFXRate($A$1,F97)*I97,0)+IF(ISNUMBER(-(_xll.qwBondRepoFromTo($A$1,F97,_xll.qwSettle($A$4,F97),_xll.qwSettle($A$1,F97))*_xll.qwSecVal($A$1,F97,"Price")*(_xll.qwSettle($A$1,F97)-_xll.qwSettle($A$4,F97))/360)*_xll.qwMVFactor($A$1,F97)*_xll.qwFXRate($A$1,F97)*I97),-(_xll.qwBondRepoFromTo($A$1,F97,_xll.qwSettle($A$4,F97),_xll.qwSettle($A$1,F97))*_xll.qwSecVal($A$1,F97,"Price")*(_xll.qwSettle($A$1,F97)-_xll.qwSettle($A$4,F97))/360)*_xll.qwMVFactor($A$1,F97)*_xll.qwFXRate($A$1,F97)*I97,0)</f>
        <v>175142.99948325541</v>
      </c>
      <c r="AD97" s="6"/>
    </row>
    <row r="98" spans="2:30" s="7" customFormat="1" x14ac:dyDescent="0.35">
      <c r="B98" s="7" t="str">
        <v>jcleary</v>
      </c>
      <c r="C98" s="7" t="str">
        <v>MAMS</v>
      </c>
      <c r="D98" s="7" t="str">
        <v>jcleary|MAMS|RV_US_Spreads_SpreadCurve|252970450</v>
      </c>
      <c r="E98" s="7" t="str">
        <v>RV_US_Spreads_SpreadCurve</v>
      </c>
      <c r="F98" s="7" t="str">
        <v>252970450</v>
      </c>
      <c r="G98" s="7">
        <v>141.4</v>
      </c>
      <c r="H98" s="7">
        <v>0</v>
      </c>
      <c r="I98" s="7">
        <v>141.4</v>
      </c>
      <c r="J98" s="7">
        <v>0</v>
      </c>
      <c r="K98" s="7">
        <v>0</v>
      </c>
      <c r="L98" s="7">
        <v>0</v>
      </c>
      <c r="M98" s="7">
        <v>0</v>
      </c>
      <c r="N98" s="7" t="str">
        <v>SwapTrade</v>
      </c>
      <c r="O98" s="6" cm="1">
        <f t="array" ref="O98">(_xll.qwPrice($A$1,F98)-_xll.qwPrice($A$4,F98))*_xll.qwMVFactor($A$1,F98)*I98*_xll.qwFXRate($A$1,F98)</f>
        <v>-57112.82659036314</v>
      </c>
      <c r="P98" s="6" cm="1">
        <f t="array" ref="P98">IF(ISNUMBER(_xll.qwDV01($A$1,F98)*I98*_xll.qwMVFactor($A$1,F98)*_xll.qwFXRate($A$1,F98)),_xll.qwDV01($A$1,F98)*I98*_xll.qwMVFactor($A$1,F98)*_xll.qwFXRate($A$1,F98),0)</f>
        <v>-61036.35129838821</v>
      </c>
      <c r="Q98" s="6" cm="1">
        <f t="array" ref="Q98">IF(ISNUMBER(_xll.qwDV01($A$1,F98)*G98*_xll.qwMVFactor($A$1,F98)*_xll.qwFXRate($A$1,F98)),_xll.qwDV01($A$1,F98)*G98*_xll.qwMVFactor($A$1,F98)*_xll.qwFXRate($A$1,F98),0)</f>
        <v>-61036.35129838821</v>
      </c>
      <c r="R98" s="6" cm="1">
        <f t="array" ref="R98">IF(ISNUMBER(_xll.qwDV01($A$1,F98)*J98*_xll.qwMVFactor($A$1,F98)*_xll.qwFXRate($A$1,F98)),_xll.qwDV01($A$1,F98)*J98*_xll.qwMVFactor($A$1,F98)*_xll.qwFXRate($A$1,F98),0)</f>
        <v>0</v>
      </c>
      <c r="S98" s="6" cm="1">
        <f t="array" ref="S98">IF(ISNUMBER(_xll.qwDV01($A$1,F98)*J98*_xll.qwMVFactor($A$1,F98)*_xll.qwFXRate($A$1,F98)),_xll.qwDV01($A$1,F98)*J98*_xll.qwMVFactor($A$1,F98)*_xll.qwFXRate($A$1,F98),0)</f>
        <v>0</v>
      </c>
      <c r="T98" s="6" cm="1">
        <f t="array" ref="T98">_xll.qwFXRate($A$1,F98)*J98*(_xll.qwPrice($A$1,F98)-M98)*_xll.qwMVFactor($A$1,F98)+L98</f>
        <v>0</v>
      </c>
      <c r="U98" s="8" cm="1">
        <f t="array" ref="U98">_xll.qwYield($A$1,F98)</f>
        <v>4.710832052552244E-2</v>
      </c>
      <c r="V98" s="8" cm="1">
        <f t="array" ref="V98">100*(_xll.qwYield($A$4,F98)-U98)</f>
        <v>8.990898775992906E-3</v>
      </c>
      <c r="W98" s="6">
        <f>IF(ISNA(G98*INDEX(_xll.qwTblData(_xll.qwCurveScenariosPerSecurity($A$1,F98,"Crv210")),2,2)),0,(G98*INDEX(_xll.qwTblData(_xll.qwCurveScenariosPerSecurity($A$1,F98,"Crv210")),2,2)))</f>
        <v>-8545.0576387152432</v>
      </c>
      <c r="X98" s="6" cm="1">
        <f t="array" ref="X98">ABS(Q98/_xll.qwMV01($A$1,"CT10"))</f>
        <v>82.166589189078266</v>
      </c>
      <c r="Y98" s="6" cm="1">
        <f t="array" ref="Y98">IF(N98="BondFuture",-(_xll.qwCurveYield($A$1,_xll.qwSecVal($A$1,AA98,"CreditCurveName()"),AA98)-_xll.qwCurveYield($A$4,_xll.qwSecVal($A$4,AA98,"CreditCurveName()"),AA98))*P98*10000,IF(N98="Bond",-(_xll.qwCurveYield($A$1,_xll.qwSecVal($A$1,F98,"CreditCurveName()"),F98)-_xll.qwCurveYield($A$4,_xll.qwSecVal($A$4,F98,"CreditCurveName()"),F98))*P98*10000,O98))</f>
        <v>-57112.82659036314</v>
      </c>
      <c r="Z98" s="6" cm="1">
        <f t="array" ref="Z98">IF(OR(N98="BondFuture",N98="Bond"),P98*(_xll.qwCurveZSpread($A$4,_xll.qwSecVal($A$1,AA98,"CreditCurveName()"),AA98)-_xll.qwCurveZSpread($A$1,_xll.qwSecVal($A$1,AA98,"CreditCurveName()"),AA98)),0)</f>
        <v>0</v>
      </c>
      <c r="AA98" s="9" cm="1">
        <f t="array" ref="AA98">IF(_xll.qwSecType(F98)="Bond",F98,IF(_xll.qwSecType(F98)="BondFuture",_xll.qwFutCTD($A$1,F98),0))</f>
        <v>0</v>
      </c>
      <c r="AB98" s="6" cm="1">
        <f t="array" ref="AB98">IF(_xll.qwSecType(F98)="BondFuture",-(I98*_xll.qwDelta($A$4,F98)*_xll.qwMVFactor($A$1,F98)/_xll.qwMVFactor($A$1,_xll.qwFutCTD($A$1,F98)))*(_xll.qwFXRate($A$1,F98)*_xll.qwMVFactor($A$1,_xll.qwFutCTD($A$1,F98))*(_xll.qwIncome($A$4,_xll.qwFutCTD($A$4,F98),_xll.qwBondSettle($A$4,_xll.qwFutCTD($A$4,F98)),_xll.qwBondSettle($A$1,_xll.qwFutCTD($A$1,F98)))+(_xll.qwSecVal($A$1,AA98,"Price")-_xll.qwSecVal($A$4,AA98,"Price"))-_xll.qwBondRepoFromTo($A$1,AA98,_xll.qwBondSettle($A$4,AA98),_xll.qwBondSettle($A$1,AA98))*_xll.qwSecVal($A$1,AA98,"Price")*(_xll.qwBondSettle($A$1,AA98)-_xll.qwBondSettle($A$4,AA98))/360))+O98,0)</f>
        <v>0</v>
      </c>
      <c r="AC98" s="9" cm="1">
        <f t="array" ref="AC98">O98+T98+IF(ISNUMBER(_xll.qwIncome($A$1,F98,_xll.qwSettle($A$4,F98),_xll.qwSettle($A$1,F98))*_xll.qwMVFactor($A$1,F98)*_xll.qwFXRate($A$1,F98)*I98),_xll.qwIncome($A$1,F98,_xll.qwSettle($A$4,F98),_xll.qwSettle($A$1,F98))*_xll.qwMVFactor($A$1,F98)*_xll.qwFXRate($A$1,F98)*I98,0)+IF(ISNUMBER(-(_xll.qwBondRepoFromTo($A$1,F98,_xll.qwSettle($A$4,F98),_xll.qwSettle($A$1,F98))*_xll.qwSecVal($A$1,F98,"Price")*(_xll.qwSettle($A$1,F98)-_xll.qwSettle($A$4,F98))/360)*_xll.qwMVFactor($A$1,F98)*_xll.qwFXRate($A$1,F98)*I98),-(_xll.qwBondRepoFromTo($A$1,F98,_xll.qwSettle($A$4,F98),_xll.qwSettle($A$1,F98))*_xll.qwSecVal($A$1,F98,"Price")*(_xll.qwSettle($A$1,F98)-_xll.qwSettle($A$4,F98))/360)*_xll.qwMVFactor($A$1,F98)*_xll.qwFXRate($A$1,F98)*I98,0)</f>
        <v>-57112.82659036314</v>
      </c>
      <c r="AD98" s="6"/>
    </row>
    <row r="99" spans="2:30" s="7" customFormat="1" x14ac:dyDescent="0.35">
      <c r="B99" s="7" t="str">
        <v>jcleary</v>
      </c>
      <c r="C99" s="7" t="str">
        <v>MAMS</v>
      </c>
      <c r="D99" s="7" t="str">
        <v>jcleary|MAMS|RV_US_Spreads_SpreadCurve|253062033</v>
      </c>
      <c r="E99" s="7" t="str">
        <v>RV_US_Spreads_SpreadCurve</v>
      </c>
      <c r="F99" s="7" t="str">
        <v>253062033</v>
      </c>
      <c r="G99" s="7">
        <v>141.5</v>
      </c>
      <c r="H99" s="7">
        <v>0</v>
      </c>
      <c r="I99" s="7">
        <v>141.5</v>
      </c>
      <c r="J99" s="7">
        <v>0</v>
      </c>
      <c r="K99" s="7">
        <v>0</v>
      </c>
      <c r="L99" s="7">
        <v>0</v>
      </c>
      <c r="M99" s="7">
        <v>0</v>
      </c>
      <c r="N99" s="7" t="str">
        <v>SwapTrade</v>
      </c>
      <c r="O99" s="6" cm="1">
        <f t="array" ref="O99">(_xll.qwPrice($A$1,F99)-_xll.qwPrice($A$4,F99))*_xll.qwMVFactor($A$1,F99)*I99*_xll.qwFXRate($A$1,F99)</f>
        <v>-57162.010462528044</v>
      </c>
      <c r="P99" s="6" cm="1">
        <f t="array" ref="P99">IF(ISNUMBER(_xll.qwDV01($A$1,F99)*I99*_xll.qwMVFactor($A$1,F99)*_xll.qwFXRate($A$1,F99)),_xll.qwDV01($A$1,F99)*I99*_xll.qwMVFactor($A$1,F99)*_xll.qwFXRate($A$1,F99),0)</f>
        <v>-61084.448452311466</v>
      </c>
      <c r="Q99" s="6" cm="1">
        <f t="array" ref="Q99">IF(ISNUMBER(_xll.qwDV01($A$1,F99)*G99*_xll.qwMVFactor($A$1,F99)*_xll.qwFXRate($A$1,F99)),_xll.qwDV01($A$1,F99)*G99*_xll.qwMVFactor($A$1,F99)*_xll.qwFXRate($A$1,F99),0)</f>
        <v>-61084.448452311466</v>
      </c>
      <c r="R99" s="6" cm="1">
        <f t="array" ref="R99">IF(ISNUMBER(_xll.qwDV01($A$1,F99)*J99*_xll.qwMVFactor($A$1,F99)*_xll.qwFXRate($A$1,F99)),_xll.qwDV01($A$1,F99)*J99*_xll.qwMVFactor($A$1,F99)*_xll.qwFXRate($A$1,F99),0)</f>
        <v>0</v>
      </c>
      <c r="S99" s="6" cm="1">
        <f t="array" ref="S99">IF(ISNUMBER(_xll.qwDV01($A$1,F99)*J99*_xll.qwMVFactor($A$1,F99)*_xll.qwFXRate($A$1,F99)),_xll.qwDV01($A$1,F99)*J99*_xll.qwMVFactor($A$1,F99)*_xll.qwFXRate($A$1,F99),0)</f>
        <v>0</v>
      </c>
      <c r="T99" s="6" cm="1">
        <f t="array" ref="T99">_xll.qwFXRate($A$1,F99)*J99*(_xll.qwPrice($A$1,F99)-M99)*_xll.qwMVFactor($A$1,F99)+L99</f>
        <v>0</v>
      </c>
      <c r="U99" s="8" cm="1">
        <f t="array" ref="U99">_xll.qwYield($A$1,F99)</f>
        <v>4.710832052552244E-2</v>
      </c>
      <c r="V99" s="8" cm="1">
        <f t="array" ref="V99">100*(_xll.qwYield($A$4,F99)-U99)</f>
        <v>8.990898775992906E-3</v>
      </c>
      <c r="W99" s="6">
        <f>IF(ISNA(G99*INDEX(_xll.qwTblData(_xll.qwCurveScenariosPerSecurity($A$1,F99,"Crv210")),2,2)),0,(G99*INDEX(_xll.qwTblData(_xll.qwCurveScenariosPerSecurity($A$1,F99,"Crv210")),2,2)))</f>
        <v>-8552.0735312456818</v>
      </c>
      <c r="X99" s="6" cm="1">
        <f t="array" ref="X99">ABS(Q99/_xll.qwMV01($A$1,"CT10"))</f>
        <v>82.231337146705286</v>
      </c>
      <c r="Y99" s="6" cm="1">
        <f t="array" ref="Y99">IF(N99="BondFuture",-(_xll.qwCurveYield($A$1,_xll.qwSecVal($A$1,AA99,"CreditCurveName()"),AA99)-_xll.qwCurveYield($A$4,_xll.qwSecVal($A$4,AA99,"CreditCurveName()"),AA99))*P99*10000,IF(N99="Bond",-(_xll.qwCurveYield($A$1,_xll.qwSecVal($A$1,F99,"CreditCurveName()"),F99)-_xll.qwCurveYield($A$4,_xll.qwSecVal($A$4,F99,"CreditCurveName()"),F99))*P99*10000,O99))</f>
        <v>-57162.010462528044</v>
      </c>
      <c r="Z99" s="6" cm="1">
        <f t="array" ref="Z99">IF(OR(N99="BondFuture",N99="Bond"),P99*(_xll.qwCurveZSpread($A$4,_xll.qwSecVal($A$1,AA99,"CreditCurveName()"),AA99)-_xll.qwCurveZSpread($A$1,_xll.qwSecVal($A$1,AA99,"CreditCurveName()"),AA99)),0)</f>
        <v>0</v>
      </c>
      <c r="AA99" s="9" cm="1">
        <f t="array" ref="AA99">IF(_xll.qwSecType(F99)="Bond",F99,IF(_xll.qwSecType(F99)="BondFuture",_xll.qwFutCTD($A$1,F99),0))</f>
        <v>0</v>
      </c>
      <c r="AB99" s="6" cm="1">
        <f t="array" ref="AB99">IF(_xll.qwSecType(F99)="BondFuture",-(I99*_xll.qwDelta($A$4,F99)*_xll.qwMVFactor($A$1,F99)/_xll.qwMVFactor($A$1,_xll.qwFutCTD($A$1,F99)))*(_xll.qwFXRate($A$1,F99)*_xll.qwMVFactor($A$1,_xll.qwFutCTD($A$1,F99))*(_xll.qwIncome($A$4,_xll.qwFutCTD($A$4,F99),_xll.qwBondSettle($A$4,_xll.qwFutCTD($A$4,F99)),_xll.qwBondSettle($A$1,_xll.qwFutCTD($A$1,F99)))+(_xll.qwSecVal($A$1,AA99,"Price")-_xll.qwSecVal($A$4,AA99,"Price"))-_xll.qwBondRepoFromTo($A$1,AA99,_xll.qwBondSettle($A$4,AA99),_xll.qwBondSettle($A$1,AA99))*_xll.qwSecVal($A$1,AA99,"Price")*(_xll.qwBondSettle($A$1,AA99)-_xll.qwBondSettle($A$4,AA99))/360))+O99,0)</f>
        <v>0</v>
      </c>
      <c r="AC99" s="9" cm="1">
        <f t="array" ref="AC99">O99+T99+IF(ISNUMBER(_xll.qwIncome($A$1,F99,_xll.qwSettle($A$4,F99),_xll.qwSettle($A$1,F99))*_xll.qwMVFactor($A$1,F99)*_xll.qwFXRate($A$1,F99)*I99),_xll.qwIncome($A$1,F99,_xll.qwSettle($A$4,F99),_xll.qwSettle($A$1,F99))*_xll.qwMVFactor($A$1,F99)*_xll.qwFXRate($A$1,F99)*I99,0)+IF(ISNUMBER(-(_xll.qwBondRepoFromTo($A$1,F99,_xll.qwSettle($A$4,F99),_xll.qwSettle($A$1,F99))*_xll.qwSecVal($A$1,F99,"Price")*(_xll.qwSettle($A$1,F99)-_xll.qwSettle($A$4,F99))/360)*_xll.qwMVFactor($A$1,F99)*_xll.qwFXRate($A$1,F99)*I99),-(_xll.qwBondRepoFromTo($A$1,F99,_xll.qwSettle($A$4,F99),_xll.qwSettle($A$1,F99))*_xll.qwSecVal($A$1,F99,"Price")*(_xll.qwSettle($A$1,F99)-_xll.qwSettle($A$4,F99))/360)*_xll.qwMVFactor($A$1,F99)*_xll.qwFXRate($A$1,F99)*I99,0)</f>
        <v>-57162.010462528044</v>
      </c>
      <c r="AD99" s="6"/>
    </row>
    <row r="100" spans="2:30" s="7" customFormat="1" x14ac:dyDescent="0.35">
      <c r="B100" s="7" t="str">
        <v>jcleary</v>
      </c>
      <c r="C100" s="7" t="str">
        <v>MAMS</v>
      </c>
      <c r="D100" s="7" t="str">
        <v>jcleary|MAMS|RV_US_Spreads_SpreadCurve|253606809</v>
      </c>
      <c r="E100" s="7" t="str">
        <v>RV_US_Spreads_SpreadCurve</v>
      </c>
      <c r="F100" s="7" t="str">
        <v>253606809</v>
      </c>
      <c r="G100" s="7">
        <v>79.400000000000006</v>
      </c>
      <c r="H100" s="7">
        <v>0</v>
      </c>
      <c r="I100" s="7">
        <v>79.400000000000006</v>
      </c>
      <c r="J100" s="7">
        <v>0</v>
      </c>
      <c r="K100" s="7">
        <v>0</v>
      </c>
      <c r="L100" s="7">
        <v>0</v>
      </c>
      <c r="M100" s="7">
        <v>0</v>
      </c>
      <c r="N100" s="7" t="str">
        <v>SwapTrade</v>
      </c>
      <c r="O100" s="6" cm="1">
        <f t="array" ref="O100">(_xll.qwPrice($A$1,F100)-_xll.qwPrice($A$4,F100))*_xll.qwMVFactor($A$1,F100)*I100*_xll.qwFXRate($A$1,F100)</f>
        <v>121433.72982059699</v>
      </c>
      <c r="P100" s="6" cm="1">
        <f t="array" ref="P100">IF(ISNUMBER(_xll.qwDV01($A$1,F100)*I100*_xll.qwMVFactor($A$1,F100)*_xll.qwFXRate($A$1,F100)),_xll.qwDV01($A$1,F100)*I100*_xll.qwMVFactor($A$1,F100)*_xll.qwFXRate($A$1,F100),0)</f>
        <v>62066.725282521737</v>
      </c>
      <c r="Q100" s="6" cm="1">
        <f t="array" ref="Q100">IF(ISNUMBER(_xll.qwDV01($A$1,F100)*G100*_xll.qwMVFactor($A$1,F100)*_xll.qwFXRate($A$1,F100)),_xll.qwDV01($A$1,F100)*G100*_xll.qwMVFactor($A$1,F100)*_xll.qwFXRate($A$1,F100),0)</f>
        <v>62066.725282521737</v>
      </c>
      <c r="R100" s="6" cm="1">
        <f t="array" ref="R100">IF(ISNUMBER(_xll.qwDV01($A$1,F100)*J100*_xll.qwMVFactor($A$1,F100)*_xll.qwFXRate($A$1,F100)),_xll.qwDV01($A$1,F100)*J100*_xll.qwMVFactor($A$1,F100)*_xll.qwFXRate($A$1,F100),0)</f>
        <v>0</v>
      </c>
      <c r="S100" s="6" cm="1">
        <f t="array" ref="S100">IF(ISNUMBER(_xll.qwDV01($A$1,F100)*J100*_xll.qwMVFactor($A$1,F100)*_xll.qwFXRate($A$1,F100)),_xll.qwDV01($A$1,F100)*J100*_xll.qwMVFactor($A$1,F100)*_xll.qwFXRate($A$1,F100),0)</f>
        <v>0</v>
      </c>
      <c r="T100" s="6" cm="1">
        <f t="array" ref="T100">_xll.qwFXRate($A$1,F100)*J100*(_xll.qwPrice($A$1,F100)-M100)*_xll.qwMVFactor($A$1,F100)+L100</f>
        <v>0</v>
      </c>
      <c r="U100" s="8" cm="1">
        <f t="array" ref="U100">_xll.qwYield($A$1,F100)</f>
        <v>4.797921380245114E-2</v>
      </c>
      <c r="V100" s="8" cm="1">
        <f t="array" ref="V100">100*(_xll.qwYield($A$4,F100)-U100)</f>
        <v>1.9357502412116478E-2</v>
      </c>
      <c r="W100" s="6">
        <f>IF(ISNA(G100*INDEX(_xll.qwTblData(_xll.qwCurveScenariosPerSecurity($A$1,F100,"Crv210")),2,2)),0,(G100*INDEX(_xll.qwTblData(_xll.qwCurveScenariosPerSecurity($A$1,F100,"Crv210")),2,2)))</f>
        <v>-30028.343198078386</v>
      </c>
      <c r="X100" s="6" cm="1">
        <f t="array" ref="X100">ABS(Q100/_xll.qwMV01($A$1,"CT10"))</f>
        <v>83.553669413640264</v>
      </c>
      <c r="Y100" s="6" cm="1">
        <f t="array" ref="Y100">IF(N100="BondFuture",-(_xll.qwCurveYield($A$1,_xll.qwSecVal($A$1,AA100,"CreditCurveName()"),AA100)-_xll.qwCurveYield($A$4,_xll.qwSecVal($A$4,AA100,"CreditCurveName()"),AA100))*P100*10000,IF(N100="Bond",-(_xll.qwCurveYield($A$1,_xll.qwSecVal($A$1,F100,"CreditCurveName()"),F100)-_xll.qwCurveYield($A$4,_xll.qwSecVal($A$4,F100,"CreditCurveName()"),F100))*P100*10000,O100))</f>
        <v>121433.72982059699</v>
      </c>
      <c r="Z100" s="6" cm="1">
        <f t="array" ref="Z100">IF(OR(N100="BondFuture",N100="Bond"),P100*(_xll.qwCurveZSpread($A$4,_xll.qwSecVal($A$1,AA100,"CreditCurveName()"),AA100)-_xll.qwCurveZSpread($A$1,_xll.qwSecVal($A$1,AA100,"CreditCurveName()"),AA100)),0)</f>
        <v>0</v>
      </c>
      <c r="AA100" s="9" cm="1">
        <f t="array" ref="AA100">IF(_xll.qwSecType(F100)="Bond",F100,IF(_xll.qwSecType(F100)="BondFuture",_xll.qwFutCTD($A$1,F100),0))</f>
        <v>0</v>
      </c>
      <c r="AB100" s="6" cm="1">
        <f t="array" ref="AB100">IF(_xll.qwSecType(F100)="BondFuture",-(I100*_xll.qwDelta($A$4,F100)*_xll.qwMVFactor($A$1,F100)/_xll.qwMVFactor($A$1,_xll.qwFutCTD($A$1,F100)))*(_xll.qwFXRate($A$1,F100)*_xll.qwMVFactor($A$1,_xll.qwFutCTD($A$1,F100))*(_xll.qwIncome($A$4,_xll.qwFutCTD($A$4,F100),_xll.qwBondSettle($A$4,_xll.qwFutCTD($A$4,F100)),_xll.qwBondSettle($A$1,_xll.qwFutCTD($A$1,F100)))+(_xll.qwSecVal($A$1,AA100,"Price")-_xll.qwSecVal($A$4,AA100,"Price"))-_xll.qwBondRepoFromTo($A$1,AA100,_xll.qwBondSettle($A$4,AA100),_xll.qwBondSettle($A$1,AA100))*_xll.qwSecVal($A$1,AA100,"Price")*(_xll.qwBondSettle($A$1,AA100)-_xll.qwBondSettle($A$4,AA100))/360))+O100,0)</f>
        <v>0</v>
      </c>
      <c r="AC100" s="9" cm="1">
        <f t="array" ref="AC100">O100+T100+IF(ISNUMBER(_xll.qwIncome($A$1,F100,_xll.qwSettle($A$4,F100),_xll.qwSettle($A$1,F100))*_xll.qwMVFactor($A$1,F100)*_xll.qwFXRate($A$1,F100)*I100),_xll.qwIncome($A$1,F100,_xll.qwSettle($A$4,F100),_xll.qwSettle($A$1,F100))*_xll.qwMVFactor($A$1,F100)*_xll.qwFXRate($A$1,F100)*I100,0)+IF(ISNUMBER(-(_xll.qwBondRepoFromTo($A$1,F100,_xll.qwSettle($A$4,F100),_xll.qwSettle($A$1,F100))*_xll.qwSecVal($A$1,F100,"Price")*(_xll.qwSettle($A$1,F100)-_xll.qwSettle($A$4,F100))/360)*_xll.qwMVFactor($A$1,F100)*_xll.qwFXRate($A$1,F100)*I100),-(_xll.qwBondRepoFromTo($A$1,F100,_xll.qwSettle($A$4,F100),_xll.qwSettle($A$1,F100))*_xll.qwSecVal($A$1,F100,"Price")*(_xll.qwSettle($A$1,F100)-_xll.qwSettle($A$4,F100))/360)*_xll.qwMVFactor($A$1,F100)*_xll.qwFXRate($A$1,F100)*I100,0)</f>
        <v>121433.72982059699</v>
      </c>
      <c r="AD100" s="6"/>
    </row>
    <row r="101" spans="2:30" s="7" customFormat="1" x14ac:dyDescent="0.35">
      <c r="B101" s="7" t="str">
        <v>jcleary</v>
      </c>
      <c r="C101" s="7" t="str">
        <v>MAMS</v>
      </c>
      <c r="D101" s="7" t="str">
        <v>jcleary|MAMS|RV_US_Spreads_SpreadCurve|254398883</v>
      </c>
      <c r="E101" s="7" t="str">
        <v>RV_US_Spreads_SpreadCurve</v>
      </c>
      <c r="F101" s="7" t="str">
        <v>254398883</v>
      </c>
      <c r="G101" s="7">
        <v>83.5</v>
      </c>
      <c r="H101" s="7">
        <v>0</v>
      </c>
      <c r="I101" s="7">
        <v>83.5</v>
      </c>
      <c r="J101" s="7">
        <v>0</v>
      </c>
      <c r="K101" s="7">
        <v>0</v>
      </c>
      <c r="L101" s="7">
        <v>0</v>
      </c>
      <c r="M101" s="7">
        <v>0</v>
      </c>
      <c r="N101" s="7" t="str">
        <v>SwapTrade</v>
      </c>
      <c r="O101" s="6" cm="1">
        <f t="array" ref="O101">(_xll.qwPrice($A$1,F101)-_xll.qwPrice($A$4,F101))*_xll.qwMVFactor($A$1,F101)*I101*_xll.qwFXRate($A$1,F101)</f>
        <v>127679.22134908133</v>
      </c>
      <c r="P101" s="6" cm="1">
        <f t="array" ref="P101">IF(ISNUMBER(_xll.qwDV01($A$1,F101)*I101*_xll.qwMVFactor($A$1,F101)*_xll.qwFXRate($A$1,F101)),_xll.qwDV01($A$1,F101)*I101*_xll.qwMVFactor($A$1,F101)*_xll.qwFXRate($A$1,F101),0)</f>
        <v>62276.892664827967</v>
      </c>
      <c r="Q101" s="6" cm="1">
        <f t="array" ref="Q101">IF(ISNUMBER(_xll.qwDV01($A$1,F101)*G101*_xll.qwMVFactor($A$1,F101)*_xll.qwFXRate($A$1,F101)),_xll.qwDV01($A$1,F101)*G101*_xll.qwMVFactor($A$1,F101)*_xll.qwFXRate($A$1,F101),0)</f>
        <v>62276.892664827967</v>
      </c>
      <c r="R101" s="6" cm="1">
        <f t="array" ref="R101">IF(ISNUMBER(_xll.qwDV01($A$1,F101)*J101*_xll.qwMVFactor($A$1,F101)*_xll.qwFXRate($A$1,F101)),_xll.qwDV01($A$1,F101)*J101*_xll.qwMVFactor($A$1,F101)*_xll.qwFXRate($A$1,F101),0)</f>
        <v>0</v>
      </c>
      <c r="S101" s="6" cm="1">
        <f t="array" ref="S101">IF(ISNUMBER(_xll.qwDV01($A$1,F101)*J101*_xll.qwMVFactor($A$1,F101)*_xll.qwFXRate($A$1,F101)),_xll.qwDV01($A$1,F101)*J101*_xll.qwMVFactor($A$1,F101)*_xll.qwFXRate($A$1,F101),0)</f>
        <v>0</v>
      </c>
      <c r="T101" s="6" cm="1">
        <f t="array" ref="T101">_xll.qwFXRate($A$1,F101)*J101*(_xll.qwPrice($A$1,F101)-M101)*_xll.qwMVFactor($A$1,F101)+L101</f>
        <v>0</v>
      </c>
      <c r="U101" s="8" cm="1">
        <f t="array" ref="U101">_xll.qwYield($A$1,F101)</f>
        <v>4.8095064276649377E-2</v>
      </c>
      <c r="V101" s="8" cm="1">
        <f t="array" ref="V101">100*(_xll.qwYield($A$4,F101)-U101)</f>
        <v>2.0536310198508018E-2</v>
      </c>
      <c r="W101" s="6">
        <f>IF(ISNA(G101*INDEX(_xll.qwTblData(_xll.qwCurveScenariosPerSecurity($A$1,F101,"Crv210")),2,2)),0,(G101*INDEX(_xll.qwTblData(_xll.qwCurveScenariosPerSecurity($A$1,F101,"Crv210")),2,2)))</f>
        <v>-30225.629515739343</v>
      </c>
      <c r="X101" s="6" cm="1">
        <f t="array" ref="X101">ABS(Q101/_xll.qwMV01($A$1,"CT10"))</f>
        <v>83.836594860452749</v>
      </c>
      <c r="Y101" s="6" cm="1">
        <f t="array" ref="Y101">IF(N101="BondFuture",-(_xll.qwCurveYield($A$1,_xll.qwSecVal($A$1,AA101,"CreditCurveName()"),AA101)-_xll.qwCurveYield($A$4,_xll.qwSecVal($A$4,AA101,"CreditCurveName()"),AA101))*P101*10000,IF(N101="Bond",-(_xll.qwCurveYield($A$1,_xll.qwSecVal($A$1,F101,"CreditCurveName()"),F101)-_xll.qwCurveYield($A$4,_xll.qwSecVal($A$4,F101,"CreditCurveName()"),F101))*P101*10000,O101))</f>
        <v>127679.22134908133</v>
      </c>
      <c r="Z101" s="6" cm="1">
        <f t="array" ref="Z101">IF(OR(N101="BondFuture",N101="Bond"),P101*(_xll.qwCurveZSpread($A$4,_xll.qwSecVal($A$1,AA101,"CreditCurveName()"),AA101)-_xll.qwCurveZSpread($A$1,_xll.qwSecVal($A$1,AA101,"CreditCurveName()"),AA101)),0)</f>
        <v>0</v>
      </c>
      <c r="AA101" s="9" cm="1">
        <f t="array" ref="AA101">IF(_xll.qwSecType(F101)="Bond",F101,IF(_xll.qwSecType(F101)="BondFuture",_xll.qwFutCTD($A$1,F101),0))</f>
        <v>0</v>
      </c>
      <c r="AB101" s="6" cm="1">
        <f t="array" ref="AB101">IF(_xll.qwSecType(F101)="BondFuture",-(I101*_xll.qwDelta($A$4,F101)*_xll.qwMVFactor($A$1,F101)/_xll.qwMVFactor($A$1,_xll.qwFutCTD($A$1,F101)))*(_xll.qwFXRate($A$1,F101)*_xll.qwMVFactor($A$1,_xll.qwFutCTD($A$1,F101))*(_xll.qwIncome($A$4,_xll.qwFutCTD($A$4,F101),_xll.qwBondSettle($A$4,_xll.qwFutCTD($A$4,F101)),_xll.qwBondSettle($A$1,_xll.qwFutCTD($A$1,F101)))+(_xll.qwSecVal($A$1,AA101,"Price")-_xll.qwSecVal($A$4,AA101,"Price"))-_xll.qwBondRepoFromTo($A$1,AA101,_xll.qwBondSettle($A$4,AA101),_xll.qwBondSettle($A$1,AA101))*_xll.qwSecVal($A$1,AA101,"Price")*(_xll.qwBondSettle($A$1,AA101)-_xll.qwBondSettle($A$4,AA101))/360))+O101,0)</f>
        <v>0</v>
      </c>
      <c r="AC101" s="9" cm="1">
        <f t="array" ref="AC101">O101+T101+IF(ISNUMBER(_xll.qwIncome($A$1,F101,_xll.qwSettle($A$4,F101),_xll.qwSettle($A$1,F101))*_xll.qwMVFactor($A$1,F101)*_xll.qwFXRate($A$1,F101)*I101),_xll.qwIncome($A$1,F101,_xll.qwSettle($A$4,F101),_xll.qwSettle($A$1,F101))*_xll.qwMVFactor($A$1,F101)*_xll.qwFXRate($A$1,F101)*I101,0)+IF(ISNUMBER(-(_xll.qwBondRepoFromTo($A$1,F101,_xll.qwSettle($A$4,F101),_xll.qwSettle($A$1,F101))*_xll.qwSecVal($A$1,F101,"Price")*(_xll.qwSettle($A$1,F101)-_xll.qwSettle($A$4,F101))/360)*_xll.qwMVFactor($A$1,F101)*_xll.qwFXRate($A$1,F101)*I101),-(_xll.qwBondRepoFromTo($A$1,F101,_xll.qwSettle($A$4,F101),_xll.qwSettle($A$1,F101))*_xll.qwSecVal($A$1,F101,"Price")*(_xll.qwSettle($A$1,F101)-_xll.qwSettle($A$4,F101))/360)*_xll.qwMVFactor($A$1,F101)*_xll.qwFXRate($A$1,F101)*I101,0)</f>
        <v>127679.22134908133</v>
      </c>
      <c r="AD101" s="6"/>
    </row>
    <row r="102" spans="2:30" s="7" customFormat="1" x14ac:dyDescent="0.35">
      <c r="B102" s="7" t="str">
        <v>jcleary</v>
      </c>
      <c r="C102" s="7" t="str">
        <v>MAMS</v>
      </c>
      <c r="D102" s="7" t="str">
        <v>jcleary|MAMS|RV_US_Spreads_SpreadCurve|254651507</v>
      </c>
      <c r="E102" s="7" t="str">
        <v>RV_US_Spreads_SpreadCurve</v>
      </c>
      <c r="F102" s="7" t="str">
        <v>254651507</v>
      </c>
      <c r="G102" s="7">
        <v>211.5</v>
      </c>
      <c r="H102" s="7">
        <v>0</v>
      </c>
      <c r="I102" s="7">
        <v>211.5</v>
      </c>
      <c r="J102" s="7">
        <v>0</v>
      </c>
      <c r="K102" s="7">
        <v>0</v>
      </c>
      <c r="L102" s="7">
        <v>0</v>
      </c>
      <c r="M102" s="7">
        <v>0</v>
      </c>
      <c r="N102" s="7" t="str">
        <v>SwapTrade</v>
      </c>
      <c r="O102" s="6" cm="1">
        <f t="array" ref="O102">(_xll.qwPrice($A$1,F102)-_xll.qwPrice($A$4,F102))*_xll.qwMVFactor($A$1,F102)*I102*_xll.qwFXRate($A$1,F102)</f>
        <v>179033.36971632869</v>
      </c>
      <c r="P102" s="6" cm="1">
        <f t="array" ref="P102">IF(ISNUMBER(_xll.qwDV01($A$1,F102)*I102*_xll.qwMVFactor($A$1,F102)*_xll.qwFXRate($A$1,F102)),_xll.qwDV01($A$1,F102)*I102*_xll.qwMVFactor($A$1,F102)*_xll.qwFXRate($A$1,F102),0)</f>
        <v>93051.465325855563</v>
      </c>
      <c r="Q102" s="6" cm="1">
        <f t="array" ref="Q102">IF(ISNUMBER(_xll.qwDV01($A$1,F102)*G102*_xll.qwMVFactor($A$1,F102)*_xll.qwFXRate($A$1,F102)),_xll.qwDV01($A$1,F102)*G102*_xll.qwMVFactor($A$1,F102)*_xll.qwFXRate($A$1,F102),0)</f>
        <v>93051.465325855563</v>
      </c>
      <c r="R102" s="6" cm="1">
        <f t="array" ref="R102">IF(ISNUMBER(_xll.qwDV01($A$1,F102)*J102*_xll.qwMVFactor($A$1,F102)*_xll.qwFXRate($A$1,F102)),_xll.qwDV01($A$1,F102)*J102*_xll.qwMVFactor($A$1,F102)*_xll.qwFXRate($A$1,F102),0)</f>
        <v>0</v>
      </c>
      <c r="S102" s="6" cm="1">
        <f t="array" ref="S102">IF(ISNUMBER(_xll.qwDV01($A$1,F102)*J102*_xll.qwMVFactor($A$1,F102)*_xll.qwFXRate($A$1,F102)),_xll.qwDV01($A$1,F102)*J102*_xll.qwMVFactor($A$1,F102)*_xll.qwFXRate($A$1,F102),0)</f>
        <v>0</v>
      </c>
      <c r="T102" s="6" cm="1">
        <f t="array" ref="T102">_xll.qwFXRate($A$1,F102)*J102*(_xll.qwPrice($A$1,F102)-M102)*_xll.qwMVFactor($A$1,F102)+L102</f>
        <v>0</v>
      </c>
      <c r="U102" s="8" cm="1">
        <f t="array" ref="U102">_xll.qwYield($A$1,F102)</f>
        <v>4.7128909254654794E-2</v>
      </c>
      <c r="V102" s="8" cm="1">
        <f t="array" ref="V102">100*(_xll.qwYield($A$4,F102)-U102)</f>
        <v>9.1056205465636642E-3</v>
      </c>
      <c r="W102" s="6">
        <f>IF(ISNA(G102*INDEX(_xll.qwTblData(_xll.qwCurveScenariosPerSecurity($A$1,F102,"Crv210")),2,2)),0,(G102*INDEX(_xll.qwTblData(_xll.qwCurveScenariosPerSecurity($A$1,F102,"Crv210")),2,2)))</f>
        <v>12182.661071042268</v>
      </c>
      <c r="X102" s="6" cm="1">
        <f t="array" ref="X102">ABS(Q102/_xll.qwMV01($A$1,"CT10"))</f>
        <v>125.26504881482383</v>
      </c>
      <c r="Y102" s="6" cm="1">
        <f t="array" ref="Y102">IF(N102="BondFuture",-(_xll.qwCurveYield($A$1,_xll.qwSecVal($A$1,AA102,"CreditCurveName()"),AA102)-_xll.qwCurveYield($A$4,_xll.qwSecVal($A$4,AA102,"CreditCurveName()"),AA102))*P102*10000,IF(N102="Bond",-(_xll.qwCurveYield($A$1,_xll.qwSecVal($A$1,F102,"CreditCurveName()"),F102)-_xll.qwCurveYield($A$4,_xll.qwSecVal($A$4,F102,"CreditCurveName()"),F102))*P102*10000,O102))</f>
        <v>179033.36971632869</v>
      </c>
      <c r="Z102" s="6" cm="1">
        <f t="array" ref="Z102">IF(OR(N102="BondFuture",N102="Bond"),P102*(_xll.qwCurveZSpread($A$4,_xll.qwSecVal($A$1,AA102,"CreditCurveName()"),AA102)-_xll.qwCurveZSpread($A$1,_xll.qwSecVal($A$1,AA102,"CreditCurveName()"),AA102)),0)</f>
        <v>0</v>
      </c>
      <c r="AA102" s="9" cm="1">
        <f t="array" ref="AA102">IF(_xll.qwSecType(F102)="Bond",F102,IF(_xll.qwSecType(F102)="BondFuture",_xll.qwFutCTD($A$1,F102),0))</f>
        <v>0</v>
      </c>
      <c r="AB102" s="6" cm="1">
        <f t="array" ref="AB102">IF(_xll.qwSecType(F102)="BondFuture",-(I102*_xll.qwDelta($A$4,F102)*_xll.qwMVFactor($A$1,F102)/_xll.qwMVFactor($A$1,_xll.qwFutCTD($A$1,F102)))*(_xll.qwFXRate($A$1,F102)*_xll.qwMVFactor($A$1,_xll.qwFutCTD($A$1,F102))*(_xll.qwIncome($A$4,_xll.qwFutCTD($A$4,F102),_xll.qwBondSettle($A$4,_xll.qwFutCTD($A$4,F102)),_xll.qwBondSettle($A$1,_xll.qwFutCTD($A$1,F102)))+(_xll.qwSecVal($A$1,AA102,"Price")-_xll.qwSecVal($A$4,AA102,"Price"))-_xll.qwBondRepoFromTo($A$1,AA102,_xll.qwBondSettle($A$4,AA102),_xll.qwBondSettle($A$1,AA102))*_xll.qwSecVal($A$1,AA102,"Price")*(_xll.qwBondSettle($A$1,AA102)-_xll.qwBondSettle($A$4,AA102))/360))+O102,0)</f>
        <v>0</v>
      </c>
      <c r="AC102" s="9" cm="1">
        <f t="array" ref="AC102">O102+T102+IF(ISNUMBER(_xll.qwIncome($A$1,F102,_xll.qwSettle($A$4,F102),_xll.qwSettle($A$1,F102))*_xll.qwMVFactor($A$1,F102)*_xll.qwFXRate($A$1,F102)*I102),_xll.qwIncome($A$1,F102,_xll.qwSettle($A$4,F102),_xll.qwSettle($A$1,F102))*_xll.qwMVFactor($A$1,F102)*_xll.qwFXRate($A$1,F102)*I102,0)+IF(ISNUMBER(-(_xll.qwBondRepoFromTo($A$1,F102,_xll.qwSettle($A$4,F102),_xll.qwSettle($A$1,F102))*_xll.qwSecVal($A$1,F102,"Price")*(_xll.qwSettle($A$1,F102)-_xll.qwSettle($A$4,F102))/360)*_xll.qwMVFactor($A$1,F102)*_xll.qwFXRate($A$1,F102)*I102),-(_xll.qwBondRepoFromTo($A$1,F102,_xll.qwSettle($A$4,F102),_xll.qwSettle($A$1,F102))*_xll.qwSecVal($A$1,F102,"Price")*(_xll.qwSettle($A$1,F102)-_xll.qwSettle($A$4,F102))/360)*_xll.qwMVFactor($A$1,F102)*_xll.qwFXRate($A$1,F102)*I102,0)</f>
        <v>179033.36971632869</v>
      </c>
      <c r="AD102" s="6"/>
    </row>
    <row r="103" spans="2:30" s="7" customFormat="1" x14ac:dyDescent="0.35">
      <c r="B103" s="7" t="str">
        <v>jcleary</v>
      </c>
      <c r="C103" s="7" t="str">
        <v>MAMS</v>
      </c>
      <c r="D103" s="7" t="str">
        <v>jcleary|MAMS|RV_US_Spreads_SpreadCurve|254651540</v>
      </c>
      <c r="E103" s="7" t="str">
        <v>RV_US_Spreads_SpreadCurve</v>
      </c>
      <c r="F103" s="7" t="str">
        <v>254651540</v>
      </c>
      <c r="G103" s="7">
        <v>119.5</v>
      </c>
      <c r="H103" s="7">
        <v>0</v>
      </c>
      <c r="I103" s="7">
        <v>119.5</v>
      </c>
      <c r="J103" s="7">
        <v>0</v>
      </c>
      <c r="K103" s="7">
        <v>0</v>
      </c>
      <c r="L103" s="7">
        <v>0</v>
      </c>
      <c r="M103" s="7">
        <v>0</v>
      </c>
      <c r="N103" s="7" t="str">
        <v>SwapTrade</v>
      </c>
      <c r="O103" s="6" cm="1">
        <f t="array" ref="O103">(_xll.qwPrice($A$1,F103)-_xll.qwPrice($A$4,F103))*_xll.qwMVFactor($A$1,F103)*I103*_xll.qwFXRate($A$1,F103)</f>
        <v>-234962.35597815897</v>
      </c>
      <c r="P103" s="6" cm="1">
        <f t="array" ref="P103">IF(ISNUMBER(_xll.qwDV01($A$1,F103)*I103*_xll.qwMVFactor($A$1,F103)*_xll.qwFXRate($A$1,F103)),_xll.qwDV01($A$1,F103)*I103*_xll.qwMVFactor($A$1,F103)*_xll.qwFXRate($A$1,F103),0)</f>
        <v>-93879.569956235136</v>
      </c>
      <c r="Q103" s="6" cm="1">
        <f t="array" ref="Q103">IF(ISNUMBER(_xll.qwDV01($A$1,F103)*G103*_xll.qwMVFactor($A$1,F103)*_xll.qwFXRate($A$1,F103)),_xll.qwDV01($A$1,F103)*G103*_xll.qwMVFactor($A$1,F103)*_xll.qwFXRate($A$1,F103),0)</f>
        <v>-93879.569956235136</v>
      </c>
      <c r="R103" s="6" cm="1">
        <f t="array" ref="R103">IF(ISNUMBER(_xll.qwDV01($A$1,F103)*J103*_xll.qwMVFactor($A$1,F103)*_xll.qwFXRate($A$1,F103)),_xll.qwDV01($A$1,F103)*J103*_xll.qwMVFactor($A$1,F103)*_xll.qwFXRate($A$1,F103),0)</f>
        <v>0</v>
      </c>
      <c r="S103" s="6" cm="1">
        <f t="array" ref="S103">IF(ISNUMBER(_xll.qwDV01($A$1,F103)*J103*_xll.qwMVFactor($A$1,F103)*_xll.qwFXRate($A$1,F103)),_xll.qwDV01($A$1,F103)*J103*_xll.qwMVFactor($A$1,F103)*_xll.qwFXRate($A$1,F103),0)</f>
        <v>0</v>
      </c>
      <c r="T103" s="6" cm="1">
        <f t="array" ref="T103">_xll.qwFXRate($A$1,F103)*J103*(_xll.qwPrice($A$1,F103)-M103)*_xll.qwMVFactor($A$1,F103)+L103</f>
        <v>0</v>
      </c>
      <c r="U103" s="8" cm="1">
        <f t="array" ref="U103">_xll.qwYield($A$1,F103)</f>
        <v>4.797921380245114E-2</v>
      </c>
      <c r="V103" s="8" cm="1">
        <f t="array" ref="V103">100*(_xll.qwYield($A$4,F103)-U103)</f>
        <v>1.9357502412116478E-2</v>
      </c>
      <c r="W103" s="6">
        <f>IF(ISNA(G103*INDEX(_xll.qwTblData(_xll.qwCurveScenariosPerSecurity($A$1,F103,"Crv210")),2,2)),0,(G103*INDEX(_xll.qwTblData(_xll.qwCurveScenariosPerSecurity($A$1,F103,"Crv210")),2,2)))</f>
        <v>45264.784274513353</v>
      </c>
      <c r="X103" s="6" cm="1">
        <f t="array" ref="X103">ABS(Q103/_xll.qwMV01($A$1,"CT10"))</f>
        <v>126.37983584783851</v>
      </c>
      <c r="Y103" s="6" cm="1">
        <f t="array" ref="Y103">IF(N103="BondFuture",-(_xll.qwCurveYield($A$1,_xll.qwSecVal($A$1,AA103,"CreditCurveName()"),AA103)-_xll.qwCurveYield($A$4,_xll.qwSecVal($A$4,AA103,"CreditCurveName()"),AA103))*P103*10000,IF(N103="Bond",-(_xll.qwCurveYield($A$1,_xll.qwSecVal($A$1,F103,"CreditCurveName()"),F103)-_xll.qwCurveYield($A$4,_xll.qwSecVal($A$4,F103,"CreditCurveName()"),F103))*P103*10000,O103))</f>
        <v>-234962.35597815897</v>
      </c>
      <c r="Z103" s="6" cm="1">
        <f t="array" ref="Z103">IF(OR(N103="BondFuture",N103="Bond"),P103*(_xll.qwCurveZSpread($A$4,_xll.qwSecVal($A$1,AA103,"CreditCurveName()"),AA103)-_xll.qwCurveZSpread($A$1,_xll.qwSecVal($A$1,AA103,"CreditCurveName()"),AA103)),0)</f>
        <v>0</v>
      </c>
      <c r="AA103" s="9" cm="1">
        <f t="array" ref="AA103">IF(_xll.qwSecType(F103)="Bond",F103,IF(_xll.qwSecType(F103)="BondFuture",_xll.qwFutCTD($A$1,F103),0))</f>
        <v>0</v>
      </c>
      <c r="AB103" s="6" cm="1">
        <f t="array" ref="AB103">IF(_xll.qwSecType(F103)="BondFuture",-(I103*_xll.qwDelta($A$4,F103)*_xll.qwMVFactor($A$1,F103)/_xll.qwMVFactor($A$1,_xll.qwFutCTD($A$1,F103)))*(_xll.qwFXRate($A$1,F103)*_xll.qwMVFactor($A$1,_xll.qwFutCTD($A$1,F103))*(_xll.qwIncome($A$4,_xll.qwFutCTD($A$4,F103),_xll.qwBondSettle($A$4,_xll.qwFutCTD($A$4,F103)),_xll.qwBondSettle($A$1,_xll.qwFutCTD($A$1,F103)))+(_xll.qwSecVal($A$1,AA103,"Price")-_xll.qwSecVal($A$4,AA103,"Price"))-_xll.qwBondRepoFromTo($A$1,AA103,_xll.qwBondSettle($A$4,AA103),_xll.qwBondSettle($A$1,AA103))*_xll.qwSecVal($A$1,AA103,"Price")*(_xll.qwBondSettle($A$1,AA103)-_xll.qwBondSettle($A$4,AA103))/360))+O103,0)</f>
        <v>0</v>
      </c>
      <c r="AC103" s="9" cm="1">
        <f t="array" ref="AC103">O103+T103+IF(ISNUMBER(_xll.qwIncome($A$1,F103,_xll.qwSettle($A$4,F103),_xll.qwSettle($A$1,F103))*_xll.qwMVFactor($A$1,F103)*_xll.qwFXRate($A$1,F103)*I103),_xll.qwIncome($A$1,F103,_xll.qwSettle($A$4,F103),_xll.qwSettle($A$1,F103))*_xll.qwMVFactor($A$1,F103)*_xll.qwFXRate($A$1,F103)*I103,0)+IF(ISNUMBER(-(_xll.qwBondRepoFromTo($A$1,F103,_xll.qwSettle($A$4,F103),_xll.qwSettle($A$1,F103))*_xll.qwSecVal($A$1,F103,"Price")*(_xll.qwSettle($A$1,F103)-_xll.qwSettle($A$4,F103))/360)*_xll.qwMVFactor($A$1,F103)*_xll.qwFXRate($A$1,F103)*I103),-(_xll.qwBondRepoFromTo($A$1,F103,_xll.qwSettle($A$4,F103),_xll.qwSettle($A$1,F103))*_xll.qwSecVal($A$1,F103,"Price")*(_xll.qwSettle($A$1,F103)-_xll.qwSettle($A$4,F103))/360)*_xll.qwMVFactor($A$1,F103)*_xll.qwFXRate($A$1,F103)*I103,0)</f>
        <v>-234962.35597815897</v>
      </c>
      <c r="AD103" s="6"/>
    </row>
    <row r="104" spans="2:30" s="7" customFormat="1" x14ac:dyDescent="0.35">
      <c r="B104" s="7" t="str">
        <v>jcleary</v>
      </c>
      <c r="C104" s="7" t="str">
        <v>MAMS</v>
      </c>
      <c r="D104" s="7" t="str">
        <v>jcleary|MAMS|RV_US_Spreads_SpreadCurve|254741368</v>
      </c>
      <c r="E104" s="7" t="str">
        <v>RV_US_Spreads_SpreadCurve</v>
      </c>
      <c r="F104" s="7" t="str">
        <v>254741368</v>
      </c>
      <c r="G104" s="7">
        <v>141.30000000000001</v>
      </c>
      <c r="H104" s="7">
        <v>0</v>
      </c>
      <c r="I104" s="7">
        <v>141.30000000000001</v>
      </c>
      <c r="J104" s="7">
        <v>0</v>
      </c>
      <c r="K104" s="7">
        <v>0</v>
      </c>
      <c r="L104" s="7">
        <v>0</v>
      </c>
      <c r="M104" s="7">
        <v>0</v>
      </c>
      <c r="N104" s="7" t="str">
        <v>SwapTrade</v>
      </c>
      <c r="O104" s="6" cm="1">
        <f t="array" ref="O104">(_xll.qwPrice($A$1,F104)-_xll.qwPrice($A$4,F104))*_xll.qwMVFactor($A$1,F104)*I104*_xll.qwFXRate($A$1,F104)</f>
        <v>58834.599588032259</v>
      </c>
      <c r="P104" s="6" cm="1">
        <f t="array" ref="P104">IF(ISNUMBER(_xll.qwDV01($A$1,F104)*I104*_xll.qwMVFactor($A$1,F104)*_xll.qwFXRate($A$1,F104)),_xll.qwDV01($A$1,F104)*I104*_xll.qwMVFactor($A$1,F104)*_xll.qwFXRate($A$1,F104),0)</f>
        <v>62155.487377771708</v>
      </c>
      <c r="Q104" s="6" cm="1">
        <f t="array" ref="Q104">IF(ISNUMBER(_xll.qwDV01($A$1,F104)*G104*_xll.qwMVFactor($A$1,F104)*_xll.qwFXRate($A$1,F104)),_xll.qwDV01($A$1,F104)*G104*_xll.qwMVFactor($A$1,F104)*_xll.qwFXRate($A$1,F104),0)</f>
        <v>62155.487377771708</v>
      </c>
      <c r="R104" s="6" cm="1">
        <f t="array" ref="R104">IF(ISNUMBER(_xll.qwDV01($A$1,F104)*J104*_xll.qwMVFactor($A$1,F104)*_xll.qwFXRate($A$1,F104)),_xll.qwDV01($A$1,F104)*J104*_xll.qwMVFactor($A$1,F104)*_xll.qwFXRate($A$1,F104),0)</f>
        <v>0</v>
      </c>
      <c r="S104" s="6" cm="1">
        <f t="array" ref="S104">IF(ISNUMBER(_xll.qwDV01($A$1,F104)*J104*_xll.qwMVFactor($A$1,F104)*_xll.qwFXRate($A$1,F104)),_xll.qwDV01($A$1,F104)*J104*_xll.qwMVFactor($A$1,F104)*_xll.qwFXRate($A$1,F104),0)</f>
        <v>0</v>
      </c>
      <c r="T104" s="6" cm="1">
        <f t="array" ref="T104">_xll.qwFXRate($A$1,F104)*J104*(_xll.qwPrice($A$1,F104)-M104)*_xll.qwMVFactor($A$1,F104)+L104</f>
        <v>0</v>
      </c>
      <c r="U104" s="8" cm="1">
        <f t="array" ref="U104">_xll.qwYield($A$1,F104)</f>
        <v>4.7128909254654794E-2</v>
      </c>
      <c r="V104" s="8" cm="1">
        <f t="array" ref="V104">100*(_xll.qwYield($A$4,F104)-U104)</f>
        <v>3.385580984832659E-3</v>
      </c>
      <c r="W104" s="6">
        <f>IF(ISNA(G104*INDEX(_xll.qwTblData(_xll.qwCurveScenariosPerSecurity($A$1,F104,"Crv210")),2,2)),0,(G104*INDEX(_xll.qwTblData(_xll.qwCurveScenariosPerSecurity($A$1,F104,"Crv210")),2,2)))</f>
        <v>8133.6045962110011</v>
      </c>
      <c r="X104" s="6" cm="1">
        <f t="array" ref="X104">ABS(Q104/_xll.qwMV01($A$1,"CT10"))</f>
        <v>83.673160150894716</v>
      </c>
      <c r="Y104" s="6" cm="1">
        <f t="array" ref="Y104">IF(N104="BondFuture",-(_xll.qwCurveYield($A$1,_xll.qwSecVal($A$1,AA104,"CreditCurveName()"),AA104)-_xll.qwCurveYield($A$4,_xll.qwSecVal($A$4,AA104,"CreditCurveName()"),AA104))*P104*10000,IF(N104="Bond",-(_xll.qwCurveYield($A$1,_xll.qwSecVal($A$1,F104,"CreditCurveName()"),F104)-_xll.qwCurveYield($A$4,_xll.qwSecVal($A$4,F104,"CreditCurveName()"),F104))*P104*10000,O104))</f>
        <v>58834.599588032259</v>
      </c>
      <c r="Z104" s="6" cm="1">
        <f t="array" ref="Z104">IF(OR(N104="BondFuture",N104="Bond"),P104*(_xll.qwCurveZSpread($A$4,_xll.qwSecVal($A$1,AA104,"CreditCurveName()"),AA104)-_xll.qwCurveZSpread($A$1,_xll.qwSecVal($A$1,AA104,"CreditCurveName()"),AA104)),0)</f>
        <v>0</v>
      </c>
      <c r="AA104" s="9" cm="1">
        <f t="array" ref="AA104">IF(_xll.qwSecType(F104)="Bond",F104,IF(_xll.qwSecType(F104)="BondFuture",_xll.qwFutCTD($A$1,F104),0))</f>
        <v>0</v>
      </c>
      <c r="AB104" s="6" cm="1">
        <f t="array" ref="AB104">IF(_xll.qwSecType(F104)="BondFuture",-(I104*_xll.qwDelta($A$4,F104)*_xll.qwMVFactor($A$1,F104)/_xll.qwMVFactor($A$1,_xll.qwFutCTD($A$1,F104)))*(_xll.qwFXRate($A$1,F104)*_xll.qwMVFactor($A$1,_xll.qwFutCTD($A$1,F104))*(_xll.qwIncome($A$4,_xll.qwFutCTD($A$4,F104),_xll.qwBondSettle($A$4,_xll.qwFutCTD($A$4,F104)),_xll.qwBondSettle($A$1,_xll.qwFutCTD($A$1,F104)))+(_xll.qwSecVal($A$1,AA104,"Price")-_xll.qwSecVal($A$4,AA104,"Price"))-_xll.qwBondRepoFromTo($A$1,AA104,_xll.qwBondSettle($A$4,AA104),_xll.qwBondSettle($A$1,AA104))*_xll.qwSecVal($A$1,AA104,"Price")*(_xll.qwBondSettle($A$1,AA104)-_xll.qwBondSettle($A$4,AA104))/360))+O104,0)</f>
        <v>0</v>
      </c>
      <c r="AC104" s="9" cm="1">
        <f t="array" ref="AC104">O104+T104+IF(ISNUMBER(_xll.qwIncome($A$1,F104,_xll.qwSettle($A$4,F104),_xll.qwSettle($A$1,F104))*_xll.qwMVFactor($A$1,F104)*_xll.qwFXRate($A$1,F104)*I104),_xll.qwIncome($A$1,F104,_xll.qwSettle($A$4,F104),_xll.qwSettle($A$1,F104))*_xll.qwMVFactor($A$1,F104)*_xll.qwFXRate($A$1,F104)*I104,0)+IF(ISNUMBER(-(_xll.qwBondRepoFromTo($A$1,F104,_xll.qwSettle($A$4,F104),_xll.qwSettle($A$1,F104))*_xll.qwSecVal($A$1,F104,"Price")*(_xll.qwSettle($A$1,F104)-_xll.qwSettle($A$4,F104))/360)*_xll.qwMVFactor($A$1,F104)*_xll.qwFXRate($A$1,F104)*I104),-(_xll.qwBondRepoFromTo($A$1,F104,_xll.qwSettle($A$4,F104),_xll.qwSettle($A$1,F104))*_xll.qwSecVal($A$1,F104,"Price")*(_xll.qwSettle($A$1,F104)-_xll.qwSettle($A$4,F104))/360)*_xll.qwMVFactor($A$1,F104)*_xll.qwFXRate($A$1,F104)*I104,0)</f>
        <v>58834.599588032259</v>
      </c>
      <c r="AD104" s="6"/>
    </row>
    <row r="105" spans="2:30" s="7" customFormat="1" x14ac:dyDescent="0.35">
      <c r="B105" s="7" t="str">
        <v>jcleary</v>
      </c>
      <c r="C105" s="7" t="str">
        <v>MAMS</v>
      </c>
      <c r="D105" s="7" t="str">
        <v>jcleary|MAMS|RV_US_Spreads_SpreadCurve|254741372</v>
      </c>
      <c r="E105" s="7" t="str">
        <v>RV_US_Spreads_SpreadCurve</v>
      </c>
      <c r="F105" s="7" t="str">
        <v>254741372</v>
      </c>
      <c r="G105" s="7">
        <v>83.2</v>
      </c>
      <c r="H105" s="7">
        <v>0</v>
      </c>
      <c r="I105" s="7">
        <v>83.2</v>
      </c>
      <c r="J105" s="7">
        <v>0</v>
      </c>
      <c r="K105" s="7">
        <v>0</v>
      </c>
      <c r="L105" s="7">
        <v>0</v>
      </c>
      <c r="M105" s="7">
        <v>0</v>
      </c>
      <c r="N105" s="7" t="str">
        <v>SwapTrade</v>
      </c>
      <c r="O105" s="6" cm="1">
        <f t="array" ref="O105">(_xll.qwPrice($A$1,F105)-_xll.qwPrice($A$4,F105))*_xll.qwMVFactor($A$1,F105)*I105*_xll.qwFXRate($A$1,F105)</f>
        <v>-127518.34637874844</v>
      </c>
      <c r="P105" s="6" cm="1">
        <f t="array" ref="P105">IF(ISNUMBER(_xll.qwDV01($A$1,F105)*I105*_xll.qwMVFactor($A$1,F105)*_xll.qwFXRate($A$1,F105)),_xll.qwDV01($A$1,F105)*I105*_xll.qwMVFactor($A$1,F105)*_xll.qwFXRate($A$1,F105),0)</f>
        <v>-62243.163676800621</v>
      </c>
      <c r="Q105" s="6" cm="1">
        <f t="array" ref="Q105">IF(ISNUMBER(_xll.qwDV01($A$1,F105)*G105*_xll.qwMVFactor($A$1,F105)*_xll.qwFXRate($A$1,F105)),_xll.qwDV01($A$1,F105)*G105*_xll.qwMVFactor($A$1,F105)*_xll.qwFXRate($A$1,F105),0)</f>
        <v>-62243.163676800621</v>
      </c>
      <c r="R105" s="6" cm="1">
        <f t="array" ref="R105">IF(ISNUMBER(_xll.qwDV01($A$1,F105)*J105*_xll.qwMVFactor($A$1,F105)*_xll.qwFXRate($A$1,F105)),_xll.qwDV01($A$1,F105)*J105*_xll.qwMVFactor($A$1,F105)*_xll.qwFXRate($A$1,F105),0)</f>
        <v>0</v>
      </c>
      <c r="S105" s="6" cm="1">
        <f t="array" ref="S105">IF(ISNUMBER(_xll.qwDV01($A$1,F105)*J105*_xll.qwMVFactor($A$1,F105)*_xll.qwFXRate($A$1,F105)),_xll.qwDV01($A$1,F105)*J105*_xll.qwMVFactor($A$1,F105)*_xll.qwFXRate($A$1,F105),0)</f>
        <v>0</v>
      </c>
      <c r="T105" s="6" cm="1">
        <f t="array" ref="T105">_xll.qwFXRate($A$1,F105)*J105*(_xll.qwPrice($A$1,F105)-M105)*_xll.qwMVFactor($A$1,F105)+L105</f>
        <v>0</v>
      </c>
      <c r="U105" s="8" cm="1">
        <f t="array" ref="U105">_xll.qwYield($A$1,F105)</f>
        <v>4.8095064276649377E-2</v>
      </c>
      <c r="V105" s="8" cm="1">
        <f t="array" ref="V105">100*(_xll.qwYield($A$4,F105)-U105)</f>
        <v>2.0536310198508018E-2</v>
      </c>
      <c r="W105" s="6">
        <f>IF(ISNA(G105*INDEX(_xll.qwTblData(_xll.qwCurveScenariosPerSecurity($A$1,F105,"Crv210")),2,2)),0,(G105*INDEX(_xll.qwTblData(_xll.qwCurveScenariosPerSecurity($A$1,F105,"Crv210")),2,2)))</f>
        <v>30138.518635042019</v>
      </c>
      <c r="X105" s="6" cm="1">
        <f t="array" ref="X105">ABS(Q105/_xll.qwMV01($A$1,"CT10"))</f>
        <v>83.791189199005885</v>
      </c>
      <c r="Y105" s="6" cm="1">
        <f t="array" ref="Y105">IF(N105="BondFuture",-(_xll.qwCurveYield($A$1,_xll.qwSecVal($A$1,AA105,"CreditCurveName()"),AA105)-_xll.qwCurveYield($A$4,_xll.qwSecVal($A$4,AA105,"CreditCurveName()"),AA105))*P105*10000,IF(N105="Bond",-(_xll.qwCurveYield($A$1,_xll.qwSecVal($A$1,F105,"CreditCurveName()"),F105)-_xll.qwCurveYield($A$4,_xll.qwSecVal($A$4,F105,"CreditCurveName()"),F105))*P105*10000,O105))</f>
        <v>-127518.34637874844</v>
      </c>
      <c r="Z105" s="6" cm="1">
        <f t="array" ref="Z105">IF(OR(N105="BondFuture",N105="Bond"),P105*(_xll.qwCurveZSpread($A$4,_xll.qwSecVal($A$1,AA105,"CreditCurveName()"),AA105)-_xll.qwCurveZSpread($A$1,_xll.qwSecVal($A$1,AA105,"CreditCurveName()"),AA105)),0)</f>
        <v>0</v>
      </c>
      <c r="AA105" s="9" cm="1">
        <f t="array" ref="AA105">IF(_xll.qwSecType(F105)="Bond",F105,IF(_xll.qwSecType(F105)="BondFuture",_xll.qwFutCTD($A$1,F105),0))</f>
        <v>0</v>
      </c>
      <c r="AB105" s="6" cm="1">
        <f t="array" ref="AB105">IF(_xll.qwSecType(F105)="BondFuture",-(I105*_xll.qwDelta($A$4,F105)*_xll.qwMVFactor($A$1,F105)/_xll.qwMVFactor($A$1,_xll.qwFutCTD($A$1,F105)))*(_xll.qwFXRate($A$1,F105)*_xll.qwMVFactor($A$1,_xll.qwFutCTD($A$1,F105))*(_xll.qwIncome($A$4,_xll.qwFutCTD($A$4,F105),_xll.qwBondSettle($A$4,_xll.qwFutCTD($A$4,F105)),_xll.qwBondSettle($A$1,_xll.qwFutCTD($A$1,F105)))+(_xll.qwSecVal($A$1,AA105,"Price")-_xll.qwSecVal($A$4,AA105,"Price"))-_xll.qwBondRepoFromTo($A$1,AA105,_xll.qwBondSettle($A$4,AA105),_xll.qwBondSettle($A$1,AA105))*_xll.qwSecVal($A$1,AA105,"Price")*(_xll.qwBondSettle($A$1,AA105)-_xll.qwBondSettle($A$4,AA105))/360))+O105,0)</f>
        <v>0</v>
      </c>
      <c r="AC105" s="9" cm="1">
        <f t="array" ref="AC105">O105+T105+IF(ISNUMBER(_xll.qwIncome($A$1,F105,_xll.qwSettle($A$4,F105),_xll.qwSettle($A$1,F105))*_xll.qwMVFactor($A$1,F105)*_xll.qwFXRate($A$1,F105)*I105),_xll.qwIncome($A$1,F105,_xll.qwSettle($A$4,F105),_xll.qwSettle($A$1,F105))*_xll.qwMVFactor($A$1,F105)*_xll.qwFXRate($A$1,F105)*I105,0)+IF(ISNUMBER(-(_xll.qwBondRepoFromTo($A$1,F105,_xll.qwSettle($A$4,F105),_xll.qwSettle($A$1,F105))*_xll.qwSecVal($A$1,F105,"Price")*(_xll.qwSettle($A$1,F105)-_xll.qwSettle($A$4,F105))/360)*_xll.qwMVFactor($A$1,F105)*_xll.qwFXRate($A$1,F105)*I105),-(_xll.qwBondRepoFromTo($A$1,F105,_xll.qwSettle($A$4,F105),_xll.qwSettle($A$1,F105))*_xll.qwSecVal($A$1,F105,"Price")*(_xll.qwSettle($A$1,F105)-_xll.qwSettle($A$4,F105))/360)*_xll.qwMVFactor($A$1,F105)*_xll.qwFXRate($A$1,F105)*I105,0)</f>
        <v>-127518.34637874844</v>
      </c>
      <c r="AD105" s="6"/>
    </row>
    <row r="106" spans="2:30" s="7" customFormat="1" x14ac:dyDescent="0.35">
      <c r="B106" s="7" t="str">
        <v>jcleary</v>
      </c>
      <c r="C106" s="7" t="str">
        <v>MAMS</v>
      </c>
      <c r="D106" s="7" t="str">
        <v>jcleary|MAMS|RV_US_Spreads_SpreadCurve|91282CRF0</v>
      </c>
      <c r="E106" s="7" t="str">
        <v>RV_US_Spreads_SpreadCurve</v>
      </c>
      <c r="F106" s="7" t="str">
        <v>91282CRF0</v>
      </c>
      <c r="G106" s="7">
        <v>-77</v>
      </c>
      <c r="H106" s="7">
        <v>0</v>
      </c>
      <c r="I106" s="7">
        <v>-77</v>
      </c>
      <c r="J106" s="7">
        <v>0</v>
      </c>
      <c r="K106" s="7">
        <v>0</v>
      </c>
      <c r="L106" s="7">
        <v>0</v>
      </c>
      <c r="M106" s="7">
        <v>0</v>
      </c>
      <c r="N106" s="7" t="str">
        <v>Bond</v>
      </c>
      <c r="O106" s="6" cm="1">
        <f t="array" ref="O106">(_xll.qwPrice($A$1,F106)-_xll.qwPrice($A$4,F106))*_xll.qwMVFactor($A$1,F106)*I106*_xll.qwFXRate($A$1,F106)</f>
        <v>-150390.62500012037</v>
      </c>
      <c r="P106" s="6" cm="1">
        <f t="array" ref="P106">IF(ISNUMBER(_xll.qwDV01($A$1,F106)*I106*_xll.qwMVFactor($A$1,F106)*_xll.qwFXRate($A$1,F106)),_xll.qwDV01($A$1,F106)*I106*_xll.qwMVFactor($A$1,F106)*_xll.qwFXRate($A$1,F106),0)</f>
        <v>-57198.419654014288</v>
      </c>
      <c r="Q106" s="6" cm="1">
        <f t="array" ref="Q106">IF(ISNUMBER(_xll.qwDV01($A$1,F106)*G106*_xll.qwMVFactor($A$1,F106)*_xll.qwFXRate($A$1,F106)),_xll.qwDV01($A$1,F106)*G106*_xll.qwMVFactor($A$1,F106)*_xll.qwFXRate($A$1,F106),0)</f>
        <v>-57198.419654014288</v>
      </c>
      <c r="R106" s="6" cm="1">
        <f t="array" ref="R106">IF(ISNUMBER(_xll.qwDV01($A$1,F106)*J106*_xll.qwMVFactor($A$1,F106)*_xll.qwFXRate($A$1,F106)),_xll.qwDV01($A$1,F106)*J106*_xll.qwMVFactor($A$1,F106)*_xll.qwFXRate($A$1,F106),0)</f>
        <v>0</v>
      </c>
      <c r="S106" s="6" cm="1">
        <f t="array" ref="S106">IF(ISNUMBER(_xll.qwDV01($A$1,F106)*J106*_xll.qwMVFactor($A$1,F106)*_xll.qwFXRate($A$1,F106)),_xll.qwDV01($A$1,F106)*J106*_xll.qwMVFactor($A$1,F106)*_xll.qwFXRate($A$1,F106),0)</f>
        <v>0</v>
      </c>
      <c r="T106" s="6" cm="1">
        <f t="array" ref="T106">_xll.qwFXRate($A$1,F106)*J106*(_xll.qwPrice($A$1,F106)-M106)*_xll.qwMVFactor($A$1,F106)+L106</f>
        <v>0</v>
      </c>
      <c r="U106" s="8" cm="1">
        <f t="array" ref="U106">_xll.qwYield($A$1,F106)</f>
        <v>5.1895821617104133E-2</v>
      </c>
      <c r="V106" s="8" cm="1">
        <f t="array" ref="V106">100*(_xll.qwYield($A$4,F106)-U106)</f>
        <v>2.620371726752696E-2</v>
      </c>
      <c r="W106" s="6">
        <f>IF(ISNA(G106*INDEX(_xll.qwTblData(_xll.qwCurveScenariosPerSecurity($A$1,F106,"Crv210")),2,2)),0,(G106*INDEX(_xll.qwTblData(_xll.qwCurveScenariosPerSecurity($A$1,F106,"Crv210")),2,2)))</f>
        <v>27959.232334113436</v>
      </c>
      <c r="X106" s="6" cm="1">
        <f t="array" ref="X106">ABS(Q106/_xll.qwMV01($A$1,"CT10"))</f>
        <v>77</v>
      </c>
      <c r="Y106" s="6" cm="1">
        <f t="array" ref="Y106">IF(N106="BondFuture",-(_xll.qwCurveYield($A$1,_xll.qwSecVal($A$1,AA106,"CreditCurveName()"),AA106)-_xll.qwCurveYield($A$4,_xll.qwSecVal($A$4,AA106,"CreditCurveName()"),AA106))*P106*10000,IF(N106="Bond",-(_xll.qwCurveYield($A$1,_xll.qwSecVal($A$1,F106,"CreditCurveName()"),F106)-_xll.qwCurveYield($A$4,_xll.qwSecVal($A$4,F106,"CreditCurveName()"),F106))*P106*10000,O106))</f>
        <v>-153593.8632529781</v>
      </c>
      <c r="Z106" s="6" cm="1">
        <f t="array" ref="Z106">IF(OR(N106="BondFuture",N106="Bond"),P106*(_xll.qwCurveZSpread($A$4,_xll.qwSecVal($A$1,AA106,"CreditCurveName()"),AA106)-_xll.qwCurveZSpread($A$1,_xll.qwSecVal($A$1,AA106,"CreditCurveName()"),AA106)),0)</f>
        <v>3712.7415766633308</v>
      </c>
      <c r="AA106" s="9" t="str" cm="1">
        <f t="array" ref="AA106">IF(_xll.qwSecType(F106)="Bond",F106,IF(_xll.qwSecType(F106)="BondFuture",_xll.qwFutCTD($A$1,F106),0))</f>
        <v>91282CRF0</v>
      </c>
      <c r="AB106" s="6" cm="1">
        <f t="array" ref="AB106">IF(_xll.qwSecType(F106)="BondFuture",-(I106*_xll.qwDelta($A$4,F106)*_xll.qwMVFactor($A$1,F106)/_xll.qwMVFactor($A$1,_xll.qwFutCTD($A$1,F106)))*(_xll.qwFXRate($A$1,F106)*_xll.qwMVFactor($A$1,_xll.qwFutCTD($A$1,F106))*(_xll.qwIncome($A$4,_xll.qwFutCTD($A$4,F106),_xll.qwBondSettle($A$4,_xll.qwFutCTD($A$4,F106)),_xll.qwBondSettle($A$1,_xll.qwFutCTD($A$1,F106)))+(_xll.qwSecVal($A$1,AA106,"Price")-_xll.qwSecVal($A$4,AA106,"Price"))-_xll.qwBondRepoFromTo($A$1,AA106,_xll.qwBondSettle($A$4,AA106),_xll.qwBondSettle($A$1,AA106))*_xll.qwSecVal($A$1,AA106,"Price")*(_xll.qwBondSettle($A$1,AA106)-_xll.qwBondSettle($A$4,AA106))/360))+O106,0)</f>
        <v>0</v>
      </c>
      <c r="AC106" s="9" cm="1">
        <f t="array" ref="AC106">O106+T106+IF(ISNUMBER(_xll.qwIncome($A$1,F106,_xll.qwSettle($A$4,F106),_xll.qwSettle($A$1,F106))*_xll.qwMVFactor($A$1,F106)*_xll.qwFXRate($A$1,F106)*I106),_xll.qwIncome($A$1,F106,_xll.qwSettle($A$4,F106),_xll.qwSettle($A$1,F106))*_xll.qwMVFactor($A$1,F106)*_xll.qwFXRate($A$1,F106)*I106,0)+IF(ISNUMBER(-(_xll.qwBondRepoFromTo($A$1,F106,_xll.qwSettle($A$4,F106),_xll.qwSettle($A$1,F106))*_xll.qwSecVal($A$1,F106,"Price")*(_xll.qwSettle($A$1,F106)-_xll.qwSettle($A$4,F106))/360)*_xll.qwMVFactor($A$1,F106)*_xll.qwFXRate($A$1,F106)*I106),-(_xll.qwBondRepoFromTo($A$1,F106,_xll.qwSettle($A$4,F106),_xll.qwSettle($A$1,F106))*_xll.qwSecVal($A$1,F106,"Price")*(_xll.qwSettle($A$1,F106)-_xll.qwSettle($A$4,F106))/360)*_xll.qwMVFactor($A$1,F106)*_xll.qwFXRate($A$1,F106)*I106,0)</f>
        <v>-152076.37120022051</v>
      </c>
      <c r="AD106" s="6"/>
    </row>
    <row r="107" spans="2:30" s="7" customFormat="1" x14ac:dyDescent="0.35">
      <c r="B107" s="7" t="str">
        <v>jcleary</v>
      </c>
      <c r="C107" s="7" t="str">
        <v>MAMS</v>
      </c>
      <c r="D107" s="7" t="str">
        <v>jcleary|MAMS|RV_US_Spreads_SpreadCurve|91282CRN3</v>
      </c>
      <c r="E107" s="7" t="str">
        <v>RV_US_Spreads_SpreadCurve</v>
      </c>
      <c r="F107" s="7" t="str">
        <v>91282CRN3</v>
      </c>
      <c r="G107" s="7">
        <v>244.3</v>
      </c>
      <c r="H107" s="7">
        <v>0</v>
      </c>
      <c r="I107" s="7">
        <v>244.3</v>
      </c>
      <c r="J107" s="7">
        <v>0</v>
      </c>
      <c r="K107" s="7">
        <v>0</v>
      </c>
      <c r="L107" s="7">
        <v>0</v>
      </c>
      <c r="M107" s="7">
        <v>0</v>
      </c>
      <c r="N107" s="7" t="str">
        <v>Bond</v>
      </c>
      <c r="O107" s="6" cm="1">
        <f t="array" ref="O107">(_xll.qwPrice($A$1,F107)-_xll.qwPrice($A$4,F107))*_xll.qwMVFactor($A$1,F107)*I107*_xll.qwFXRate($A$1,F107)</f>
        <v>152687.50000003472</v>
      </c>
      <c r="P107" s="6" cm="1">
        <f t="array" ref="P107">IF(ISNUMBER(_xll.qwDV01($A$1,F107)*I107*_xll.qwMVFactor($A$1,F107)*_xll.qwFXRate($A$1,F107)),_xll.qwDV01($A$1,F107)*I107*_xll.qwMVFactor($A$1,F107)*_xll.qwFXRate($A$1,F107),0)</f>
        <v>106186.99242570528</v>
      </c>
      <c r="Q107" s="6" cm="1">
        <f t="array" ref="Q107">IF(ISNUMBER(_xll.qwDV01($A$1,F107)*G107*_xll.qwMVFactor($A$1,F107)*_xll.qwFXRate($A$1,F107)),_xll.qwDV01($A$1,F107)*G107*_xll.qwMVFactor($A$1,F107)*_xll.qwFXRate($A$1,F107),0)</f>
        <v>106186.99242570528</v>
      </c>
      <c r="R107" s="6" cm="1">
        <f t="array" ref="R107">IF(ISNUMBER(_xll.qwDV01($A$1,F107)*J107*_xll.qwMVFactor($A$1,F107)*_xll.qwFXRate($A$1,F107)),_xll.qwDV01($A$1,F107)*J107*_xll.qwMVFactor($A$1,F107)*_xll.qwFXRate($A$1,F107),0)</f>
        <v>0</v>
      </c>
      <c r="S107" s="6" cm="1">
        <f t="array" ref="S107">IF(ISNUMBER(_xll.qwDV01($A$1,F107)*J107*_xll.qwMVFactor($A$1,F107)*_xll.qwFXRate($A$1,F107)),_xll.qwDV01($A$1,F107)*J107*_xll.qwMVFactor($A$1,F107)*_xll.qwFXRate($A$1,F107),0)</f>
        <v>0</v>
      </c>
      <c r="T107" s="6" cm="1">
        <f t="array" ref="T107">_xll.qwFXRate($A$1,F107)*J107*(_xll.qwPrice($A$1,F107)-M107)*_xll.qwMVFactor($A$1,F107)+L107</f>
        <v>0</v>
      </c>
      <c r="U107" s="8" cm="1">
        <f t="array" ref="U107">_xll.qwYield($A$1,F107)</f>
        <v>4.9913746673386834E-2</v>
      </c>
      <c r="V107" s="8" cm="1">
        <f t="array" ref="V107">100*(_xll.qwYield($A$4,F107)-U107)</f>
        <v>1.4414355454046845E-2</v>
      </c>
      <c r="W107" s="6">
        <f>IF(ISNA(G107*INDEX(_xll.qwTblData(_xll.qwCurveScenariosPerSecurity($A$1,F107,"Crv210")),2,2)),0,(G107*INDEX(_xll.qwTblData(_xll.qwCurveScenariosPerSecurity($A$1,F107,"Crv210")),2,2)))</f>
        <v>13801.048596428558</v>
      </c>
      <c r="X107" s="6" cm="1">
        <f t="array" ref="X107">ABS(Q107/_xll.qwMV01($A$1,"CT10"))</f>
        <v>142.9479776930423</v>
      </c>
      <c r="Y107" s="6" cm="1">
        <f t="array" ref="Y107">IF(N107="BondFuture",-(_xll.qwCurveYield($A$1,_xll.qwSecVal($A$1,AA107,"CreditCurveName()"),AA107)-_xll.qwCurveYield($A$4,_xll.qwSecVal($A$4,AA107,"CreditCurveName()"),AA107))*P107*10000,IF(N107="Bond",-(_xll.qwCurveYield($A$1,_xll.qwSecVal($A$1,F107,"CreditCurveName()"),F107)-_xll.qwCurveYield($A$4,_xll.qwSecVal($A$4,F107,"CreditCurveName()"),F107))*P107*10000,O107))</f>
        <v>153453.17202856182</v>
      </c>
      <c r="Z107" s="6" cm="1">
        <f t="array" ref="Z107">IF(OR(N107="BondFuture",N107="Bond"),P107*(_xll.qwCurveZSpread($A$4,_xll.qwSecVal($A$1,AA107,"CreditCurveName()"),AA107)-_xll.qwCurveZSpread($A$1,_xll.qwSecVal($A$1,AA107,"CreditCurveName()"),AA107)),0)</f>
        <v>-391.46668653222787</v>
      </c>
      <c r="AA107" s="9" t="str" cm="1">
        <f t="array" ref="AA107">IF(_xll.qwSecType(F107)="Bond",F107,IF(_xll.qwSecType(F107)="BondFuture",_xll.qwFutCTD($A$1,F107),0))</f>
        <v>91282CRN3</v>
      </c>
      <c r="AB107" s="6" cm="1">
        <f t="array" ref="AB107">IF(_xll.qwSecType(F107)="BondFuture",-(I107*_xll.qwDelta($A$4,F107)*_xll.qwMVFactor($A$1,F107)/_xll.qwMVFactor($A$1,_xll.qwFutCTD($A$1,F107)))*(_xll.qwFXRate($A$1,F107)*_xll.qwMVFactor($A$1,_xll.qwFutCTD($A$1,F107))*(_xll.qwIncome($A$4,_xll.qwFutCTD($A$4,F107),_xll.qwBondSettle($A$4,_xll.qwFutCTD($A$4,F107)),_xll.qwBondSettle($A$1,_xll.qwFutCTD($A$1,F107)))+(_xll.qwSecVal($A$1,AA107,"Price")-_xll.qwSecVal($A$4,AA107,"Price"))-_xll.qwBondRepoFromTo($A$1,AA107,_xll.qwBondSettle($A$4,AA107),_xll.qwBondSettle($A$1,AA107))*_xll.qwSecVal($A$1,AA107,"Price")*(_xll.qwBondSettle($A$1,AA107)-_xll.qwBondSettle($A$4,AA107))/360))+O107,0)</f>
        <v>0</v>
      </c>
      <c r="AC107" s="9" cm="1">
        <f t="array" ref="AC107">O107+T107+IF(ISNUMBER(_xll.qwIncome($A$1,F107,_xll.qwSettle($A$4,F107),_xll.qwSettle($A$1,F107))*_xll.qwMVFactor($A$1,F107)*_xll.qwFXRate($A$1,F107)*I107),_xll.qwIncome($A$1,F107,_xll.qwSettle($A$4,F107),_xll.qwSettle($A$1,F107))*_xll.qwMVFactor($A$1,F107)*_xll.qwFXRate($A$1,F107)*I107,0)+IF(ISNUMBER(-(_xll.qwBondRepoFromTo($A$1,F107,_xll.qwSettle($A$4,F107),_xll.qwSettle($A$1,F107))*_xll.qwSecVal($A$1,F107,"Price")*(_xll.qwSettle($A$1,F107)-_xll.qwSettle($A$4,F107))/360)*_xll.qwMVFactor($A$1,F107)*_xll.qwFXRate($A$1,F107)*I107),-(_xll.qwBondRepoFromTo($A$1,F107,_xll.qwSettle($A$4,F107),_xll.qwSettle($A$1,F107))*_xll.qwSecVal($A$1,F107,"Price")*(_xll.qwSettle($A$1,F107)-_xll.qwSettle($A$4,F107))/360)*_xll.qwMVFactor($A$1,F107)*_xll.qwFXRate($A$1,F107)*I107,0)</f>
        <v>160416.95839767373</v>
      </c>
      <c r="AD107" s="6"/>
    </row>
    <row r="108" spans="2:30" s="7" customFormat="1" x14ac:dyDescent="0.35">
      <c r="B108" s="7" t="str">
        <v>jcleary</v>
      </c>
      <c r="C108" s="7" t="str">
        <v>MAMS</v>
      </c>
      <c r="D108" s="7" t="str">
        <v>jcleary|MAMS|RV_US_Spreads_SpreadCurve|91282CRQ6</v>
      </c>
      <c r="E108" s="7" t="str">
        <v>RV_US_Spreads_SpreadCurve</v>
      </c>
      <c r="F108" s="7" t="str">
        <v>91282CRQ6</v>
      </c>
      <c r="G108" s="7">
        <v>893.6</v>
      </c>
      <c r="H108" s="7">
        <v>0</v>
      </c>
      <c r="I108" s="7">
        <v>893.6</v>
      </c>
      <c r="J108" s="7">
        <v>0</v>
      </c>
      <c r="K108" s="7">
        <v>0</v>
      </c>
      <c r="L108" s="7">
        <v>0</v>
      </c>
      <c r="M108" s="7">
        <v>0</v>
      </c>
      <c r="N108" s="7" t="str">
        <v>Bond</v>
      </c>
      <c r="O108" s="6" cm="1">
        <f t="array" ref="O108">(_xll.qwPrice($A$1,F108)-_xll.qwPrice($A$4,F108))*_xll.qwMVFactor($A$1,F108)*I108*_xll.qwFXRate($A$1,F108)</f>
        <v>139624.99999949205</v>
      </c>
      <c r="P108" s="6" cm="1">
        <f t="array" ref="P108">IF(ISNUMBER(_xll.qwDV01($A$1,F108)*I108*_xll.qwMVFactor($A$1,F108)*_xll.qwFXRate($A$1,F108)),_xll.qwDV01($A$1,F108)*I108*_xll.qwMVFactor($A$1,F108)*_xll.qwFXRate($A$1,F108),0)</f>
        <v>246326.11848574015</v>
      </c>
      <c r="Q108" s="6" cm="1">
        <f t="array" ref="Q108">IF(ISNUMBER(_xll.qwDV01($A$1,F108)*G108*_xll.qwMVFactor($A$1,F108)*_xll.qwFXRate($A$1,F108)),_xll.qwDV01($A$1,F108)*G108*_xll.qwMVFactor($A$1,F108)*_xll.qwFXRate($A$1,F108),0)</f>
        <v>246326.11848574015</v>
      </c>
      <c r="R108" s="6" cm="1">
        <f t="array" ref="R108">IF(ISNUMBER(_xll.qwDV01($A$1,F108)*J108*_xll.qwMVFactor($A$1,F108)*_xll.qwFXRate($A$1,F108)),_xll.qwDV01($A$1,F108)*J108*_xll.qwMVFactor($A$1,F108)*_xll.qwFXRate($A$1,F108),0)</f>
        <v>0</v>
      </c>
      <c r="S108" s="6" cm="1">
        <f t="array" ref="S108">IF(ISNUMBER(_xll.qwDV01($A$1,F108)*J108*_xll.qwMVFactor($A$1,F108)*_xll.qwFXRate($A$1,F108)),_xll.qwDV01($A$1,F108)*J108*_xll.qwMVFactor($A$1,F108)*_xll.qwFXRate($A$1,F108),0)</f>
        <v>0</v>
      </c>
      <c r="T108" s="6" cm="1">
        <f t="array" ref="T108">_xll.qwFXRate($A$1,F108)*J108*(_xll.qwPrice($A$1,F108)-M108)*_xll.qwMVFactor($A$1,F108)+L108</f>
        <v>0</v>
      </c>
      <c r="U108" s="8" cm="1">
        <f t="array" ref="U108">_xll.qwYield($A$1,F108)</f>
        <v>4.9104058727015398E-2</v>
      </c>
      <c r="V108" s="8" cm="1">
        <f t="array" ref="V108">100*(_xll.qwYield($A$4,F108)-U108)</f>
        <v>5.6688361412600419E-3</v>
      </c>
      <c r="W108" s="6">
        <f>IF(ISNA(G108*INDEX(_xll.qwTblData(_xll.qwCurveScenariosPerSecurity($A$1,F108,"Crv210")),2,2)),0,(G108*INDEX(_xll.qwTblData(_xll.qwCurveScenariosPerSecurity($A$1,F108,"Crv210")),2,2)))</f>
        <v>92259.528330195972</v>
      </c>
      <c r="X108" s="6" cm="1">
        <f t="array" ref="X108">ABS(Q108/_xll.qwMV01($A$1,"CT10"))</f>
        <v>331.60201344952446</v>
      </c>
      <c r="Y108" s="6" cm="1">
        <f t="array" ref="Y108">IF(N108="BondFuture",-(_xll.qwCurveYield($A$1,_xll.qwSecVal($A$1,AA108,"CreditCurveName()"),AA108)-_xll.qwCurveYield($A$4,_xll.qwSecVal($A$4,AA108,"CreditCurveName()"),AA108))*P108*10000,IF(N108="Bond",-(_xll.qwCurveYield($A$1,_xll.qwSecVal($A$1,F108,"CreditCurveName()"),F108)-_xll.qwCurveYield($A$4,_xll.qwSecVal($A$4,F108,"CreditCurveName()"),F108))*P108*10000,O108))</f>
        <v>141597.90896609935</v>
      </c>
      <c r="Z108" s="6" cm="1">
        <f t="array" ref="Z108">IF(OR(N108="BondFuture",N108="Bond"),P108*(_xll.qwCurveZSpread($A$4,_xll.qwSecVal($A$1,AA108,"CreditCurveName()"),AA108)-_xll.qwCurveZSpread($A$1,_xll.qwSecVal($A$1,AA108,"CreditCurveName()"),AA108)),0)</f>
        <v>-1959.6686652726339</v>
      </c>
      <c r="AA108" s="9" t="str" cm="1">
        <f t="array" ref="AA108">IF(_xll.qwSecType(F108)="Bond",F108,IF(_xll.qwSecType(F108)="BondFuture",_xll.qwFutCTD($A$1,F108),0))</f>
        <v>91282CRQ6</v>
      </c>
      <c r="AB108" s="6" cm="1">
        <f t="array" ref="AB108">IF(_xll.qwSecType(F108)="BondFuture",-(I108*_xll.qwDelta($A$4,F108)*_xll.qwMVFactor($A$1,F108)/_xll.qwMVFactor($A$1,_xll.qwFutCTD($A$1,F108)))*(_xll.qwFXRate($A$1,F108)*_xll.qwMVFactor($A$1,_xll.qwFutCTD($A$1,F108))*(_xll.qwIncome($A$4,_xll.qwFutCTD($A$4,F108),_xll.qwBondSettle($A$4,_xll.qwFutCTD($A$4,F108)),_xll.qwBondSettle($A$1,_xll.qwFutCTD($A$1,F108)))+(_xll.qwSecVal($A$1,AA108,"Price")-_xll.qwSecVal($A$4,AA108,"Price"))-_xll.qwBondRepoFromTo($A$1,AA108,_xll.qwBondSettle($A$4,AA108),_xll.qwBondSettle($A$1,AA108))*_xll.qwSecVal($A$1,AA108,"Price")*(_xll.qwBondSettle($A$1,AA108)-_xll.qwBondSettle($A$4,AA108))/360))+O108,0)</f>
        <v>0</v>
      </c>
      <c r="AC108" s="9" cm="1">
        <f t="array" ref="AC108">O108+T108+IF(ISNUMBER(_xll.qwIncome($A$1,F108,_xll.qwSettle($A$4,F108),_xll.qwSettle($A$1,F108))*_xll.qwMVFactor($A$1,F108)*_xll.qwFXRate($A$1,F108)*I108),_xll.qwIncome($A$1,F108,_xll.qwSettle($A$4,F108),_xll.qwSettle($A$1,F108))*_xll.qwMVFactor($A$1,F108)*_xll.qwFXRate($A$1,F108)*I108,0)+IF(ISNUMBER(-(_xll.qwBondRepoFromTo($A$1,F108,_xll.qwSettle($A$4,F108),_xll.qwSettle($A$1,F108))*_xll.qwSecVal($A$1,F108,"Price")*(_xll.qwSettle($A$1,F108)-_xll.qwSettle($A$4,F108))/360)*_xll.qwMVFactor($A$1,F108)*_xll.qwFXRate($A$1,F108)*I108),-(_xll.qwBondRepoFromTo($A$1,F108,_xll.qwSettle($A$4,F108),_xll.qwSettle($A$1,F108))*_xll.qwSecVal($A$1,F108,"Price")*(_xll.qwSettle($A$1,F108)-_xll.qwSettle($A$4,F108))/360)*_xll.qwMVFactor($A$1,F108)*_xll.qwFXRate($A$1,F108)*I108,0)</f>
        <v>139624.99999949205</v>
      </c>
      <c r="AD108" s="6"/>
    </row>
    <row r="109" spans="2:30" s="7" customFormat="1" hidden="1" x14ac:dyDescent="0.35">
      <c r="B109" s="7" t="str">
        <v>jcleary</v>
      </c>
      <c r="C109" s="7" t="str">
        <v>MAMS</v>
      </c>
      <c r="D109" s="7" t="str">
        <v>jcleary|MAMS|RV_US_STIR_HEDGE|FFV6</v>
      </c>
      <c r="E109" s="7" t="str">
        <v>RV_US_STIR_HEDGE</v>
      </c>
      <c r="F109" s="7" t="str">
        <v>FFV6</v>
      </c>
      <c r="G109" s="7">
        <v>1240</v>
      </c>
      <c r="H109" s="7">
        <v>0</v>
      </c>
      <c r="I109" s="7">
        <v>1240</v>
      </c>
      <c r="J109" s="7">
        <v>0</v>
      </c>
      <c r="K109" s="7">
        <v>0</v>
      </c>
      <c r="L109" s="7">
        <v>0</v>
      </c>
      <c r="M109" s="7">
        <v>0</v>
      </c>
      <c r="N109" s="7" t="str">
        <v>RateFuture</v>
      </c>
      <c r="O109" s="6" cm="1">
        <f t="array" ref="O109">(_xll.qwPrice($A$1,F109)-_xll.qwPrice($A$4,F109))*_xll.qwMVFactor($A$1,F109)*I109*_xll.qwFXRate($A$1,F109)</f>
        <v>-25835.399999976504</v>
      </c>
      <c r="P109" s="6" cm="1">
        <f t="array" ref="P109">IF(ISNUMBER(_xll.qwDV01($A$1,F109)*I109*_xll.qwMVFactor($A$1,F109)*_xll.qwFXRate($A$1,F109)),_xll.qwDV01($A$1,F109)*I109*_xll.qwMVFactor($A$1,F109)*_xll.qwFXRate($A$1,F109),0)</f>
        <v>28335.599999999999</v>
      </c>
      <c r="Q109" s="6" cm="1">
        <f t="array" ref="Q109">IF(ISNUMBER(_xll.qwDV01($A$1,F109)*G109*_xll.qwMVFactor($A$1,F109)*_xll.qwFXRate($A$1,F109)),_xll.qwDV01($A$1,F109)*G109*_xll.qwMVFactor($A$1,F109)*_xll.qwFXRate($A$1,F109),0)</f>
        <v>28335.599999999999</v>
      </c>
      <c r="R109" s="6" cm="1">
        <f t="array" ref="R109">IF(ISNUMBER(_xll.qwDV01($A$1,F109)*J109*_xll.qwMVFactor($A$1,F109)*_xll.qwFXRate($A$1,F109)),_xll.qwDV01($A$1,F109)*J109*_xll.qwMVFactor($A$1,F109)*_xll.qwFXRate($A$1,F109),0)</f>
        <v>0</v>
      </c>
      <c r="S109" s="6" cm="1">
        <f t="array" ref="S109">IF(ISNUMBER(_xll.qwDV01($A$1,F109)*J109*_xll.qwMVFactor($A$1,F109)*_xll.qwFXRate($A$1,F109)),_xll.qwDV01($A$1,F109)*J109*_xll.qwMVFactor($A$1,F109)*_xll.qwFXRate($A$1,F109),0)</f>
        <v>0</v>
      </c>
      <c r="T109" s="6" cm="1">
        <f t="array" ref="T109">_xll.qwFXRate($A$1,F109)*J109*(_xll.qwPrice($A$1,F109)-M109)*_xll.qwMVFactor($A$1,F109)</f>
        <v>0</v>
      </c>
      <c r="U109" s="8" cm="1">
        <f t="array" ref="U109">_xll.qwYield($A$1,F109)</f>
        <v>3.9016140650267331E-2</v>
      </c>
      <c r="V109" s="8" cm="1">
        <f t="array" ref="V109">100*(_xll.qwYield($A$4,F109)-U109)</f>
        <v>-9.43059017186193E-3</v>
      </c>
      <c r="W109" s="6">
        <f>IF(ISNA(G109*INDEX(_xll.qwTblData(_xll.qwCurveScenariosPerSecurity($A$1,F109,"Crv210")),2,2)),0,(G109*INDEX(_xll.qwTblData(_xll.qwCurveScenariosPerSecurity($A$1,F109,"Crv210")),2,2)))</f>
        <v>20361.45097263193</v>
      </c>
      <c r="X109" s="6" cm="1">
        <f t="array" ref="X109">ABS(Q109/_xll.qwMV01($A$1,"CT10"))</f>
        <v>38.145130813013196</v>
      </c>
      <c r="Y109" s="6" cm="1">
        <f t="array" ref="Y109">IF(N109="BondFuture",-(_xll.qwCurveYield($A$1,_xll.qwSecVal($A$1,AA109,"CreditCurveName()"),AA109)-_xll.qwCurveYield($A$4,_xll.qwSecVal($A$4,AA109,"CreditCurveName()"),AA109))*P109*10000,IF(N109="Bond",-(_xll.qwCurveYield($A$1,_xll.qwSecVal($A$1,F109,"CreditCurveName()"),F109)-_xll.qwCurveYield($A$4,_xll.qwSecVal($A$4,F109,"CreditCurveName()"),F109))*P109*10000,O109))</f>
        <v>-25835.399999976504</v>
      </c>
      <c r="Z109" s="6" cm="1">
        <f t="array" ref="Z109">IF(OR(N109="BondFuture",N109="Bond"),P109*(_xll.qwCurveZSpread($A$4,_xll.qwSecVal($A$1,AA109,"CreditCurveName()"),AA109)-_xll.qwCurveZSpread($A$1,_xll.qwSecVal($A$1,AA109,"CreditCurveName()"),AA109)),0)</f>
        <v>0</v>
      </c>
      <c r="AA109" s="9" cm="1">
        <f t="array" ref="AA109">IF(_xll.qwSecType(F109)="Bond",F109,IF(_xll.qwSecType(F109)="BondFuture",_xll.qwFutCTD($A$1,F109),0))</f>
        <v>0</v>
      </c>
      <c r="AB109" s="6" cm="1">
        <f t="array" ref="AB109">IF(_xll.qwSecType(F109)="BondFuture",-(I109*_xll.qwDelta($A$4,F109)*_xll.qwMVFactor($A$1,F109)/_xll.qwMVFactor($A$1,_xll.qwFutCTD($A$1,F109)))*(_xll.qwFXRate($A$1,F109)*_xll.qwMVFactor($A$1,_xll.qwFutCTD($A$1,F109))*(_xll.qwIncome($A$4,_xll.qwFutCTD($A$4,F109),_xll.qwBondSettle($A$4,_xll.qwFutCTD($A$4,F109)),_xll.qwBondSettle($A$1,_xll.qwFutCTD($A$1,F109)))+(_xll.qwSecVal($A$1,AA109,"Price")-_xll.qwSecVal($A$4,AA109,"Price"))-_xll.qwBondRepoFromTo($A$1,AA109,_xll.qwBondSettle($A$4,AA109),_xll.qwBondSettle($A$1,AA109))*_xll.qwSecVal($A$1,AA109,"Price")*(_xll.qwBondSettle($A$1,AA109)-_xll.qwBondSettle($A$4,AA109))/360))+O109,0)</f>
        <v>0</v>
      </c>
      <c r="AC109" s="9" cm="1">
        <f t="array" ref="AC109">O109+T109+IF(ISNUMBER(_xll.qwIncome($A$1,F109,_xll.qwSettle($A$4,F109),_xll.qwSettle($A$1,F109))*_xll.qwMVFactor($A$1,F109)*_xll.qwFXRate($A$1,F109)*I109),_xll.qwIncome($A$1,F109,_xll.qwSettle($A$4,F109),_xll.qwSettle($A$1,F109))*_xll.qwMVFactor($A$1,F109)*_xll.qwFXRate($A$1,F109)*I109,0)+IF(ISNUMBER(-(_xll.qwBondRepoFromTo($A$1,F109,_xll.qwSettle($A$4,F109),_xll.qwSettle($A$1,F109))*_xll.qwSecVal($A$1,F109,"Price")*(_xll.qwSettle($A$1,F109)-_xll.qwSettle($A$4,F109))/360)*_xll.qwMVFactor($A$1,F109)*_xll.qwFXRate($A$1,F109)*I109),-(_xll.qwBondRepoFromTo($A$1,F109,_xll.qwSettle($A$4,F109),_xll.qwSettle($A$1,F109))*_xll.qwSecVal($A$1,F109,"Price")*(_xll.qwSettle($A$1,F109)-_xll.qwSettle($A$4,F109))/360)*_xll.qwMVFactor($A$1,F109)*_xll.qwFXRate($A$1,F109)*I109,0)</f>
        <v>-25835.399999976504</v>
      </c>
      <c r="AD109" s="6"/>
    </row>
    <row r="110" spans="2:30" s="7" customFormat="1" hidden="1" x14ac:dyDescent="0.35">
      <c r="B110" s="7" t="str">
        <v>jcleary</v>
      </c>
      <c r="C110" s="7" t="str">
        <v>MAMS</v>
      </c>
      <c r="D110" s="7" t="str">
        <v>jcleary|MAMS|RV_US_STIR_HEDGE|FFX6</v>
      </c>
      <c r="E110" s="7" t="str">
        <v>RV_US_STIR_HEDGE</v>
      </c>
      <c r="F110" s="7" t="str">
        <v>FFX6</v>
      </c>
      <c r="G110" s="7">
        <v>1240</v>
      </c>
      <c r="H110" s="7">
        <v>0</v>
      </c>
      <c r="I110" s="7">
        <v>1240</v>
      </c>
      <c r="J110" s="7">
        <v>0</v>
      </c>
      <c r="K110" s="7">
        <v>0</v>
      </c>
      <c r="L110" s="7">
        <v>0</v>
      </c>
      <c r="M110" s="7">
        <v>0</v>
      </c>
      <c r="N110" s="7" t="str">
        <v>RateFuture</v>
      </c>
      <c r="O110" s="6" cm="1">
        <f t="array" ref="O110">(_xll.qwPrice($A$1,F110)-_xll.qwPrice($A$4,F110))*_xll.qwMVFactor($A$1,F110)*I110*_xll.qwFXRate($A$1,F110)</f>
        <v>-155012.40000000587</v>
      </c>
      <c r="P110" s="6" cm="1">
        <f t="array" ref="P110">IF(ISNUMBER(_xll.qwDV01($A$1,F110)*I110*_xll.qwMVFactor($A$1,F110)*_xll.qwFXRate($A$1,F110)),_xll.qwDV01($A$1,F110)*I110*_xll.qwMVFactor($A$1,F110)*_xll.qwFXRate($A$1,F110),0)</f>
        <v>51670.8</v>
      </c>
      <c r="Q110" s="6" cm="1">
        <f t="array" ref="Q110">IF(ISNUMBER(_xll.qwDV01($A$1,F110)*G110*_xll.qwMVFactor($A$1,F110)*_xll.qwFXRate($A$1,F110)),_xll.qwDV01($A$1,F110)*G110*_xll.qwMVFactor($A$1,F110)*_xll.qwFXRate($A$1,F110),0)</f>
        <v>51670.8</v>
      </c>
      <c r="R110" s="6" cm="1">
        <f t="array" ref="R110">IF(ISNUMBER(_xll.qwDV01($A$1,F110)*J110*_xll.qwMVFactor($A$1,F110)*_xll.qwFXRate($A$1,F110)),_xll.qwDV01($A$1,F110)*J110*_xll.qwMVFactor($A$1,F110)*_xll.qwFXRate($A$1,F110),0)</f>
        <v>0</v>
      </c>
      <c r="S110" s="6" cm="1">
        <f t="array" ref="S110">IF(ISNUMBER(_xll.qwDV01($A$1,F110)*J110*_xll.qwMVFactor($A$1,F110)*_xll.qwFXRate($A$1,F110)),_xll.qwDV01($A$1,F110)*J110*_xll.qwMVFactor($A$1,F110)*_xll.qwFXRate($A$1,F110),0)</f>
        <v>0</v>
      </c>
      <c r="T110" s="6" cm="1">
        <f t="array" ref="T110">_xll.qwFXRate($A$1,F110)*J110*(_xll.qwPrice($A$1,F110)-M110)*_xll.qwMVFactor($A$1,F110)</f>
        <v>0</v>
      </c>
      <c r="U110" s="8" cm="1">
        <f t="array" ref="U110">_xll.qwYield($A$1,F110)</f>
        <v>3.97133867413757E-2</v>
      </c>
      <c r="V110" s="8" cm="1">
        <f t="array" ref="V110">100*(_xll.qwYield($A$4,F110)-U110)</f>
        <v>-3.0095605109892176E-2</v>
      </c>
      <c r="W110" s="6">
        <f>IF(ISNA(G110*INDEX(_xll.qwTblData(_xll.qwCurveScenariosPerSecurity($A$1,F110,"Crv210")),2,2)),0,(G110*INDEX(_xll.qwTblData(_xll.qwCurveScenariosPerSecurity($A$1,F110,"Crv210")),2,2)))</f>
        <v>37058.267039945495</v>
      </c>
      <c r="X110" s="6" cm="1">
        <f t="array" ref="X110">ABS(Q110/_xll.qwMV01($A$1,"CT10"))</f>
        <v>69.558767953141711</v>
      </c>
      <c r="Y110" s="6" cm="1">
        <f t="array" ref="Y110">IF(N110="BondFuture",-(_xll.qwCurveYield($A$1,_xll.qwSecVal($A$1,AA110,"CreditCurveName()"),AA110)-_xll.qwCurveYield($A$4,_xll.qwSecVal($A$4,AA110,"CreditCurveName()"),AA110))*P110*10000,IF(N110="Bond",-(_xll.qwCurveYield($A$1,_xll.qwSecVal($A$1,F110,"CreditCurveName()"),F110)-_xll.qwCurveYield($A$4,_xll.qwSecVal($A$4,F110,"CreditCurveName()"),F110))*P110*10000,O110))</f>
        <v>-155012.40000000587</v>
      </c>
      <c r="Z110" s="6" cm="1">
        <f t="array" ref="Z110">IF(OR(N110="BondFuture",N110="Bond"),P110*(_xll.qwCurveZSpread($A$4,_xll.qwSecVal($A$1,AA110,"CreditCurveName()"),AA110)-_xll.qwCurveZSpread($A$1,_xll.qwSecVal($A$1,AA110,"CreditCurveName()"),AA110)),0)</f>
        <v>0</v>
      </c>
      <c r="AA110" s="9" cm="1">
        <f t="array" ref="AA110">IF(_xll.qwSecType(F110)="Bond",F110,IF(_xll.qwSecType(F110)="BondFuture",_xll.qwFutCTD($A$1,F110),0))</f>
        <v>0</v>
      </c>
      <c r="AB110" s="6" cm="1">
        <f t="array" ref="AB110">IF(_xll.qwSecType(F110)="BondFuture",-(I110*_xll.qwDelta($A$4,F110)*_xll.qwMVFactor($A$1,F110)/_xll.qwMVFactor($A$1,_xll.qwFutCTD($A$1,F110)))*(_xll.qwFXRate($A$1,F110)*_xll.qwMVFactor($A$1,_xll.qwFutCTD($A$1,F110))*(_xll.qwIncome($A$4,_xll.qwFutCTD($A$4,F110),_xll.qwBondSettle($A$4,_xll.qwFutCTD($A$4,F110)),_xll.qwBondSettle($A$1,_xll.qwFutCTD($A$1,F110)))+(_xll.qwSecVal($A$1,AA110,"Price")-_xll.qwSecVal($A$4,AA110,"Price"))-_xll.qwBondRepoFromTo($A$1,AA110,_xll.qwBondSettle($A$4,AA110),_xll.qwBondSettle($A$1,AA110))*_xll.qwSecVal($A$1,AA110,"Price")*(_xll.qwBondSettle($A$1,AA110)-_xll.qwBondSettle($A$4,AA110))/360))+O110,0)</f>
        <v>0</v>
      </c>
      <c r="AC110" s="9" cm="1">
        <f t="array" ref="AC110">O110+T110+IF(ISNUMBER(_xll.qwIncome($A$1,F110,_xll.qwSettle($A$4,F110),_xll.qwSettle($A$1,F110))*_xll.qwMVFactor($A$1,F110)*_xll.qwFXRate($A$1,F110)*I110),_xll.qwIncome($A$1,F110,_xll.qwSettle($A$4,F110),_xll.qwSettle($A$1,F110))*_xll.qwMVFactor($A$1,F110)*_xll.qwFXRate($A$1,F110)*I110,0)+IF(ISNUMBER(-(_xll.qwBondRepoFromTo($A$1,F110,_xll.qwSettle($A$4,F110),_xll.qwSettle($A$1,F110))*_xll.qwSecVal($A$1,F110,"Price")*(_xll.qwSettle($A$1,F110)-_xll.qwSettle($A$4,F110))/360)*_xll.qwMVFactor($A$1,F110)*_xll.qwFXRate($A$1,F110)*I110),-(_xll.qwBondRepoFromTo($A$1,F110,_xll.qwSettle($A$4,F110),_xll.qwSettle($A$1,F110))*_xll.qwSecVal($A$1,F110,"Price")*(_xll.qwSettle($A$1,F110)-_xll.qwSettle($A$4,F110))/360)*_xll.qwMVFactor($A$1,F110)*_xll.qwFXRate($A$1,F110)*I110,0)</f>
        <v>-155012.40000000587</v>
      </c>
      <c r="AD110" s="6"/>
    </row>
    <row r="111" spans="2:30" s="7" customFormat="1" hidden="1" x14ac:dyDescent="0.35">
      <c r="B111" s="7" t="str">
        <v>jcleary</v>
      </c>
      <c r="C111" s="7" t="str">
        <v>MAMS</v>
      </c>
      <c r="D111" s="7" t="str">
        <v>jcleary|MAMS|RV_US_STIR_HEDGE|FFZ6</v>
      </c>
      <c r="E111" s="7" t="str">
        <v>RV_US_STIR_HEDGE</v>
      </c>
      <c r="F111" s="7" t="str">
        <v>FFZ6</v>
      </c>
      <c r="G111" s="7">
        <v>620</v>
      </c>
      <c r="H111" s="7">
        <v>0</v>
      </c>
      <c r="I111" s="7">
        <v>620</v>
      </c>
      <c r="J111" s="7">
        <v>0</v>
      </c>
      <c r="K111" s="7">
        <v>0</v>
      </c>
      <c r="L111" s="7">
        <v>0</v>
      </c>
      <c r="M111" s="7">
        <v>0</v>
      </c>
      <c r="N111" s="7" t="str">
        <v>RateFuture</v>
      </c>
      <c r="O111" s="6" cm="1">
        <f t="array" ref="O111">(_xll.qwPrice($A$1,F111)-_xll.qwPrice($A$4,F111))*_xll.qwMVFactor($A$1,F111)*I111*_xll.qwFXRate($A$1,F111)</f>
        <v>-90423.90000002789</v>
      </c>
      <c r="P111" s="6" cm="1">
        <f t="array" ref="P111">IF(ISNUMBER(_xll.qwDV01($A$1,F111)*I111*_xll.qwMVFactor($A$1,F111)*_xll.qwFXRate($A$1,F111)),_xll.qwDV01($A$1,F111)*I111*_xll.qwMVFactor($A$1,F111)*_xll.qwFXRate($A$1,F111),0)</f>
        <v>25835.4</v>
      </c>
      <c r="Q111" s="6" cm="1">
        <f t="array" ref="Q111">IF(ISNUMBER(_xll.qwDV01($A$1,F111)*G111*_xll.qwMVFactor($A$1,F111)*_xll.qwFXRate($A$1,F111)),_xll.qwDV01($A$1,F111)*G111*_xll.qwMVFactor($A$1,F111)*_xll.qwFXRate($A$1,F111),0)</f>
        <v>25835.4</v>
      </c>
      <c r="R111" s="6" cm="1">
        <f t="array" ref="R111">IF(ISNUMBER(_xll.qwDV01($A$1,F111)*J111*_xll.qwMVFactor($A$1,F111)*_xll.qwFXRate($A$1,F111)),_xll.qwDV01($A$1,F111)*J111*_xll.qwMVFactor($A$1,F111)*_xll.qwFXRate($A$1,F111),0)</f>
        <v>0</v>
      </c>
      <c r="S111" s="6" cm="1">
        <f t="array" ref="S111">IF(ISNUMBER(_xll.qwDV01($A$1,F111)*J111*_xll.qwMVFactor($A$1,F111)*_xll.qwFXRate($A$1,F111)),_xll.qwDV01($A$1,F111)*J111*_xll.qwMVFactor($A$1,F111)*_xll.qwFXRate($A$1,F111),0)</f>
        <v>0</v>
      </c>
      <c r="T111" s="6" cm="1">
        <f t="array" ref="T111">_xll.qwFXRate($A$1,F111)*J111*(_xll.qwPrice($A$1,F111)-M111)*_xll.qwMVFactor($A$1,F111)</f>
        <v>0</v>
      </c>
      <c r="U111" s="8" cm="1">
        <f t="array" ref="U111">_xll.qwYield($A$1,F111)</f>
        <v>4.1270804974068827E-2</v>
      </c>
      <c r="V111" s="8" cm="1">
        <f t="array" ref="V111">100*(_xll.qwYield($A$4,F111)-U111)</f>
        <v>-3.5119854183517096E-2</v>
      </c>
      <c r="W111" s="6">
        <f>IF(ISNA(G111*INDEX(_xll.qwTblData(_xll.qwCurveScenariosPerSecurity($A$1,F111,"Crv210")),2,2)),0,(G111*INDEX(_xll.qwTblData(_xll.qwCurveScenariosPerSecurity($A$1,F111,"Crv210")),2,2)))</f>
        <v>17459.461340394995</v>
      </c>
      <c r="X111" s="6" cm="1">
        <f t="array" ref="X111">ABS(Q111/_xll.qwMV01($A$1,"CT10"))</f>
        <v>34.779383976570855</v>
      </c>
      <c r="Y111" s="6" cm="1">
        <f t="array" ref="Y111">IF(N111="BondFuture",-(_xll.qwCurveYield($A$1,_xll.qwSecVal($A$1,AA111,"CreditCurveName()"),AA111)-_xll.qwCurveYield($A$4,_xll.qwSecVal($A$4,AA111,"CreditCurveName()"),AA111))*P111*10000,IF(N111="Bond",-(_xll.qwCurveYield($A$1,_xll.qwSecVal($A$1,F111,"CreditCurveName()"),F111)-_xll.qwCurveYield($A$4,_xll.qwSecVal($A$4,F111,"CreditCurveName()"),F111))*P111*10000,O111))</f>
        <v>-90423.90000002789</v>
      </c>
      <c r="Z111" s="6" cm="1">
        <f t="array" ref="Z111">IF(OR(N111="BondFuture",N111="Bond"),P111*(_xll.qwCurveZSpread($A$4,_xll.qwSecVal($A$1,AA111,"CreditCurveName()"),AA111)-_xll.qwCurveZSpread($A$1,_xll.qwSecVal($A$1,AA111,"CreditCurveName()"),AA111)),0)</f>
        <v>0</v>
      </c>
      <c r="AA111" s="9" cm="1">
        <f t="array" ref="AA111">IF(_xll.qwSecType(F111)="Bond",F111,IF(_xll.qwSecType(F111)="BondFuture",_xll.qwFutCTD($A$1,F111),0))</f>
        <v>0</v>
      </c>
      <c r="AB111" s="6" cm="1">
        <f t="array" ref="AB111">IF(_xll.qwSecType(F111)="BondFuture",-(I111*_xll.qwDelta($A$4,F111)*_xll.qwMVFactor($A$1,F111)/_xll.qwMVFactor($A$1,_xll.qwFutCTD($A$1,F111)))*(_xll.qwFXRate($A$1,F111)*_xll.qwMVFactor($A$1,_xll.qwFutCTD($A$1,F111))*(_xll.qwIncome($A$4,_xll.qwFutCTD($A$4,F111),_xll.qwBondSettle($A$4,_xll.qwFutCTD($A$4,F111)),_xll.qwBondSettle($A$1,_xll.qwFutCTD($A$1,F111)))+(_xll.qwSecVal($A$1,AA111,"Price")-_xll.qwSecVal($A$4,AA111,"Price"))-_xll.qwBondRepoFromTo($A$1,AA111,_xll.qwBondSettle($A$4,AA111),_xll.qwBondSettle($A$1,AA111))*_xll.qwSecVal($A$1,AA111,"Price")*(_xll.qwBondSettle($A$1,AA111)-_xll.qwBondSettle($A$4,AA111))/360))+O111,0)</f>
        <v>0</v>
      </c>
      <c r="AC111" s="9" cm="1">
        <f t="array" ref="AC111">O111+T111+IF(ISNUMBER(_xll.qwIncome($A$1,F111,_xll.qwSettle($A$4,F111),_xll.qwSettle($A$1,F111))*_xll.qwMVFactor($A$1,F111)*_xll.qwFXRate($A$1,F111)*I111),_xll.qwIncome($A$1,F111,_xll.qwSettle($A$4,F111),_xll.qwSettle($A$1,F111))*_xll.qwMVFactor($A$1,F111)*_xll.qwFXRate($A$1,F111)*I111,0)+IF(ISNUMBER(-(_xll.qwBondRepoFromTo($A$1,F111,_xll.qwSettle($A$4,F111),_xll.qwSettle($A$1,F111))*_xll.qwSecVal($A$1,F111,"Price")*(_xll.qwSettle($A$1,F111)-_xll.qwSettle($A$4,F111))/360)*_xll.qwMVFactor($A$1,F111)*_xll.qwFXRate($A$1,F111)*I111),-(_xll.qwBondRepoFromTo($A$1,F111,_xll.qwSettle($A$4,F111),_xll.qwSettle($A$1,F111))*_xll.qwSecVal($A$1,F111,"Price")*(_xll.qwSettle($A$1,F111)-_xll.qwSettle($A$4,F111))/360)*_xll.qwMVFactor($A$1,F111)*_xll.qwFXRate($A$1,F111)*I111,0)</f>
        <v>-90423.90000002789</v>
      </c>
      <c r="AD111" s="6"/>
    </row>
    <row r="112" spans="2:30" s="7" customFormat="1" hidden="1" x14ac:dyDescent="0.35">
      <c r="B112" s="7" t="str">
        <v>jcleary</v>
      </c>
      <c r="C112" s="7" t="str">
        <v>MAMS</v>
      </c>
      <c r="D112" s="7" t="str">
        <v>jcleary|MAMS|RV_US_STIR_HEDGE|SERV6</v>
      </c>
      <c r="E112" s="7" t="str">
        <v>RV_US_STIR_HEDGE</v>
      </c>
      <c r="F112" s="7" t="str">
        <v>SERV6</v>
      </c>
      <c r="G112" s="7">
        <v>-1240</v>
      </c>
      <c r="H112" s="7">
        <v>0</v>
      </c>
      <c r="I112" s="7">
        <v>-1240</v>
      </c>
      <c r="J112" s="7">
        <v>0</v>
      </c>
      <c r="K112" s="7">
        <v>0</v>
      </c>
      <c r="L112" s="7">
        <v>0</v>
      </c>
      <c r="M112" s="7">
        <v>0</v>
      </c>
      <c r="N112" s="7" t="str">
        <v>RateFuture</v>
      </c>
      <c r="O112" s="6" cm="1">
        <f t="array" ref="O112">(_xll.qwPrice($A$1,F112)-_xll.qwPrice($A$4,F112))*_xll.qwMVFactor($A$1,F112)*I112*_xll.qwFXRate($A$1,F112)</f>
        <v>12917.699999988252</v>
      </c>
      <c r="P112" s="6" cm="1">
        <f t="array" ref="P112">IF(ISNUMBER(_xll.qwDV01($A$1,F112)*I112*_xll.qwMVFactor($A$1,F112)*_xll.qwFXRate($A$1,F112)),_xll.qwDV01($A$1,F112)*I112*_xll.qwMVFactor($A$1,F112)*_xll.qwFXRate($A$1,F112),0)</f>
        <v>-28335.599999999999</v>
      </c>
      <c r="Q112" s="6" cm="1">
        <f t="array" ref="Q112">IF(ISNUMBER(_xll.qwDV01($A$1,F112)*G112*_xll.qwMVFactor($A$1,F112)*_xll.qwFXRate($A$1,F112)),_xll.qwDV01($A$1,F112)*G112*_xll.qwMVFactor($A$1,F112)*_xll.qwFXRate($A$1,F112),0)</f>
        <v>-28335.599999999999</v>
      </c>
      <c r="R112" s="6" cm="1">
        <f t="array" ref="R112">IF(ISNUMBER(_xll.qwDV01($A$1,F112)*J112*_xll.qwMVFactor($A$1,F112)*_xll.qwFXRate($A$1,F112)),_xll.qwDV01($A$1,F112)*J112*_xll.qwMVFactor($A$1,F112)*_xll.qwFXRate($A$1,F112),0)</f>
        <v>0</v>
      </c>
      <c r="S112" s="6" cm="1">
        <f t="array" ref="S112">IF(ISNUMBER(_xll.qwDV01($A$1,F112)*J112*_xll.qwMVFactor($A$1,F112)*_xll.qwFXRate($A$1,F112)),_xll.qwDV01($A$1,F112)*J112*_xll.qwMVFactor($A$1,F112)*_xll.qwFXRate($A$1,F112),0)</f>
        <v>0</v>
      </c>
      <c r="T112" s="6" cm="1">
        <f t="array" ref="T112">_xll.qwFXRate($A$1,F112)*J112*(_xll.qwPrice($A$1,F112)-M112)*_xll.qwMVFactor($A$1,F112)</f>
        <v>0</v>
      </c>
      <c r="U112" s="8" cm="1">
        <f t="array" ref="U112">_xll.qwYield($A$1,F112)</f>
        <v>3.9119260558155323E-2</v>
      </c>
      <c r="V112" s="8" cm="1">
        <f t="array" ref="V112">100*(_xll.qwYield($A$4,F112)-U112)</f>
        <v>-8.1176879049328632E-3</v>
      </c>
      <c r="W112" s="6">
        <f>IF(ISNA(G112*INDEX(_xll.qwTblData(_xll.qwCurveScenariosPerSecurity($A$1,F112,"Crv210")),2,2)),0,(G112*INDEX(_xll.qwTblData(_xll.qwCurveScenariosPerSecurity($A$1,F112,"Crv210")),2,2)))</f>
        <v>-20361.45097263193</v>
      </c>
      <c r="X112" s="6" cm="1">
        <f t="array" ref="X112">ABS(Q112/_xll.qwMV01($A$1,"CT10"))</f>
        <v>38.145130813013196</v>
      </c>
      <c r="Y112" s="6" cm="1">
        <f t="array" ref="Y112">IF(N112="BondFuture",-(_xll.qwCurveYield($A$1,_xll.qwSecVal($A$1,AA112,"CreditCurveName()"),AA112)-_xll.qwCurveYield($A$4,_xll.qwSecVal($A$4,AA112,"CreditCurveName()"),AA112))*P112*10000,IF(N112="Bond",-(_xll.qwCurveYield($A$1,_xll.qwSecVal($A$1,F112,"CreditCurveName()"),F112)-_xll.qwCurveYield($A$4,_xll.qwSecVal($A$4,F112,"CreditCurveName()"),F112))*P112*10000,O112))</f>
        <v>12917.699999988252</v>
      </c>
      <c r="Z112" s="6" cm="1">
        <f t="array" ref="Z112">IF(OR(N112="BondFuture",N112="Bond"),P112*(_xll.qwCurveZSpread($A$4,_xll.qwSecVal($A$1,AA112,"CreditCurveName()"),AA112)-_xll.qwCurveZSpread($A$1,_xll.qwSecVal($A$1,AA112,"CreditCurveName()"),AA112)),0)</f>
        <v>0</v>
      </c>
      <c r="AA112" s="9" cm="1">
        <f t="array" ref="AA112">IF(_xll.qwSecType(F112)="Bond",F112,IF(_xll.qwSecType(F112)="BondFuture",_xll.qwFutCTD($A$1,F112),0))</f>
        <v>0</v>
      </c>
      <c r="AB112" s="6" cm="1">
        <f t="array" ref="AB112">IF(_xll.qwSecType(F112)="BondFuture",-(I112*_xll.qwDelta($A$4,F112)*_xll.qwMVFactor($A$1,F112)/_xll.qwMVFactor($A$1,_xll.qwFutCTD($A$1,F112)))*(_xll.qwFXRate($A$1,F112)*_xll.qwMVFactor($A$1,_xll.qwFutCTD($A$1,F112))*(_xll.qwIncome($A$4,_xll.qwFutCTD($A$4,F112),_xll.qwBondSettle($A$4,_xll.qwFutCTD($A$4,F112)),_xll.qwBondSettle($A$1,_xll.qwFutCTD($A$1,F112)))+(_xll.qwSecVal($A$1,AA112,"Price")-_xll.qwSecVal($A$4,AA112,"Price"))-_xll.qwBondRepoFromTo($A$1,AA112,_xll.qwBondSettle($A$4,AA112),_xll.qwBondSettle($A$1,AA112))*_xll.qwSecVal($A$1,AA112,"Price")*(_xll.qwBondSettle($A$1,AA112)-_xll.qwBondSettle($A$4,AA112))/360))+O112,0)</f>
        <v>0</v>
      </c>
      <c r="AC112" s="9" cm="1">
        <f t="array" ref="AC112">O112+T112+IF(ISNUMBER(_xll.qwIncome($A$1,F112,_xll.qwSettle($A$4,F112),_xll.qwSettle($A$1,F112))*_xll.qwMVFactor($A$1,F112)*_xll.qwFXRate($A$1,F112)*I112),_xll.qwIncome($A$1,F112,_xll.qwSettle($A$4,F112),_xll.qwSettle($A$1,F112))*_xll.qwMVFactor($A$1,F112)*_xll.qwFXRate($A$1,F112)*I112,0)+IF(ISNUMBER(-(_xll.qwBondRepoFromTo($A$1,F112,_xll.qwSettle($A$4,F112),_xll.qwSettle($A$1,F112))*_xll.qwSecVal($A$1,F112,"Price")*(_xll.qwSettle($A$1,F112)-_xll.qwSettle($A$4,F112))/360)*_xll.qwMVFactor($A$1,F112)*_xll.qwFXRate($A$1,F112)*I112),-(_xll.qwBondRepoFromTo($A$1,F112,_xll.qwSettle($A$4,F112),_xll.qwSettle($A$1,F112))*_xll.qwSecVal($A$1,F112,"Price")*(_xll.qwSettle($A$1,F112)-_xll.qwSettle($A$4,F112))/360)*_xll.qwMVFactor($A$1,F112)*_xll.qwFXRate($A$1,F112)*I112,0)</f>
        <v>12917.699999988252</v>
      </c>
      <c r="AD112" s="6"/>
    </row>
    <row r="113" spans="2:30" s="7" customFormat="1" hidden="1" x14ac:dyDescent="0.35">
      <c r="B113" s="7" t="str">
        <v>jcleary</v>
      </c>
      <c r="C113" s="7" t="str">
        <v>MAMS</v>
      </c>
      <c r="D113" s="7" t="str">
        <v>jcleary|MAMS|RV_US_STIR_HEDGE|SERX6</v>
      </c>
      <c r="E113" s="7" t="str">
        <v>RV_US_STIR_HEDGE</v>
      </c>
      <c r="F113" s="7" t="str">
        <v>SERX6</v>
      </c>
      <c r="G113" s="7">
        <v>-1240</v>
      </c>
      <c r="H113" s="7">
        <v>0</v>
      </c>
      <c r="I113" s="7">
        <v>-1240</v>
      </c>
      <c r="J113" s="7">
        <v>0</v>
      </c>
      <c r="K113" s="7">
        <v>0</v>
      </c>
      <c r="L113" s="7">
        <v>0</v>
      </c>
      <c r="M113" s="7">
        <v>0</v>
      </c>
      <c r="N113" s="7" t="str">
        <v>RateFuture</v>
      </c>
      <c r="O113" s="6" cm="1">
        <f t="array" ref="O113">(_xll.qwPrice($A$1,F113)-_xll.qwPrice($A$4,F113))*_xll.qwMVFactor($A$1,F113)*I113*_xll.qwFXRate($A$1,F113)</f>
        <v>155012.40000000587</v>
      </c>
      <c r="P113" s="6" cm="1">
        <f t="array" ref="P113">IF(ISNUMBER(_xll.qwDV01($A$1,F113)*I113*_xll.qwMVFactor($A$1,F113)*_xll.qwFXRate($A$1,F113)),_xll.qwDV01($A$1,F113)*I113*_xll.qwMVFactor($A$1,F113)*_xll.qwFXRate($A$1,F113),0)</f>
        <v>-51670.8</v>
      </c>
      <c r="Q113" s="6" cm="1">
        <f t="array" ref="Q113">IF(ISNUMBER(_xll.qwDV01($A$1,F113)*G113*_xll.qwMVFactor($A$1,F113)*_xll.qwFXRate($A$1,F113)),_xll.qwDV01($A$1,F113)*G113*_xll.qwMVFactor($A$1,F113)*_xll.qwFXRate($A$1,F113),0)</f>
        <v>-51670.8</v>
      </c>
      <c r="R113" s="6" cm="1">
        <f t="array" ref="R113">IF(ISNUMBER(_xll.qwDV01($A$1,F113)*J113*_xll.qwMVFactor($A$1,F113)*_xll.qwFXRate($A$1,F113)),_xll.qwDV01($A$1,F113)*J113*_xll.qwMVFactor($A$1,F113)*_xll.qwFXRate($A$1,F113),0)</f>
        <v>0</v>
      </c>
      <c r="S113" s="6" cm="1">
        <f t="array" ref="S113">IF(ISNUMBER(_xll.qwDV01($A$1,F113)*J113*_xll.qwMVFactor($A$1,F113)*_xll.qwFXRate($A$1,F113)),_xll.qwDV01($A$1,F113)*J113*_xll.qwMVFactor($A$1,F113)*_xll.qwFXRate($A$1,F113),0)</f>
        <v>0</v>
      </c>
      <c r="T113" s="6" cm="1">
        <f t="array" ref="T113">_xll.qwFXRate($A$1,F113)*J113*(_xll.qwPrice($A$1,F113)-M113)*_xll.qwMVFactor($A$1,F113)</f>
        <v>0</v>
      </c>
      <c r="U113" s="8" cm="1">
        <f t="array" ref="U113">_xll.qwYield($A$1,F113)</f>
        <v>3.9863867494098315E-2</v>
      </c>
      <c r="V113" s="8" cm="1">
        <f t="array" ref="V113">100*(_xll.qwYield($A$4,F113)-U113)</f>
        <v>-3.0095968735022183E-2</v>
      </c>
      <c r="W113" s="6">
        <f>IF(ISNA(G113*INDEX(_xll.qwTblData(_xll.qwCurveScenariosPerSecurity($A$1,F113,"Crv210")),2,2)),0,(G113*INDEX(_xll.qwTblData(_xll.qwCurveScenariosPerSecurity($A$1,F113,"Crv210")),2,2)))</f>
        <v>-37058.267039945495</v>
      </c>
      <c r="X113" s="6" cm="1">
        <f t="array" ref="X113">ABS(Q113/_xll.qwMV01($A$1,"CT10"))</f>
        <v>69.558767953141711</v>
      </c>
      <c r="Y113" s="6" cm="1">
        <f t="array" ref="Y113">IF(N113="BondFuture",-(_xll.qwCurveYield($A$1,_xll.qwSecVal($A$1,AA113,"CreditCurveName()"),AA113)-_xll.qwCurveYield($A$4,_xll.qwSecVal($A$4,AA113,"CreditCurveName()"),AA113))*P113*10000,IF(N113="Bond",-(_xll.qwCurveYield($A$1,_xll.qwSecVal($A$1,F113,"CreditCurveName()"),F113)-_xll.qwCurveYield($A$4,_xll.qwSecVal($A$4,F113,"CreditCurveName()"),F113))*P113*10000,O113))</f>
        <v>155012.40000000587</v>
      </c>
      <c r="Z113" s="6" cm="1">
        <f t="array" ref="Z113">IF(OR(N113="BondFuture",N113="Bond"),P113*(_xll.qwCurveZSpread($A$4,_xll.qwSecVal($A$1,AA113,"CreditCurveName()"),AA113)-_xll.qwCurveZSpread($A$1,_xll.qwSecVal($A$1,AA113,"CreditCurveName()"),AA113)),0)</f>
        <v>0</v>
      </c>
      <c r="AA113" s="9" cm="1">
        <f t="array" ref="AA113">IF(_xll.qwSecType(F113)="Bond",F113,IF(_xll.qwSecType(F113)="BondFuture",_xll.qwFutCTD($A$1,F113),0))</f>
        <v>0</v>
      </c>
      <c r="AB113" s="6" cm="1">
        <f t="array" ref="AB113">IF(_xll.qwSecType(F113)="BondFuture",-(I113*_xll.qwDelta($A$4,F113)*_xll.qwMVFactor($A$1,F113)/_xll.qwMVFactor($A$1,_xll.qwFutCTD($A$1,F113)))*(_xll.qwFXRate($A$1,F113)*_xll.qwMVFactor($A$1,_xll.qwFutCTD($A$1,F113))*(_xll.qwIncome($A$4,_xll.qwFutCTD($A$4,F113),_xll.qwBondSettle($A$4,_xll.qwFutCTD($A$4,F113)),_xll.qwBondSettle($A$1,_xll.qwFutCTD($A$1,F113)))+(_xll.qwSecVal($A$1,AA113,"Price")-_xll.qwSecVal($A$4,AA113,"Price"))-_xll.qwBondRepoFromTo($A$1,AA113,_xll.qwBondSettle($A$4,AA113),_xll.qwBondSettle($A$1,AA113))*_xll.qwSecVal($A$1,AA113,"Price")*(_xll.qwBondSettle($A$1,AA113)-_xll.qwBondSettle($A$4,AA113))/360))+O113,0)</f>
        <v>0</v>
      </c>
      <c r="AC113" s="9" cm="1">
        <f t="array" ref="AC113">O113+T113+IF(ISNUMBER(_xll.qwIncome($A$1,F113,_xll.qwSettle($A$4,F113),_xll.qwSettle($A$1,F113))*_xll.qwMVFactor($A$1,F113)*_xll.qwFXRate($A$1,F113)*I113),_xll.qwIncome($A$1,F113,_xll.qwSettle($A$4,F113),_xll.qwSettle($A$1,F113))*_xll.qwMVFactor($A$1,F113)*_xll.qwFXRate($A$1,F113)*I113,0)+IF(ISNUMBER(-(_xll.qwBondRepoFromTo($A$1,F113,_xll.qwSettle($A$4,F113),_xll.qwSettle($A$1,F113))*_xll.qwSecVal($A$1,F113,"Price")*(_xll.qwSettle($A$1,F113)-_xll.qwSettle($A$4,F113))/360)*_xll.qwMVFactor($A$1,F113)*_xll.qwFXRate($A$1,F113)*I113),-(_xll.qwBondRepoFromTo($A$1,F113,_xll.qwSettle($A$4,F113),_xll.qwSettle($A$1,F113))*_xll.qwSecVal($A$1,F113,"Price")*(_xll.qwSettle($A$1,F113)-_xll.qwSettle($A$4,F113))/360)*_xll.qwMVFactor($A$1,F113)*_xll.qwFXRate($A$1,F113)*I113,0)</f>
        <v>155012.40000000587</v>
      </c>
      <c r="AD113" s="6"/>
    </row>
    <row r="114" spans="2:30" s="7" customFormat="1" hidden="1" x14ac:dyDescent="0.35">
      <c r="B114" s="7" t="str">
        <v>jcleary</v>
      </c>
      <c r="C114" s="7" t="str">
        <v>MAMS</v>
      </c>
      <c r="D114" s="7" t="str">
        <v>jcleary|MAMS|RV_US_STIR_HEDGE|SERZ6</v>
      </c>
      <c r="E114" s="7" t="str">
        <v>RV_US_STIR_HEDGE</v>
      </c>
      <c r="F114" s="7" t="str">
        <v>SERZ6</v>
      </c>
      <c r="G114" s="7">
        <v>-620</v>
      </c>
      <c r="H114" s="7">
        <v>0</v>
      </c>
      <c r="I114" s="7">
        <v>-620</v>
      </c>
      <c r="J114" s="7">
        <v>0</v>
      </c>
      <c r="K114" s="7">
        <v>0</v>
      </c>
      <c r="L114" s="7">
        <v>0</v>
      </c>
      <c r="M114" s="7">
        <v>0</v>
      </c>
      <c r="N114" s="7" t="str">
        <v>RateFuture</v>
      </c>
      <c r="O114" s="6" cm="1">
        <f t="array" ref="O114">(_xll.qwPrice($A$1,F114)-_xll.qwPrice($A$4,F114))*_xll.qwMVFactor($A$1,F114)*I114*_xll.qwFXRate($A$1,F114)</f>
        <v>77506.200000002937</v>
      </c>
      <c r="P114" s="6" cm="1">
        <f t="array" ref="P114">IF(ISNUMBER(_xll.qwDV01($A$1,F114)*I114*_xll.qwMVFactor($A$1,F114)*_xll.qwFXRate($A$1,F114)),_xll.qwDV01($A$1,F114)*I114*_xll.qwMVFactor($A$1,F114)*_xll.qwFXRate($A$1,F114),0)</f>
        <v>-25835.4</v>
      </c>
      <c r="Q114" s="6" cm="1">
        <f t="array" ref="Q114">IF(ISNUMBER(_xll.qwDV01($A$1,F114)*G114*_xll.qwMVFactor($A$1,F114)*_xll.qwFXRate($A$1,F114)),_xll.qwDV01($A$1,F114)*G114*_xll.qwMVFactor($A$1,F114)*_xll.qwFXRate($A$1,F114),0)</f>
        <v>-25835.4</v>
      </c>
      <c r="R114" s="6" cm="1">
        <f t="array" ref="R114">IF(ISNUMBER(_xll.qwDV01($A$1,F114)*J114*_xll.qwMVFactor($A$1,F114)*_xll.qwFXRate($A$1,F114)),_xll.qwDV01($A$1,F114)*J114*_xll.qwMVFactor($A$1,F114)*_xll.qwFXRate($A$1,F114),0)</f>
        <v>0</v>
      </c>
      <c r="S114" s="6" cm="1">
        <f t="array" ref="S114">IF(ISNUMBER(_xll.qwDV01($A$1,F114)*J114*_xll.qwMVFactor($A$1,F114)*_xll.qwFXRate($A$1,F114)),_xll.qwDV01($A$1,F114)*J114*_xll.qwMVFactor($A$1,F114)*_xll.qwFXRate($A$1,F114),0)</f>
        <v>0</v>
      </c>
      <c r="T114" s="6" cm="1">
        <f t="array" ref="T114">_xll.qwFXRate($A$1,F114)*J114*(_xll.qwPrice($A$1,F114)-M114)*_xll.qwMVFactor($A$1,F114)</f>
        <v>0</v>
      </c>
      <c r="U114" s="8" cm="1">
        <f t="array" ref="U114">_xll.qwYield($A$1,F114)</f>
        <v>4.1521667346102957E-2</v>
      </c>
      <c r="V114" s="8" cm="1">
        <f t="array" ref="V114">100*(_xll.qwYield($A$4,F114)-U114)</f>
        <v>-3.010342194256152E-2</v>
      </c>
      <c r="W114" s="6">
        <f>IF(ISNA(G114*INDEX(_xll.qwTblData(_xll.qwCurveScenariosPerSecurity($A$1,F114,"Crv210")),2,2)),0,(G114*INDEX(_xll.qwTblData(_xll.qwCurveScenariosPerSecurity($A$1,F114,"Crv210")),2,2)))</f>
        <v>-17459.461340394995</v>
      </c>
      <c r="X114" s="6" cm="1">
        <f t="array" ref="X114">ABS(Q114/_xll.qwMV01($A$1,"CT10"))</f>
        <v>34.779383976570855</v>
      </c>
      <c r="Y114" s="6" cm="1">
        <f t="array" ref="Y114">IF(N114="BondFuture",-(_xll.qwCurveYield($A$1,_xll.qwSecVal($A$1,AA114,"CreditCurveName()"),AA114)-_xll.qwCurveYield($A$4,_xll.qwSecVal($A$4,AA114,"CreditCurveName()"),AA114))*P114*10000,IF(N114="Bond",-(_xll.qwCurveYield($A$1,_xll.qwSecVal($A$1,F114,"CreditCurveName()"),F114)-_xll.qwCurveYield($A$4,_xll.qwSecVal($A$4,F114,"CreditCurveName()"),F114))*P114*10000,O114))</f>
        <v>77506.200000002937</v>
      </c>
      <c r="Z114" s="6" cm="1">
        <f t="array" ref="Z114">IF(OR(N114="BondFuture",N114="Bond"),P114*(_xll.qwCurveZSpread($A$4,_xll.qwSecVal($A$1,AA114,"CreditCurveName()"),AA114)-_xll.qwCurveZSpread($A$1,_xll.qwSecVal($A$1,AA114,"CreditCurveName()"),AA114)),0)</f>
        <v>0</v>
      </c>
      <c r="AA114" s="9" cm="1">
        <f t="array" ref="AA114">IF(_xll.qwSecType(F114)="Bond",F114,IF(_xll.qwSecType(F114)="BondFuture",_xll.qwFutCTD($A$1,F114),0))</f>
        <v>0</v>
      </c>
      <c r="AB114" s="6" cm="1">
        <f t="array" ref="AB114">IF(_xll.qwSecType(F114)="BondFuture",-(I114*_xll.qwDelta($A$4,F114)*_xll.qwMVFactor($A$1,F114)/_xll.qwMVFactor($A$1,_xll.qwFutCTD($A$1,F114)))*(_xll.qwFXRate($A$1,F114)*_xll.qwMVFactor($A$1,_xll.qwFutCTD($A$1,F114))*(_xll.qwIncome($A$4,_xll.qwFutCTD($A$4,F114),_xll.qwBondSettle($A$4,_xll.qwFutCTD($A$4,F114)),_xll.qwBondSettle($A$1,_xll.qwFutCTD($A$1,F114)))+(_xll.qwSecVal($A$1,AA114,"Price")-_xll.qwSecVal($A$4,AA114,"Price"))-_xll.qwBondRepoFromTo($A$1,AA114,_xll.qwBondSettle($A$4,AA114),_xll.qwBondSettle($A$1,AA114))*_xll.qwSecVal($A$1,AA114,"Price")*(_xll.qwBondSettle($A$1,AA114)-_xll.qwBondSettle($A$4,AA114))/360))+O114,0)</f>
        <v>0</v>
      </c>
      <c r="AC114" s="9" cm="1">
        <f t="array" ref="AC114">O114+T114+IF(ISNUMBER(_xll.qwIncome($A$1,F114,_xll.qwSettle($A$4,F114),_xll.qwSettle($A$1,F114))*_xll.qwMVFactor($A$1,F114)*_xll.qwFXRate($A$1,F114)*I114),_xll.qwIncome($A$1,F114,_xll.qwSettle($A$4,F114),_xll.qwSettle($A$1,F114))*_xll.qwMVFactor($A$1,F114)*_xll.qwFXRate($A$1,F114)*I114,0)+IF(ISNUMBER(-(_xll.qwBondRepoFromTo($A$1,F114,_xll.qwSettle($A$4,F114),_xll.qwSettle($A$1,F114))*_xll.qwSecVal($A$1,F114,"Price")*(_xll.qwSettle($A$1,F114)-_xll.qwSettle($A$4,F114))/360)*_xll.qwMVFactor($A$1,F114)*_xll.qwFXRate($A$1,F114)*I114),-(_xll.qwBondRepoFromTo($A$1,F114,_xll.qwSettle($A$4,F114),_xll.qwSettle($A$1,F114))*_xll.qwSecVal($A$1,F114,"Price")*(_xll.qwSettle($A$1,F114)-_xll.qwSettle($A$4,F114))/360)*_xll.qwMVFactor($A$1,F114)*_xll.qwFXRate($A$1,F114)*I114,0)</f>
        <v>77506.200000002937</v>
      </c>
      <c r="AD114" s="6"/>
    </row>
    <row r="115" spans="2:30" s="7" customFormat="1" x14ac:dyDescent="0.35">
      <c r="B115" s="7" t="str">
        <v>jcleary</v>
      </c>
      <c r="C115" s="7" t="str">
        <v>MAMS</v>
      </c>
      <c r="D115" s="7" t="str">
        <v>jcleary|MAMS|RV_US_TY_Spread|230171747</v>
      </c>
      <c r="E115" s="7" t="str">
        <v>RV_US_TY_Spread</v>
      </c>
      <c r="F115" s="7" t="str">
        <v>230171747</v>
      </c>
      <c r="G115" s="7">
        <v>94.3</v>
      </c>
      <c r="H115" s="7">
        <v>0</v>
      </c>
      <c r="I115" s="7">
        <v>94.3</v>
      </c>
      <c r="J115" s="7">
        <v>0</v>
      </c>
      <c r="K115" s="7">
        <v>0</v>
      </c>
      <c r="L115" s="7">
        <v>0</v>
      </c>
      <c r="M115" s="7">
        <v>0</v>
      </c>
      <c r="N115" s="7" t="str">
        <v>SwapTrade</v>
      </c>
      <c r="O115" s="6" cm="1">
        <f t="array" ref="O115">(_xll.qwPrice($A$1,F115)-_xll.qwPrice($A$4,F115))*_xll.qwMVFactor($A$1,F115)*I115*_xll.qwFXRate($A$1,F115)</f>
        <v>-70820.728967157833</v>
      </c>
      <c r="P115" s="6" cm="1">
        <f t="array" ref="P115">IF(ISNUMBER(_xll.qwDV01($A$1,F115)*I115*_xll.qwMVFactor($A$1,F115)*_xll.qwFXRate($A$1,F115)),_xll.qwDV01($A$1,F115)*I115*_xll.qwMVFactor($A$1,F115)*_xll.qwFXRate($A$1,F115),0)</f>
        <v>-50646.655799649903</v>
      </c>
      <c r="Q115" s="6" cm="1">
        <f t="array" ref="Q115">IF(ISNUMBER(_xll.qwDV01($A$1,F115)*G115*_xll.qwMVFactor($A$1,F115)*_xll.qwFXRate($A$1,F115)),_xll.qwDV01($A$1,F115)*G115*_xll.qwMVFactor($A$1,F115)*_xll.qwFXRate($A$1,F115),0)</f>
        <v>-50646.655799649903</v>
      </c>
      <c r="R115" s="6" cm="1">
        <f t="array" ref="R115">IF(ISNUMBER(_xll.qwDV01($A$1,F115)*J115*_xll.qwMVFactor($A$1,F115)*_xll.qwFXRate($A$1,F115)),_xll.qwDV01($A$1,F115)*J115*_xll.qwMVFactor($A$1,F115)*_xll.qwFXRate($A$1,F115),0)</f>
        <v>0</v>
      </c>
      <c r="S115" s="6" cm="1">
        <f t="array" ref="S115">IF(ISNUMBER(_xll.qwDV01($A$1,F115)*J115*_xll.qwMVFactor($A$1,F115)*_xll.qwFXRate($A$1,F115)),_xll.qwDV01($A$1,F115)*J115*_xll.qwMVFactor($A$1,F115)*_xll.qwFXRate($A$1,F115),0)</f>
        <v>0</v>
      </c>
      <c r="T115" s="6" cm="1">
        <f t="array" ref="T115">_xll.qwFXRate($A$1,F115)*J115*(_xll.qwPrice($A$1,F115)-M115)*_xll.qwMVFactor($A$1,F115)+L115</f>
        <v>0</v>
      </c>
      <c r="U115" s="8" cm="1">
        <f t="array" ref="U115">_xll.qwYield($A$1,F115)</f>
        <v>4.7303684743443895E-2</v>
      </c>
      <c r="V115" s="8" cm="1">
        <f t="array" ref="V115">100*(_xll.qwYield($A$4,F115)-U115)</f>
        <v>1.3591644081978327E-2</v>
      </c>
      <c r="W115" s="6">
        <f>IF(ISNA(G115*INDEX(_xll.qwTblData(_xll.qwCurveScenariosPerSecurity($A$1,F115,"Crv210")),2,2)),0,(G115*INDEX(_xll.qwTblData(_xll.qwCurveScenariosPerSecurity($A$1,F115,"Crv210")),2,2)))</f>
        <v>4288.597763965985</v>
      </c>
      <c r="X115" s="6" cm="1">
        <f t="array" ref="X115">ABS(Q115/_xll.qwMV01($A$1,"CT10"))</f>
        <v>68.180074207685706</v>
      </c>
      <c r="Y115" s="6" cm="1">
        <f t="array" ref="Y115">IF(N115="BondFuture",-(_xll.qwCurveYield($A$1,_xll.qwSecVal($A$1,AA115,"CreditCurveName()"),AA115)-_xll.qwCurveYield($A$4,_xll.qwSecVal($A$4,AA115,"CreditCurveName()"),AA115))*P115*10000,IF(N115="Bond",-(_xll.qwCurveYield($A$1,_xll.qwSecVal($A$1,F115,"CreditCurveName()"),F115)-_xll.qwCurveYield($A$4,_xll.qwSecVal($A$4,F115,"CreditCurveName()"),F115))*P115*10000,O115))</f>
        <v>-70820.728967157833</v>
      </c>
      <c r="Z115" s="6" cm="1">
        <f t="array" ref="Z115">IF(OR(N115="BondFuture",N115="Bond"),P115*(_xll.qwCurveZSpread($A$4,_xll.qwSecVal($A$1,AA115,"CreditCurveName()"),AA115)-_xll.qwCurveZSpread($A$1,_xll.qwSecVal($A$1,AA115,"CreditCurveName()"),AA115)),0)</f>
        <v>0</v>
      </c>
      <c r="AA115" s="9" cm="1">
        <f t="array" ref="AA115">IF(_xll.qwSecType(F115)="Bond",F115,IF(_xll.qwSecType(F115)="BondFuture",_xll.qwFutCTD($A$1,F115),0))</f>
        <v>0</v>
      </c>
      <c r="AB115" s="6" cm="1">
        <f t="array" ref="AB115">IF(_xll.qwSecType(F115)="BondFuture",-(I115*_xll.qwDelta($A$4,F115)*_xll.qwMVFactor($A$1,F115)/_xll.qwMVFactor($A$1,_xll.qwFutCTD($A$1,F115)))*(_xll.qwFXRate($A$1,F115)*_xll.qwMVFactor($A$1,_xll.qwFutCTD($A$1,F115))*(_xll.qwIncome($A$4,_xll.qwFutCTD($A$4,F115),_xll.qwBondSettle($A$4,_xll.qwFutCTD($A$4,F115)),_xll.qwBondSettle($A$1,_xll.qwFutCTD($A$1,F115)))+(_xll.qwSecVal($A$1,AA115,"Price")-_xll.qwSecVal($A$4,AA115,"Price"))-_xll.qwBondRepoFromTo($A$1,AA115,_xll.qwBondSettle($A$4,AA115),_xll.qwBondSettle($A$1,AA115))*_xll.qwSecVal($A$1,AA115,"Price")*(_xll.qwBondSettle($A$1,AA115)-_xll.qwBondSettle($A$4,AA115))/360))+O115,0)</f>
        <v>0</v>
      </c>
      <c r="AC115" s="9" cm="1">
        <f t="array" ref="AC115">O115+T115+IF(ISNUMBER(_xll.qwIncome($A$1,F115,_xll.qwSettle($A$4,F115),_xll.qwSettle($A$1,F115))*_xll.qwMVFactor($A$1,F115)*_xll.qwFXRate($A$1,F115)*I115),_xll.qwIncome($A$1,F115,_xll.qwSettle($A$4,F115),_xll.qwSettle($A$1,F115))*_xll.qwMVFactor($A$1,F115)*_xll.qwFXRate($A$1,F115)*I115,0)+IF(ISNUMBER(-(_xll.qwBondRepoFromTo($A$1,F115,_xll.qwSettle($A$4,F115),_xll.qwSettle($A$1,F115))*_xll.qwSecVal($A$1,F115,"Price")*(_xll.qwSettle($A$1,F115)-_xll.qwSettle($A$4,F115))/360)*_xll.qwMVFactor($A$1,F115)*_xll.qwFXRate($A$1,F115)*I115),-(_xll.qwBondRepoFromTo($A$1,F115,_xll.qwSettle($A$4,F115),_xll.qwSettle($A$1,F115))*_xll.qwSecVal($A$1,F115,"Price")*(_xll.qwSettle($A$1,F115)-_xll.qwSettle($A$4,F115))/360)*_xll.qwMVFactor($A$1,F115)*_xll.qwFXRate($A$1,F115)*I115,0)</f>
        <v>-70820.728967157833</v>
      </c>
      <c r="AD115" s="6"/>
    </row>
    <row r="116" spans="2:30" s="7" customFormat="1" x14ac:dyDescent="0.35">
      <c r="B116" s="7" t="str">
        <v>jcleary</v>
      </c>
      <c r="C116" s="7" t="str">
        <v>MAMS</v>
      </c>
      <c r="D116" s="7" t="str">
        <v>jcleary|MAMS|RV_US_TY_Spread|231030784</v>
      </c>
      <c r="E116" s="7" t="str">
        <v>RV_US_TY_Spread</v>
      </c>
      <c r="F116" s="7" t="str">
        <v>231030784</v>
      </c>
      <c r="G116" s="7">
        <v>119.3</v>
      </c>
      <c r="H116" s="7">
        <v>0</v>
      </c>
      <c r="I116" s="7">
        <v>119.3</v>
      </c>
      <c r="J116" s="7">
        <v>0</v>
      </c>
      <c r="K116" s="7">
        <v>0</v>
      </c>
      <c r="L116" s="7">
        <v>0</v>
      </c>
      <c r="M116" s="7">
        <v>0</v>
      </c>
      <c r="N116" s="7" t="str">
        <v>SwapTrade</v>
      </c>
      <c r="O116" s="6" cm="1">
        <f t="array" ref="O116">(_xll.qwPrice($A$1,F116)-_xll.qwPrice($A$4,F116))*_xll.qwMVFactor($A$1,F116)*I116*_xll.qwFXRate($A$1,F116)</f>
        <v>-90106.928101786805</v>
      </c>
      <c r="P116" s="6" cm="1">
        <f t="array" ref="P116">IF(ISNUMBER(_xll.qwDV01($A$1,F116)*I116*_xll.qwMVFactor($A$1,F116)*_xll.qwFXRate($A$1,F116)),_xll.qwDV01($A$1,F116)*I116*_xll.qwMVFactor($A$1,F116)*_xll.qwFXRate($A$1,F116),0)</f>
        <v>-64541.175997417864</v>
      </c>
      <c r="Q116" s="6" cm="1">
        <f t="array" ref="Q116">IF(ISNUMBER(_xll.qwDV01($A$1,F116)*G116*_xll.qwMVFactor($A$1,F116)*_xll.qwFXRate($A$1,F116)),_xll.qwDV01($A$1,F116)*G116*_xll.qwMVFactor($A$1,F116)*_xll.qwFXRate($A$1,F116),0)</f>
        <v>-64541.175997417864</v>
      </c>
      <c r="R116" s="6" cm="1">
        <f t="array" ref="R116">IF(ISNUMBER(_xll.qwDV01($A$1,F116)*J116*_xll.qwMVFactor($A$1,F116)*_xll.qwFXRate($A$1,F116)),_xll.qwDV01($A$1,F116)*J116*_xll.qwMVFactor($A$1,F116)*_xll.qwFXRate($A$1,F116),0)</f>
        <v>0</v>
      </c>
      <c r="S116" s="6" cm="1">
        <f t="array" ref="S116">IF(ISNUMBER(_xll.qwDV01($A$1,F116)*J116*_xll.qwMVFactor($A$1,F116)*_xll.qwFXRate($A$1,F116)),_xll.qwDV01($A$1,F116)*J116*_xll.qwMVFactor($A$1,F116)*_xll.qwFXRate($A$1,F116),0)</f>
        <v>0</v>
      </c>
      <c r="T116" s="6" cm="1">
        <f t="array" ref="T116">_xll.qwFXRate($A$1,F116)*J116*(_xll.qwPrice($A$1,F116)-M116)*_xll.qwMVFactor($A$1,F116)+L116</f>
        <v>0</v>
      </c>
      <c r="U116" s="8" cm="1">
        <f t="array" ref="U116">_xll.qwYield($A$1,F116)</f>
        <v>4.7303684743443895E-2</v>
      </c>
      <c r="V116" s="8" cm="1">
        <f t="array" ref="V116">100*(_xll.qwYield($A$4,F116)-U116)</f>
        <v>1.3591644081978327E-2</v>
      </c>
      <c r="W116" s="6">
        <f>IF(ISNA(G116*INDEX(_xll.qwTblData(_xll.qwCurveScenariosPerSecurity($A$1,F116,"Crv210")),2,2)),0,(G116*INDEX(_xll.qwTblData(_xll.qwCurveScenariosPerSecurity($A$1,F116,"Crv210")),2,2)))</f>
        <v>5352.6366400264151</v>
      </c>
      <c r="X116" s="6" cm="1">
        <f t="array" ref="X116">ABS(Q116/_xll.qwMV01($A$1,"CT10"))</f>
        <v>86.884752793207554</v>
      </c>
      <c r="Y116" s="6" cm="1">
        <f t="array" ref="Y116">IF(N116="BondFuture",-(_xll.qwCurveYield($A$1,_xll.qwSecVal($A$1,AA116,"CreditCurveName()"),AA116)-_xll.qwCurveYield($A$4,_xll.qwSecVal($A$4,AA116,"CreditCurveName()"),AA116))*P116*10000,IF(N116="Bond",-(_xll.qwCurveYield($A$1,_xll.qwSecVal($A$1,F116,"CreditCurveName()"),F116)-_xll.qwCurveYield($A$4,_xll.qwSecVal($A$4,F116,"CreditCurveName()"),F116))*P116*10000,O116))</f>
        <v>-90106.928101786805</v>
      </c>
      <c r="Z116" s="6" cm="1">
        <f t="array" ref="Z116">IF(OR(N116="BondFuture",N116="Bond"),P116*(_xll.qwCurveZSpread($A$4,_xll.qwSecVal($A$1,AA116,"CreditCurveName()"),AA116)-_xll.qwCurveZSpread($A$1,_xll.qwSecVal($A$1,AA116,"CreditCurveName()"),AA116)),0)</f>
        <v>0</v>
      </c>
      <c r="AA116" s="9" cm="1">
        <f t="array" ref="AA116">IF(_xll.qwSecType(F116)="Bond",F116,IF(_xll.qwSecType(F116)="BondFuture",_xll.qwFutCTD($A$1,F116),0))</f>
        <v>0</v>
      </c>
      <c r="AB116" s="6" cm="1">
        <f t="array" ref="AB116">IF(_xll.qwSecType(F116)="BondFuture",-(I116*_xll.qwDelta($A$4,F116)*_xll.qwMVFactor($A$1,F116)/_xll.qwMVFactor($A$1,_xll.qwFutCTD($A$1,F116)))*(_xll.qwFXRate($A$1,F116)*_xll.qwMVFactor($A$1,_xll.qwFutCTD($A$1,F116))*(_xll.qwIncome($A$4,_xll.qwFutCTD($A$4,F116),_xll.qwBondSettle($A$4,_xll.qwFutCTD($A$4,F116)),_xll.qwBondSettle($A$1,_xll.qwFutCTD($A$1,F116)))+(_xll.qwSecVal($A$1,AA116,"Price")-_xll.qwSecVal($A$4,AA116,"Price"))-_xll.qwBondRepoFromTo($A$1,AA116,_xll.qwBondSettle($A$4,AA116),_xll.qwBondSettle($A$1,AA116))*_xll.qwSecVal($A$1,AA116,"Price")*(_xll.qwBondSettle($A$1,AA116)-_xll.qwBondSettle($A$4,AA116))/360))+O116,0)</f>
        <v>0</v>
      </c>
      <c r="AC116" s="9" cm="1">
        <f t="array" ref="AC116">O116+T116+IF(ISNUMBER(_xll.qwIncome($A$1,F116,_xll.qwSettle($A$4,F116),_xll.qwSettle($A$1,F116))*_xll.qwMVFactor($A$1,F116)*_xll.qwFXRate($A$1,F116)*I116),_xll.qwIncome($A$1,F116,_xll.qwSettle($A$4,F116),_xll.qwSettle($A$1,F116))*_xll.qwMVFactor($A$1,F116)*_xll.qwFXRate($A$1,F116)*I116,0)+IF(ISNUMBER(-(_xll.qwBondRepoFromTo($A$1,F116,_xll.qwSettle($A$4,F116),_xll.qwSettle($A$1,F116))*_xll.qwSecVal($A$1,F116,"Price")*(_xll.qwSettle($A$1,F116)-_xll.qwSettle($A$4,F116))/360)*_xll.qwMVFactor($A$1,F116)*_xll.qwFXRate($A$1,F116)*I116),-(_xll.qwBondRepoFromTo($A$1,F116,_xll.qwSettle($A$4,F116),_xll.qwSettle($A$1,F116))*_xll.qwSecVal($A$1,F116,"Price")*(_xll.qwSettle($A$1,F116)-_xll.qwSettle($A$4,F116))/360)*_xll.qwMVFactor($A$1,F116)*_xll.qwFXRate($A$1,F116)*I116,0)</f>
        <v>-90106.928101786805</v>
      </c>
      <c r="AD116" s="6"/>
    </row>
    <row r="117" spans="2:30" s="7" customFormat="1" x14ac:dyDescent="0.35">
      <c r="B117" s="7" t="str">
        <v>jcleary</v>
      </c>
      <c r="C117" s="7" t="str">
        <v>MAMS</v>
      </c>
      <c r="D117" s="7" t="str">
        <v>jcleary|MAMS|RV_US_TY_Spread|231211801</v>
      </c>
      <c r="E117" s="7" t="str">
        <v>RV_US_TY_Spread</v>
      </c>
      <c r="F117" s="7" t="str">
        <v>231211801</v>
      </c>
      <c r="G117" s="7">
        <v>92.8</v>
      </c>
      <c r="H117" s="7">
        <v>0</v>
      </c>
      <c r="I117" s="7">
        <v>92.8</v>
      </c>
      <c r="J117" s="7">
        <v>0</v>
      </c>
      <c r="K117" s="7">
        <v>0</v>
      </c>
      <c r="L117" s="7">
        <v>0</v>
      </c>
      <c r="M117" s="7">
        <v>0</v>
      </c>
      <c r="N117" s="7" t="str">
        <v>SwapTrade</v>
      </c>
      <c r="O117" s="6" cm="1">
        <f t="array" ref="O117">(_xll.qwPrice($A$1,F117)-_xll.qwPrice($A$4,F117))*_xll.qwMVFactor($A$1,F117)*I117*_xll.qwFXRate($A$1,F117)</f>
        <v>-74533.94123090239</v>
      </c>
      <c r="P117" s="6" cm="1">
        <f t="array" ref="P117">IF(ISNUMBER(_xll.qwDV01($A$1,F117)*I117*_xll.qwMVFactor($A$1,F117)*_xll.qwFXRate($A$1,F117)),_xll.qwDV01($A$1,F117)*I117*_xll.qwMVFactor($A$1,F117)*_xll.qwFXRate($A$1,F117),0)</f>
        <v>-51581.884104376011</v>
      </c>
      <c r="Q117" s="6" cm="1">
        <f t="array" ref="Q117">IF(ISNUMBER(_xll.qwDV01($A$1,F117)*G117*_xll.qwMVFactor($A$1,F117)*_xll.qwFXRate($A$1,F117)),_xll.qwDV01($A$1,F117)*G117*_xll.qwMVFactor($A$1,F117)*_xll.qwFXRate($A$1,F117),0)</f>
        <v>-51581.884104376011</v>
      </c>
      <c r="R117" s="6" cm="1">
        <f t="array" ref="R117">IF(ISNUMBER(_xll.qwDV01($A$1,F117)*J117*_xll.qwMVFactor($A$1,F117)*_xll.qwFXRate($A$1,F117)),_xll.qwDV01($A$1,F117)*J117*_xll.qwMVFactor($A$1,F117)*_xll.qwFXRate($A$1,F117),0)</f>
        <v>0</v>
      </c>
      <c r="S117" s="6" cm="1">
        <f t="array" ref="S117">IF(ISNUMBER(_xll.qwDV01($A$1,F117)*J117*_xll.qwMVFactor($A$1,F117)*_xll.qwFXRate($A$1,F117)),_xll.qwDV01($A$1,F117)*J117*_xll.qwMVFactor($A$1,F117)*_xll.qwFXRate($A$1,F117),0)</f>
        <v>0</v>
      </c>
      <c r="T117" s="6" cm="1">
        <f t="array" ref="T117">_xll.qwFXRate($A$1,F117)*J117*(_xll.qwPrice($A$1,F117)-M117)*_xll.qwMVFactor($A$1,F117)+L117</f>
        <v>0</v>
      </c>
      <c r="U117" s="8" cm="1">
        <f t="array" ref="U117">_xll.qwYield($A$1,F117)</f>
        <v>4.735978217866358E-2</v>
      </c>
      <c r="V117" s="8" cm="1">
        <f t="array" ref="V117">100*(_xll.qwYield($A$4,F117)-U117)</f>
        <v>1.4064238373222987E-2</v>
      </c>
      <c r="W117" s="6">
        <f>IF(ISNA(G117*INDEX(_xll.qwTblData(_xll.qwCurveScenariosPerSecurity($A$1,F117,"Crv210")),2,2)),0,(G117*INDEX(_xll.qwTblData(_xll.qwCurveScenariosPerSecurity($A$1,F117,"Crv210")),2,2)))</f>
        <v>5992.630102827633</v>
      </c>
      <c r="X117" s="6" cm="1">
        <f t="array" ref="X117">ABS(Q117/_xll.qwMV01($A$1,"CT10"))</f>
        <v>69.439070171201919</v>
      </c>
      <c r="Y117" s="6" cm="1">
        <f t="array" ref="Y117">IF(N117="BondFuture",-(_xll.qwCurveYield($A$1,_xll.qwSecVal($A$1,AA117,"CreditCurveName()"),AA117)-_xll.qwCurveYield($A$4,_xll.qwSecVal($A$4,AA117,"CreditCurveName()"),AA117))*P117*10000,IF(N117="Bond",-(_xll.qwCurveYield($A$1,_xll.qwSecVal($A$1,F117,"CreditCurveName()"),F117)-_xll.qwCurveYield($A$4,_xll.qwSecVal($A$4,F117,"CreditCurveName()"),F117))*P117*10000,O117))</f>
        <v>-74533.94123090239</v>
      </c>
      <c r="Z117" s="6" cm="1">
        <f t="array" ref="Z117">IF(OR(N117="BondFuture",N117="Bond"),P117*(_xll.qwCurveZSpread($A$4,_xll.qwSecVal($A$1,AA117,"CreditCurveName()"),AA117)-_xll.qwCurveZSpread($A$1,_xll.qwSecVal($A$1,AA117,"CreditCurveName()"),AA117)),0)</f>
        <v>0</v>
      </c>
      <c r="AA117" s="9" cm="1">
        <f t="array" ref="AA117">IF(_xll.qwSecType(F117)="Bond",F117,IF(_xll.qwSecType(F117)="BondFuture",_xll.qwFutCTD($A$1,F117),0))</f>
        <v>0</v>
      </c>
      <c r="AB117" s="6" cm="1">
        <f t="array" ref="AB117">IF(_xll.qwSecType(F117)="BondFuture",-(I117*_xll.qwDelta($A$4,F117)*_xll.qwMVFactor($A$1,F117)/_xll.qwMVFactor($A$1,_xll.qwFutCTD($A$1,F117)))*(_xll.qwFXRate($A$1,F117)*_xll.qwMVFactor($A$1,_xll.qwFutCTD($A$1,F117))*(_xll.qwIncome($A$4,_xll.qwFutCTD($A$4,F117),_xll.qwBondSettle($A$4,_xll.qwFutCTD($A$4,F117)),_xll.qwBondSettle($A$1,_xll.qwFutCTD($A$1,F117)))+(_xll.qwSecVal($A$1,AA117,"Price")-_xll.qwSecVal($A$4,AA117,"Price"))-_xll.qwBondRepoFromTo($A$1,AA117,_xll.qwBondSettle($A$4,AA117),_xll.qwBondSettle($A$1,AA117))*_xll.qwSecVal($A$1,AA117,"Price")*(_xll.qwBondSettle($A$1,AA117)-_xll.qwBondSettle($A$4,AA117))/360))+O117,0)</f>
        <v>0</v>
      </c>
      <c r="AC117" s="9" cm="1">
        <f t="array" ref="AC117">O117+T117+IF(ISNUMBER(_xll.qwIncome($A$1,F117,_xll.qwSettle($A$4,F117),_xll.qwSettle($A$1,F117))*_xll.qwMVFactor($A$1,F117)*_xll.qwFXRate($A$1,F117)*I117),_xll.qwIncome($A$1,F117,_xll.qwSettle($A$4,F117),_xll.qwSettle($A$1,F117))*_xll.qwMVFactor($A$1,F117)*_xll.qwFXRate($A$1,F117)*I117,0)+IF(ISNUMBER(-(_xll.qwBondRepoFromTo($A$1,F117,_xll.qwSettle($A$4,F117),_xll.qwSettle($A$1,F117))*_xll.qwSecVal($A$1,F117,"Price")*(_xll.qwSettle($A$1,F117)-_xll.qwSettle($A$4,F117))/360)*_xll.qwMVFactor($A$1,F117)*_xll.qwFXRate($A$1,F117)*I117),-(_xll.qwBondRepoFromTo($A$1,F117,_xll.qwSettle($A$4,F117),_xll.qwSettle($A$1,F117))*_xll.qwSecVal($A$1,F117,"Price")*(_xll.qwSettle($A$1,F117)-_xll.qwSettle($A$4,F117))/360)*_xll.qwMVFactor($A$1,F117)*_xll.qwFXRate($A$1,F117)*I117,0)</f>
        <v>-74533.94123090239</v>
      </c>
      <c r="AD117" s="6"/>
    </row>
    <row r="118" spans="2:30" s="7" customFormat="1" x14ac:dyDescent="0.35">
      <c r="B118" s="7" t="str">
        <v>jcleary</v>
      </c>
      <c r="C118" s="7" t="str">
        <v>MAMS</v>
      </c>
      <c r="D118" s="7" t="str">
        <v>jcleary|MAMS|RV_US_TY_Spread|231211845</v>
      </c>
      <c r="E118" s="7" t="str">
        <v>RV_US_TY_Spread</v>
      </c>
      <c r="F118" s="7" t="str">
        <v>231211845</v>
      </c>
      <c r="G118" s="7">
        <v>92.7</v>
      </c>
      <c r="H118" s="7">
        <v>0</v>
      </c>
      <c r="I118" s="7">
        <v>92.7</v>
      </c>
      <c r="J118" s="7">
        <v>0</v>
      </c>
      <c r="K118" s="7">
        <v>0</v>
      </c>
      <c r="L118" s="7">
        <v>0</v>
      </c>
      <c r="M118" s="7">
        <v>0</v>
      </c>
      <c r="N118" s="7" t="str">
        <v>SwapTrade</v>
      </c>
      <c r="O118" s="6" cm="1">
        <f t="array" ref="O118">(_xll.qwPrice($A$1,F118)-_xll.qwPrice($A$4,F118))*_xll.qwMVFactor($A$1,F118)*I118*_xll.qwFXRate($A$1,F118)</f>
        <v>-74451.195623124338</v>
      </c>
      <c r="P118" s="6" cm="1">
        <f t="array" ref="P118">IF(ISNUMBER(_xll.qwDV01($A$1,F118)*I118*_xll.qwMVFactor($A$1,F118)*_xll.qwFXRate($A$1,F118)),_xll.qwDV01($A$1,F118)*I118*_xll.qwMVFactor($A$1,F118)*_xll.qwFXRate($A$1,F118),0)</f>
        <v>-51524.149718112902</v>
      </c>
      <c r="Q118" s="6" cm="1">
        <f t="array" ref="Q118">IF(ISNUMBER(_xll.qwDV01($A$1,F118)*G118*_xll.qwMVFactor($A$1,F118)*_xll.qwFXRate($A$1,F118)),_xll.qwDV01($A$1,F118)*G118*_xll.qwMVFactor($A$1,F118)*_xll.qwFXRate($A$1,F118),0)</f>
        <v>-51524.149718112902</v>
      </c>
      <c r="R118" s="6" cm="1">
        <f t="array" ref="R118">IF(ISNUMBER(_xll.qwDV01($A$1,F118)*J118*_xll.qwMVFactor($A$1,F118)*_xll.qwFXRate($A$1,F118)),_xll.qwDV01($A$1,F118)*J118*_xll.qwMVFactor($A$1,F118)*_xll.qwFXRate($A$1,F118),0)</f>
        <v>0</v>
      </c>
      <c r="S118" s="6" cm="1">
        <f t="array" ref="S118">IF(ISNUMBER(_xll.qwDV01($A$1,F118)*J118*_xll.qwMVFactor($A$1,F118)*_xll.qwFXRate($A$1,F118)),_xll.qwDV01($A$1,F118)*J118*_xll.qwMVFactor($A$1,F118)*_xll.qwFXRate($A$1,F118),0)</f>
        <v>0</v>
      </c>
      <c r="T118" s="6" cm="1">
        <f t="array" ref="T118">_xll.qwFXRate($A$1,F118)*J118*(_xll.qwPrice($A$1,F118)-M118)*_xll.qwMVFactor($A$1,F118)+L118</f>
        <v>0</v>
      </c>
      <c r="U118" s="8" cm="1">
        <f t="array" ref="U118">_xll.qwYield($A$1,F118)</f>
        <v>4.735978217866358E-2</v>
      </c>
      <c r="V118" s="8" cm="1">
        <f t="array" ref="V118">100*(_xll.qwYield($A$4,F118)-U118)</f>
        <v>1.4064238373222987E-2</v>
      </c>
      <c r="W118" s="6">
        <f>IF(ISNA(G118*INDEX(_xll.qwTblData(_xll.qwCurveScenariosPerSecurity($A$1,F118,"Crv210")),2,2)),0,(G118*INDEX(_xll.qwTblData(_xll.qwCurveScenariosPerSecurity($A$1,F118,"Crv210")),2,2)))</f>
        <v>5986.4576523070582</v>
      </c>
      <c r="X118" s="6" cm="1">
        <f t="array" ref="X118">ABS(Q118/_xll.qwMV01($A$1,"CT10"))</f>
        <v>69.361348657755386</v>
      </c>
      <c r="Y118" s="6" cm="1">
        <f t="array" ref="Y118">IF(N118="BondFuture",-(_xll.qwCurveYield($A$1,_xll.qwSecVal($A$1,AA118,"CreditCurveName()"),AA118)-_xll.qwCurveYield($A$4,_xll.qwSecVal($A$4,AA118,"CreditCurveName()"),AA118))*P118*10000,IF(N118="Bond",-(_xll.qwCurveYield($A$1,_xll.qwSecVal($A$1,F118,"CreditCurveName()"),F118)-_xll.qwCurveYield($A$4,_xll.qwSecVal($A$4,F118,"CreditCurveName()"),F118))*P118*10000,O118))</f>
        <v>-74451.195623124338</v>
      </c>
      <c r="Z118" s="6" cm="1">
        <f t="array" ref="Z118">IF(OR(N118="BondFuture",N118="Bond"),P118*(_xll.qwCurveZSpread($A$4,_xll.qwSecVal($A$1,AA118,"CreditCurveName()"),AA118)-_xll.qwCurveZSpread($A$1,_xll.qwSecVal($A$1,AA118,"CreditCurveName()"),AA118)),0)</f>
        <v>0</v>
      </c>
      <c r="AA118" s="9" cm="1">
        <f t="array" ref="AA118">IF(_xll.qwSecType(F118)="Bond",F118,IF(_xll.qwSecType(F118)="BondFuture",_xll.qwFutCTD($A$1,F118),0))</f>
        <v>0</v>
      </c>
      <c r="AB118" s="6" cm="1">
        <f t="array" ref="AB118">IF(_xll.qwSecType(F118)="BondFuture",-(I118*_xll.qwDelta($A$4,F118)*_xll.qwMVFactor($A$1,F118)/_xll.qwMVFactor($A$1,_xll.qwFutCTD($A$1,F118)))*(_xll.qwFXRate($A$1,F118)*_xll.qwMVFactor($A$1,_xll.qwFutCTD($A$1,F118))*(_xll.qwIncome($A$4,_xll.qwFutCTD($A$4,F118),_xll.qwBondSettle($A$4,_xll.qwFutCTD($A$4,F118)),_xll.qwBondSettle($A$1,_xll.qwFutCTD($A$1,F118)))+(_xll.qwSecVal($A$1,AA118,"Price")-_xll.qwSecVal($A$4,AA118,"Price"))-_xll.qwBondRepoFromTo($A$1,AA118,_xll.qwBondSettle($A$4,AA118),_xll.qwBondSettle($A$1,AA118))*_xll.qwSecVal($A$1,AA118,"Price")*(_xll.qwBondSettle($A$1,AA118)-_xll.qwBondSettle($A$4,AA118))/360))+O118,0)</f>
        <v>0</v>
      </c>
      <c r="AC118" s="9" cm="1">
        <f t="array" ref="AC118">O118+T118+IF(ISNUMBER(_xll.qwIncome($A$1,F118,_xll.qwSettle($A$4,F118),_xll.qwSettle($A$1,F118))*_xll.qwMVFactor($A$1,F118)*_xll.qwFXRate($A$1,F118)*I118),_xll.qwIncome($A$1,F118,_xll.qwSettle($A$4,F118),_xll.qwSettle($A$1,F118))*_xll.qwMVFactor($A$1,F118)*_xll.qwFXRate($A$1,F118)*I118,0)+IF(ISNUMBER(-(_xll.qwBondRepoFromTo($A$1,F118,_xll.qwSettle($A$4,F118),_xll.qwSettle($A$1,F118))*_xll.qwSecVal($A$1,F118,"Price")*(_xll.qwSettle($A$1,F118)-_xll.qwSettle($A$4,F118))/360)*_xll.qwMVFactor($A$1,F118)*_xll.qwFXRate($A$1,F118)*I118),-(_xll.qwBondRepoFromTo($A$1,F118,_xll.qwSettle($A$4,F118),_xll.qwSettle($A$1,F118))*_xll.qwSecVal($A$1,F118,"Price")*(_xll.qwSettle($A$1,F118)-_xll.qwSettle($A$4,F118))/360)*_xll.qwMVFactor($A$1,F118)*_xll.qwFXRate($A$1,F118)*I118,0)</f>
        <v>-74451.195623124338</v>
      </c>
      <c r="AD118" s="6"/>
    </row>
    <row r="119" spans="2:30" s="7" customFormat="1" x14ac:dyDescent="0.35">
      <c r="B119" s="7" t="str">
        <v>jcleary</v>
      </c>
      <c r="C119" s="7" t="str">
        <v>MAMS</v>
      </c>
      <c r="D119" s="7" t="str">
        <v>jcleary|MAMS|RV_US_TY_Spread|232257832</v>
      </c>
      <c r="E119" s="7" t="str">
        <v>RV_US_TY_Spread</v>
      </c>
      <c r="F119" s="7" t="str">
        <v>232257832</v>
      </c>
      <c r="G119" s="7">
        <v>357.3</v>
      </c>
      <c r="H119" s="7">
        <v>0</v>
      </c>
      <c r="I119" s="7">
        <v>357.3</v>
      </c>
      <c r="J119" s="7">
        <v>0</v>
      </c>
      <c r="K119" s="7">
        <v>0</v>
      </c>
      <c r="L119" s="7">
        <v>0</v>
      </c>
      <c r="M119" s="7">
        <v>0</v>
      </c>
      <c r="N119" s="7" t="str">
        <v>SwapTrade</v>
      </c>
      <c r="O119" s="6" cm="1">
        <f t="array" ref="O119">(_xll.qwPrice($A$1,F119)-_xll.qwPrice($A$4,F119))*_xll.qwMVFactor($A$1,F119)*I119*_xll.qwFXRate($A$1,F119)</f>
        <v>-213371.47632602285</v>
      </c>
      <c r="P119" s="6" cm="1">
        <f t="array" ref="P119">IF(ISNUMBER(_xll.qwDV01($A$1,F119)*I119*_xll.qwMVFactor($A$1,F119)*_xll.qwFXRate($A$1,F119)),_xll.qwDV01($A$1,F119)*I119*_xll.qwMVFactor($A$1,F119)*_xll.qwFXRate($A$1,F119),0)</f>
        <v>-173816.36165839754</v>
      </c>
      <c r="Q119" s="6" cm="1">
        <f t="array" ref="Q119">IF(ISNUMBER(_xll.qwDV01($A$1,F119)*G119*_xll.qwMVFactor($A$1,F119)*_xll.qwFXRate($A$1,F119)),_xll.qwDV01($A$1,F119)*G119*_xll.qwMVFactor($A$1,F119)*_xll.qwFXRate($A$1,F119),0)</f>
        <v>-173816.36165839754</v>
      </c>
      <c r="R119" s="6" cm="1">
        <f t="array" ref="R119">IF(ISNUMBER(_xll.qwDV01($A$1,F119)*J119*_xll.qwMVFactor($A$1,F119)*_xll.qwFXRate($A$1,F119)),_xll.qwDV01($A$1,F119)*J119*_xll.qwMVFactor($A$1,F119)*_xll.qwFXRate($A$1,F119),0)</f>
        <v>0</v>
      </c>
      <c r="S119" s="6" cm="1">
        <f t="array" ref="S119">IF(ISNUMBER(_xll.qwDV01($A$1,F119)*J119*_xll.qwMVFactor($A$1,F119)*_xll.qwFXRate($A$1,F119)),_xll.qwDV01($A$1,F119)*J119*_xll.qwMVFactor($A$1,F119)*_xll.qwFXRate($A$1,F119),0)</f>
        <v>0</v>
      </c>
      <c r="T119" s="6" cm="1">
        <f t="array" ref="T119">_xll.qwFXRate($A$1,F119)*J119*(_xll.qwPrice($A$1,F119)-M119)*_xll.qwMVFactor($A$1,F119)+L119</f>
        <v>0</v>
      </c>
      <c r="U119" s="8" cm="1">
        <f t="array" ref="U119">_xll.qwYield($A$1,F119)</f>
        <v>4.721081966519719E-2</v>
      </c>
      <c r="V119" s="8" cm="1">
        <f t="array" ref="V119">100*(_xll.qwYield($A$4,F119)-U119)</f>
        <v>1.1875651335332971E-2</v>
      </c>
      <c r="W119" s="6">
        <f>IF(ISNA(G119*INDEX(_xll.qwTblData(_xll.qwCurveScenariosPerSecurity($A$1,F119,"Crv210")),2,2)),0,(G119*INDEX(_xll.qwTblData(_xll.qwCurveScenariosPerSecurity($A$1,F119,"Crv210")),2,2)))</f>
        <v>-2036.7808008313073</v>
      </c>
      <c r="X119" s="6" cm="1">
        <f t="array" ref="X119">ABS(Q119/_xll.qwMV01($A$1,"CT10"))</f>
        <v>233.99002854718395</v>
      </c>
      <c r="Y119" s="6" cm="1">
        <f t="array" ref="Y119">IF(N119="BondFuture",-(_xll.qwCurveYield($A$1,_xll.qwSecVal($A$1,AA119,"CreditCurveName()"),AA119)-_xll.qwCurveYield($A$4,_xll.qwSecVal($A$4,AA119,"CreditCurveName()"),AA119))*P119*10000,IF(N119="Bond",-(_xll.qwCurveYield($A$1,_xll.qwSecVal($A$1,F119,"CreditCurveName()"),F119)-_xll.qwCurveYield($A$4,_xll.qwSecVal($A$4,F119,"CreditCurveName()"),F119))*P119*10000,O119))</f>
        <v>-213371.47632602285</v>
      </c>
      <c r="Z119" s="6" cm="1">
        <f t="array" ref="Z119">IF(OR(N119="BondFuture",N119="Bond"),P119*(_xll.qwCurveZSpread($A$4,_xll.qwSecVal($A$1,AA119,"CreditCurveName()"),AA119)-_xll.qwCurveZSpread($A$1,_xll.qwSecVal($A$1,AA119,"CreditCurveName()"),AA119)),0)</f>
        <v>0</v>
      </c>
      <c r="AA119" s="9" cm="1">
        <f t="array" ref="AA119">IF(_xll.qwSecType(F119)="Bond",F119,IF(_xll.qwSecType(F119)="BondFuture",_xll.qwFutCTD($A$1,F119),0))</f>
        <v>0</v>
      </c>
      <c r="AB119" s="6" cm="1">
        <f t="array" ref="AB119">IF(_xll.qwSecType(F119)="BondFuture",-(I119*_xll.qwDelta($A$4,F119)*_xll.qwMVFactor($A$1,F119)/_xll.qwMVFactor($A$1,_xll.qwFutCTD($A$1,F119)))*(_xll.qwFXRate($A$1,F119)*_xll.qwMVFactor($A$1,_xll.qwFutCTD($A$1,F119))*(_xll.qwIncome($A$4,_xll.qwFutCTD($A$4,F119),_xll.qwBondSettle($A$4,_xll.qwFutCTD($A$4,F119)),_xll.qwBondSettle($A$1,_xll.qwFutCTD($A$1,F119)))+(_xll.qwSecVal($A$1,AA119,"Price")-_xll.qwSecVal($A$4,AA119,"Price"))-_xll.qwBondRepoFromTo($A$1,AA119,_xll.qwBondSettle($A$4,AA119),_xll.qwBondSettle($A$1,AA119))*_xll.qwSecVal($A$1,AA119,"Price")*(_xll.qwBondSettle($A$1,AA119)-_xll.qwBondSettle($A$4,AA119))/360))+O119,0)</f>
        <v>0</v>
      </c>
      <c r="AC119" s="9" cm="1">
        <f t="array" ref="AC119">O119+T119+IF(ISNUMBER(_xll.qwIncome($A$1,F119,_xll.qwSettle($A$4,F119),_xll.qwSettle($A$1,F119))*_xll.qwMVFactor($A$1,F119)*_xll.qwFXRate($A$1,F119)*I119),_xll.qwIncome($A$1,F119,_xll.qwSettle($A$4,F119),_xll.qwSettle($A$1,F119))*_xll.qwMVFactor($A$1,F119)*_xll.qwFXRate($A$1,F119)*I119,0)+IF(ISNUMBER(-(_xll.qwBondRepoFromTo($A$1,F119,_xll.qwSettle($A$4,F119),_xll.qwSettle($A$1,F119))*_xll.qwSecVal($A$1,F119,"Price")*(_xll.qwSettle($A$1,F119)-_xll.qwSettle($A$4,F119))/360)*_xll.qwMVFactor($A$1,F119)*_xll.qwFXRate($A$1,F119)*I119),-(_xll.qwBondRepoFromTo($A$1,F119,_xll.qwSettle($A$4,F119),_xll.qwSettle($A$1,F119))*_xll.qwSecVal($A$1,F119,"Price")*(_xll.qwSettle($A$1,F119)-_xll.qwSettle($A$4,F119))/360)*_xll.qwMVFactor($A$1,F119)*_xll.qwFXRate($A$1,F119)*I119,0)</f>
        <v>-213371.47632602285</v>
      </c>
      <c r="AD119" s="6"/>
    </row>
    <row r="120" spans="2:30" s="7" customFormat="1" x14ac:dyDescent="0.35">
      <c r="B120" s="7" t="str">
        <v>jcleary</v>
      </c>
      <c r="C120" s="7" t="str">
        <v>MAMS</v>
      </c>
      <c r="D120" s="7" t="str">
        <v>jcleary|MAMS|RV_US_TY_Spread|232999148</v>
      </c>
      <c r="E120" s="7" t="str">
        <v>RV_US_TY_Spread</v>
      </c>
      <c r="F120" s="7" t="str">
        <v>232999148</v>
      </c>
      <c r="G120" s="7">
        <v>100</v>
      </c>
      <c r="H120" s="7">
        <v>0</v>
      </c>
      <c r="I120" s="7">
        <v>100</v>
      </c>
      <c r="J120" s="7">
        <v>0</v>
      </c>
      <c r="K120" s="7">
        <v>0</v>
      </c>
      <c r="L120" s="7">
        <v>0</v>
      </c>
      <c r="M120" s="7">
        <v>0</v>
      </c>
      <c r="N120" s="7" t="str">
        <v>SwapTrade</v>
      </c>
      <c r="O120" s="6" cm="1">
        <f t="array" ref="O120">(_xll.qwPrice($A$1,F120)-_xll.qwPrice($A$4,F120))*_xll.qwMVFactor($A$1,F120)*I120*_xll.qwFXRate($A$1,F120)</f>
        <v>-66588.398994691815</v>
      </c>
      <c r="P120" s="6" cm="1">
        <f t="array" ref="P120">IF(ISNUMBER(_xll.qwDV01($A$1,F120)*I120*_xll.qwMVFactor($A$1,F120)*_xll.qwFXRate($A$1,F120)),_xll.qwDV01($A$1,F120)*I120*_xll.qwMVFactor($A$1,F120)*_xll.qwFXRate($A$1,F120),0)</f>
        <v>-50939.477926346968</v>
      </c>
      <c r="Q120" s="6" cm="1">
        <f t="array" ref="Q120">IF(ISNUMBER(_xll.qwDV01($A$1,F120)*G120*_xll.qwMVFactor($A$1,F120)*_xll.qwFXRate($A$1,F120)),_xll.qwDV01($A$1,F120)*G120*_xll.qwMVFactor($A$1,F120)*_xll.qwFXRate($A$1,F120),0)</f>
        <v>-50939.477926346968</v>
      </c>
      <c r="R120" s="6" cm="1">
        <f t="array" ref="R120">IF(ISNUMBER(_xll.qwDV01($A$1,F120)*J120*_xll.qwMVFactor($A$1,F120)*_xll.qwFXRate($A$1,F120)),_xll.qwDV01($A$1,F120)*J120*_xll.qwMVFactor($A$1,F120)*_xll.qwFXRate($A$1,F120),0)</f>
        <v>0</v>
      </c>
      <c r="S120" s="6" cm="1">
        <f t="array" ref="S120">IF(ISNUMBER(_xll.qwDV01($A$1,F120)*J120*_xll.qwMVFactor($A$1,F120)*_xll.qwFXRate($A$1,F120)),_xll.qwDV01($A$1,F120)*J120*_xll.qwMVFactor($A$1,F120)*_xll.qwFXRate($A$1,F120),0)</f>
        <v>0</v>
      </c>
      <c r="T120" s="6" cm="1">
        <f t="array" ref="T120">_xll.qwFXRate($A$1,F120)*J120*(_xll.qwPrice($A$1,F120)-M120)*_xll.qwMVFactor($A$1,F120)+L120</f>
        <v>0</v>
      </c>
      <c r="U120" s="8" cm="1">
        <f t="array" ref="U120">_xll.qwYield($A$1,F120)</f>
        <v>4.7258083145303525E-2</v>
      </c>
      <c r="V120" s="8" cm="1">
        <f t="array" ref="V120">100*(_xll.qwYield($A$4,F120)-U120)</f>
        <v>1.2601246262979038E-2</v>
      </c>
      <c r="W120" s="6">
        <f>IF(ISNA(G120*INDEX(_xll.qwTblData(_xll.qwCurveScenariosPerSecurity($A$1,F120,"Crv210")),2,2)),0,(G120*INDEX(_xll.qwTblData(_xll.qwCurveScenariosPerSecurity($A$1,F120,"Crv210")),2,2)))</f>
        <v>1256.820873035025</v>
      </c>
      <c r="X120" s="6" cm="1">
        <f t="array" ref="X120">ABS(Q120/_xll.qwMV01($A$1,"CT10"))</f>
        <v>68.574268730752237</v>
      </c>
      <c r="Y120" s="6" cm="1">
        <f t="array" ref="Y120">IF(N120="BondFuture",-(_xll.qwCurveYield($A$1,_xll.qwSecVal($A$1,AA120,"CreditCurveName()"),AA120)-_xll.qwCurveYield($A$4,_xll.qwSecVal($A$4,AA120,"CreditCurveName()"),AA120))*P120*10000,IF(N120="Bond",-(_xll.qwCurveYield($A$1,_xll.qwSecVal($A$1,F120,"CreditCurveName()"),F120)-_xll.qwCurveYield($A$4,_xll.qwSecVal($A$4,F120,"CreditCurveName()"),F120))*P120*10000,O120))</f>
        <v>-66588.398994691815</v>
      </c>
      <c r="Z120" s="6" cm="1">
        <f t="array" ref="Z120">IF(OR(N120="BondFuture",N120="Bond"),P120*(_xll.qwCurveZSpread($A$4,_xll.qwSecVal($A$1,AA120,"CreditCurveName()"),AA120)-_xll.qwCurveZSpread($A$1,_xll.qwSecVal($A$1,AA120,"CreditCurveName()"),AA120)),0)</f>
        <v>0</v>
      </c>
      <c r="AA120" s="9" cm="1">
        <f t="array" ref="AA120">IF(_xll.qwSecType(F120)="Bond",F120,IF(_xll.qwSecType(F120)="BondFuture",_xll.qwFutCTD($A$1,F120),0))</f>
        <v>0</v>
      </c>
      <c r="AB120" s="6" cm="1">
        <f t="array" ref="AB120">IF(_xll.qwSecType(F120)="BondFuture",-(I120*_xll.qwDelta($A$4,F120)*_xll.qwMVFactor($A$1,F120)/_xll.qwMVFactor($A$1,_xll.qwFutCTD($A$1,F120)))*(_xll.qwFXRate($A$1,F120)*_xll.qwMVFactor($A$1,_xll.qwFutCTD($A$1,F120))*(_xll.qwIncome($A$4,_xll.qwFutCTD($A$4,F120),_xll.qwBondSettle($A$4,_xll.qwFutCTD($A$4,F120)),_xll.qwBondSettle($A$1,_xll.qwFutCTD($A$1,F120)))+(_xll.qwSecVal($A$1,AA120,"Price")-_xll.qwSecVal($A$4,AA120,"Price"))-_xll.qwBondRepoFromTo($A$1,AA120,_xll.qwBondSettle($A$4,AA120),_xll.qwBondSettle($A$1,AA120))*_xll.qwSecVal($A$1,AA120,"Price")*(_xll.qwBondSettle($A$1,AA120)-_xll.qwBondSettle($A$4,AA120))/360))+O120,0)</f>
        <v>0</v>
      </c>
      <c r="AC120" s="9" cm="1">
        <f t="array" ref="AC120">O120+T120+IF(ISNUMBER(_xll.qwIncome($A$1,F120,_xll.qwSettle($A$4,F120),_xll.qwSettle($A$1,F120))*_xll.qwMVFactor($A$1,F120)*_xll.qwFXRate($A$1,F120)*I120),_xll.qwIncome($A$1,F120,_xll.qwSettle($A$4,F120),_xll.qwSettle($A$1,F120))*_xll.qwMVFactor($A$1,F120)*_xll.qwFXRate($A$1,F120)*I120,0)+IF(ISNUMBER(-(_xll.qwBondRepoFromTo($A$1,F120,_xll.qwSettle($A$4,F120),_xll.qwSettle($A$1,F120))*_xll.qwSecVal($A$1,F120,"Price")*(_xll.qwSettle($A$1,F120)-_xll.qwSettle($A$4,F120))/360)*_xll.qwMVFactor($A$1,F120)*_xll.qwFXRate($A$1,F120)*I120),-(_xll.qwBondRepoFromTo($A$1,F120,_xll.qwSettle($A$4,F120),_xll.qwSettle($A$1,F120))*_xll.qwSecVal($A$1,F120,"Price")*(_xll.qwSettle($A$1,F120)-_xll.qwSettle($A$4,F120))/360)*_xll.qwMVFactor($A$1,F120)*_xll.qwFXRate($A$1,F120)*I120,0)</f>
        <v>-66588.398994691815</v>
      </c>
      <c r="AD120" s="6"/>
    </row>
    <row r="121" spans="2:30" s="7" customFormat="1" x14ac:dyDescent="0.35">
      <c r="B121" s="7" t="str">
        <v>jcleary</v>
      </c>
      <c r="C121" s="7" t="str">
        <v>MAMS</v>
      </c>
      <c r="D121" s="7" t="str">
        <v>jcleary|MAMS|RV_US_TY_Spread|234766536</v>
      </c>
      <c r="E121" s="7" t="str">
        <v>RV_US_TY_Spread</v>
      </c>
      <c r="F121" s="7" t="str">
        <v>234766536</v>
      </c>
      <c r="G121" s="7">
        <v>135.80000000000001</v>
      </c>
      <c r="H121" s="7">
        <v>0</v>
      </c>
      <c r="I121" s="7">
        <v>135.80000000000001</v>
      </c>
      <c r="J121" s="7">
        <v>0</v>
      </c>
      <c r="K121" s="7">
        <v>0</v>
      </c>
      <c r="L121" s="7">
        <v>0</v>
      </c>
      <c r="M121" s="7">
        <v>0</v>
      </c>
      <c r="N121" s="7" t="str">
        <v>SwapTrade</v>
      </c>
      <c r="O121" s="6" cm="1">
        <f t="array" ref="O121">(_xll.qwPrice($A$1,F121)-_xll.qwPrice($A$4,F121))*_xll.qwMVFactor($A$1,F121)*I121*_xll.qwFXRate($A$1,F121)</f>
        <v>-90457.762156456723</v>
      </c>
      <c r="P121" s="6" cm="1">
        <f t="array" ref="P121">IF(ISNUMBER(_xll.qwDV01($A$1,F121)*I121*_xll.qwMVFactor($A$1,F121)*_xll.qwFXRate($A$1,F121)),_xll.qwDV01($A$1,F121)*I121*_xll.qwMVFactor($A$1,F121)*_xll.qwFXRate($A$1,F121),0)</f>
        <v>-69187.32975188471</v>
      </c>
      <c r="Q121" s="6" cm="1">
        <f t="array" ref="Q121">IF(ISNUMBER(_xll.qwDV01($A$1,F121)*G121*_xll.qwMVFactor($A$1,F121)*_xll.qwFXRate($A$1,F121)),_xll.qwDV01($A$1,F121)*G121*_xll.qwMVFactor($A$1,F121)*_xll.qwFXRate($A$1,F121),0)</f>
        <v>-69187.32975188471</v>
      </c>
      <c r="R121" s="6" cm="1">
        <f t="array" ref="R121">IF(ISNUMBER(_xll.qwDV01($A$1,F121)*J121*_xll.qwMVFactor($A$1,F121)*_xll.qwFXRate($A$1,F121)),_xll.qwDV01($A$1,F121)*J121*_xll.qwMVFactor($A$1,F121)*_xll.qwFXRate($A$1,F121),0)</f>
        <v>0</v>
      </c>
      <c r="S121" s="6" cm="1">
        <f t="array" ref="S121">IF(ISNUMBER(_xll.qwDV01($A$1,F121)*J121*_xll.qwMVFactor($A$1,F121)*_xll.qwFXRate($A$1,F121)),_xll.qwDV01($A$1,F121)*J121*_xll.qwMVFactor($A$1,F121)*_xll.qwFXRate($A$1,F121),0)</f>
        <v>0</v>
      </c>
      <c r="T121" s="6" cm="1">
        <f t="array" ref="T121">_xll.qwFXRate($A$1,F121)*J121*(_xll.qwPrice($A$1,F121)-M121)*_xll.qwMVFactor($A$1,F121)+L121</f>
        <v>0</v>
      </c>
      <c r="U121" s="8" cm="1">
        <f t="array" ref="U121">_xll.qwYield($A$1,F121)</f>
        <v>4.7258083145303525E-2</v>
      </c>
      <c r="V121" s="8" cm="1">
        <f t="array" ref="V121">100*(_xll.qwYield($A$4,F121)-U121)</f>
        <v>1.2601246262979038E-2</v>
      </c>
      <c r="W121" s="6">
        <f>IF(ISNA(G121*INDEX(_xll.qwTblData(_xll.qwCurveScenariosPerSecurity($A$1,F121,"Crv210")),2,2)),0,(G121*INDEX(_xll.qwTblData(_xll.qwCurveScenariosPerSecurity($A$1,F121,"Crv210")),2,2)))</f>
        <v>1707.1989856900525</v>
      </c>
      <c r="X121" s="6" cm="1">
        <f t="array" ref="X121">ABS(Q121/_xll.qwMV01($A$1,"CT10"))</f>
        <v>93.139363344652025</v>
      </c>
      <c r="Y121" s="6" cm="1">
        <f t="array" ref="Y121">IF(N121="BondFuture",-(_xll.qwCurveYield($A$1,_xll.qwSecVal($A$1,AA121,"CreditCurveName()"),AA121)-_xll.qwCurveYield($A$4,_xll.qwSecVal($A$4,AA121,"CreditCurveName()"),AA121))*P121*10000,IF(N121="Bond",-(_xll.qwCurveYield($A$1,_xll.qwSecVal($A$1,F121,"CreditCurveName()"),F121)-_xll.qwCurveYield($A$4,_xll.qwSecVal($A$4,F121,"CreditCurveName()"),F121))*P121*10000,O121))</f>
        <v>-90457.762156456723</v>
      </c>
      <c r="Z121" s="6" cm="1">
        <f t="array" ref="Z121">IF(OR(N121="BondFuture",N121="Bond"),P121*(_xll.qwCurveZSpread($A$4,_xll.qwSecVal($A$1,AA121,"CreditCurveName()"),AA121)-_xll.qwCurveZSpread($A$1,_xll.qwSecVal($A$1,AA121,"CreditCurveName()"),AA121)),0)</f>
        <v>0</v>
      </c>
      <c r="AA121" s="9" cm="1">
        <f t="array" ref="AA121">IF(_xll.qwSecType(F121)="Bond",F121,IF(_xll.qwSecType(F121)="BondFuture",_xll.qwFutCTD($A$1,F121),0))</f>
        <v>0</v>
      </c>
      <c r="AB121" s="6" cm="1">
        <f t="array" ref="AB121">IF(_xll.qwSecType(F121)="BondFuture",-(I121*_xll.qwDelta($A$4,F121)*_xll.qwMVFactor($A$1,F121)/_xll.qwMVFactor($A$1,_xll.qwFutCTD($A$1,F121)))*(_xll.qwFXRate($A$1,F121)*_xll.qwMVFactor($A$1,_xll.qwFutCTD($A$1,F121))*(_xll.qwIncome($A$4,_xll.qwFutCTD($A$4,F121),_xll.qwBondSettle($A$4,_xll.qwFutCTD($A$4,F121)),_xll.qwBondSettle($A$1,_xll.qwFutCTD($A$1,F121)))+(_xll.qwSecVal($A$1,AA121,"Price")-_xll.qwSecVal($A$4,AA121,"Price"))-_xll.qwBondRepoFromTo($A$1,AA121,_xll.qwBondSettle($A$4,AA121),_xll.qwBondSettle($A$1,AA121))*_xll.qwSecVal($A$1,AA121,"Price")*(_xll.qwBondSettle($A$1,AA121)-_xll.qwBondSettle($A$4,AA121))/360))+O121,0)</f>
        <v>0</v>
      </c>
      <c r="AC121" s="9" cm="1">
        <f t="array" ref="AC121">O121+T121+IF(ISNUMBER(_xll.qwIncome($A$1,F121,_xll.qwSettle($A$4,F121),_xll.qwSettle($A$1,F121))*_xll.qwMVFactor($A$1,F121)*_xll.qwFXRate($A$1,F121)*I121),_xll.qwIncome($A$1,F121,_xll.qwSettle($A$4,F121),_xll.qwSettle($A$1,F121))*_xll.qwMVFactor($A$1,F121)*_xll.qwFXRate($A$1,F121)*I121,0)+IF(ISNUMBER(-(_xll.qwBondRepoFromTo($A$1,F121,_xll.qwSettle($A$4,F121),_xll.qwSettle($A$1,F121))*_xll.qwSecVal($A$1,F121,"Price")*(_xll.qwSettle($A$1,F121)-_xll.qwSettle($A$4,F121))/360)*_xll.qwMVFactor($A$1,F121)*_xll.qwFXRate($A$1,F121)*I121),-(_xll.qwBondRepoFromTo($A$1,F121,_xll.qwSettle($A$4,F121),_xll.qwSettle($A$1,F121))*_xll.qwSecVal($A$1,F121,"Price")*(_xll.qwSettle($A$1,F121)-_xll.qwSettle($A$4,F121))/360)*_xll.qwMVFactor($A$1,F121)*_xll.qwFXRate($A$1,F121)*I121,0)</f>
        <v>-90457.762156456723</v>
      </c>
      <c r="AD121" s="6"/>
    </row>
    <row r="122" spans="2:30" s="7" customFormat="1" x14ac:dyDescent="0.35">
      <c r="B122" s="7" t="str">
        <v>jcleary</v>
      </c>
      <c r="C122" s="7" t="str">
        <v>MAMS</v>
      </c>
      <c r="D122" s="7" t="str">
        <v>jcleary|MAMS|RV_US_TY_Spread|238464171</v>
      </c>
      <c r="E122" s="7" t="str">
        <v>RV_US_TY_Spread</v>
      </c>
      <c r="F122" s="7" t="str">
        <v>238464171</v>
      </c>
      <c r="G122" s="7">
        <v>204.435</v>
      </c>
      <c r="H122" s="7">
        <v>0</v>
      </c>
      <c r="I122" s="7">
        <v>204.435</v>
      </c>
      <c r="J122" s="7">
        <v>0</v>
      </c>
      <c r="K122" s="7">
        <v>0</v>
      </c>
      <c r="L122" s="7">
        <v>0</v>
      </c>
      <c r="M122" s="7">
        <v>0</v>
      </c>
      <c r="N122" s="7" t="str">
        <v>SwapTrade</v>
      </c>
      <c r="O122" s="6" cm="1">
        <f t="array" ref="O122">(_xll.qwPrice($A$1,F122)-_xll.qwPrice($A$4,F122))*_xll.qwMVFactor($A$1,F122)*I122*_xll.qwFXRate($A$1,F122)</f>
        <v>142516.56655368247</v>
      </c>
      <c r="P122" s="6" cm="1">
        <f t="array" ref="P122">IF(ISNUMBER(_xll.qwDV01($A$1,F122)*I122*_xll.qwMVFactor($A$1,F122)*_xll.qwFXRate($A$1,F122)),_xll.qwDV01($A$1,F122)*I122*_xll.qwMVFactor($A$1,F122)*_xll.qwFXRate($A$1,F122),0)</f>
        <v>106077.11695058629</v>
      </c>
      <c r="Q122" s="6" cm="1">
        <f t="array" ref="Q122">IF(ISNUMBER(_xll.qwDV01($A$1,F122)*G122*_xll.qwMVFactor($A$1,F122)*_xll.qwFXRate($A$1,F122)),_xll.qwDV01($A$1,F122)*G122*_xll.qwMVFactor($A$1,F122)*_xll.qwFXRate($A$1,F122),0)</f>
        <v>106077.11695058629</v>
      </c>
      <c r="R122" s="6" cm="1">
        <f t="array" ref="R122">IF(ISNUMBER(_xll.qwDV01($A$1,F122)*J122*_xll.qwMVFactor($A$1,F122)*_xll.qwFXRate($A$1,F122)),_xll.qwDV01($A$1,F122)*J122*_xll.qwMVFactor($A$1,F122)*_xll.qwFXRate($A$1,F122),0)</f>
        <v>0</v>
      </c>
      <c r="S122" s="6" cm="1">
        <f t="array" ref="S122">IF(ISNUMBER(_xll.qwDV01($A$1,F122)*J122*_xll.qwMVFactor($A$1,F122)*_xll.qwFXRate($A$1,F122)),_xll.qwDV01($A$1,F122)*J122*_xll.qwMVFactor($A$1,F122)*_xll.qwFXRate($A$1,F122),0)</f>
        <v>0</v>
      </c>
      <c r="T122" s="6" cm="1">
        <f t="array" ref="T122">_xll.qwFXRate($A$1,F122)*J122*(_xll.qwPrice($A$1,F122)-M122)*_xll.qwMVFactor($A$1,F122)+L122</f>
        <v>0</v>
      </c>
      <c r="U122" s="8" cm="1">
        <f t="array" ref="U122">_xll.qwYield($A$1,F122)</f>
        <v>4.7266079358983568E-2</v>
      </c>
      <c r="V122" s="8" cm="1">
        <f t="array" ref="V122">100*(_xll.qwYield($A$4,F122)-U122)</f>
        <v>1.2999858244428647E-2</v>
      </c>
      <c r="W122" s="6">
        <f>IF(ISNA(G122*INDEX(_xll.qwTblData(_xll.qwCurveScenariosPerSecurity($A$1,F122,"Crv210")),2,2)),0,(G122*INDEX(_xll.qwTblData(_xll.qwCurveScenariosPerSecurity($A$1,F122,"Crv210")),2,2)))</f>
        <v>-5048.1417522971315</v>
      </c>
      <c r="X122" s="6" cm="1">
        <f t="array" ref="X122">ABS(Q122/_xll.qwMV01($A$1,"CT10"))</f>
        <v>142.80006431299896</v>
      </c>
      <c r="Y122" s="6" cm="1">
        <f t="array" ref="Y122">IF(N122="BondFuture",-(_xll.qwCurveYield($A$1,_xll.qwSecVal($A$1,AA122,"CreditCurveName()"),AA122)-_xll.qwCurveYield($A$4,_xll.qwSecVal($A$4,AA122,"CreditCurveName()"),AA122))*P122*10000,IF(N122="Bond",-(_xll.qwCurveYield($A$1,_xll.qwSecVal($A$1,F122,"CreditCurveName()"),F122)-_xll.qwCurveYield($A$4,_xll.qwSecVal($A$4,F122,"CreditCurveName()"),F122))*P122*10000,O122))</f>
        <v>142516.56655368247</v>
      </c>
      <c r="Z122" s="6" cm="1">
        <f t="array" ref="Z122">IF(OR(N122="BondFuture",N122="Bond"),P122*(_xll.qwCurveZSpread($A$4,_xll.qwSecVal($A$1,AA122,"CreditCurveName()"),AA122)-_xll.qwCurveZSpread($A$1,_xll.qwSecVal($A$1,AA122,"CreditCurveName()"),AA122)),0)</f>
        <v>0</v>
      </c>
      <c r="AA122" s="9" cm="1">
        <f t="array" ref="AA122">IF(_xll.qwSecType(F122)="Bond",F122,IF(_xll.qwSecType(F122)="BondFuture",_xll.qwFutCTD($A$1,F122),0))</f>
        <v>0</v>
      </c>
      <c r="AB122" s="6" cm="1">
        <f t="array" ref="AB122">IF(_xll.qwSecType(F122)="BondFuture",-(I122*_xll.qwDelta($A$4,F122)*_xll.qwMVFactor($A$1,F122)/_xll.qwMVFactor($A$1,_xll.qwFutCTD($A$1,F122)))*(_xll.qwFXRate($A$1,F122)*_xll.qwMVFactor($A$1,_xll.qwFutCTD($A$1,F122))*(_xll.qwIncome($A$4,_xll.qwFutCTD($A$4,F122),_xll.qwBondSettle($A$4,_xll.qwFutCTD($A$4,F122)),_xll.qwBondSettle($A$1,_xll.qwFutCTD($A$1,F122)))+(_xll.qwSecVal($A$1,AA122,"Price")-_xll.qwSecVal($A$4,AA122,"Price"))-_xll.qwBondRepoFromTo($A$1,AA122,_xll.qwBondSettle($A$4,AA122),_xll.qwBondSettle($A$1,AA122))*_xll.qwSecVal($A$1,AA122,"Price")*(_xll.qwBondSettle($A$1,AA122)-_xll.qwBondSettle($A$4,AA122))/360))+O122,0)</f>
        <v>0</v>
      </c>
      <c r="AC122" s="9" cm="1">
        <f t="array" ref="AC122">O122+T122+IF(ISNUMBER(_xll.qwIncome($A$1,F122,_xll.qwSettle($A$4,F122),_xll.qwSettle($A$1,F122))*_xll.qwMVFactor($A$1,F122)*_xll.qwFXRate($A$1,F122)*I122),_xll.qwIncome($A$1,F122,_xll.qwSettle($A$4,F122),_xll.qwSettle($A$1,F122))*_xll.qwMVFactor($A$1,F122)*_xll.qwFXRate($A$1,F122)*I122,0)+IF(ISNUMBER(-(_xll.qwBondRepoFromTo($A$1,F122,_xll.qwSettle($A$4,F122),_xll.qwSettle($A$1,F122))*_xll.qwSecVal($A$1,F122,"Price")*(_xll.qwSettle($A$1,F122)-_xll.qwSettle($A$4,F122))/360)*_xll.qwMVFactor($A$1,F122)*_xll.qwFXRate($A$1,F122)*I122),-(_xll.qwBondRepoFromTo($A$1,F122,_xll.qwSettle($A$4,F122),_xll.qwSettle($A$1,F122))*_xll.qwSecVal($A$1,F122,"Price")*(_xll.qwSettle($A$1,F122)-_xll.qwSettle($A$4,F122))/360)*_xll.qwMVFactor($A$1,F122)*_xll.qwFXRate($A$1,F122)*I122,0)</f>
        <v>142516.56655368247</v>
      </c>
      <c r="AD122" s="6"/>
    </row>
    <row r="123" spans="2:30" s="7" customFormat="1" x14ac:dyDescent="0.35">
      <c r="B123" s="7" t="str">
        <v>jcleary</v>
      </c>
      <c r="C123" s="7" t="str">
        <v>MAMS</v>
      </c>
      <c r="D123" s="7" t="str">
        <v>jcleary|MAMS|RV_US_TY_Spread|238464172</v>
      </c>
      <c r="E123" s="7" t="str">
        <v>RV_US_TY_Spread</v>
      </c>
      <c r="F123" s="7" t="str">
        <v>238464172</v>
      </c>
      <c r="G123" s="7">
        <v>216.15299999999999</v>
      </c>
      <c r="H123" s="7">
        <v>0</v>
      </c>
      <c r="I123" s="7">
        <v>216.15299999999999</v>
      </c>
      <c r="J123" s="7">
        <v>0</v>
      </c>
      <c r="K123" s="7">
        <v>0</v>
      </c>
      <c r="L123" s="7">
        <v>0</v>
      </c>
      <c r="M123" s="7">
        <v>0</v>
      </c>
      <c r="N123" s="7" t="str">
        <v>SwapTrade</v>
      </c>
      <c r="O123" s="6" cm="1">
        <f t="array" ref="O123">(_xll.qwPrice($A$1,F123)-_xll.qwPrice($A$4,F123))*_xll.qwMVFactor($A$1,F123)*I123*_xll.qwFXRate($A$1,F123)</f>
        <v>-131078.64297413465</v>
      </c>
      <c r="P123" s="6" cm="1">
        <f t="array" ref="P123">IF(ISNUMBER(_xll.qwDV01($A$1,F123)*I123*_xll.qwMVFactor($A$1,F123)*_xll.qwFXRate($A$1,F123)),_xll.qwDV01($A$1,F123)*I123*_xll.qwMVFactor($A$1,F123)*_xll.qwFXRate($A$1,F123),0)</f>
        <v>-105768.46650745181</v>
      </c>
      <c r="Q123" s="6" cm="1">
        <f t="array" ref="Q123">IF(ISNUMBER(_xll.qwDV01($A$1,F123)*G123*_xll.qwMVFactor($A$1,F123)*_xll.qwFXRate($A$1,F123)),_xll.qwDV01($A$1,F123)*G123*_xll.qwMVFactor($A$1,F123)*_xll.qwFXRate($A$1,F123),0)</f>
        <v>-105768.46650745181</v>
      </c>
      <c r="R123" s="6" cm="1">
        <f t="array" ref="R123">IF(ISNUMBER(_xll.qwDV01($A$1,F123)*J123*_xll.qwMVFactor($A$1,F123)*_xll.qwFXRate($A$1,F123)),_xll.qwDV01($A$1,F123)*J123*_xll.qwMVFactor($A$1,F123)*_xll.qwFXRate($A$1,F123),0)</f>
        <v>0</v>
      </c>
      <c r="S123" s="6" cm="1">
        <f t="array" ref="S123">IF(ISNUMBER(_xll.qwDV01($A$1,F123)*J123*_xll.qwMVFactor($A$1,F123)*_xll.qwFXRate($A$1,F123)),_xll.qwDV01($A$1,F123)*J123*_xll.qwMVFactor($A$1,F123)*_xll.qwFXRate($A$1,F123),0)</f>
        <v>0</v>
      </c>
      <c r="T123" s="6" cm="1">
        <f t="array" ref="T123">_xll.qwFXRate($A$1,F123)*J123*(_xll.qwPrice($A$1,F123)-M123)*_xll.qwMVFactor($A$1,F123)+L123</f>
        <v>0</v>
      </c>
      <c r="U123" s="8" cm="1">
        <f t="array" ref="U123">_xll.qwYield($A$1,F123)</f>
        <v>4.7221647482079292E-2</v>
      </c>
      <c r="V123" s="8" cm="1">
        <f t="array" ref="V123">100*(_xll.qwYield($A$4,F123)-U123)</f>
        <v>1.198844363511295E-2</v>
      </c>
      <c r="W123" s="6">
        <f>IF(ISNA(G123*INDEX(_xll.qwTblData(_xll.qwCurveScenariosPerSecurity($A$1,F123,"Crv210")),2,2)),0,(G123*INDEX(_xll.qwTblData(_xll.qwCurveScenariosPerSecurity($A$1,F123,"Crv210")),2,2)))</f>
        <v>-652.19667291779319</v>
      </c>
      <c r="X123" s="6" cm="1">
        <f t="array" ref="X123">ABS(Q123/_xll.qwMV01($A$1,"CT10"))</f>
        <v>142.38456185217728</v>
      </c>
      <c r="Y123" s="6" cm="1">
        <f t="array" ref="Y123">IF(N123="BondFuture",-(_xll.qwCurveYield($A$1,_xll.qwSecVal($A$1,AA123,"CreditCurveName()"),AA123)-_xll.qwCurveYield($A$4,_xll.qwSecVal($A$4,AA123,"CreditCurveName()"),AA123))*P123*10000,IF(N123="Bond",-(_xll.qwCurveYield($A$1,_xll.qwSecVal($A$1,F123,"CreditCurveName()"),F123)-_xll.qwCurveYield($A$4,_xll.qwSecVal($A$4,F123,"CreditCurveName()"),F123))*P123*10000,O123))</f>
        <v>-131078.64297413465</v>
      </c>
      <c r="Z123" s="6" cm="1">
        <f t="array" ref="Z123">IF(OR(N123="BondFuture",N123="Bond"),P123*(_xll.qwCurveZSpread($A$4,_xll.qwSecVal($A$1,AA123,"CreditCurveName()"),AA123)-_xll.qwCurveZSpread($A$1,_xll.qwSecVal($A$1,AA123,"CreditCurveName()"),AA123)),0)</f>
        <v>0</v>
      </c>
      <c r="AA123" s="9" cm="1">
        <f t="array" ref="AA123">IF(_xll.qwSecType(F123)="Bond",F123,IF(_xll.qwSecType(F123)="BondFuture",_xll.qwFutCTD($A$1,F123),0))</f>
        <v>0</v>
      </c>
      <c r="AB123" s="6" cm="1">
        <f t="array" ref="AB123">IF(_xll.qwSecType(F123)="BondFuture",-(I123*_xll.qwDelta($A$4,F123)*_xll.qwMVFactor($A$1,F123)/_xll.qwMVFactor($A$1,_xll.qwFutCTD($A$1,F123)))*(_xll.qwFXRate($A$1,F123)*_xll.qwMVFactor($A$1,_xll.qwFutCTD($A$1,F123))*(_xll.qwIncome($A$4,_xll.qwFutCTD($A$4,F123),_xll.qwBondSettle($A$4,_xll.qwFutCTD($A$4,F123)),_xll.qwBondSettle($A$1,_xll.qwFutCTD($A$1,F123)))+(_xll.qwSecVal($A$1,AA123,"Price")-_xll.qwSecVal($A$4,AA123,"Price"))-_xll.qwBondRepoFromTo($A$1,AA123,_xll.qwBondSettle($A$4,AA123),_xll.qwBondSettle($A$1,AA123))*_xll.qwSecVal($A$1,AA123,"Price")*(_xll.qwBondSettle($A$1,AA123)-_xll.qwBondSettle($A$4,AA123))/360))+O123,0)</f>
        <v>0</v>
      </c>
      <c r="AC123" s="9" cm="1">
        <f t="array" ref="AC123">O123+T123+IF(ISNUMBER(_xll.qwIncome($A$1,F123,_xll.qwSettle($A$4,F123),_xll.qwSettle($A$1,F123))*_xll.qwMVFactor($A$1,F123)*_xll.qwFXRate($A$1,F123)*I123),_xll.qwIncome($A$1,F123,_xll.qwSettle($A$4,F123),_xll.qwSettle($A$1,F123))*_xll.qwMVFactor($A$1,F123)*_xll.qwFXRate($A$1,F123)*I123,0)+IF(ISNUMBER(-(_xll.qwBondRepoFromTo($A$1,F123,_xll.qwSettle($A$4,F123),_xll.qwSettle($A$1,F123))*_xll.qwSecVal($A$1,F123,"Price")*(_xll.qwSettle($A$1,F123)-_xll.qwSettle($A$4,F123))/360)*_xll.qwMVFactor($A$1,F123)*_xll.qwFXRate($A$1,F123)*I123),-(_xll.qwBondRepoFromTo($A$1,F123,_xll.qwSettle($A$4,F123),_xll.qwSettle($A$1,F123))*_xll.qwSecVal($A$1,F123,"Price")*(_xll.qwSettle($A$1,F123)-_xll.qwSettle($A$4,F123))/360)*_xll.qwMVFactor($A$1,F123)*_xll.qwFXRate($A$1,F123)*I123,0)</f>
        <v>-131078.64297413465</v>
      </c>
      <c r="AD123" s="6"/>
    </row>
    <row r="124" spans="2:30" s="7" customFormat="1" x14ac:dyDescent="0.35">
      <c r="B124" s="7" t="str">
        <v>jcleary</v>
      </c>
      <c r="C124" s="7" t="str">
        <v>MAMS</v>
      </c>
      <c r="D124" s="7" t="str">
        <v>jcleary|MAMS|RV_US_TY_Spread|238464716</v>
      </c>
      <c r="E124" s="7" t="str">
        <v>RV_US_TY_Spread</v>
      </c>
      <c r="F124" s="7" t="str">
        <v>238464716</v>
      </c>
      <c r="G124" s="7">
        <v>277.60000000000002</v>
      </c>
      <c r="H124" s="7">
        <v>0</v>
      </c>
      <c r="I124" s="7">
        <v>277.60000000000002</v>
      </c>
      <c r="J124" s="7">
        <v>0</v>
      </c>
      <c r="K124" s="7">
        <v>0</v>
      </c>
      <c r="L124" s="7">
        <v>0</v>
      </c>
      <c r="M124" s="7">
        <v>0</v>
      </c>
      <c r="N124" s="7" t="str">
        <v>SwapTrade</v>
      </c>
      <c r="O124" s="6" cm="1">
        <f t="array" ref="O124">(_xll.qwPrice($A$1,F124)-_xll.qwPrice($A$4,F124))*_xll.qwMVFactor($A$1,F124)*I124*_xll.qwFXRate($A$1,F124)</f>
        <v>-173443.92201516862</v>
      </c>
      <c r="P124" s="6" cm="1">
        <f t="array" ref="P124">IF(ISNUMBER(_xll.qwDV01($A$1,F124)*I124*_xll.qwMVFactor($A$1,F124)*_xll.qwFXRate($A$1,F124)),_xll.qwDV01($A$1,F124)*I124*_xll.qwMVFactor($A$1,F124)*_xll.qwFXRate($A$1,F124),0)</f>
        <v>-137318.85329887058</v>
      </c>
      <c r="Q124" s="6" cm="1">
        <f t="array" ref="Q124">IF(ISNUMBER(_xll.qwDV01($A$1,F124)*G124*_xll.qwMVFactor($A$1,F124)*_xll.qwFXRate($A$1,F124)),_xll.qwDV01($A$1,F124)*G124*_xll.qwMVFactor($A$1,F124)*_xll.qwFXRate($A$1,F124),0)</f>
        <v>-137318.85329887058</v>
      </c>
      <c r="R124" s="6" cm="1">
        <f t="array" ref="R124">IF(ISNUMBER(_xll.qwDV01($A$1,F124)*J124*_xll.qwMVFactor($A$1,F124)*_xll.qwFXRate($A$1,F124)),_xll.qwDV01($A$1,F124)*J124*_xll.qwMVFactor($A$1,F124)*_xll.qwFXRate($A$1,F124),0)</f>
        <v>0</v>
      </c>
      <c r="S124" s="6" cm="1">
        <f t="array" ref="S124">IF(ISNUMBER(_xll.qwDV01($A$1,F124)*J124*_xll.qwMVFactor($A$1,F124)*_xll.qwFXRate($A$1,F124)),_xll.qwDV01($A$1,F124)*J124*_xll.qwMVFactor($A$1,F124)*_xll.qwFXRate($A$1,F124),0)</f>
        <v>0</v>
      </c>
      <c r="T124" s="6" cm="1">
        <f t="array" ref="T124">_xll.qwFXRate($A$1,F124)*J124*(_xll.qwPrice($A$1,F124)-M124)*_xll.qwMVFactor($A$1,F124)+L124</f>
        <v>0</v>
      </c>
      <c r="U124" s="8" cm="1">
        <f t="array" ref="U124">_xll.qwYield($A$1,F124)</f>
        <v>4.7244720997968323E-2</v>
      </c>
      <c r="V124" s="8" cm="1">
        <f t="array" ref="V124">100*(_xll.qwYield($A$4,F124)-U124)</f>
        <v>1.221260464146709E-2</v>
      </c>
      <c r="W124" s="6">
        <f>IF(ISNA(G124*INDEX(_xll.qwTblData(_xll.qwCurveScenariosPerSecurity($A$1,F124,"Crv210")),2,2)),0,(G124*INDEX(_xll.qwTblData(_xll.qwCurveScenariosPerSecurity($A$1,F124,"Crv210")),2,2)))</f>
        <v>614.63629330150127</v>
      </c>
      <c r="X124" s="6" cm="1">
        <f t="array" ref="X124">ABS(Q124/_xll.qwMV01($A$1,"CT10"))</f>
        <v>184.85740983703846</v>
      </c>
      <c r="Y124" s="6" cm="1">
        <f t="array" ref="Y124">IF(N124="BondFuture",-(_xll.qwCurveYield($A$1,_xll.qwSecVal($A$1,AA124,"CreditCurveName()"),AA124)-_xll.qwCurveYield($A$4,_xll.qwSecVal($A$4,AA124,"CreditCurveName()"),AA124))*P124*10000,IF(N124="Bond",-(_xll.qwCurveYield($A$1,_xll.qwSecVal($A$1,F124,"CreditCurveName()"),F124)-_xll.qwCurveYield($A$4,_xll.qwSecVal($A$4,F124,"CreditCurveName()"),F124))*P124*10000,O124))</f>
        <v>-173443.92201516862</v>
      </c>
      <c r="Z124" s="6" cm="1">
        <f t="array" ref="Z124">IF(OR(N124="BondFuture",N124="Bond"),P124*(_xll.qwCurveZSpread($A$4,_xll.qwSecVal($A$1,AA124,"CreditCurveName()"),AA124)-_xll.qwCurveZSpread($A$1,_xll.qwSecVal($A$1,AA124,"CreditCurveName()"),AA124)),0)</f>
        <v>0</v>
      </c>
      <c r="AA124" s="9" cm="1">
        <f t="array" ref="AA124">IF(_xll.qwSecType(F124)="Bond",F124,IF(_xll.qwSecType(F124)="BondFuture",_xll.qwFutCTD($A$1,F124),0))</f>
        <v>0</v>
      </c>
      <c r="AB124" s="6" cm="1">
        <f t="array" ref="AB124">IF(_xll.qwSecType(F124)="BondFuture",-(I124*_xll.qwDelta($A$4,F124)*_xll.qwMVFactor($A$1,F124)/_xll.qwMVFactor($A$1,_xll.qwFutCTD($A$1,F124)))*(_xll.qwFXRate($A$1,F124)*_xll.qwMVFactor($A$1,_xll.qwFutCTD($A$1,F124))*(_xll.qwIncome($A$4,_xll.qwFutCTD($A$4,F124),_xll.qwBondSettle($A$4,_xll.qwFutCTD($A$4,F124)),_xll.qwBondSettle($A$1,_xll.qwFutCTD($A$1,F124)))+(_xll.qwSecVal($A$1,AA124,"Price")-_xll.qwSecVal($A$4,AA124,"Price"))-_xll.qwBondRepoFromTo($A$1,AA124,_xll.qwBondSettle($A$4,AA124),_xll.qwBondSettle($A$1,AA124))*_xll.qwSecVal($A$1,AA124,"Price")*(_xll.qwBondSettle($A$1,AA124)-_xll.qwBondSettle($A$4,AA124))/360))+O124,0)</f>
        <v>0</v>
      </c>
      <c r="AC124" s="9" cm="1">
        <f t="array" ref="AC124">O124+T124+IF(ISNUMBER(_xll.qwIncome($A$1,F124,_xll.qwSettle($A$4,F124),_xll.qwSettle($A$1,F124))*_xll.qwMVFactor($A$1,F124)*_xll.qwFXRate($A$1,F124)*I124),_xll.qwIncome($A$1,F124,_xll.qwSettle($A$4,F124),_xll.qwSettle($A$1,F124))*_xll.qwMVFactor($A$1,F124)*_xll.qwFXRate($A$1,F124)*I124,0)+IF(ISNUMBER(-(_xll.qwBondRepoFromTo($A$1,F124,_xll.qwSettle($A$4,F124),_xll.qwSettle($A$1,F124))*_xll.qwSecVal($A$1,F124,"Price")*(_xll.qwSettle($A$1,F124)-_xll.qwSettle($A$4,F124))/360)*_xll.qwMVFactor($A$1,F124)*_xll.qwFXRate($A$1,F124)*I124),-(_xll.qwBondRepoFromTo($A$1,F124,_xll.qwSettle($A$4,F124),_xll.qwSettle($A$1,F124))*_xll.qwSecVal($A$1,F124,"Price")*(_xll.qwSettle($A$1,F124)-_xll.qwSettle($A$4,F124))/360)*_xll.qwMVFactor($A$1,F124)*_xll.qwFXRate($A$1,F124)*I124,0)</f>
        <v>-173443.92201516862</v>
      </c>
      <c r="AD124" s="6"/>
    </row>
    <row r="125" spans="2:30" s="7" customFormat="1" x14ac:dyDescent="0.35">
      <c r="B125" s="7" t="str">
        <v>jcleary</v>
      </c>
      <c r="C125" s="7" t="str">
        <v>MAMS</v>
      </c>
      <c r="D125" s="7" t="str">
        <v>jcleary|MAMS|RV_US_TY_Spread|238464848</v>
      </c>
      <c r="E125" s="7" t="str">
        <v>RV_US_TY_Spread</v>
      </c>
      <c r="F125" s="7" t="str">
        <v>238464848</v>
      </c>
      <c r="G125" s="7">
        <v>265.7</v>
      </c>
      <c r="H125" s="7">
        <v>0</v>
      </c>
      <c r="I125" s="7">
        <v>265.7</v>
      </c>
      <c r="J125" s="7">
        <v>0</v>
      </c>
      <c r="K125" s="7">
        <v>0</v>
      </c>
      <c r="L125" s="7">
        <v>0</v>
      </c>
      <c r="M125" s="7">
        <v>0</v>
      </c>
      <c r="N125" s="7" t="str">
        <v>SwapTrade</v>
      </c>
      <c r="O125" s="6" cm="1">
        <f t="array" ref="O125">(_xll.qwPrice($A$1,F125)-_xll.qwPrice($A$4,F125))*_xll.qwMVFactor($A$1,F125)*I125*_xll.qwFXRate($A$1,F125)</f>
        <v>185238.46680359688</v>
      </c>
      <c r="P125" s="6" cm="1">
        <f t="array" ref="P125">IF(ISNUMBER(_xll.qwDV01($A$1,F125)*I125*_xll.qwMVFactor($A$1,F125)*_xll.qwFXRate($A$1,F125)),_xll.qwDV01($A$1,F125)*I125*_xll.qwMVFactor($A$1,F125)*_xll.qwFXRate($A$1,F125),0)</f>
        <v>137877.92473750451</v>
      </c>
      <c r="Q125" s="6" cm="1">
        <f t="array" ref="Q125">IF(ISNUMBER(_xll.qwDV01($A$1,F125)*G125*_xll.qwMVFactor($A$1,F125)*_xll.qwFXRate($A$1,F125)),_xll.qwDV01($A$1,F125)*G125*_xll.qwMVFactor($A$1,F125)*_xll.qwFXRate($A$1,F125),0)</f>
        <v>137877.92473750451</v>
      </c>
      <c r="R125" s="6" cm="1">
        <f t="array" ref="R125">IF(ISNUMBER(_xll.qwDV01($A$1,F125)*J125*_xll.qwMVFactor($A$1,F125)*_xll.qwFXRate($A$1,F125)),_xll.qwDV01($A$1,F125)*J125*_xll.qwMVFactor($A$1,F125)*_xll.qwFXRate($A$1,F125),0)</f>
        <v>0</v>
      </c>
      <c r="S125" s="6" cm="1">
        <f t="array" ref="S125">IF(ISNUMBER(_xll.qwDV01($A$1,F125)*J125*_xll.qwMVFactor($A$1,F125)*_xll.qwFXRate($A$1,F125)),_xll.qwDV01($A$1,F125)*J125*_xll.qwMVFactor($A$1,F125)*_xll.qwFXRate($A$1,F125),0)</f>
        <v>0</v>
      </c>
      <c r="T125" s="6" cm="1">
        <f t="array" ref="T125">_xll.qwFXRate($A$1,F125)*J125*(_xll.qwPrice($A$1,F125)-M125)*_xll.qwMVFactor($A$1,F125)+L125</f>
        <v>0</v>
      </c>
      <c r="U125" s="8" cm="1">
        <f t="array" ref="U125">_xll.qwYield($A$1,F125)</f>
        <v>4.7266079358983568E-2</v>
      </c>
      <c r="V125" s="8" cm="1">
        <f t="array" ref="V125">100*(_xll.qwYield($A$4,F125)-U125)</f>
        <v>1.2999858244428647E-2</v>
      </c>
      <c r="W125" s="6">
        <f>IF(ISNA(G125*INDEX(_xll.qwTblData(_xll.qwCurveScenariosPerSecurity($A$1,F125,"Crv210")),2,2)),0,(G125*INDEX(_xll.qwTblData(_xll.qwCurveScenariosPerSecurity($A$1,F125,"Crv210")),2,2)))</f>
        <v>-6558.8736781381558</v>
      </c>
      <c r="X125" s="6" cm="1">
        <f t="array" ref="X125">ABS(Q125/_xll.qwMV01($A$1,"CT10"))</f>
        <v>185.61002679805253</v>
      </c>
      <c r="Y125" s="6" cm="1">
        <f t="array" ref="Y125">IF(N125="BondFuture",-(_xll.qwCurveYield($A$1,_xll.qwSecVal($A$1,AA125,"CreditCurveName()"),AA125)-_xll.qwCurveYield($A$4,_xll.qwSecVal($A$4,AA125,"CreditCurveName()"),AA125))*P125*10000,IF(N125="Bond",-(_xll.qwCurveYield($A$1,_xll.qwSecVal($A$1,F125,"CreditCurveName()"),F125)-_xll.qwCurveYield($A$4,_xll.qwSecVal($A$4,F125,"CreditCurveName()"),F125))*P125*10000,O125))</f>
        <v>185238.46680359688</v>
      </c>
      <c r="Z125" s="6" cm="1">
        <f t="array" ref="Z125">IF(OR(N125="BondFuture",N125="Bond"),P125*(_xll.qwCurveZSpread($A$4,_xll.qwSecVal($A$1,AA125,"CreditCurveName()"),AA125)-_xll.qwCurveZSpread($A$1,_xll.qwSecVal($A$1,AA125,"CreditCurveName()"),AA125)),0)</f>
        <v>0</v>
      </c>
      <c r="AA125" s="9" cm="1">
        <f t="array" ref="AA125">IF(_xll.qwSecType(F125)="Bond",F125,IF(_xll.qwSecType(F125)="BondFuture",_xll.qwFutCTD($A$1,F125),0))</f>
        <v>0</v>
      </c>
      <c r="AB125" s="6" cm="1">
        <f t="array" ref="AB125">IF(_xll.qwSecType(F125)="BondFuture",-(I125*_xll.qwDelta($A$4,F125)*_xll.qwMVFactor($A$1,F125)/_xll.qwMVFactor($A$1,_xll.qwFutCTD($A$1,F125)))*(_xll.qwFXRate($A$1,F125)*_xll.qwMVFactor($A$1,_xll.qwFutCTD($A$1,F125))*(_xll.qwIncome($A$4,_xll.qwFutCTD($A$4,F125),_xll.qwBondSettle($A$4,_xll.qwFutCTD($A$4,F125)),_xll.qwBondSettle($A$1,_xll.qwFutCTD($A$1,F125)))+(_xll.qwSecVal($A$1,AA125,"Price")-_xll.qwSecVal($A$4,AA125,"Price"))-_xll.qwBondRepoFromTo($A$1,AA125,_xll.qwBondSettle($A$4,AA125),_xll.qwBondSettle($A$1,AA125))*_xll.qwSecVal($A$1,AA125,"Price")*(_xll.qwBondSettle($A$1,AA125)-_xll.qwBondSettle($A$4,AA125))/360))+O125,0)</f>
        <v>0</v>
      </c>
      <c r="AC125" s="9" cm="1">
        <f t="array" ref="AC125">O125+T125+IF(ISNUMBER(_xll.qwIncome($A$1,F125,_xll.qwSettle($A$4,F125),_xll.qwSettle($A$1,F125))*_xll.qwMVFactor($A$1,F125)*_xll.qwFXRate($A$1,F125)*I125),_xll.qwIncome($A$1,F125,_xll.qwSettle($A$4,F125),_xll.qwSettle($A$1,F125))*_xll.qwMVFactor($A$1,F125)*_xll.qwFXRate($A$1,F125)*I125,0)+IF(ISNUMBER(-(_xll.qwBondRepoFromTo($A$1,F125,_xll.qwSettle($A$4,F125),_xll.qwSettle($A$1,F125))*_xll.qwSecVal($A$1,F125,"Price")*(_xll.qwSettle($A$1,F125)-_xll.qwSettle($A$4,F125))/360)*_xll.qwMVFactor($A$1,F125)*_xll.qwFXRate($A$1,F125)*I125),-(_xll.qwBondRepoFromTo($A$1,F125,_xll.qwSettle($A$4,F125),_xll.qwSettle($A$1,F125))*_xll.qwSecVal($A$1,F125,"Price")*(_xll.qwSettle($A$1,F125)-_xll.qwSettle($A$4,F125))/360)*_xll.qwMVFactor($A$1,F125)*_xll.qwFXRate($A$1,F125)*I125,0)</f>
        <v>185238.46680359688</v>
      </c>
      <c r="AD125" s="6"/>
    </row>
    <row r="126" spans="2:30" s="7" customFormat="1" x14ac:dyDescent="0.35">
      <c r="B126" s="7" t="str">
        <v>jcleary</v>
      </c>
      <c r="C126" s="7" t="str">
        <v>MAMS</v>
      </c>
      <c r="D126" s="7" t="str">
        <v>jcleary|MAMS|RV_US_TY_Spread|238675137</v>
      </c>
      <c r="E126" s="7" t="str">
        <v>RV_US_TY_Spread</v>
      </c>
      <c r="F126" s="7" t="str">
        <v>238675137</v>
      </c>
      <c r="G126" s="7">
        <v>714.7</v>
      </c>
      <c r="H126" s="7">
        <v>0</v>
      </c>
      <c r="I126" s="7">
        <v>714.7</v>
      </c>
      <c r="J126" s="7">
        <v>0</v>
      </c>
      <c r="K126" s="7">
        <v>0</v>
      </c>
      <c r="L126" s="7">
        <v>0</v>
      </c>
      <c r="M126" s="7">
        <v>0</v>
      </c>
      <c r="N126" s="7" t="str">
        <v>SwapTrade</v>
      </c>
      <c r="O126" s="6" cm="1">
        <f t="array" ref="O126">(_xll.qwPrice($A$1,F126)-_xll.qwPrice($A$4,F126))*_xll.qwMVFactor($A$1,F126)*I126*_xll.qwFXRate($A$1,F126)</f>
        <v>497283.26942642109</v>
      </c>
      <c r="P126" s="6" cm="1">
        <f t="array" ref="P126">IF(ISNUMBER(_xll.qwDV01($A$1,F126)*I126*_xll.qwMVFactor($A$1,F126)*_xll.qwFXRate($A$1,F126)),_xll.qwDV01($A$1,F126)*I126*_xll.qwMVFactor($A$1,F126)*_xll.qwFXRate($A$1,F126),0)</f>
        <v>369933.83648325707</v>
      </c>
      <c r="Q126" s="6" cm="1">
        <f t="array" ref="Q126">IF(ISNUMBER(_xll.qwDV01($A$1,F126)*G126*_xll.qwMVFactor($A$1,F126)*_xll.qwFXRate($A$1,F126)),_xll.qwDV01($A$1,F126)*G126*_xll.qwMVFactor($A$1,F126)*_xll.qwFXRate($A$1,F126),0)</f>
        <v>369933.83648325707</v>
      </c>
      <c r="R126" s="6" cm="1">
        <f t="array" ref="R126">IF(ISNUMBER(_xll.qwDV01($A$1,F126)*J126*_xll.qwMVFactor($A$1,F126)*_xll.qwFXRate($A$1,F126)),_xll.qwDV01($A$1,F126)*J126*_xll.qwMVFactor($A$1,F126)*_xll.qwFXRate($A$1,F126),0)</f>
        <v>0</v>
      </c>
      <c r="S126" s="6" cm="1">
        <f t="array" ref="S126">IF(ISNUMBER(_xll.qwDV01($A$1,F126)*J126*_xll.qwMVFactor($A$1,F126)*_xll.qwFXRate($A$1,F126)),_xll.qwDV01($A$1,F126)*J126*_xll.qwMVFactor($A$1,F126)*_xll.qwFXRate($A$1,F126),0)</f>
        <v>0</v>
      </c>
      <c r="T126" s="6" cm="1">
        <f t="array" ref="T126">_xll.qwFXRate($A$1,F126)*J126*(_xll.qwPrice($A$1,F126)-M126)*_xll.qwMVFactor($A$1,F126)+L126</f>
        <v>0</v>
      </c>
      <c r="U126" s="8" cm="1">
        <f t="array" ref="U126">_xll.qwYield($A$1,F126)</f>
        <v>4.7266079358983568E-2</v>
      </c>
      <c r="V126" s="8" cm="1">
        <f t="array" ref="V126">100*(_xll.qwYield($A$4,F126)-U126)</f>
        <v>1.2999858244428647E-2</v>
      </c>
      <c r="W126" s="6">
        <f>IF(ISNA(G126*INDEX(_xll.qwTblData(_xll.qwCurveScenariosPerSecurity($A$1,F126,"Crv210")),2,2)),0,(G126*INDEX(_xll.qwTblData(_xll.qwCurveScenariosPerSecurity($A$1,F126,"Crv210")),2,2)))</f>
        <v>-17815.527069715175</v>
      </c>
      <c r="X126" s="6" cm="1">
        <f t="array" ref="X126">ABS(Q126/_xll.qwMV01($A$1,"CT10"))</f>
        <v>498.00161580533586</v>
      </c>
      <c r="Y126" s="6" cm="1">
        <f t="array" ref="Y126">IF(N126="BondFuture",-(_xll.qwCurveYield($A$1,_xll.qwSecVal($A$1,AA126,"CreditCurveName()"),AA126)-_xll.qwCurveYield($A$4,_xll.qwSecVal($A$4,AA126,"CreditCurveName()"),AA126))*P126*10000,IF(N126="Bond",-(_xll.qwCurveYield($A$1,_xll.qwSecVal($A$1,F126,"CreditCurveName()"),F126)-_xll.qwCurveYield($A$4,_xll.qwSecVal($A$4,F126,"CreditCurveName()"),F126))*P126*10000,O126))</f>
        <v>497283.26942642109</v>
      </c>
      <c r="Z126" s="6" cm="1">
        <f t="array" ref="Z126">IF(OR(N126="BondFuture",N126="Bond"),P126*(_xll.qwCurveZSpread($A$4,_xll.qwSecVal($A$1,AA126,"CreditCurveName()"),AA126)-_xll.qwCurveZSpread($A$1,_xll.qwSecVal($A$1,AA126,"CreditCurveName()"),AA126)),0)</f>
        <v>0</v>
      </c>
      <c r="AA126" s="9" cm="1">
        <f t="array" ref="AA126">IF(_xll.qwSecType(F126)="Bond",F126,IF(_xll.qwSecType(F126)="BondFuture",_xll.qwFutCTD($A$1,F126),0))</f>
        <v>0</v>
      </c>
      <c r="AB126" s="6" cm="1">
        <f t="array" ref="AB126">IF(_xll.qwSecType(F126)="BondFuture",-(I126*_xll.qwDelta($A$4,F126)*_xll.qwMVFactor($A$1,F126)/_xll.qwMVFactor($A$1,_xll.qwFutCTD($A$1,F126)))*(_xll.qwFXRate($A$1,F126)*_xll.qwMVFactor($A$1,_xll.qwFutCTD($A$1,F126))*(_xll.qwIncome($A$4,_xll.qwFutCTD($A$4,F126),_xll.qwBondSettle($A$4,_xll.qwFutCTD($A$4,F126)),_xll.qwBondSettle($A$1,_xll.qwFutCTD($A$1,F126)))+(_xll.qwSecVal($A$1,AA126,"Price")-_xll.qwSecVal($A$4,AA126,"Price"))-_xll.qwBondRepoFromTo($A$1,AA126,_xll.qwBondSettle($A$4,AA126),_xll.qwBondSettle($A$1,AA126))*_xll.qwSecVal($A$1,AA126,"Price")*(_xll.qwBondSettle($A$1,AA126)-_xll.qwBondSettle($A$4,AA126))/360))+O126,0)</f>
        <v>0</v>
      </c>
      <c r="AC126" s="9" cm="1">
        <f t="array" ref="AC126">O126+T126+IF(ISNUMBER(_xll.qwIncome($A$1,F126,_xll.qwSettle($A$4,F126),_xll.qwSettle($A$1,F126))*_xll.qwMVFactor($A$1,F126)*_xll.qwFXRate($A$1,F126)*I126),_xll.qwIncome($A$1,F126,_xll.qwSettle($A$4,F126),_xll.qwSettle($A$1,F126))*_xll.qwMVFactor($A$1,F126)*_xll.qwFXRate($A$1,F126)*I126,0)+IF(ISNUMBER(-(_xll.qwBondRepoFromTo($A$1,F126,_xll.qwSettle($A$4,F126),_xll.qwSettle($A$1,F126))*_xll.qwSecVal($A$1,F126,"Price")*(_xll.qwSettle($A$1,F126)-_xll.qwSettle($A$4,F126))/360)*_xll.qwMVFactor($A$1,F126)*_xll.qwFXRate($A$1,F126)*I126),-(_xll.qwBondRepoFromTo($A$1,F126,_xll.qwSettle($A$4,F126),_xll.qwSettle($A$1,F126))*_xll.qwSecVal($A$1,F126,"Price")*(_xll.qwSettle($A$1,F126)-_xll.qwSettle($A$4,F126))/360)*_xll.qwMVFactor($A$1,F126)*_xll.qwFXRate($A$1,F126)*I126,0)</f>
        <v>497283.26942642109</v>
      </c>
      <c r="AD126" s="6"/>
    </row>
    <row r="127" spans="2:30" s="7" customFormat="1" x14ac:dyDescent="0.35">
      <c r="B127" s="7" t="str">
        <v>jcleary</v>
      </c>
      <c r="C127" s="7" t="str">
        <v>MAMS</v>
      </c>
      <c r="D127" s="7" t="str">
        <v>jcleary|MAMS|RV_US_TY_Spread|239173834</v>
      </c>
      <c r="E127" s="7" t="str">
        <v>RV_US_TY_Spread</v>
      </c>
      <c r="F127" s="7" t="str">
        <v>239173834</v>
      </c>
      <c r="G127" s="7">
        <v>746.6</v>
      </c>
      <c r="H127" s="7">
        <v>0</v>
      </c>
      <c r="I127" s="7">
        <v>746.6</v>
      </c>
      <c r="J127" s="7">
        <v>0</v>
      </c>
      <c r="K127" s="7">
        <v>0</v>
      </c>
      <c r="L127" s="7">
        <v>0</v>
      </c>
      <c r="M127" s="7">
        <v>0</v>
      </c>
      <c r="N127" s="7" t="str">
        <v>SwapTrade</v>
      </c>
      <c r="O127" s="6" cm="1">
        <f t="array" ref="O127">(_xll.qwPrice($A$1,F127)-_xll.qwPrice($A$4,F127))*_xll.qwMVFactor($A$1,F127)*I127*_xll.qwFXRate($A$1,F127)</f>
        <v>521092.99117317447</v>
      </c>
      <c r="P127" s="6" cm="1">
        <f t="array" ref="P127">IF(ISNUMBER(_xll.qwDV01($A$1,F127)*I127*_xll.qwMVFactor($A$1,F127)*_xll.qwFXRate($A$1,F127)),_xll.qwDV01($A$1,F127)*I127*_xll.qwMVFactor($A$1,F127)*_xll.qwFXRate($A$1,F127),0)</f>
        <v>387888.50901874999</v>
      </c>
      <c r="Q127" s="6" cm="1">
        <f t="array" ref="Q127">IF(ISNUMBER(_xll.qwDV01($A$1,F127)*G127*_xll.qwMVFactor($A$1,F127)*_xll.qwFXRate($A$1,F127)),_xll.qwDV01($A$1,F127)*G127*_xll.qwMVFactor($A$1,F127)*_xll.qwFXRate($A$1,F127),0)</f>
        <v>387888.50901874999</v>
      </c>
      <c r="R127" s="6" cm="1">
        <f t="array" ref="R127">IF(ISNUMBER(_xll.qwDV01($A$1,F127)*J127*_xll.qwMVFactor($A$1,F127)*_xll.qwFXRate($A$1,F127)),_xll.qwDV01($A$1,F127)*J127*_xll.qwMVFactor($A$1,F127)*_xll.qwFXRate($A$1,F127),0)</f>
        <v>0</v>
      </c>
      <c r="S127" s="6" cm="1">
        <f t="array" ref="S127">IF(ISNUMBER(_xll.qwDV01($A$1,F127)*J127*_xll.qwMVFactor($A$1,F127)*_xll.qwFXRate($A$1,F127)),_xll.qwDV01($A$1,F127)*J127*_xll.qwMVFactor($A$1,F127)*_xll.qwFXRate($A$1,F127),0)</f>
        <v>0</v>
      </c>
      <c r="T127" s="6" cm="1">
        <f t="array" ref="T127">_xll.qwFXRate($A$1,F127)*J127*(_xll.qwPrice($A$1,F127)-M127)*_xll.qwMVFactor($A$1,F127)+L127</f>
        <v>0</v>
      </c>
      <c r="U127" s="8" cm="1">
        <f t="array" ref="U127">_xll.qwYield($A$1,F127)</f>
        <v>4.7266079358983568E-2</v>
      </c>
      <c r="V127" s="8" cm="1">
        <f t="array" ref="V127">100*(_xll.qwYield($A$4,F127)-U127)</f>
        <v>1.2999858244428647E-2</v>
      </c>
      <c r="W127" s="6">
        <f>IF(ISNA(G127*INDEX(_xll.qwTblData(_xll.qwCurveScenariosPerSecurity($A$1,F127,"Crv210")),2,2)),0,(G127*INDEX(_xll.qwTblData(_xll.qwCurveScenariosPerSecurity($A$1,F127,"Crv210")),2,2)))</f>
        <v>-18359.500775417542</v>
      </c>
      <c r="X127" s="6" cm="1">
        <f t="array" ref="X127">ABS(Q127/_xll.qwMV01($A$1,"CT10"))</f>
        <v>522.17203508607076</v>
      </c>
      <c r="Y127" s="6" cm="1">
        <f t="array" ref="Y127">IF(N127="BondFuture",-(_xll.qwCurveYield($A$1,_xll.qwSecVal($A$1,AA127,"CreditCurveName()"),AA127)-_xll.qwCurveYield($A$4,_xll.qwSecVal($A$4,AA127,"CreditCurveName()"),AA127))*P127*10000,IF(N127="Bond",-(_xll.qwCurveYield($A$1,_xll.qwSecVal($A$1,F127,"CreditCurveName()"),F127)-_xll.qwCurveYield($A$4,_xll.qwSecVal($A$4,F127,"CreditCurveName()"),F127))*P127*10000,O127))</f>
        <v>521092.99117317447</v>
      </c>
      <c r="Z127" s="6" cm="1">
        <f t="array" ref="Z127">IF(OR(N127="BondFuture",N127="Bond"),P127*(_xll.qwCurveZSpread($A$4,_xll.qwSecVal($A$1,AA127,"CreditCurveName()"),AA127)-_xll.qwCurveZSpread($A$1,_xll.qwSecVal($A$1,AA127,"CreditCurveName()"),AA127)),0)</f>
        <v>0</v>
      </c>
      <c r="AA127" s="9" cm="1">
        <f t="array" ref="AA127">IF(_xll.qwSecType(F127)="Bond",F127,IF(_xll.qwSecType(F127)="BondFuture",_xll.qwFutCTD($A$1,F127),0))</f>
        <v>0</v>
      </c>
      <c r="AB127" s="6" cm="1">
        <f t="array" ref="AB127">IF(_xll.qwSecType(F127)="BondFuture",-(I127*_xll.qwDelta($A$4,F127)*_xll.qwMVFactor($A$1,F127)/_xll.qwMVFactor($A$1,_xll.qwFutCTD($A$1,F127)))*(_xll.qwFXRate($A$1,F127)*_xll.qwMVFactor($A$1,_xll.qwFutCTD($A$1,F127))*(_xll.qwIncome($A$4,_xll.qwFutCTD($A$4,F127),_xll.qwBondSettle($A$4,_xll.qwFutCTD($A$4,F127)),_xll.qwBondSettle($A$1,_xll.qwFutCTD($A$1,F127)))+(_xll.qwSecVal($A$1,AA127,"Price")-_xll.qwSecVal($A$4,AA127,"Price"))-_xll.qwBondRepoFromTo($A$1,AA127,_xll.qwBondSettle($A$4,AA127),_xll.qwBondSettle($A$1,AA127))*_xll.qwSecVal($A$1,AA127,"Price")*(_xll.qwBondSettle($A$1,AA127)-_xll.qwBondSettle($A$4,AA127))/360))+O127,0)</f>
        <v>0</v>
      </c>
      <c r="AC127" s="9" cm="1">
        <f t="array" ref="AC127">O127+T127+IF(ISNUMBER(_xll.qwIncome($A$1,F127,_xll.qwSettle($A$4,F127),_xll.qwSettle($A$1,F127))*_xll.qwMVFactor($A$1,F127)*_xll.qwFXRate($A$1,F127)*I127),_xll.qwIncome($A$1,F127,_xll.qwSettle($A$4,F127),_xll.qwSettle($A$1,F127))*_xll.qwMVFactor($A$1,F127)*_xll.qwFXRate($A$1,F127)*I127,0)+IF(ISNUMBER(-(_xll.qwBondRepoFromTo($A$1,F127,_xll.qwSettle($A$4,F127),_xll.qwSettle($A$1,F127))*_xll.qwSecVal($A$1,F127,"Price")*(_xll.qwSettle($A$1,F127)-_xll.qwSettle($A$4,F127))/360)*_xll.qwMVFactor($A$1,F127)*_xll.qwFXRate($A$1,F127)*I127),-(_xll.qwBondRepoFromTo($A$1,F127,_xll.qwSettle($A$4,F127),_xll.qwSettle($A$1,F127))*_xll.qwSecVal($A$1,F127,"Price")*(_xll.qwSettle($A$1,F127)-_xll.qwSettle($A$4,F127))/360)*_xll.qwMVFactor($A$1,F127)*_xll.qwFXRate($A$1,F127)*I127,0)</f>
        <v>521092.99117317447</v>
      </c>
      <c r="AD127" s="6"/>
    </row>
    <row r="128" spans="2:30" s="7" customFormat="1" x14ac:dyDescent="0.35">
      <c r="B128" s="7" t="str">
        <v>jcleary</v>
      </c>
      <c r="C128" s="7" t="str">
        <v>MAMS</v>
      </c>
      <c r="D128" s="7" t="str">
        <v>jcleary|MAMS|RV_US_TY_Spread|239798372</v>
      </c>
      <c r="E128" s="7" t="str">
        <v>RV_US_TY_Spread</v>
      </c>
      <c r="F128" s="7" t="str">
        <v>239798372</v>
      </c>
      <c r="G128" s="7">
        <v>153.69999999999999</v>
      </c>
      <c r="H128" s="7">
        <v>0</v>
      </c>
      <c r="I128" s="7">
        <v>153.69999999999999</v>
      </c>
      <c r="J128" s="7">
        <v>0</v>
      </c>
      <c r="K128" s="7">
        <v>0</v>
      </c>
      <c r="L128" s="7">
        <v>0</v>
      </c>
      <c r="M128" s="7">
        <v>0</v>
      </c>
      <c r="N128" s="7" t="str">
        <v>SwapTrade</v>
      </c>
      <c r="O128" s="6" cm="1">
        <f t="array" ref="O128">(_xll.qwPrice($A$1,F128)-_xll.qwPrice($A$4,F128))*_xll.qwMVFactor($A$1,F128)*I128*_xll.qwFXRate($A$1,F128)</f>
        <v>109842.94253451012</v>
      </c>
      <c r="P128" s="6" cm="1">
        <f t="array" ref="P128">IF(ISNUMBER(_xll.qwDV01($A$1,F128)*I128*_xll.qwMVFactor($A$1,F128)*_xll.qwFXRate($A$1,F128)),_xll.qwDV01($A$1,F128)*I128*_xll.qwMVFactor($A$1,F128)*_xll.qwFXRate($A$1,F128),0)</f>
        <v>80971.330328716023</v>
      </c>
      <c r="Q128" s="6" cm="1">
        <f t="array" ref="Q128">IF(ISNUMBER(_xll.qwDV01($A$1,F128)*G128*_xll.qwMVFactor($A$1,F128)*_xll.qwFXRate($A$1,F128)),_xll.qwDV01($A$1,F128)*G128*_xll.qwMVFactor($A$1,F128)*_xll.qwFXRate($A$1,F128),0)</f>
        <v>80971.330328716023</v>
      </c>
      <c r="R128" s="6" cm="1">
        <f t="array" ref="R128">IF(ISNUMBER(_xll.qwDV01($A$1,F128)*J128*_xll.qwMVFactor($A$1,F128)*_xll.qwFXRate($A$1,F128)),_xll.qwDV01($A$1,F128)*J128*_xll.qwMVFactor($A$1,F128)*_xll.qwFXRate($A$1,F128),0)</f>
        <v>0</v>
      </c>
      <c r="S128" s="6" cm="1">
        <f t="array" ref="S128">IF(ISNUMBER(_xll.qwDV01($A$1,F128)*J128*_xll.qwMVFactor($A$1,F128)*_xll.qwFXRate($A$1,F128)),_xll.qwDV01($A$1,F128)*J128*_xll.qwMVFactor($A$1,F128)*_xll.qwFXRate($A$1,F128),0)</f>
        <v>0</v>
      </c>
      <c r="T128" s="6" cm="1">
        <f t="array" ref="T128">_xll.qwFXRate($A$1,F128)*J128*(_xll.qwPrice($A$1,F128)-M128)*_xll.qwMVFactor($A$1,F128)+L128</f>
        <v>0</v>
      </c>
      <c r="U128" s="8" cm="1">
        <f t="array" ref="U128">_xll.qwYield($A$1,F128)</f>
        <v>4.7273302273789487E-2</v>
      </c>
      <c r="V128" s="8" cm="1">
        <f t="array" ref="V128">100*(_xll.qwYield($A$4,F128)-U128)</f>
        <v>1.3163714084580419E-2</v>
      </c>
      <c r="W128" s="6">
        <f>IF(ISNA(G128*INDEX(_xll.qwTblData(_xll.qwCurveScenariosPerSecurity($A$1,F128,"Crv210")),2,2)),0,(G128*INDEX(_xll.qwTblData(_xll.qwCurveScenariosPerSecurity($A$1,F128,"Crv210")),2,2)))</f>
        <v>-4547.5372501587326</v>
      </c>
      <c r="X128" s="6" cm="1">
        <f t="array" ref="X128">ABS(Q128/_xll.qwMV01($A$1,"CT10"))</f>
        <v>109.00287932821523</v>
      </c>
      <c r="Y128" s="6" cm="1">
        <f t="array" ref="Y128">IF(N128="BondFuture",-(_xll.qwCurveYield($A$1,_xll.qwSecVal($A$1,AA128,"CreditCurveName()"),AA128)-_xll.qwCurveYield($A$4,_xll.qwSecVal($A$4,AA128,"CreditCurveName()"),AA128))*P128*10000,IF(N128="Bond",-(_xll.qwCurveYield($A$1,_xll.qwSecVal($A$1,F128,"CreditCurveName()"),F128)-_xll.qwCurveYield($A$4,_xll.qwSecVal($A$4,F128,"CreditCurveName()"),F128))*P128*10000,O128))</f>
        <v>109842.94253451012</v>
      </c>
      <c r="Z128" s="6" cm="1">
        <f t="array" ref="Z128">IF(OR(N128="BondFuture",N128="Bond"),P128*(_xll.qwCurveZSpread($A$4,_xll.qwSecVal($A$1,AA128,"CreditCurveName()"),AA128)-_xll.qwCurveZSpread($A$1,_xll.qwSecVal($A$1,AA128,"CreditCurveName()"),AA128)),0)</f>
        <v>0</v>
      </c>
      <c r="AA128" s="9" cm="1">
        <f t="array" ref="AA128">IF(_xll.qwSecType(F128)="Bond",F128,IF(_xll.qwSecType(F128)="BondFuture",_xll.qwFutCTD($A$1,F128),0))</f>
        <v>0</v>
      </c>
      <c r="AB128" s="6" cm="1">
        <f t="array" ref="AB128">IF(_xll.qwSecType(F128)="BondFuture",-(I128*_xll.qwDelta($A$4,F128)*_xll.qwMVFactor($A$1,F128)/_xll.qwMVFactor($A$1,_xll.qwFutCTD($A$1,F128)))*(_xll.qwFXRate($A$1,F128)*_xll.qwMVFactor($A$1,_xll.qwFutCTD($A$1,F128))*(_xll.qwIncome($A$4,_xll.qwFutCTD($A$4,F128),_xll.qwBondSettle($A$4,_xll.qwFutCTD($A$4,F128)),_xll.qwBondSettle($A$1,_xll.qwFutCTD($A$1,F128)))+(_xll.qwSecVal($A$1,AA128,"Price")-_xll.qwSecVal($A$4,AA128,"Price"))-_xll.qwBondRepoFromTo($A$1,AA128,_xll.qwBondSettle($A$4,AA128),_xll.qwBondSettle($A$1,AA128))*_xll.qwSecVal($A$1,AA128,"Price")*(_xll.qwBondSettle($A$1,AA128)-_xll.qwBondSettle($A$4,AA128))/360))+O128,0)</f>
        <v>0</v>
      </c>
      <c r="AC128" s="9" cm="1">
        <f t="array" ref="AC128">O128+T128+IF(ISNUMBER(_xll.qwIncome($A$1,F128,_xll.qwSettle($A$4,F128),_xll.qwSettle($A$1,F128))*_xll.qwMVFactor($A$1,F128)*_xll.qwFXRate($A$1,F128)*I128),_xll.qwIncome($A$1,F128,_xll.qwSettle($A$4,F128),_xll.qwSettle($A$1,F128))*_xll.qwMVFactor($A$1,F128)*_xll.qwFXRate($A$1,F128)*I128,0)+IF(ISNUMBER(-(_xll.qwBondRepoFromTo($A$1,F128,_xll.qwSettle($A$4,F128),_xll.qwSettle($A$1,F128))*_xll.qwSecVal($A$1,F128,"Price")*(_xll.qwSettle($A$1,F128)-_xll.qwSettle($A$4,F128))/360)*_xll.qwMVFactor($A$1,F128)*_xll.qwFXRate($A$1,F128)*I128),-(_xll.qwBondRepoFromTo($A$1,F128,_xll.qwSettle($A$4,F128),_xll.qwSettle($A$1,F128))*_xll.qwSecVal($A$1,F128,"Price")*(_xll.qwSettle($A$1,F128)-_xll.qwSettle($A$4,F128))/360)*_xll.qwMVFactor($A$1,F128)*_xll.qwFXRate($A$1,F128)*I128,0)</f>
        <v>109842.94253451012</v>
      </c>
      <c r="AD128" s="6"/>
    </row>
    <row r="129" spans="2:30" s="7" customFormat="1" x14ac:dyDescent="0.35">
      <c r="B129" s="7" t="str">
        <v>jcleary</v>
      </c>
      <c r="C129" s="7" t="str">
        <v>MAMS</v>
      </c>
      <c r="D129" s="7" t="str">
        <v>jcleary|MAMS|RV_US_TY_Spread|239798376</v>
      </c>
      <c r="E129" s="7" t="str">
        <v>RV_US_TY_Spread</v>
      </c>
      <c r="F129" s="7" t="str">
        <v>239798376</v>
      </c>
      <c r="G129" s="7">
        <v>113.8</v>
      </c>
      <c r="H129" s="7">
        <v>0</v>
      </c>
      <c r="I129" s="7">
        <v>113.8</v>
      </c>
      <c r="J129" s="7">
        <v>0</v>
      </c>
      <c r="K129" s="7">
        <v>0</v>
      </c>
      <c r="L129" s="7">
        <v>0</v>
      </c>
      <c r="M129" s="7">
        <v>0</v>
      </c>
      <c r="N129" s="7" t="str">
        <v>SwapTrade</v>
      </c>
      <c r="O129" s="6" cm="1">
        <f t="array" ref="O129">(_xll.qwPrice($A$1,F129)-_xll.qwPrice($A$4,F129))*_xll.qwMVFactor($A$1,F129)*I129*_xll.qwFXRate($A$1,F129)</f>
        <v>-155913.07596103329</v>
      </c>
      <c r="P129" s="6" cm="1">
        <f t="array" ref="P129">IF(ISNUMBER(_xll.qwDV01($A$1,F129)*I129*_xll.qwMVFactor($A$1,F129)*_xll.qwFXRate($A$1,F129)),_xll.qwDV01($A$1,F129)*I129*_xll.qwMVFactor($A$1,F129)*_xll.qwFXRate($A$1,F129),0)</f>
        <v>-81299.560517944032</v>
      </c>
      <c r="Q129" s="6" cm="1">
        <f t="array" ref="Q129">IF(ISNUMBER(_xll.qwDV01($A$1,F129)*G129*_xll.qwMVFactor($A$1,F129)*_xll.qwFXRate($A$1,F129)),_xll.qwDV01($A$1,F129)*G129*_xll.qwMVFactor($A$1,F129)*_xll.qwFXRate($A$1,F129),0)</f>
        <v>-81299.560517944032</v>
      </c>
      <c r="R129" s="6" cm="1">
        <f t="array" ref="R129">IF(ISNUMBER(_xll.qwDV01($A$1,F129)*J129*_xll.qwMVFactor($A$1,F129)*_xll.qwFXRate($A$1,F129)),_xll.qwDV01($A$1,F129)*J129*_xll.qwMVFactor($A$1,F129)*_xll.qwFXRate($A$1,F129),0)</f>
        <v>0</v>
      </c>
      <c r="S129" s="6" cm="1">
        <f t="array" ref="S129">IF(ISNUMBER(_xll.qwDV01($A$1,F129)*J129*_xll.qwMVFactor($A$1,F129)*_xll.qwFXRate($A$1,F129)),_xll.qwDV01($A$1,F129)*J129*_xll.qwMVFactor($A$1,F129)*_xll.qwFXRate($A$1,F129),0)</f>
        <v>0</v>
      </c>
      <c r="T129" s="6" cm="1">
        <f t="array" ref="T129">_xll.qwFXRate($A$1,F129)*J129*(_xll.qwPrice($A$1,F129)-M129)*_xll.qwMVFactor($A$1,F129)+L129</f>
        <v>0</v>
      </c>
      <c r="U129" s="8" cm="1">
        <f t="array" ref="U129">_xll.qwYield($A$1,F129)</f>
        <v>4.7851017302089398E-2</v>
      </c>
      <c r="V129" s="8" cm="1">
        <f t="array" ref="V129">100*(_xll.qwYield($A$4,F129)-U129)</f>
        <v>1.8766414244699575E-2</v>
      </c>
      <c r="W129" s="6">
        <f>IF(ISNA(G129*INDEX(_xll.qwTblData(_xll.qwCurveScenariosPerSecurity($A$1,F129,"Crv210")),2,2)),0,(G129*INDEX(_xll.qwTblData(_xll.qwCurveScenariosPerSecurity($A$1,F129,"Crv210")),2,2)))</f>
        <v>35592.839910612282</v>
      </c>
      <c r="X129" s="6" cm="1">
        <f t="array" ref="X129">ABS(Q129/_xll.qwMV01($A$1,"CT10"))</f>
        <v>109.44473986777969</v>
      </c>
      <c r="Y129" s="6" cm="1">
        <f t="array" ref="Y129">IF(N129="BondFuture",-(_xll.qwCurveYield($A$1,_xll.qwSecVal($A$1,AA129,"CreditCurveName()"),AA129)-_xll.qwCurveYield($A$4,_xll.qwSecVal($A$4,AA129,"CreditCurveName()"),AA129))*P129*10000,IF(N129="Bond",-(_xll.qwCurveYield($A$1,_xll.qwSecVal($A$1,F129,"CreditCurveName()"),F129)-_xll.qwCurveYield($A$4,_xll.qwSecVal($A$4,F129,"CreditCurveName()"),F129))*P129*10000,O129))</f>
        <v>-155913.07596103329</v>
      </c>
      <c r="Z129" s="6" cm="1">
        <f t="array" ref="Z129">IF(OR(N129="BondFuture",N129="Bond"),P129*(_xll.qwCurveZSpread($A$4,_xll.qwSecVal($A$1,AA129,"CreditCurveName()"),AA129)-_xll.qwCurveZSpread($A$1,_xll.qwSecVal($A$1,AA129,"CreditCurveName()"),AA129)),0)</f>
        <v>0</v>
      </c>
      <c r="AA129" s="9" cm="1">
        <f t="array" ref="AA129">IF(_xll.qwSecType(F129)="Bond",F129,IF(_xll.qwSecType(F129)="BondFuture",_xll.qwFutCTD($A$1,F129),0))</f>
        <v>0</v>
      </c>
      <c r="AB129" s="6" cm="1">
        <f t="array" ref="AB129">IF(_xll.qwSecType(F129)="BondFuture",-(I129*_xll.qwDelta($A$4,F129)*_xll.qwMVFactor($A$1,F129)/_xll.qwMVFactor($A$1,_xll.qwFutCTD($A$1,F129)))*(_xll.qwFXRate($A$1,F129)*_xll.qwMVFactor($A$1,_xll.qwFutCTD($A$1,F129))*(_xll.qwIncome($A$4,_xll.qwFutCTD($A$4,F129),_xll.qwBondSettle($A$4,_xll.qwFutCTD($A$4,F129)),_xll.qwBondSettle($A$1,_xll.qwFutCTD($A$1,F129)))+(_xll.qwSecVal($A$1,AA129,"Price")-_xll.qwSecVal($A$4,AA129,"Price"))-_xll.qwBondRepoFromTo($A$1,AA129,_xll.qwBondSettle($A$4,AA129),_xll.qwBondSettle($A$1,AA129))*_xll.qwSecVal($A$1,AA129,"Price")*(_xll.qwBondSettle($A$1,AA129)-_xll.qwBondSettle($A$4,AA129))/360))+O129,0)</f>
        <v>0</v>
      </c>
      <c r="AC129" s="9" cm="1">
        <f t="array" ref="AC129">O129+T129+IF(ISNUMBER(_xll.qwIncome($A$1,F129,_xll.qwSettle($A$4,F129),_xll.qwSettle($A$1,F129))*_xll.qwMVFactor($A$1,F129)*_xll.qwFXRate($A$1,F129)*I129),_xll.qwIncome($A$1,F129,_xll.qwSettle($A$4,F129),_xll.qwSettle($A$1,F129))*_xll.qwMVFactor($A$1,F129)*_xll.qwFXRate($A$1,F129)*I129,0)+IF(ISNUMBER(-(_xll.qwBondRepoFromTo($A$1,F129,_xll.qwSettle($A$4,F129),_xll.qwSettle($A$1,F129))*_xll.qwSecVal($A$1,F129,"Price")*(_xll.qwSettle($A$1,F129)-_xll.qwSettle($A$4,F129))/360)*_xll.qwMVFactor($A$1,F129)*_xll.qwFXRate($A$1,F129)*I129),-(_xll.qwBondRepoFromTo($A$1,F129,_xll.qwSettle($A$4,F129),_xll.qwSettle($A$1,F129))*_xll.qwSecVal($A$1,F129,"Price")*(_xll.qwSettle($A$1,F129)-_xll.qwSettle($A$4,F129))/360)*_xll.qwMVFactor($A$1,F129)*_xll.qwFXRate($A$1,F129)*I129,0)</f>
        <v>-155913.07596103329</v>
      </c>
      <c r="AD129" s="6"/>
    </row>
    <row r="130" spans="2:30" s="7" customFormat="1" x14ac:dyDescent="0.35">
      <c r="B130" s="7" t="str">
        <v>jcleary</v>
      </c>
      <c r="C130" s="7" t="str">
        <v>MAMS</v>
      </c>
      <c r="D130" s="7" t="str">
        <v>jcleary|MAMS|RV_US_TY_Spread|239799484</v>
      </c>
      <c r="E130" s="7" t="str">
        <v>RV_US_TY_Spread</v>
      </c>
      <c r="F130" s="7" t="str">
        <v>239799484</v>
      </c>
      <c r="G130" s="7">
        <v>186.4</v>
      </c>
      <c r="H130" s="7">
        <v>0</v>
      </c>
      <c r="I130" s="7">
        <v>186.4</v>
      </c>
      <c r="J130" s="7">
        <v>0</v>
      </c>
      <c r="K130" s="7">
        <v>0</v>
      </c>
      <c r="L130" s="7">
        <v>0</v>
      </c>
      <c r="M130" s="7">
        <v>0</v>
      </c>
      <c r="N130" s="7" t="str">
        <v>SwapTrade</v>
      </c>
      <c r="O130" s="6" cm="1">
        <f t="array" ref="O130">(_xll.qwPrice($A$1,F130)-_xll.qwPrice($A$4,F130))*_xll.qwMVFactor($A$1,F130)*I130*_xll.qwFXRate($A$1,F130)</f>
        <v>-130458.52070771981</v>
      </c>
      <c r="P130" s="6" cm="1">
        <f t="array" ref="P130">IF(ISNUMBER(_xll.qwDV01($A$1,F130)*I130*_xll.qwMVFactor($A$1,F130)*_xll.qwFXRate($A$1,F130)),_xll.qwDV01($A$1,F130)*I130*_xll.qwMVFactor($A$1,F130)*_xll.qwFXRate($A$1,F130),0)</f>
        <v>-97158.989780248099</v>
      </c>
      <c r="Q130" s="6" cm="1">
        <f t="array" ref="Q130">IF(ISNUMBER(_xll.qwDV01($A$1,F130)*G130*_xll.qwMVFactor($A$1,F130)*_xll.qwFXRate($A$1,F130)),_xll.qwDV01($A$1,F130)*G130*_xll.qwMVFactor($A$1,F130)*_xll.qwFXRate($A$1,F130),0)</f>
        <v>-97158.989780248099</v>
      </c>
      <c r="R130" s="6" cm="1">
        <f t="array" ref="R130">IF(ISNUMBER(_xll.qwDV01($A$1,F130)*J130*_xll.qwMVFactor($A$1,F130)*_xll.qwFXRate($A$1,F130)),_xll.qwDV01($A$1,F130)*J130*_xll.qwMVFactor($A$1,F130)*_xll.qwFXRate($A$1,F130),0)</f>
        <v>0</v>
      </c>
      <c r="S130" s="6" cm="1">
        <f t="array" ref="S130">IF(ISNUMBER(_xll.qwDV01($A$1,F130)*J130*_xll.qwMVFactor($A$1,F130)*_xll.qwFXRate($A$1,F130)),_xll.qwDV01($A$1,F130)*J130*_xll.qwMVFactor($A$1,F130)*_xll.qwFXRate($A$1,F130),0)</f>
        <v>0</v>
      </c>
      <c r="T130" s="6" cm="1">
        <f t="array" ref="T130">_xll.qwFXRate($A$1,F130)*J130*(_xll.qwPrice($A$1,F130)-M130)*_xll.qwMVFactor($A$1,F130)+L130</f>
        <v>0</v>
      </c>
      <c r="U130" s="8" cm="1">
        <f t="array" ref="U130">_xll.qwYield($A$1,F130)</f>
        <v>4.7266079358983568E-2</v>
      </c>
      <c r="V130" s="8" cm="1">
        <f t="array" ref="V130">100*(_xll.qwYield($A$4,F130)-U130)</f>
        <v>1.2999858244428647E-2</v>
      </c>
      <c r="W130" s="6">
        <f>IF(ISNA(G130*INDEX(_xll.qwTblData(_xll.qwCurveScenariosPerSecurity($A$1,F130,"Crv210")),2,2)),0,(G130*INDEX(_xll.qwTblData(_xll.qwCurveScenariosPerSecurity($A$1,F130,"Crv210")),2,2)))</f>
        <v>4529.488917726113</v>
      </c>
      <c r="X130" s="6" cm="1">
        <f t="array" ref="X130">ABS(Q130/_xll.qwMV01($A$1,"CT10"))</f>
        <v>130.79456142900719</v>
      </c>
      <c r="Y130" s="6" cm="1">
        <f t="array" ref="Y130">IF(N130="BondFuture",-(_xll.qwCurveYield($A$1,_xll.qwSecVal($A$1,AA130,"CreditCurveName()"),AA130)-_xll.qwCurveYield($A$4,_xll.qwSecVal($A$4,AA130,"CreditCurveName()"),AA130))*P130*10000,IF(N130="Bond",-(_xll.qwCurveYield($A$1,_xll.qwSecVal($A$1,F130,"CreditCurveName()"),F130)-_xll.qwCurveYield($A$4,_xll.qwSecVal($A$4,F130,"CreditCurveName()"),F130))*P130*10000,O130))</f>
        <v>-130458.52070771981</v>
      </c>
      <c r="Z130" s="6" cm="1">
        <f t="array" ref="Z130">IF(OR(N130="BondFuture",N130="Bond"),P130*(_xll.qwCurveZSpread($A$4,_xll.qwSecVal($A$1,AA130,"CreditCurveName()"),AA130)-_xll.qwCurveZSpread($A$1,_xll.qwSecVal($A$1,AA130,"CreditCurveName()"),AA130)),0)</f>
        <v>0</v>
      </c>
      <c r="AA130" s="9" cm="1">
        <f t="array" ref="AA130">IF(_xll.qwSecType(F130)="Bond",F130,IF(_xll.qwSecType(F130)="BondFuture",_xll.qwFutCTD($A$1,F130),0))</f>
        <v>0</v>
      </c>
      <c r="AB130" s="6" cm="1">
        <f t="array" ref="AB130">IF(_xll.qwSecType(F130)="BondFuture",-(I130*_xll.qwDelta($A$4,F130)*_xll.qwMVFactor($A$1,F130)/_xll.qwMVFactor($A$1,_xll.qwFutCTD($A$1,F130)))*(_xll.qwFXRate($A$1,F130)*_xll.qwMVFactor($A$1,_xll.qwFutCTD($A$1,F130))*(_xll.qwIncome($A$4,_xll.qwFutCTD($A$4,F130),_xll.qwBondSettle($A$4,_xll.qwFutCTD($A$4,F130)),_xll.qwBondSettle($A$1,_xll.qwFutCTD($A$1,F130)))+(_xll.qwSecVal($A$1,AA130,"Price")-_xll.qwSecVal($A$4,AA130,"Price"))-_xll.qwBondRepoFromTo($A$1,AA130,_xll.qwBondSettle($A$4,AA130),_xll.qwBondSettle($A$1,AA130))*_xll.qwSecVal($A$1,AA130,"Price")*(_xll.qwBondSettle($A$1,AA130)-_xll.qwBondSettle($A$4,AA130))/360))+O130,0)</f>
        <v>0</v>
      </c>
      <c r="AC130" s="9" cm="1">
        <f t="array" ref="AC130">O130+T130+IF(ISNUMBER(_xll.qwIncome($A$1,F130,_xll.qwSettle($A$4,F130),_xll.qwSettle($A$1,F130))*_xll.qwMVFactor($A$1,F130)*_xll.qwFXRate($A$1,F130)*I130),_xll.qwIncome($A$1,F130,_xll.qwSettle($A$4,F130),_xll.qwSettle($A$1,F130))*_xll.qwMVFactor($A$1,F130)*_xll.qwFXRate($A$1,F130)*I130,0)+IF(ISNUMBER(-(_xll.qwBondRepoFromTo($A$1,F130,_xll.qwSettle($A$4,F130),_xll.qwSettle($A$1,F130))*_xll.qwSecVal($A$1,F130,"Price")*(_xll.qwSettle($A$1,F130)-_xll.qwSettle($A$4,F130))/360)*_xll.qwMVFactor($A$1,F130)*_xll.qwFXRate($A$1,F130)*I130),-(_xll.qwBondRepoFromTo($A$1,F130,_xll.qwSettle($A$4,F130),_xll.qwSettle($A$1,F130))*_xll.qwSecVal($A$1,F130,"Price")*(_xll.qwSettle($A$1,F130)-_xll.qwSettle($A$4,F130))/360)*_xll.qwMVFactor($A$1,F130)*_xll.qwFXRate($A$1,F130)*I130,0)</f>
        <v>-130458.52070771981</v>
      </c>
      <c r="AD130" s="6"/>
    </row>
    <row r="131" spans="2:30" s="7" customFormat="1" x14ac:dyDescent="0.35">
      <c r="B131" s="7" t="str">
        <v>jcleary</v>
      </c>
      <c r="C131" s="7" t="str">
        <v>MAMS</v>
      </c>
      <c r="D131" s="7" t="str">
        <v>jcleary|MAMS|RV_US_TY_Spread|240101479</v>
      </c>
      <c r="E131" s="7" t="str">
        <v>RV_US_TY_Spread</v>
      </c>
      <c r="F131" s="7" t="str">
        <v>240101479</v>
      </c>
      <c r="G131" s="7">
        <v>126</v>
      </c>
      <c r="H131" s="7">
        <v>0</v>
      </c>
      <c r="I131" s="7">
        <v>126</v>
      </c>
      <c r="J131" s="7">
        <v>0</v>
      </c>
      <c r="K131" s="7">
        <v>0</v>
      </c>
      <c r="L131" s="7">
        <v>0</v>
      </c>
      <c r="M131" s="7">
        <v>0</v>
      </c>
      <c r="N131" s="7" t="str">
        <v>SwapTrade</v>
      </c>
      <c r="O131" s="6" cm="1">
        <f t="array" ref="O131">(_xll.qwPrice($A$1,F131)-_xll.qwPrice($A$4,F131))*_xll.qwMVFactor($A$1,F131)*I131*_xll.qwFXRate($A$1,F131)</f>
        <v>-90247.388397093935</v>
      </c>
      <c r="P131" s="6" cm="1">
        <f t="array" ref="P131">IF(ISNUMBER(_xll.qwDV01($A$1,F131)*I131*_xll.qwMVFactor($A$1,F131)*_xll.qwFXRate($A$1,F131)),_xll.qwDV01($A$1,F131)*I131*_xll.qwMVFactor($A$1,F131)*_xll.qwFXRate($A$1,F131),0)</f>
        <v>-66557.472243551223</v>
      </c>
      <c r="Q131" s="6" cm="1">
        <f t="array" ref="Q131">IF(ISNUMBER(_xll.qwDV01($A$1,F131)*G131*_xll.qwMVFactor($A$1,F131)*_xll.qwFXRate($A$1,F131)),_xll.qwDV01($A$1,F131)*G131*_xll.qwMVFactor($A$1,F131)*_xll.qwFXRate($A$1,F131),0)</f>
        <v>-66557.472243551223</v>
      </c>
      <c r="R131" s="6" cm="1">
        <f t="array" ref="R131">IF(ISNUMBER(_xll.qwDV01($A$1,F131)*J131*_xll.qwMVFactor($A$1,F131)*_xll.qwFXRate($A$1,F131)),_xll.qwDV01($A$1,F131)*J131*_xll.qwMVFactor($A$1,F131)*_xll.qwFXRate($A$1,F131),0)</f>
        <v>0</v>
      </c>
      <c r="S131" s="6" cm="1">
        <f t="array" ref="S131">IF(ISNUMBER(_xll.qwDV01($A$1,F131)*J131*_xll.qwMVFactor($A$1,F131)*_xll.qwFXRate($A$1,F131)),_xll.qwDV01($A$1,F131)*J131*_xll.qwMVFactor($A$1,F131)*_xll.qwFXRate($A$1,F131),0)</f>
        <v>0</v>
      </c>
      <c r="T131" s="6" cm="1">
        <f t="array" ref="T131">_xll.qwFXRate($A$1,F131)*J131*(_xll.qwPrice($A$1,F131)-M131)*_xll.qwMVFactor($A$1,F131)+L131</f>
        <v>0</v>
      </c>
      <c r="U131" s="8" cm="1">
        <f t="array" ref="U131">_xll.qwYield($A$1,F131)</f>
        <v>4.7273302273789487E-2</v>
      </c>
      <c r="V131" s="8" cm="1">
        <f t="array" ref="V131">100*(_xll.qwYield($A$4,F131)-U131)</f>
        <v>1.3163714084580419E-2</v>
      </c>
      <c r="W131" s="6">
        <f>IF(ISNA(G131*INDEX(_xll.qwTblData(_xll.qwCurveScenariosPerSecurity($A$1,F131,"Crv210")),2,2)),0,(G131*INDEX(_xll.qwTblData(_xll.qwCurveScenariosPerSecurity($A$1,F131,"Crv210")),2,2)))</f>
        <v>3697.8733550633078</v>
      </c>
      <c r="X131" s="6" cm="1">
        <f t="array" ref="X131">ABS(Q131/_xll.qwMV01($A$1,"CT10"))</f>
        <v>89.599072732313985</v>
      </c>
      <c r="Y131" s="6" cm="1">
        <f t="array" ref="Y131">IF(N131="BondFuture",-(_xll.qwCurveYield($A$1,_xll.qwSecVal($A$1,AA131,"CreditCurveName()"),AA131)-_xll.qwCurveYield($A$4,_xll.qwSecVal($A$4,AA131,"CreditCurveName()"),AA131))*P131*10000,IF(N131="Bond",-(_xll.qwCurveYield($A$1,_xll.qwSecVal($A$1,F131,"CreditCurveName()"),F131)-_xll.qwCurveYield($A$4,_xll.qwSecVal($A$4,F131,"CreditCurveName()"),F131))*P131*10000,O131))</f>
        <v>-90247.388397093935</v>
      </c>
      <c r="Z131" s="6" cm="1">
        <f t="array" ref="Z131">IF(OR(N131="BondFuture",N131="Bond"),P131*(_xll.qwCurveZSpread($A$4,_xll.qwSecVal($A$1,AA131,"CreditCurveName()"),AA131)-_xll.qwCurveZSpread($A$1,_xll.qwSecVal($A$1,AA131,"CreditCurveName()"),AA131)),0)</f>
        <v>0</v>
      </c>
      <c r="AA131" s="9" cm="1">
        <f t="array" ref="AA131">IF(_xll.qwSecType(F131)="Bond",F131,IF(_xll.qwSecType(F131)="BondFuture",_xll.qwFutCTD($A$1,F131),0))</f>
        <v>0</v>
      </c>
      <c r="AB131" s="6" cm="1">
        <f t="array" ref="AB131">IF(_xll.qwSecType(F131)="BondFuture",-(I131*_xll.qwDelta($A$4,F131)*_xll.qwMVFactor($A$1,F131)/_xll.qwMVFactor($A$1,_xll.qwFutCTD($A$1,F131)))*(_xll.qwFXRate($A$1,F131)*_xll.qwMVFactor($A$1,_xll.qwFutCTD($A$1,F131))*(_xll.qwIncome($A$4,_xll.qwFutCTD($A$4,F131),_xll.qwBondSettle($A$4,_xll.qwFutCTD($A$4,F131)),_xll.qwBondSettle($A$1,_xll.qwFutCTD($A$1,F131)))+(_xll.qwSecVal($A$1,AA131,"Price")-_xll.qwSecVal($A$4,AA131,"Price"))-_xll.qwBondRepoFromTo($A$1,AA131,_xll.qwBondSettle($A$4,AA131),_xll.qwBondSettle($A$1,AA131))*_xll.qwSecVal($A$1,AA131,"Price")*(_xll.qwBondSettle($A$1,AA131)-_xll.qwBondSettle($A$4,AA131))/360))+O131,0)</f>
        <v>0</v>
      </c>
      <c r="AC131" s="9" cm="1">
        <f t="array" ref="AC131">O131+T131+IF(ISNUMBER(_xll.qwIncome($A$1,F131,_xll.qwSettle($A$4,F131),_xll.qwSettle($A$1,F131))*_xll.qwMVFactor($A$1,F131)*_xll.qwFXRate($A$1,F131)*I131),_xll.qwIncome($A$1,F131,_xll.qwSettle($A$4,F131),_xll.qwSettle($A$1,F131))*_xll.qwMVFactor($A$1,F131)*_xll.qwFXRate($A$1,F131)*I131,0)+IF(ISNUMBER(-(_xll.qwBondRepoFromTo($A$1,F131,_xll.qwSettle($A$4,F131),_xll.qwSettle($A$1,F131))*_xll.qwSecVal($A$1,F131,"Price")*(_xll.qwSettle($A$1,F131)-_xll.qwSettle($A$4,F131))/360)*_xll.qwMVFactor($A$1,F131)*_xll.qwFXRate($A$1,F131)*I131),-(_xll.qwBondRepoFromTo($A$1,F131,_xll.qwSettle($A$4,F131),_xll.qwSettle($A$1,F131))*_xll.qwSecVal($A$1,F131,"Price")*(_xll.qwSettle($A$1,F131)-_xll.qwSettle($A$4,F131))/360)*_xll.qwMVFactor($A$1,F131)*_xll.qwFXRate($A$1,F131)*I131,0)</f>
        <v>-90247.388397093935</v>
      </c>
      <c r="AD131" s="6"/>
    </row>
    <row r="132" spans="2:30" s="7" customFormat="1" x14ac:dyDescent="0.35">
      <c r="B132" s="7" t="str">
        <v>jcleary</v>
      </c>
      <c r="C132" s="7" t="str">
        <v>MAMS</v>
      </c>
      <c r="D132" s="7" t="str">
        <v>jcleary|MAMS|RV_US_TY_Spread|240189575</v>
      </c>
      <c r="E132" s="7" t="str">
        <v>RV_US_TY_Spread</v>
      </c>
      <c r="F132" s="7" t="str">
        <v>240189575</v>
      </c>
      <c r="G132" s="7">
        <v>143</v>
      </c>
      <c r="H132" s="7">
        <v>0</v>
      </c>
      <c r="I132" s="7">
        <v>143</v>
      </c>
      <c r="J132" s="7">
        <v>0</v>
      </c>
      <c r="K132" s="7">
        <v>0</v>
      </c>
      <c r="L132" s="7">
        <v>0</v>
      </c>
      <c r="M132" s="7">
        <v>0</v>
      </c>
      <c r="N132" s="7" t="str">
        <v>SwapTrade</v>
      </c>
      <c r="O132" s="6" cm="1">
        <f t="array" ref="O132">(_xll.qwPrice($A$1,F132)-_xll.qwPrice($A$4,F132))*_xll.qwMVFactor($A$1,F132)*I132*_xll.qwFXRate($A$1,F132)</f>
        <v>-95459.254322001056</v>
      </c>
      <c r="P132" s="6" cm="1">
        <f t="array" ref="P132">IF(ISNUMBER(_xll.qwDV01($A$1,F132)*I132*_xll.qwMVFactor($A$1,F132)*_xll.qwFXRate($A$1,F132)),_xll.qwDV01($A$1,F132)*I132*_xll.qwMVFactor($A$1,F132)*_xll.qwFXRate($A$1,F132),0)</f>
        <v>-73005.008296049768</v>
      </c>
      <c r="Q132" s="6" cm="1">
        <f t="array" ref="Q132">IF(ISNUMBER(_xll.qwDV01($A$1,F132)*G132*_xll.qwMVFactor($A$1,F132)*_xll.qwFXRate($A$1,F132)),_xll.qwDV01($A$1,F132)*G132*_xll.qwMVFactor($A$1,F132)*_xll.qwFXRate($A$1,F132),0)</f>
        <v>-73005.008296049768</v>
      </c>
      <c r="R132" s="6" cm="1">
        <f t="array" ref="R132">IF(ISNUMBER(_xll.qwDV01($A$1,F132)*J132*_xll.qwMVFactor($A$1,F132)*_xll.qwFXRate($A$1,F132)),_xll.qwDV01($A$1,F132)*J132*_xll.qwMVFactor($A$1,F132)*_xll.qwFXRate($A$1,F132),0)</f>
        <v>0</v>
      </c>
      <c r="S132" s="6" cm="1">
        <f t="array" ref="S132">IF(ISNUMBER(_xll.qwDV01($A$1,F132)*J132*_xll.qwMVFactor($A$1,F132)*_xll.qwFXRate($A$1,F132)),_xll.qwDV01($A$1,F132)*J132*_xll.qwMVFactor($A$1,F132)*_xll.qwFXRate($A$1,F132),0)</f>
        <v>0</v>
      </c>
      <c r="T132" s="6" cm="1">
        <f t="array" ref="T132">_xll.qwFXRate($A$1,F132)*J132*(_xll.qwPrice($A$1,F132)-M132)*_xll.qwMVFactor($A$1,F132)+L132</f>
        <v>0</v>
      </c>
      <c r="U132" s="8" cm="1">
        <f t="array" ref="U132">_xll.qwYield($A$1,F132)</f>
        <v>4.7258083145303525E-2</v>
      </c>
      <c r="V132" s="8" cm="1">
        <f t="array" ref="V132">100*(_xll.qwYield($A$4,F132)-U132)</f>
        <v>1.2601246262979038E-2</v>
      </c>
      <c r="W132" s="6">
        <f>IF(ISNA(G132*INDEX(_xll.qwTblData(_xll.qwCurveScenariosPerSecurity($A$1,F132,"Crv210")),2,2)),0,(G132*INDEX(_xll.qwTblData(_xll.qwCurveScenariosPerSecurity($A$1,F132,"Crv210")),2,2)))</f>
        <v>1776.2100950979054</v>
      </c>
      <c r="X132" s="6" cm="1">
        <f t="array" ref="X132">ABS(Q132/_xll.qwMV01($A$1,"CT10"))</f>
        <v>98.278687991711209</v>
      </c>
      <c r="Y132" s="6" cm="1">
        <f t="array" ref="Y132">IF(N132="BondFuture",-(_xll.qwCurveYield($A$1,_xll.qwSecVal($A$1,AA132,"CreditCurveName()"),AA132)-_xll.qwCurveYield($A$4,_xll.qwSecVal($A$4,AA132,"CreditCurveName()"),AA132))*P132*10000,IF(N132="Bond",-(_xll.qwCurveYield($A$1,_xll.qwSecVal($A$1,F132,"CreditCurveName()"),F132)-_xll.qwCurveYield($A$4,_xll.qwSecVal($A$4,F132,"CreditCurveName()"),F132))*P132*10000,O132))</f>
        <v>-95459.254322001056</v>
      </c>
      <c r="Z132" s="6" cm="1">
        <f t="array" ref="Z132">IF(OR(N132="BondFuture",N132="Bond"),P132*(_xll.qwCurveZSpread($A$4,_xll.qwSecVal($A$1,AA132,"CreditCurveName()"),AA132)-_xll.qwCurveZSpread($A$1,_xll.qwSecVal($A$1,AA132,"CreditCurveName()"),AA132)),0)</f>
        <v>0</v>
      </c>
      <c r="AA132" s="9" cm="1">
        <f t="array" ref="AA132">IF(_xll.qwSecType(F132)="Bond",F132,IF(_xll.qwSecType(F132)="BondFuture",_xll.qwFutCTD($A$1,F132),0))</f>
        <v>0</v>
      </c>
      <c r="AB132" s="6" cm="1">
        <f t="array" ref="AB132">IF(_xll.qwSecType(F132)="BondFuture",-(I132*_xll.qwDelta($A$4,F132)*_xll.qwMVFactor($A$1,F132)/_xll.qwMVFactor($A$1,_xll.qwFutCTD($A$1,F132)))*(_xll.qwFXRate($A$1,F132)*_xll.qwMVFactor($A$1,_xll.qwFutCTD($A$1,F132))*(_xll.qwIncome($A$4,_xll.qwFutCTD($A$4,F132),_xll.qwBondSettle($A$4,_xll.qwFutCTD($A$4,F132)),_xll.qwBondSettle($A$1,_xll.qwFutCTD($A$1,F132)))+(_xll.qwSecVal($A$1,AA132,"Price")-_xll.qwSecVal($A$4,AA132,"Price"))-_xll.qwBondRepoFromTo($A$1,AA132,_xll.qwBondSettle($A$4,AA132),_xll.qwBondSettle($A$1,AA132))*_xll.qwSecVal($A$1,AA132,"Price")*(_xll.qwBondSettle($A$1,AA132)-_xll.qwBondSettle($A$4,AA132))/360))+O132,0)</f>
        <v>0</v>
      </c>
      <c r="AC132" s="9" cm="1">
        <f t="array" ref="AC132">O132+T132+IF(ISNUMBER(_xll.qwIncome($A$1,F132,_xll.qwSettle($A$4,F132),_xll.qwSettle($A$1,F132))*_xll.qwMVFactor($A$1,F132)*_xll.qwFXRate($A$1,F132)*I132),_xll.qwIncome($A$1,F132,_xll.qwSettle($A$4,F132),_xll.qwSettle($A$1,F132))*_xll.qwMVFactor($A$1,F132)*_xll.qwFXRate($A$1,F132)*I132,0)+IF(ISNUMBER(-(_xll.qwBondRepoFromTo($A$1,F132,_xll.qwSettle($A$4,F132),_xll.qwSettle($A$1,F132))*_xll.qwSecVal($A$1,F132,"Price")*(_xll.qwSettle($A$1,F132)-_xll.qwSettle($A$4,F132))/360)*_xll.qwMVFactor($A$1,F132)*_xll.qwFXRate($A$1,F132)*I132),-(_xll.qwBondRepoFromTo($A$1,F132,_xll.qwSettle($A$4,F132),_xll.qwSettle($A$1,F132))*_xll.qwSecVal($A$1,F132,"Price")*(_xll.qwSettle($A$1,F132)-_xll.qwSettle($A$4,F132))/360)*_xll.qwMVFactor($A$1,F132)*_xll.qwFXRate($A$1,F132)*I132,0)</f>
        <v>-95459.254322001056</v>
      </c>
      <c r="AD132" s="6"/>
    </row>
    <row r="133" spans="2:30" s="7" customFormat="1" x14ac:dyDescent="0.35">
      <c r="B133" s="7" t="str">
        <v>jcleary</v>
      </c>
      <c r="C133" s="7" t="str">
        <v>MAMS</v>
      </c>
      <c r="D133" s="7" t="str">
        <v>jcleary|MAMS|RV_US_TY_Spread|242040051</v>
      </c>
      <c r="E133" s="7" t="str">
        <v>RV_US_TY_Spread</v>
      </c>
      <c r="F133" s="7" t="str">
        <v>242040051</v>
      </c>
      <c r="G133" s="7">
        <v>165.2</v>
      </c>
      <c r="H133" s="7">
        <v>0</v>
      </c>
      <c r="I133" s="7">
        <v>165.2</v>
      </c>
      <c r="J133" s="7">
        <v>0</v>
      </c>
      <c r="K133" s="7">
        <v>0</v>
      </c>
      <c r="L133" s="7">
        <v>0</v>
      </c>
      <c r="M133" s="7">
        <v>0</v>
      </c>
      <c r="N133" s="7" t="str">
        <v>SwapTrade</v>
      </c>
      <c r="O133" s="6" cm="1">
        <f t="array" ref="O133">(_xll.qwPrice($A$1,F133)-_xll.qwPrice($A$4,F133))*_xll.qwMVFactor($A$1,F133)*I133*_xll.qwFXRate($A$1,F133)</f>
        <v>116006.45287937442</v>
      </c>
      <c r="P133" s="6" cm="1">
        <f t="array" ref="P133">IF(ISNUMBER(_xll.qwDV01($A$1,F133)*I133*_xll.qwMVFactor($A$1,F133)*_xll.qwFXRate($A$1,F133)),_xll.qwDV01($A$1,F133)*I133*_xll.qwMVFactor($A$1,F133)*_xll.qwFXRate($A$1,F133),0)</f>
        <v>86302.09139004958</v>
      </c>
      <c r="Q133" s="6" cm="1">
        <f t="array" ref="Q133">IF(ISNUMBER(_xll.qwDV01($A$1,F133)*G133*_xll.qwMVFactor($A$1,F133)*_xll.qwFXRate($A$1,F133)),_xll.qwDV01($A$1,F133)*G133*_xll.qwMVFactor($A$1,F133)*_xll.qwFXRate($A$1,F133),0)</f>
        <v>86302.09139004958</v>
      </c>
      <c r="R133" s="6" cm="1">
        <f t="array" ref="R133">IF(ISNUMBER(_xll.qwDV01($A$1,F133)*J133*_xll.qwMVFactor($A$1,F133)*_xll.qwFXRate($A$1,F133)),_xll.qwDV01($A$1,F133)*J133*_xll.qwMVFactor($A$1,F133)*_xll.qwFXRate($A$1,F133),0)</f>
        <v>0</v>
      </c>
      <c r="S133" s="6" cm="1">
        <f t="array" ref="S133">IF(ISNUMBER(_xll.qwDV01($A$1,F133)*J133*_xll.qwMVFactor($A$1,F133)*_xll.qwFXRate($A$1,F133)),_xll.qwDV01($A$1,F133)*J133*_xll.qwMVFactor($A$1,F133)*_xll.qwFXRate($A$1,F133),0)</f>
        <v>0</v>
      </c>
      <c r="T133" s="6" cm="1">
        <f t="array" ref="T133">_xll.qwFXRate($A$1,F133)*J133*(_xll.qwPrice($A$1,F133)-M133)*_xll.qwMVFactor($A$1,F133)+L133</f>
        <v>0</v>
      </c>
      <c r="U133" s="8" cm="1">
        <f t="array" ref="U133">_xll.qwYield($A$1,F133)</f>
        <v>4.7266079358983568E-2</v>
      </c>
      <c r="V133" s="8" cm="1">
        <f t="array" ref="V133">100*(_xll.qwYield($A$4,F133)-U133)</f>
        <v>1.2999858244428647E-2</v>
      </c>
      <c r="W133" s="6">
        <f>IF(ISNA(G133*INDEX(_xll.qwTblData(_xll.qwCurveScenariosPerSecurity($A$1,F133,"Crv210")),2,2)),0,(G133*INDEX(_xll.qwTblData(_xll.qwCurveScenariosPerSecurity($A$1,F133,"Crv210")),2,2)))</f>
        <v>-4006.1268384649966</v>
      </c>
      <c r="X133" s="6" cm="1">
        <f t="array" ref="X133">ABS(Q133/_xll.qwMV01($A$1,"CT10"))</f>
        <v>116.17910210159873</v>
      </c>
      <c r="Y133" s="6" cm="1">
        <f t="array" ref="Y133">IF(N133="BondFuture",-(_xll.qwCurveYield($A$1,_xll.qwSecVal($A$1,AA133,"CreditCurveName()"),AA133)-_xll.qwCurveYield($A$4,_xll.qwSecVal($A$4,AA133,"CreditCurveName()"),AA133))*P133*10000,IF(N133="Bond",-(_xll.qwCurveYield($A$1,_xll.qwSecVal($A$1,F133,"CreditCurveName()"),F133)-_xll.qwCurveYield($A$4,_xll.qwSecVal($A$4,F133,"CreditCurveName()"),F133))*P133*10000,O133))</f>
        <v>116006.45287937442</v>
      </c>
      <c r="Z133" s="6" cm="1">
        <f t="array" ref="Z133">IF(OR(N133="BondFuture",N133="Bond"),P133*(_xll.qwCurveZSpread($A$4,_xll.qwSecVal($A$1,AA133,"CreditCurveName()"),AA133)-_xll.qwCurveZSpread($A$1,_xll.qwSecVal($A$1,AA133,"CreditCurveName()"),AA133)),0)</f>
        <v>0</v>
      </c>
      <c r="AA133" s="9" cm="1">
        <f t="array" ref="AA133">IF(_xll.qwSecType(F133)="Bond",F133,IF(_xll.qwSecType(F133)="BondFuture",_xll.qwFutCTD($A$1,F133),0))</f>
        <v>0</v>
      </c>
      <c r="AB133" s="6" cm="1">
        <f t="array" ref="AB133">IF(_xll.qwSecType(F133)="BondFuture",-(I133*_xll.qwDelta($A$4,F133)*_xll.qwMVFactor($A$1,F133)/_xll.qwMVFactor($A$1,_xll.qwFutCTD($A$1,F133)))*(_xll.qwFXRate($A$1,F133)*_xll.qwMVFactor($A$1,_xll.qwFutCTD($A$1,F133))*(_xll.qwIncome($A$4,_xll.qwFutCTD($A$4,F133),_xll.qwBondSettle($A$4,_xll.qwFutCTD($A$4,F133)),_xll.qwBondSettle($A$1,_xll.qwFutCTD($A$1,F133)))+(_xll.qwSecVal($A$1,AA133,"Price")-_xll.qwSecVal($A$4,AA133,"Price"))-_xll.qwBondRepoFromTo($A$1,AA133,_xll.qwBondSettle($A$4,AA133),_xll.qwBondSettle($A$1,AA133))*_xll.qwSecVal($A$1,AA133,"Price")*(_xll.qwBondSettle($A$1,AA133)-_xll.qwBondSettle($A$4,AA133))/360))+O133,0)</f>
        <v>0</v>
      </c>
      <c r="AC133" s="9" cm="1">
        <f t="array" ref="AC133">O133+T133+IF(ISNUMBER(_xll.qwIncome($A$1,F133,_xll.qwSettle($A$4,F133),_xll.qwSettle($A$1,F133))*_xll.qwMVFactor($A$1,F133)*_xll.qwFXRate($A$1,F133)*I133),_xll.qwIncome($A$1,F133,_xll.qwSettle($A$4,F133),_xll.qwSettle($A$1,F133))*_xll.qwMVFactor($A$1,F133)*_xll.qwFXRate($A$1,F133)*I133,0)+IF(ISNUMBER(-(_xll.qwBondRepoFromTo($A$1,F133,_xll.qwSettle($A$4,F133),_xll.qwSettle($A$1,F133))*_xll.qwSecVal($A$1,F133,"Price")*(_xll.qwSettle($A$1,F133)-_xll.qwSettle($A$4,F133))/360)*_xll.qwMVFactor($A$1,F133)*_xll.qwFXRate($A$1,F133)*I133),-(_xll.qwBondRepoFromTo($A$1,F133,_xll.qwSettle($A$4,F133),_xll.qwSettle($A$1,F133))*_xll.qwSecVal($A$1,F133,"Price")*(_xll.qwSettle($A$1,F133)-_xll.qwSettle($A$4,F133))/360)*_xll.qwMVFactor($A$1,F133)*_xll.qwFXRate($A$1,F133)*I133,0)</f>
        <v>116006.45287937442</v>
      </c>
      <c r="AD133" s="6"/>
    </row>
    <row r="134" spans="2:30" s="7" customFormat="1" x14ac:dyDescent="0.35">
      <c r="B134" s="7" t="str">
        <v>jcleary</v>
      </c>
      <c r="C134" s="7" t="str">
        <v>MAMS</v>
      </c>
      <c r="D134" s="7" t="str">
        <v>jcleary|MAMS|RV_US_TY_Spread|243759093</v>
      </c>
      <c r="E134" s="7" t="str">
        <v>RV_US_TY_Spread</v>
      </c>
      <c r="F134" s="7" t="str">
        <v>243759093</v>
      </c>
      <c r="G134" s="7">
        <v>100</v>
      </c>
      <c r="H134" s="7">
        <v>0</v>
      </c>
      <c r="I134" s="7">
        <v>100</v>
      </c>
      <c r="J134" s="7">
        <v>0</v>
      </c>
      <c r="K134" s="7">
        <v>0</v>
      </c>
      <c r="L134" s="7">
        <v>0</v>
      </c>
      <c r="M134" s="7">
        <v>0</v>
      </c>
      <c r="N134" s="7" t="str">
        <v>SwapTrade</v>
      </c>
      <c r="O134" s="6" cm="1">
        <f t="array" ref="O134">(_xll.qwPrice($A$1,F134)-_xll.qwPrice($A$4,F134))*_xll.qwMVFactor($A$1,F134)*I134*_xll.qwFXRate($A$1,F134)</f>
        <v>-75505.697663110986</v>
      </c>
      <c r="P134" s="6" cm="1">
        <f t="array" ref="P134">IF(ISNUMBER(_xll.qwDV01($A$1,F134)*I134*_xll.qwMVFactor($A$1,F134)*_xll.qwFXRate($A$1,F134)),_xll.qwDV01($A$1,F134)*I134*_xll.qwMVFactor($A$1,F134)*_xll.qwFXRate($A$1,F134),0)</f>
        <v>-54479.020884179794</v>
      </c>
      <c r="Q134" s="6" cm="1">
        <f t="array" ref="Q134">IF(ISNUMBER(_xll.qwDV01($A$1,F134)*G134*_xll.qwMVFactor($A$1,F134)*_xll.qwFXRate($A$1,F134)),_xll.qwDV01($A$1,F134)*G134*_xll.qwMVFactor($A$1,F134)*_xll.qwFXRate($A$1,F134),0)</f>
        <v>-54479.020884179794</v>
      </c>
      <c r="R134" s="6" cm="1">
        <f t="array" ref="R134">IF(ISNUMBER(_xll.qwDV01($A$1,F134)*J134*_xll.qwMVFactor($A$1,F134)*_xll.qwFXRate($A$1,F134)),_xll.qwDV01($A$1,F134)*J134*_xll.qwMVFactor($A$1,F134)*_xll.qwFXRate($A$1,F134),0)</f>
        <v>0</v>
      </c>
      <c r="S134" s="6" cm="1">
        <f t="array" ref="S134">IF(ISNUMBER(_xll.qwDV01($A$1,F134)*J134*_xll.qwMVFactor($A$1,F134)*_xll.qwFXRate($A$1,F134)),_xll.qwDV01($A$1,F134)*J134*_xll.qwMVFactor($A$1,F134)*_xll.qwFXRate($A$1,F134),0)</f>
        <v>0</v>
      </c>
      <c r="T134" s="6" cm="1">
        <f t="array" ref="T134">_xll.qwFXRate($A$1,F134)*J134*(_xll.qwPrice($A$1,F134)-M134)*_xll.qwMVFactor($A$1,F134)+L134</f>
        <v>0</v>
      </c>
      <c r="U134" s="8" cm="1">
        <f t="array" ref="U134">_xll.qwYield($A$1,F134)</f>
        <v>4.729840377612602E-2</v>
      </c>
      <c r="V134" s="8" cm="1">
        <f t="array" ref="V134">100*(_xll.qwYield($A$4,F134)-U134)</f>
        <v>1.3514691007774499E-2</v>
      </c>
      <c r="W134" s="6">
        <f>IF(ISNA(G134*INDEX(_xll.qwTblData(_xll.qwCurveScenariosPerSecurity($A$1,F134,"Crv210")),2,2)),0,(G134*INDEX(_xll.qwTblData(_xll.qwCurveScenariosPerSecurity($A$1,F134,"Crv210")),2,2)))</f>
        <v>4078.6199584896822</v>
      </c>
      <c r="X134" s="6" cm="1">
        <f t="array" ref="X134">ABS(Q134/_xll.qwMV01($A$1,"CT10"))</f>
        <v>73.339169743782236</v>
      </c>
      <c r="Y134" s="6" cm="1">
        <f t="array" ref="Y134">IF(N134="BondFuture",-(_xll.qwCurveYield($A$1,_xll.qwSecVal($A$1,AA134,"CreditCurveName()"),AA134)-_xll.qwCurveYield($A$4,_xll.qwSecVal($A$4,AA134,"CreditCurveName()"),AA134))*P134*10000,IF(N134="Bond",-(_xll.qwCurveYield($A$1,_xll.qwSecVal($A$1,F134,"CreditCurveName()"),F134)-_xll.qwCurveYield($A$4,_xll.qwSecVal($A$4,F134,"CreditCurveName()"),F134))*P134*10000,O134))</f>
        <v>-75505.697663110986</v>
      </c>
      <c r="Z134" s="6" cm="1">
        <f t="array" ref="Z134">IF(OR(N134="BondFuture",N134="Bond"),P134*(_xll.qwCurveZSpread($A$4,_xll.qwSecVal($A$1,AA134,"CreditCurveName()"),AA134)-_xll.qwCurveZSpread($A$1,_xll.qwSecVal($A$1,AA134,"CreditCurveName()"),AA134)),0)</f>
        <v>0</v>
      </c>
      <c r="AA134" s="9" cm="1">
        <f t="array" ref="AA134">IF(_xll.qwSecType(F134)="Bond",F134,IF(_xll.qwSecType(F134)="BondFuture",_xll.qwFutCTD($A$1,F134),0))</f>
        <v>0</v>
      </c>
      <c r="AB134" s="6" cm="1">
        <f t="array" ref="AB134">IF(_xll.qwSecType(F134)="BondFuture",-(I134*_xll.qwDelta($A$4,F134)*_xll.qwMVFactor($A$1,F134)/_xll.qwMVFactor($A$1,_xll.qwFutCTD($A$1,F134)))*(_xll.qwFXRate($A$1,F134)*_xll.qwMVFactor($A$1,_xll.qwFutCTD($A$1,F134))*(_xll.qwIncome($A$4,_xll.qwFutCTD($A$4,F134),_xll.qwBondSettle($A$4,_xll.qwFutCTD($A$4,F134)),_xll.qwBondSettle($A$1,_xll.qwFutCTD($A$1,F134)))+(_xll.qwSecVal($A$1,AA134,"Price")-_xll.qwSecVal($A$4,AA134,"Price"))-_xll.qwBondRepoFromTo($A$1,AA134,_xll.qwBondSettle($A$4,AA134),_xll.qwBondSettle($A$1,AA134))*_xll.qwSecVal($A$1,AA134,"Price")*(_xll.qwBondSettle($A$1,AA134)-_xll.qwBondSettle($A$4,AA134))/360))+O134,0)</f>
        <v>0</v>
      </c>
      <c r="AC134" s="9" cm="1">
        <f t="array" ref="AC134">O134+T134+IF(ISNUMBER(_xll.qwIncome($A$1,F134,_xll.qwSettle($A$4,F134),_xll.qwSettle($A$1,F134))*_xll.qwMVFactor($A$1,F134)*_xll.qwFXRate($A$1,F134)*I134),_xll.qwIncome($A$1,F134,_xll.qwSettle($A$4,F134),_xll.qwSettle($A$1,F134))*_xll.qwMVFactor($A$1,F134)*_xll.qwFXRate($A$1,F134)*I134,0)+IF(ISNUMBER(-(_xll.qwBondRepoFromTo($A$1,F134,_xll.qwSettle($A$4,F134),_xll.qwSettle($A$1,F134))*_xll.qwSecVal($A$1,F134,"Price")*(_xll.qwSettle($A$1,F134)-_xll.qwSettle($A$4,F134))/360)*_xll.qwMVFactor($A$1,F134)*_xll.qwFXRate($A$1,F134)*I134),-(_xll.qwBondRepoFromTo($A$1,F134,_xll.qwSettle($A$4,F134),_xll.qwSettle($A$1,F134))*_xll.qwSecVal($A$1,F134,"Price")*(_xll.qwSettle($A$1,F134)-_xll.qwSettle($A$4,F134))/360)*_xll.qwMVFactor($A$1,F134)*_xll.qwFXRate($A$1,F134)*I134,0)</f>
        <v>-75505.697663110986</v>
      </c>
      <c r="AD134" s="6"/>
    </row>
    <row r="135" spans="2:30" s="7" customFormat="1" x14ac:dyDescent="0.35">
      <c r="B135" s="7" t="str">
        <v>jcleary</v>
      </c>
      <c r="C135" s="7" t="str">
        <v>MAMS</v>
      </c>
      <c r="D135" s="7" t="str">
        <v>jcleary|MAMS|RV_US_TY_Spread|244130620</v>
      </c>
      <c r="E135" s="7" t="str">
        <v>RV_US_TY_Spread</v>
      </c>
      <c r="F135" s="7" t="str">
        <v>244130620</v>
      </c>
      <c r="G135" s="7">
        <v>113.7</v>
      </c>
      <c r="H135" s="7">
        <v>0</v>
      </c>
      <c r="I135" s="7">
        <v>113.7</v>
      </c>
      <c r="J135" s="7">
        <v>0</v>
      </c>
      <c r="K135" s="7">
        <v>0</v>
      </c>
      <c r="L135" s="7">
        <v>0</v>
      </c>
      <c r="M135" s="7">
        <v>0</v>
      </c>
      <c r="N135" s="7" t="str">
        <v>SwapTrade</v>
      </c>
      <c r="O135" s="6" cm="1">
        <f t="array" ref="O135">(_xll.qwPrice($A$1,F135)-_xll.qwPrice($A$4,F135))*_xll.qwMVFactor($A$1,F135)*I135*_xll.qwFXRate($A$1,F135)</f>
        <v>-86122.34015095426</v>
      </c>
      <c r="P135" s="6" cm="1">
        <f t="array" ref="P135">IF(ISNUMBER(_xll.qwDV01($A$1,F135)*I135*_xll.qwMVFactor($A$1,F135)*_xll.qwFXRate($A$1,F135)),_xll.qwDV01($A$1,F135)*I135*_xll.qwMVFactor($A$1,F135)*_xll.qwFXRate($A$1,F135),0)</f>
        <v>-62180.784496762695</v>
      </c>
      <c r="Q135" s="6" cm="1">
        <f t="array" ref="Q135">IF(ISNUMBER(_xll.qwDV01($A$1,F135)*G135*_xll.qwMVFactor($A$1,F135)*_xll.qwFXRate($A$1,F135)),_xll.qwDV01($A$1,F135)*G135*_xll.qwMVFactor($A$1,F135)*_xll.qwFXRate($A$1,F135),0)</f>
        <v>-62180.784496762695</v>
      </c>
      <c r="R135" s="6" cm="1">
        <f t="array" ref="R135">IF(ISNUMBER(_xll.qwDV01($A$1,F135)*J135*_xll.qwMVFactor($A$1,F135)*_xll.qwFXRate($A$1,F135)),_xll.qwDV01($A$1,F135)*J135*_xll.qwMVFactor($A$1,F135)*_xll.qwFXRate($A$1,F135),0)</f>
        <v>0</v>
      </c>
      <c r="S135" s="6" cm="1">
        <f t="array" ref="S135">IF(ISNUMBER(_xll.qwDV01($A$1,F135)*J135*_xll.qwMVFactor($A$1,F135)*_xll.qwFXRate($A$1,F135)),_xll.qwDV01($A$1,F135)*J135*_xll.qwMVFactor($A$1,F135)*_xll.qwFXRate($A$1,F135),0)</f>
        <v>0</v>
      </c>
      <c r="T135" s="6" cm="1">
        <f t="array" ref="T135">_xll.qwFXRate($A$1,F135)*J135*(_xll.qwPrice($A$1,F135)-M135)*_xll.qwMVFactor($A$1,F135)+L135</f>
        <v>0</v>
      </c>
      <c r="U135" s="8" cm="1">
        <f t="array" ref="U135">_xll.qwYield($A$1,F135)</f>
        <v>4.729840377612602E-2</v>
      </c>
      <c r="V135" s="8" cm="1">
        <f t="array" ref="V135">100*(_xll.qwYield($A$4,F135)-U135)</f>
        <v>1.3514691007774499E-2</v>
      </c>
      <c r="W135" s="6">
        <f>IF(ISNA(G135*INDEX(_xll.qwTblData(_xll.qwCurveScenariosPerSecurity($A$1,F135,"Crv210")),2,2)),0,(G135*INDEX(_xll.qwTblData(_xll.qwCurveScenariosPerSecurity($A$1,F135,"Crv210")),2,2)))</f>
        <v>4601.2518140470247</v>
      </c>
      <c r="X135" s="6" cm="1">
        <f t="array" ref="X135">ABS(Q135/_xll.qwMV01($A$1,"CT10"))</f>
        <v>83.707214905800328</v>
      </c>
      <c r="Y135" s="6" cm="1">
        <f t="array" ref="Y135">IF(N135="BondFuture",-(_xll.qwCurveYield($A$1,_xll.qwSecVal($A$1,AA135,"CreditCurveName()"),AA135)-_xll.qwCurveYield($A$4,_xll.qwSecVal($A$4,AA135,"CreditCurveName()"),AA135))*P135*10000,IF(N135="Bond",-(_xll.qwCurveYield($A$1,_xll.qwSecVal($A$1,F135,"CreditCurveName()"),F135)-_xll.qwCurveYield($A$4,_xll.qwSecVal($A$4,F135,"CreditCurveName()"),F135))*P135*10000,O135))</f>
        <v>-86122.34015095426</v>
      </c>
      <c r="Z135" s="6" cm="1">
        <f t="array" ref="Z135">IF(OR(N135="BondFuture",N135="Bond"),P135*(_xll.qwCurveZSpread($A$4,_xll.qwSecVal($A$1,AA135,"CreditCurveName()"),AA135)-_xll.qwCurveZSpread($A$1,_xll.qwSecVal($A$1,AA135,"CreditCurveName()"),AA135)),0)</f>
        <v>0</v>
      </c>
      <c r="AA135" s="9" cm="1">
        <f t="array" ref="AA135">IF(_xll.qwSecType(F135)="Bond",F135,IF(_xll.qwSecType(F135)="BondFuture",_xll.qwFutCTD($A$1,F135),0))</f>
        <v>0</v>
      </c>
      <c r="AB135" s="6" cm="1">
        <f t="array" ref="AB135">IF(_xll.qwSecType(F135)="BondFuture",-(I135*_xll.qwDelta($A$4,F135)*_xll.qwMVFactor($A$1,F135)/_xll.qwMVFactor($A$1,_xll.qwFutCTD($A$1,F135)))*(_xll.qwFXRate($A$1,F135)*_xll.qwMVFactor($A$1,_xll.qwFutCTD($A$1,F135))*(_xll.qwIncome($A$4,_xll.qwFutCTD($A$4,F135),_xll.qwBondSettle($A$4,_xll.qwFutCTD($A$4,F135)),_xll.qwBondSettle($A$1,_xll.qwFutCTD($A$1,F135)))+(_xll.qwSecVal($A$1,AA135,"Price")-_xll.qwSecVal($A$4,AA135,"Price"))-_xll.qwBondRepoFromTo($A$1,AA135,_xll.qwBondSettle($A$4,AA135),_xll.qwBondSettle($A$1,AA135))*_xll.qwSecVal($A$1,AA135,"Price")*(_xll.qwBondSettle($A$1,AA135)-_xll.qwBondSettle($A$4,AA135))/360))+O135,0)</f>
        <v>0</v>
      </c>
      <c r="AC135" s="9" cm="1">
        <f t="array" ref="AC135">O135+T135+IF(ISNUMBER(_xll.qwIncome($A$1,F135,_xll.qwSettle($A$4,F135),_xll.qwSettle($A$1,F135))*_xll.qwMVFactor($A$1,F135)*_xll.qwFXRate($A$1,F135)*I135),_xll.qwIncome($A$1,F135,_xll.qwSettle($A$4,F135),_xll.qwSettle($A$1,F135))*_xll.qwMVFactor($A$1,F135)*_xll.qwFXRate($A$1,F135)*I135,0)+IF(ISNUMBER(-(_xll.qwBondRepoFromTo($A$1,F135,_xll.qwSettle($A$4,F135),_xll.qwSettle($A$1,F135))*_xll.qwSecVal($A$1,F135,"Price")*(_xll.qwSettle($A$1,F135)-_xll.qwSettle($A$4,F135))/360)*_xll.qwMVFactor($A$1,F135)*_xll.qwFXRate($A$1,F135)*I135),-(_xll.qwBondRepoFromTo($A$1,F135,_xll.qwSettle($A$4,F135),_xll.qwSettle($A$1,F135))*_xll.qwSecVal($A$1,F135,"Price")*(_xll.qwSettle($A$1,F135)-_xll.qwSettle($A$4,F135))/360)*_xll.qwMVFactor($A$1,F135)*_xll.qwFXRate($A$1,F135)*I135,0)</f>
        <v>-86122.34015095426</v>
      </c>
      <c r="AD135" s="6"/>
    </row>
    <row r="136" spans="2:30" s="7" customFormat="1" x14ac:dyDescent="0.35">
      <c r="B136" s="7" t="str">
        <v>jcleary</v>
      </c>
      <c r="C136" s="7" t="str">
        <v>MAMS</v>
      </c>
      <c r="D136" s="7" t="str">
        <v>jcleary|MAMS|RV_US_TY_Spread|244135123</v>
      </c>
      <c r="E136" s="7" t="str">
        <v>RV_US_TY_Spread</v>
      </c>
      <c r="F136" s="7" t="str">
        <v>244135123</v>
      </c>
      <c r="G136" s="7">
        <v>75.099999999999994</v>
      </c>
      <c r="H136" s="7">
        <v>0</v>
      </c>
      <c r="I136" s="7">
        <v>75.099999999999994</v>
      </c>
      <c r="J136" s="7">
        <v>0</v>
      </c>
      <c r="K136" s="7">
        <v>0</v>
      </c>
      <c r="L136" s="7">
        <v>0</v>
      </c>
      <c r="M136" s="7">
        <v>0</v>
      </c>
      <c r="N136" s="7" t="str">
        <v>SwapTrade</v>
      </c>
      <c r="O136" s="6" cm="1">
        <f t="array" ref="O136">(_xll.qwPrice($A$1,F136)-_xll.qwPrice($A$4,F136))*_xll.qwMVFactor($A$1,F136)*I136*_xll.qwFXRate($A$1,F136)</f>
        <v>-56932.628711368001</v>
      </c>
      <c r="P136" s="6" cm="1">
        <f t="array" ref="P136">IF(ISNUMBER(_xll.qwDV01($A$1,F136)*I136*_xll.qwMVFactor($A$1,F136)*_xll.qwFXRate($A$1,F136)),_xll.qwDV01($A$1,F136)*I136*_xll.qwMVFactor($A$1,F136)*_xll.qwFXRate($A$1,F136),0)</f>
        <v>-41114.948008794665</v>
      </c>
      <c r="Q136" s="6" cm="1">
        <f t="array" ref="Q136">IF(ISNUMBER(_xll.qwDV01($A$1,F136)*G136*_xll.qwMVFactor($A$1,F136)*_xll.qwFXRate($A$1,F136)),_xll.qwDV01($A$1,F136)*G136*_xll.qwMVFactor($A$1,F136)*_xll.qwFXRate($A$1,F136),0)</f>
        <v>-41114.948008794665</v>
      </c>
      <c r="R136" s="6" cm="1">
        <f t="array" ref="R136">IF(ISNUMBER(_xll.qwDV01($A$1,F136)*J136*_xll.qwMVFactor($A$1,F136)*_xll.qwFXRate($A$1,F136)),_xll.qwDV01($A$1,F136)*J136*_xll.qwMVFactor($A$1,F136)*_xll.qwFXRate($A$1,F136),0)</f>
        <v>0</v>
      </c>
      <c r="S136" s="6" cm="1">
        <f t="array" ref="S136">IF(ISNUMBER(_xll.qwDV01($A$1,F136)*J136*_xll.qwMVFactor($A$1,F136)*_xll.qwFXRate($A$1,F136)),_xll.qwDV01($A$1,F136)*J136*_xll.qwMVFactor($A$1,F136)*_xll.qwFXRate($A$1,F136),0)</f>
        <v>0</v>
      </c>
      <c r="T136" s="6" cm="1">
        <f t="array" ref="T136">_xll.qwFXRate($A$1,F136)*J136*(_xll.qwPrice($A$1,F136)-M136)*_xll.qwMVFactor($A$1,F136)+L136</f>
        <v>0</v>
      </c>
      <c r="U136" s="8" cm="1">
        <f t="array" ref="U136">_xll.qwYield($A$1,F136)</f>
        <v>4.729840377612602E-2</v>
      </c>
      <c r="V136" s="8" cm="1">
        <f t="array" ref="V136">100*(_xll.qwYield($A$4,F136)-U136)</f>
        <v>1.3514691007774499E-2</v>
      </c>
      <c r="W136" s="6">
        <f>IF(ISNA(G136*INDEX(_xll.qwTblData(_xll.qwCurveScenariosPerSecurity($A$1,F136,"Crv210")),2,2)),0,(G136*INDEX(_xll.qwTblData(_xll.qwCurveScenariosPerSecurity($A$1,F136,"Crv210")),2,2)))</f>
        <v>3032.1986308250393</v>
      </c>
      <c r="X136" s="6" cm="1">
        <f t="array" ref="X136">ABS(Q136/_xll.qwMV01($A$1,"CT10"))</f>
        <v>55.348574590469546</v>
      </c>
      <c r="Y136" s="6" cm="1">
        <f t="array" ref="Y136">IF(N136="BondFuture",-(_xll.qwCurveYield($A$1,_xll.qwSecVal($A$1,AA136,"CreditCurveName()"),AA136)-_xll.qwCurveYield($A$4,_xll.qwSecVal($A$4,AA136,"CreditCurveName()"),AA136))*P136*10000,IF(N136="Bond",-(_xll.qwCurveYield($A$1,_xll.qwSecVal($A$1,F136,"CreditCurveName()"),F136)-_xll.qwCurveYield($A$4,_xll.qwSecVal($A$4,F136,"CreditCurveName()"),F136))*P136*10000,O136))</f>
        <v>-56932.628711368001</v>
      </c>
      <c r="Z136" s="6" cm="1">
        <f t="array" ref="Z136">IF(OR(N136="BondFuture",N136="Bond"),P136*(_xll.qwCurveZSpread($A$4,_xll.qwSecVal($A$1,AA136,"CreditCurveName()"),AA136)-_xll.qwCurveZSpread($A$1,_xll.qwSecVal($A$1,AA136,"CreditCurveName()"),AA136)),0)</f>
        <v>0</v>
      </c>
      <c r="AA136" s="9" cm="1">
        <f t="array" ref="AA136">IF(_xll.qwSecType(F136)="Bond",F136,IF(_xll.qwSecType(F136)="BondFuture",_xll.qwFutCTD($A$1,F136),0))</f>
        <v>0</v>
      </c>
      <c r="AB136" s="6" cm="1">
        <f t="array" ref="AB136">IF(_xll.qwSecType(F136)="BondFuture",-(I136*_xll.qwDelta($A$4,F136)*_xll.qwMVFactor($A$1,F136)/_xll.qwMVFactor($A$1,_xll.qwFutCTD($A$1,F136)))*(_xll.qwFXRate($A$1,F136)*_xll.qwMVFactor($A$1,_xll.qwFutCTD($A$1,F136))*(_xll.qwIncome($A$4,_xll.qwFutCTD($A$4,F136),_xll.qwBondSettle($A$4,_xll.qwFutCTD($A$4,F136)),_xll.qwBondSettle($A$1,_xll.qwFutCTD($A$1,F136)))+(_xll.qwSecVal($A$1,AA136,"Price")-_xll.qwSecVal($A$4,AA136,"Price"))-_xll.qwBondRepoFromTo($A$1,AA136,_xll.qwBondSettle($A$4,AA136),_xll.qwBondSettle($A$1,AA136))*_xll.qwSecVal($A$1,AA136,"Price")*(_xll.qwBondSettle($A$1,AA136)-_xll.qwBondSettle($A$4,AA136))/360))+O136,0)</f>
        <v>0</v>
      </c>
      <c r="AC136" s="9" cm="1">
        <f t="array" ref="AC136">O136+T136+IF(ISNUMBER(_xll.qwIncome($A$1,F136,_xll.qwSettle($A$4,F136),_xll.qwSettle($A$1,F136))*_xll.qwMVFactor($A$1,F136)*_xll.qwFXRate($A$1,F136)*I136),_xll.qwIncome($A$1,F136,_xll.qwSettle($A$4,F136),_xll.qwSettle($A$1,F136))*_xll.qwMVFactor($A$1,F136)*_xll.qwFXRate($A$1,F136)*I136,0)+IF(ISNUMBER(-(_xll.qwBondRepoFromTo($A$1,F136,_xll.qwSettle($A$4,F136),_xll.qwSettle($A$1,F136))*_xll.qwSecVal($A$1,F136,"Price")*(_xll.qwSettle($A$1,F136)-_xll.qwSettle($A$4,F136))/360)*_xll.qwMVFactor($A$1,F136)*_xll.qwFXRate($A$1,F136)*I136),-(_xll.qwBondRepoFromTo($A$1,F136,_xll.qwSettle($A$4,F136),_xll.qwSettle($A$1,F136))*_xll.qwSecVal($A$1,F136,"Price")*(_xll.qwSettle($A$1,F136)-_xll.qwSettle($A$4,F136))/360)*_xll.qwMVFactor($A$1,F136)*_xll.qwFXRate($A$1,F136)*I136,0)</f>
        <v>-56932.628711368001</v>
      </c>
      <c r="AD136" s="6"/>
    </row>
    <row r="137" spans="2:30" s="7" customFormat="1" x14ac:dyDescent="0.35">
      <c r="B137" s="7" t="str">
        <v>jcleary</v>
      </c>
      <c r="C137" s="7" t="str">
        <v>MAMS</v>
      </c>
      <c r="D137" s="7" t="str">
        <v>jcleary|MAMS|RV_US_TY_Spread|244608809</v>
      </c>
      <c r="E137" s="7" t="str">
        <v>RV_US_TY_Spread</v>
      </c>
      <c r="F137" s="7" t="str">
        <v>244608809</v>
      </c>
      <c r="G137" s="7">
        <v>797.1</v>
      </c>
      <c r="H137" s="7">
        <v>0</v>
      </c>
      <c r="I137" s="7">
        <v>797.1</v>
      </c>
      <c r="J137" s="7">
        <v>0</v>
      </c>
      <c r="K137" s="7">
        <v>0</v>
      </c>
      <c r="L137" s="7">
        <v>0</v>
      </c>
      <c r="M137" s="7">
        <v>0</v>
      </c>
      <c r="N137" s="7" t="str">
        <v>SwapTrade</v>
      </c>
      <c r="O137" s="6" cm="1">
        <f t="array" ref="O137">(_xll.qwPrice($A$1,F137)-_xll.qwPrice($A$4,F137))*_xll.qwMVFactor($A$1,F137)*I137*_xll.qwFXRate($A$1,F137)</f>
        <v>-565741.81952606968</v>
      </c>
      <c r="P137" s="6" cm="1">
        <f t="array" ref="P137">IF(ISNUMBER(_xll.qwDV01($A$1,F137)*I137*_xll.qwMVFactor($A$1,F137)*_xll.qwFXRate($A$1,F137)),_xll.qwDV01($A$1,F137)*I137*_xll.qwMVFactor($A$1,F137)*_xll.qwFXRate($A$1,F137),0)</f>
        <v>-422237.77514883823</v>
      </c>
      <c r="Q137" s="6" cm="1">
        <f t="array" ref="Q137">IF(ISNUMBER(_xll.qwDV01($A$1,F137)*G137*_xll.qwMVFactor($A$1,F137)*_xll.qwFXRate($A$1,F137)),_xll.qwDV01($A$1,F137)*G137*_xll.qwMVFactor($A$1,F137)*_xll.qwFXRate($A$1,F137),0)</f>
        <v>-422237.77514883823</v>
      </c>
      <c r="R137" s="6" cm="1">
        <f t="array" ref="R137">IF(ISNUMBER(_xll.qwDV01($A$1,F137)*J137*_xll.qwMVFactor($A$1,F137)*_xll.qwFXRate($A$1,F137)),_xll.qwDV01($A$1,F137)*J137*_xll.qwMVFactor($A$1,F137)*_xll.qwFXRate($A$1,F137),0)</f>
        <v>0</v>
      </c>
      <c r="S137" s="6" cm="1">
        <f t="array" ref="S137">IF(ISNUMBER(_xll.qwDV01($A$1,F137)*J137*_xll.qwMVFactor($A$1,F137)*_xll.qwFXRate($A$1,F137)),_xll.qwDV01($A$1,F137)*J137*_xll.qwMVFactor($A$1,F137)*_xll.qwFXRate($A$1,F137),0)</f>
        <v>0</v>
      </c>
      <c r="T137" s="6" cm="1">
        <f t="array" ref="T137">_xll.qwFXRate($A$1,F137)*J137*(_xll.qwPrice($A$1,F137)-M137)*_xll.qwMVFactor($A$1,F137)+L137</f>
        <v>0</v>
      </c>
      <c r="U137" s="8" cm="1">
        <f t="array" ref="U137">_xll.qwYield($A$1,F137)</f>
        <v>4.7266079358983568E-2</v>
      </c>
      <c r="V137" s="8" cm="1">
        <f t="array" ref="V137">100*(_xll.qwYield($A$4,F137)-U137)</f>
        <v>1.2999858244428647E-2</v>
      </c>
      <c r="W137" s="6">
        <f>IF(ISNA(G137*INDEX(_xll.qwTblData(_xll.qwCurveScenariosPerSecurity($A$1,F137,"Crv210")),2,2)),0,(G137*INDEX(_xll.qwTblData(_xll.qwCurveScenariosPerSecurity($A$1,F137,"Crv210")),2,2)))</f>
        <v>18253.848490651471</v>
      </c>
      <c r="X137" s="6" cm="1">
        <f t="array" ref="X137">ABS(Q137/_xll.qwMV01($A$1,"CT10"))</f>
        <v>568.41270935671332</v>
      </c>
      <c r="Y137" s="6" cm="1">
        <f t="array" ref="Y137">IF(N137="BondFuture",-(_xll.qwCurveYield($A$1,_xll.qwSecVal($A$1,AA137,"CreditCurveName()"),AA137)-_xll.qwCurveYield($A$4,_xll.qwSecVal($A$4,AA137,"CreditCurveName()"),AA137))*P137*10000,IF(N137="Bond",-(_xll.qwCurveYield($A$1,_xll.qwSecVal($A$1,F137,"CreditCurveName()"),F137)-_xll.qwCurveYield($A$4,_xll.qwSecVal($A$4,F137,"CreditCurveName()"),F137))*P137*10000,O137))</f>
        <v>-565741.81952606968</v>
      </c>
      <c r="Z137" s="6" cm="1">
        <f t="array" ref="Z137">IF(OR(N137="BondFuture",N137="Bond"),P137*(_xll.qwCurveZSpread($A$4,_xll.qwSecVal($A$1,AA137,"CreditCurveName()"),AA137)-_xll.qwCurveZSpread($A$1,_xll.qwSecVal($A$1,AA137,"CreditCurveName()"),AA137)),0)</f>
        <v>0</v>
      </c>
      <c r="AA137" s="9" cm="1">
        <f t="array" ref="AA137">IF(_xll.qwSecType(F137)="Bond",F137,IF(_xll.qwSecType(F137)="BondFuture",_xll.qwFutCTD($A$1,F137),0))</f>
        <v>0</v>
      </c>
      <c r="AB137" s="6" cm="1">
        <f t="array" ref="AB137">IF(_xll.qwSecType(F137)="BondFuture",-(I137*_xll.qwDelta($A$4,F137)*_xll.qwMVFactor($A$1,F137)/_xll.qwMVFactor($A$1,_xll.qwFutCTD($A$1,F137)))*(_xll.qwFXRate($A$1,F137)*_xll.qwMVFactor($A$1,_xll.qwFutCTD($A$1,F137))*(_xll.qwIncome($A$4,_xll.qwFutCTD($A$4,F137),_xll.qwBondSettle($A$4,_xll.qwFutCTD($A$4,F137)),_xll.qwBondSettle($A$1,_xll.qwFutCTD($A$1,F137)))+(_xll.qwSecVal($A$1,AA137,"Price")-_xll.qwSecVal($A$4,AA137,"Price"))-_xll.qwBondRepoFromTo($A$1,AA137,_xll.qwBondSettle($A$4,AA137),_xll.qwBondSettle($A$1,AA137))*_xll.qwSecVal($A$1,AA137,"Price")*(_xll.qwBondSettle($A$1,AA137)-_xll.qwBondSettle($A$4,AA137))/360))+O137,0)</f>
        <v>0</v>
      </c>
      <c r="AC137" s="9" cm="1">
        <f t="array" ref="AC137">O137+T137+IF(ISNUMBER(_xll.qwIncome($A$1,F137,_xll.qwSettle($A$4,F137),_xll.qwSettle($A$1,F137))*_xll.qwMVFactor($A$1,F137)*_xll.qwFXRate($A$1,F137)*I137),_xll.qwIncome($A$1,F137,_xll.qwSettle($A$4,F137),_xll.qwSettle($A$1,F137))*_xll.qwMVFactor($A$1,F137)*_xll.qwFXRate($A$1,F137)*I137,0)+IF(ISNUMBER(-(_xll.qwBondRepoFromTo($A$1,F137,_xll.qwSettle($A$4,F137),_xll.qwSettle($A$1,F137))*_xll.qwSecVal($A$1,F137,"Price")*(_xll.qwSettle($A$1,F137)-_xll.qwSettle($A$4,F137))/360)*_xll.qwMVFactor($A$1,F137)*_xll.qwFXRate($A$1,F137)*I137),-(_xll.qwBondRepoFromTo($A$1,F137,_xll.qwSettle($A$4,F137),_xll.qwSettle($A$1,F137))*_xll.qwSecVal($A$1,F137,"Price")*(_xll.qwSettle($A$1,F137)-_xll.qwSettle($A$4,F137))/360)*_xll.qwMVFactor($A$1,F137)*_xll.qwFXRate($A$1,F137)*I137,0)</f>
        <v>-565741.81952606968</v>
      </c>
      <c r="AD137" s="6"/>
    </row>
    <row r="138" spans="2:30" s="7" customFormat="1" x14ac:dyDescent="0.35">
      <c r="B138" s="7" t="str">
        <v>jcleary</v>
      </c>
      <c r="C138" s="7" t="str">
        <v>MAMS</v>
      </c>
      <c r="D138" s="7" t="str">
        <v>jcleary|MAMS|RV_US_TY_Spread|244608812</v>
      </c>
      <c r="E138" s="7" t="str">
        <v>RV_US_TY_Spread</v>
      </c>
      <c r="F138" s="7" t="str">
        <v>244608812</v>
      </c>
      <c r="G138" s="7">
        <v>765.3</v>
      </c>
      <c r="H138" s="7">
        <v>0</v>
      </c>
      <c r="I138" s="7">
        <v>765.3</v>
      </c>
      <c r="J138" s="7">
        <v>0</v>
      </c>
      <c r="K138" s="7">
        <v>0</v>
      </c>
      <c r="L138" s="7">
        <v>0</v>
      </c>
      <c r="M138" s="7">
        <v>0</v>
      </c>
      <c r="N138" s="7" t="str">
        <v>SwapTrade</v>
      </c>
      <c r="O138" s="6" cm="1">
        <f t="array" ref="O138">(_xll.qwPrice($A$1,F138)-_xll.qwPrice($A$4,F138))*_xll.qwMVFactor($A$1,F138)*I138*_xll.qwFXRate($A$1,F138)</f>
        <v>592260.27824299084</v>
      </c>
      <c r="P138" s="6" cm="1">
        <f t="array" ref="P138">IF(ISNUMBER(_xll.qwDV01($A$1,F138)*I138*_xll.qwMVFactor($A$1,F138)*_xll.qwFXRate($A$1,F138)),_xll.qwDV01($A$1,F138)*I138*_xll.qwMVFactor($A$1,F138)*_xll.qwFXRate($A$1,F138),0)</f>
        <v>423508.05939305032</v>
      </c>
      <c r="Q138" s="6" cm="1">
        <f t="array" ref="Q138">IF(ISNUMBER(_xll.qwDV01($A$1,F138)*G138*_xll.qwMVFactor($A$1,F138)*_xll.qwFXRate($A$1,F138)),_xll.qwDV01($A$1,F138)*G138*_xll.qwMVFactor($A$1,F138)*_xll.qwFXRate($A$1,F138),0)</f>
        <v>423508.05939305032</v>
      </c>
      <c r="R138" s="6" cm="1">
        <f t="array" ref="R138">IF(ISNUMBER(_xll.qwDV01($A$1,F138)*J138*_xll.qwMVFactor($A$1,F138)*_xll.qwFXRate($A$1,F138)),_xll.qwDV01($A$1,F138)*J138*_xll.qwMVFactor($A$1,F138)*_xll.qwFXRate($A$1,F138),0)</f>
        <v>0</v>
      </c>
      <c r="S138" s="6" cm="1">
        <f t="array" ref="S138">IF(ISNUMBER(_xll.qwDV01($A$1,F138)*J138*_xll.qwMVFactor($A$1,F138)*_xll.qwFXRate($A$1,F138)),_xll.qwDV01($A$1,F138)*J138*_xll.qwMVFactor($A$1,F138)*_xll.qwFXRate($A$1,F138),0)</f>
        <v>0</v>
      </c>
      <c r="T138" s="6" cm="1">
        <f t="array" ref="T138">_xll.qwFXRate($A$1,F138)*J138*(_xll.qwPrice($A$1,F138)-M138)*_xll.qwMVFactor($A$1,F138)+L138</f>
        <v>0</v>
      </c>
      <c r="U138" s="8" cm="1">
        <f t="array" ref="U138">_xll.qwYield($A$1,F138)</f>
        <v>4.7311560297563941E-2</v>
      </c>
      <c r="V138" s="8" cm="1">
        <f t="array" ref="V138">100*(_xll.qwYield($A$4,F138)-U138)</f>
        <v>1.3670566246419547E-2</v>
      </c>
      <c r="W138" s="6">
        <f>IF(ISNA(G138*INDEX(_xll.qwTblData(_xll.qwCurveScenariosPerSecurity($A$1,F138,"Crv210")),2,2)),0,(G138*INDEX(_xll.qwTblData(_xll.qwCurveScenariosPerSecurity($A$1,F138,"Crv210")),2,2)))</f>
        <v>-35749.200331138934</v>
      </c>
      <c r="X138" s="6" cm="1">
        <f t="array" ref="X138">ABS(Q138/_xll.qwMV01($A$1,"CT10"))</f>
        <v>570.12275462362777</v>
      </c>
      <c r="Y138" s="6" cm="1">
        <f t="array" ref="Y138">IF(N138="BondFuture",-(_xll.qwCurveYield($A$1,_xll.qwSecVal($A$1,AA138,"CreditCurveName()"),AA138)-_xll.qwCurveYield($A$4,_xll.qwSecVal($A$4,AA138,"CreditCurveName()"),AA138))*P138*10000,IF(N138="Bond",-(_xll.qwCurveYield($A$1,_xll.qwSecVal($A$1,F138,"CreditCurveName()"),F138)-_xll.qwCurveYield($A$4,_xll.qwSecVal($A$4,F138,"CreditCurveName()"),F138))*P138*10000,O138))</f>
        <v>592260.27824299084</v>
      </c>
      <c r="Z138" s="6" cm="1">
        <f t="array" ref="Z138">IF(OR(N138="BondFuture",N138="Bond"),P138*(_xll.qwCurveZSpread($A$4,_xll.qwSecVal($A$1,AA138,"CreditCurveName()"),AA138)-_xll.qwCurveZSpread($A$1,_xll.qwSecVal($A$1,AA138,"CreditCurveName()"),AA138)),0)</f>
        <v>0</v>
      </c>
      <c r="AA138" s="9" cm="1">
        <f t="array" ref="AA138">IF(_xll.qwSecType(F138)="Bond",F138,IF(_xll.qwSecType(F138)="BondFuture",_xll.qwFutCTD($A$1,F138),0))</f>
        <v>0</v>
      </c>
      <c r="AB138" s="6" cm="1">
        <f t="array" ref="AB138">IF(_xll.qwSecType(F138)="BondFuture",-(I138*_xll.qwDelta($A$4,F138)*_xll.qwMVFactor($A$1,F138)/_xll.qwMVFactor($A$1,_xll.qwFutCTD($A$1,F138)))*(_xll.qwFXRate($A$1,F138)*_xll.qwMVFactor($A$1,_xll.qwFutCTD($A$1,F138))*(_xll.qwIncome($A$4,_xll.qwFutCTD($A$4,F138),_xll.qwBondSettle($A$4,_xll.qwFutCTD($A$4,F138)),_xll.qwBondSettle($A$1,_xll.qwFutCTD($A$1,F138)))+(_xll.qwSecVal($A$1,AA138,"Price")-_xll.qwSecVal($A$4,AA138,"Price"))-_xll.qwBondRepoFromTo($A$1,AA138,_xll.qwBondSettle($A$4,AA138),_xll.qwBondSettle($A$1,AA138))*_xll.qwSecVal($A$1,AA138,"Price")*(_xll.qwBondSettle($A$1,AA138)-_xll.qwBondSettle($A$4,AA138))/360))+O138,0)</f>
        <v>0</v>
      </c>
      <c r="AC138" s="9" cm="1">
        <f t="array" ref="AC138">O138+T138+IF(ISNUMBER(_xll.qwIncome($A$1,F138,_xll.qwSettle($A$4,F138),_xll.qwSettle($A$1,F138))*_xll.qwMVFactor($A$1,F138)*_xll.qwFXRate($A$1,F138)*I138),_xll.qwIncome($A$1,F138,_xll.qwSettle($A$4,F138),_xll.qwSettle($A$1,F138))*_xll.qwMVFactor($A$1,F138)*_xll.qwFXRate($A$1,F138)*I138,0)+IF(ISNUMBER(-(_xll.qwBondRepoFromTo($A$1,F138,_xll.qwSettle($A$4,F138),_xll.qwSettle($A$1,F138))*_xll.qwSecVal($A$1,F138,"Price")*(_xll.qwSettle($A$1,F138)-_xll.qwSettle($A$4,F138))/360)*_xll.qwMVFactor($A$1,F138)*_xll.qwFXRate($A$1,F138)*I138),-(_xll.qwBondRepoFromTo($A$1,F138,_xll.qwSettle($A$4,F138),_xll.qwSettle($A$1,F138))*_xll.qwSecVal($A$1,F138,"Price")*(_xll.qwSettle($A$1,F138)-_xll.qwSettle($A$4,F138))/360)*_xll.qwMVFactor($A$1,F138)*_xll.qwFXRate($A$1,F138)*I138,0)</f>
        <v>592260.27824299084</v>
      </c>
      <c r="AD138" s="6"/>
    </row>
    <row r="139" spans="2:30" s="7" customFormat="1" x14ac:dyDescent="0.35">
      <c r="B139" s="7" t="str">
        <v>jcleary</v>
      </c>
      <c r="C139" s="7" t="str">
        <v>MAMS</v>
      </c>
      <c r="D139" s="7" t="str">
        <v>jcleary|MAMS|RV_US_TY_Spread|244847475</v>
      </c>
      <c r="E139" s="7" t="str">
        <v>RV_US_TY_Spread</v>
      </c>
      <c r="F139" s="7" t="str">
        <v>244847475</v>
      </c>
      <c r="G139" s="7">
        <v>768.6</v>
      </c>
      <c r="H139" s="7">
        <v>0</v>
      </c>
      <c r="I139" s="7">
        <v>768.6</v>
      </c>
      <c r="J139" s="7">
        <v>0</v>
      </c>
      <c r="K139" s="7">
        <v>0</v>
      </c>
      <c r="L139" s="7">
        <v>0</v>
      </c>
      <c r="M139" s="7">
        <v>0</v>
      </c>
      <c r="N139" s="7" t="str">
        <v>SwapTrade</v>
      </c>
      <c r="O139" s="6" cm="1">
        <f t="array" ref="O139">(_xll.qwPrice($A$1,F139)-_xll.qwPrice($A$4,F139))*_xll.qwMVFactor($A$1,F139)*I139*_xll.qwFXRate($A$1,F139)</f>
        <v>593258.24812705792</v>
      </c>
      <c r="P139" s="6" cm="1">
        <f t="array" ref="P139">IF(ISNUMBER(_xll.qwDV01($A$1,F139)*I139*_xll.qwMVFactor($A$1,F139)*_xll.qwFXRate($A$1,F139)),_xll.qwDV01($A$1,F139)*I139*_xll.qwMVFactor($A$1,F139)*_xll.qwFXRate($A$1,F139),0)</f>
        <v>423914.4795736348</v>
      </c>
      <c r="Q139" s="6" cm="1">
        <f t="array" ref="Q139">IF(ISNUMBER(_xll.qwDV01($A$1,F139)*G139*_xll.qwMVFactor($A$1,F139)*_xll.qwFXRate($A$1,F139)),_xll.qwDV01($A$1,F139)*G139*_xll.qwMVFactor($A$1,F139)*_xll.qwFXRate($A$1,F139),0)</f>
        <v>423914.4795736348</v>
      </c>
      <c r="R139" s="6" cm="1">
        <f t="array" ref="R139">IF(ISNUMBER(_xll.qwDV01($A$1,F139)*J139*_xll.qwMVFactor($A$1,F139)*_xll.qwFXRate($A$1,F139)),_xll.qwDV01($A$1,F139)*J139*_xll.qwMVFactor($A$1,F139)*_xll.qwFXRate($A$1,F139),0)</f>
        <v>0</v>
      </c>
      <c r="S139" s="6" cm="1">
        <f t="array" ref="S139">IF(ISNUMBER(_xll.qwDV01($A$1,F139)*J139*_xll.qwMVFactor($A$1,F139)*_xll.qwFXRate($A$1,F139)),_xll.qwDV01($A$1,F139)*J139*_xll.qwMVFactor($A$1,F139)*_xll.qwFXRate($A$1,F139),0)</f>
        <v>0</v>
      </c>
      <c r="T139" s="6" cm="1">
        <f t="array" ref="T139">_xll.qwFXRate($A$1,F139)*J139*(_xll.qwPrice($A$1,F139)-M139)*_xll.qwMVFactor($A$1,F139)+L139</f>
        <v>0</v>
      </c>
      <c r="U139" s="8" cm="1">
        <f t="array" ref="U139">_xll.qwYield($A$1,F139)</f>
        <v>4.7311560297563941E-2</v>
      </c>
      <c r="V139" s="8" cm="1">
        <f t="array" ref="V139">100*(_xll.qwYield($A$4,F139)-U139)</f>
        <v>1.3670566246419547E-2</v>
      </c>
      <c r="W139" s="6">
        <f>IF(ISNA(G139*INDEX(_xll.qwTblData(_xll.qwCurveScenariosPerSecurity($A$1,F139,"Crv210")),2,2)),0,(G139*INDEX(_xll.qwTblData(_xll.qwCurveScenariosPerSecurity($A$1,F139,"Crv210")),2,2)))</f>
        <v>-36119.358485846846</v>
      </c>
      <c r="X139" s="6" cm="1">
        <f t="array" ref="X139">ABS(Q139/_xll.qwMV01($A$1,"CT10"))</f>
        <v>570.66987382891875</v>
      </c>
      <c r="Y139" s="6" cm="1">
        <f t="array" ref="Y139">IF(N139="BondFuture",-(_xll.qwCurveYield($A$1,_xll.qwSecVal($A$1,AA139,"CreditCurveName()"),AA139)-_xll.qwCurveYield($A$4,_xll.qwSecVal($A$4,AA139,"CreditCurveName()"),AA139))*P139*10000,IF(N139="Bond",-(_xll.qwCurveYield($A$1,_xll.qwSecVal($A$1,F139,"CreditCurveName()"),F139)-_xll.qwCurveYield($A$4,_xll.qwSecVal($A$4,F139,"CreditCurveName()"),F139))*P139*10000,O139))</f>
        <v>593258.24812705792</v>
      </c>
      <c r="Z139" s="6" cm="1">
        <f t="array" ref="Z139">IF(OR(N139="BondFuture",N139="Bond"),P139*(_xll.qwCurveZSpread($A$4,_xll.qwSecVal($A$1,AA139,"CreditCurveName()"),AA139)-_xll.qwCurveZSpread($A$1,_xll.qwSecVal($A$1,AA139,"CreditCurveName()"),AA139)),0)</f>
        <v>0</v>
      </c>
      <c r="AA139" s="9" cm="1">
        <f t="array" ref="AA139">IF(_xll.qwSecType(F139)="Bond",F139,IF(_xll.qwSecType(F139)="BondFuture",_xll.qwFutCTD($A$1,F139),0))</f>
        <v>0</v>
      </c>
      <c r="AB139" s="6" cm="1">
        <f t="array" ref="AB139">IF(_xll.qwSecType(F139)="BondFuture",-(I139*_xll.qwDelta($A$4,F139)*_xll.qwMVFactor($A$1,F139)/_xll.qwMVFactor($A$1,_xll.qwFutCTD($A$1,F139)))*(_xll.qwFXRate($A$1,F139)*_xll.qwMVFactor($A$1,_xll.qwFutCTD($A$1,F139))*(_xll.qwIncome($A$4,_xll.qwFutCTD($A$4,F139),_xll.qwBondSettle($A$4,_xll.qwFutCTD($A$4,F139)),_xll.qwBondSettle($A$1,_xll.qwFutCTD($A$1,F139)))+(_xll.qwSecVal($A$1,AA139,"Price")-_xll.qwSecVal($A$4,AA139,"Price"))-_xll.qwBondRepoFromTo($A$1,AA139,_xll.qwBondSettle($A$4,AA139),_xll.qwBondSettle($A$1,AA139))*_xll.qwSecVal($A$1,AA139,"Price")*(_xll.qwBondSettle($A$1,AA139)-_xll.qwBondSettle($A$4,AA139))/360))+O139,0)</f>
        <v>0</v>
      </c>
      <c r="AC139" s="9" cm="1">
        <f t="array" ref="AC139">O139+T139+IF(ISNUMBER(_xll.qwIncome($A$1,F139,_xll.qwSettle($A$4,F139),_xll.qwSettle($A$1,F139))*_xll.qwMVFactor($A$1,F139)*_xll.qwFXRate($A$1,F139)*I139),_xll.qwIncome($A$1,F139,_xll.qwSettle($A$4,F139),_xll.qwSettle($A$1,F139))*_xll.qwMVFactor($A$1,F139)*_xll.qwFXRate($A$1,F139)*I139,0)+IF(ISNUMBER(-(_xll.qwBondRepoFromTo($A$1,F139,_xll.qwSettle($A$4,F139),_xll.qwSettle($A$1,F139))*_xll.qwSecVal($A$1,F139,"Price")*(_xll.qwSettle($A$1,F139)-_xll.qwSettle($A$4,F139))/360)*_xll.qwMVFactor($A$1,F139)*_xll.qwFXRate($A$1,F139)*I139),-(_xll.qwBondRepoFromTo($A$1,F139,_xll.qwSettle($A$4,F139),_xll.qwSettle($A$1,F139))*_xll.qwSecVal($A$1,F139,"Price")*(_xll.qwSettle($A$1,F139)-_xll.qwSettle($A$4,F139))/360)*_xll.qwMVFactor($A$1,F139)*_xll.qwFXRate($A$1,F139)*I139,0)</f>
        <v>593258.24812705792</v>
      </c>
      <c r="AD139" s="6"/>
    </row>
    <row r="140" spans="2:30" s="7" customFormat="1" x14ac:dyDescent="0.35">
      <c r="B140" s="7" t="str">
        <v>jcleary</v>
      </c>
      <c r="C140" s="7" t="str">
        <v>MAMS</v>
      </c>
      <c r="D140" s="7" t="str">
        <v>jcleary|MAMS|RV_US_TY_Spread|244847476</v>
      </c>
      <c r="E140" s="7" t="str">
        <v>RV_US_TY_Spread</v>
      </c>
      <c r="F140" s="7" t="str">
        <v>244847476</v>
      </c>
      <c r="G140" s="7">
        <v>229.3</v>
      </c>
      <c r="H140" s="7">
        <v>0</v>
      </c>
      <c r="I140" s="7">
        <v>229.3</v>
      </c>
      <c r="J140" s="7">
        <v>0</v>
      </c>
      <c r="K140" s="7">
        <v>0</v>
      </c>
      <c r="L140" s="7">
        <v>0</v>
      </c>
      <c r="M140" s="7">
        <v>0</v>
      </c>
      <c r="N140" s="7" t="str">
        <v>SwapTrade</v>
      </c>
      <c r="O140" s="6" cm="1">
        <f t="array" ref="O140">(_xll.qwPrice($A$1,F140)-_xll.qwPrice($A$4,F140))*_xll.qwMVFactor($A$1,F140)*I140*_xll.qwFXRate($A$1,F140)</f>
        <v>138831.02461726396</v>
      </c>
      <c r="P140" s="6" cm="1">
        <f t="array" ref="P140">IF(ISNUMBER(_xll.qwDV01($A$1,F140)*I140*_xll.qwMVFactor($A$1,F140)*_xll.qwFXRate($A$1,F140)),_xll.qwDV01($A$1,F140)*I140*_xll.qwMVFactor($A$1,F140)*_xll.qwFXRate($A$1,F140),0)</f>
        <v>113542.75667198078</v>
      </c>
      <c r="Q140" s="6" cm="1">
        <f t="array" ref="Q140">IF(ISNUMBER(_xll.qwDV01($A$1,F140)*G140*_xll.qwMVFactor($A$1,F140)*_xll.qwFXRate($A$1,F140)),_xll.qwDV01($A$1,F140)*G140*_xll.qwMVFactor($A$1,F140)*_xll.qwFXRate($A$1,F140),0)</f>
        <v>113542.75667198078</v>
      </c>
      <c r="R140" s="6" cm="1">
        <f t="array" ref="R140">IF(ISNUMBER(_xll.qwDV01($A$1,F140)*J140*_xll.qwMVFactor($A$1,F140)*_xll.qwFXRate($A$1,F140)),_xll.qwDV01($A$1,F140)*J140*_xll.qwMVFactor($A$1,F140)*_xll.qwFXRate($A$1,F140),0)</f>
        <v>0</v>
      </c>
      <c r="S140" s="6" cm="1">
        <f t="array" ref="S140">IF(ISNUMBER(_xll.qwDV01($A$1,F140)*J140*_xll.qwMVFactor($A$1,F140)*_xll.qwFXRate($A$1,F140)),_xll.qwDV01($A$1,F140)*J140*_xll.qwMVFactor($A$1,F140)*_xll.qwFXRate($A$1,F140),0)</f>
        <v>0</v>
      </c>
      <c r="T140" s="6" cm="1">
        <f t="array" ref="T140">_xll.qwFXRate($A$1,F140)*J140*(_xll.qwPrice($A$1,F140)-M140)*_xll.qwMVFactor($A$1,F140)+L140</f>
        <v>0</v>
      </c>
      <c r="U140" s="8" cm="1">
        <f t="array" ref="U140">_xll.qwYield($A$1,F140)</f>
        <v>4.721081966519719E-2</v>
      </c>
      <c r="V140" s="8" cm="1">
        <f t="array" ref="V140">100*(_xll.qwYield($A$4,F140)-U140)</f>
        <v>1.1875651335332971E-2</v>
      </c>
      <c r="W140" s="6">
        <f>IF(ISNA(G140*INDEX(_xll.qwTblData(_xll.qwCurveScenariosPerSecurity($A$1,F140,"Crv210")),2,2)),0,(G140*INDEX(_xll.qwTblData(_xll.qwCurveScenariosPerSecurity($A$1,F140,"Crv210")),2,2)))</f>
        <v>1743.4755082526494</v>
      </c>
      <c r="X140" s="6" cm="1">
        <f t="array" ref="X140">ABS(Q140/_xll.qwMV01($A$1,"CT10"))</f>
        <v>152.85024160853604</v>
      </c>
      <c r="Y140" s="6" cm="1">
        <f t="array" ref="Y140">IF(N140="BondFuture",-(_xll.qwCurveYield($A$1,_xll.qwSecVal($A$1,AA140,"CreditCurveName()"),AA140)-_xll.qwCurveYield($A$4,_xll.qwSecVal($A$4,AA140,"CreditCurveName()"),AA140))*P140*10000,IF(N140="Bond",-(_xll.qwCurveYield($A$1,_xll.qwSecVal($A$1,F140,"CreditCurveName()"),F140)-_xll.qwCurveYield($A$4,_xll.qwSecVal($A$4,F140,"CreditCurveName()"),F140))*P140*10000,O140))</f>
        <v>138831.02461726396</v>
      </c>
      <c r="Z140" s="6" cm="1">
        <f t="array" ref="Z140">IF(OR(N140="BondFuture",N140="Bond"),P140*(_xll.qwCurveZSpread($A$4,_xll.qwSecVal($A$1,AA140,"CreditCurveName()"),AA140)-_xll.qwCurveZSpread($A$1,_xll.qwSecVal($A$1,AA140,"CreditCurveName()"),AA140)),0)</f>
        <v>0</v>
      </c>
      <c r="AA140" s="9" cm="1">
        <f t="array" ref="AA140">IF(_xll.qwSecType(F140)="Bond",F140,IF(_xll.qwSecType(F140)="BondFuture",_xll.qwFutCTD($A$1,F140),0))</f>
        <v>0</v>
      </c>
      <c r="AB140" s="6" cm="1">
        <f t="array" ref="AB140">IF(_xll.qwSecType(F140)="BondFuture",-(I140*_xll.qwDelta($A$4,F140)*_xll.qwMVFactor($A$1,F140)/_xll.qwMVFactor($A$1,_xll.qwFutCTD($A$1,F140)))*(_xll.qwFXRate($A$1,F140)*_xll.qwMVFactor($A$1,_xll.qwFutCTD($A$1,F140))*(_xll.qwIncome($A$4,_xll.qwFutCTD($A$4,F140),_xll.qwBondSettle($A$4,_xll.qwFutCTD($A$4,F140)),_xll.qwBondSettle($A$1,_xll.qwFutCTD($A$1,F140)))+(_xll.qwSecVal($A$1,AA140,"Price")-_xll.qwSecVal($A$4,AA140,"Price"))-_xll.qwBondRepoFromTo($A$1,AA140,_xll.qwBondSettle($A$4,AA140),_xll.qwBondSettle($A$1,AA140))*_xll.qwSecVal($A$1,AA140,"Price")*(_xll.qwBondSettle($A$1,AA140)-_xll.qwBondSettle($A$4,AA140))/360))+O140,0)</f>
        <v>0</v>
      </c>
      <c r="AC140" s="9" cm="1">
        <f t="array" ref="AC140">O140+T140+IF(ISNUMBER(_xll.qwIncome($A$1,F140,_xll.qwSettle($A$4,F140),_xll.qwSettle($A$1,F140))*_xll.qwMVFactor($A$1,F140)*_xll.qwFXRate($A$1,F140)*I140),_xll.qwIncome($A$1,F140,_xll.qwSettle($A$4,F140),_xll.qwSettle($A$1,F140))*_xll.qwMVFactor($A$1,F140)*_xll.qwFXRate($A$1,F140)*I140,0)+IF(ISNUMBER(-(_xll.qwBondRepoFromTo($A$1,F140,_xll.qwSettle($A$4,F140),_xll.qwSettle($A$1,F140))*_xll.qwSecVal($A$1,F140,"Price")*(_xll.qwSettle($A$1,F140)-_xll.qwSettle($A$4,F140))/360)*_xll.qwMVFactor($A$1,F140)*_xll.qwFXRate($A$1,F140)*I140),-(_xll.qwBondRepoFromTo($A$1,F140,_xll.qwSettle($A$4,F140),_xll.qwSettle($A$1,F140))*_xll.qwSecVal($A$1,F140,"Price")*(_xll.qwSettle($A$1,F140)-_xll.qwSettle($A$4,F140))/360)*_xll.qwMVFactor($A$1,F140)*_xll.qwFXRate($A$1,F140)*I140,0)</f>
        <v>138831.02461726396</v>
      </c>
      <c r="AD140" s="6"/>
    </row>
    <row r="141" spans="2:30" s="7" customFormat="1" x14ac:dyDescent="0.35">
      <c r="B141" s="7" t="str">
        <v>jcleary</v>
      </c>
      <c r="C141" s="7" t="str">
        <v>MAMS</v>
      </c>
      <c r="D141" s="7" t="str">
        <v>jcleary|MAMS|RV_US_TY_Spread|244847477</v>
      </c>
      <c r="E141" s="7" t="str">
        <v>RV_US_TY_Spread</v>
      </c>
      <c r="F141" s="7" t="str">
        <v>244847477</v>
      </c>
      <c r="G141" s="7">
        <v>213.5</v>
      </c>
      <c r="H141" s="7">
        <v>0</v>
      </c>
      <c r="I141" s="7">
        <v>213.5</v>
      </c>
      <c r="J141" s="7">
        <v>0</v>
      </c>
      <c r="K141" s="7">
        <v>0</v>
      </c>
      <c r="L141" s="7">
        <v>0</v>
      </c>
      <c r="M141" s="7">
        <v>0</v>
      </c>
      <c r="N141" s="7" t="str">
        <v>SwapTrade</v>
      </c>
      <c r="O141" s="6" cm="1">
        <f t="array" ref="O141">(_xll.qwPrice($A$1,F141)-_xll.qwPrice($A$4,F141))*_xll.qwMVFactor($A$1,F141)*I141*_xll.qwFXRate($A$1,F141)</f>
        <v>-154360.80871429248</v>
      </c>
      <c r="P141" s="6" cm="1">
        <f t="array" ref="P141">IF(ISNUMBER(_xll.qwDV01($A$1,F141)*I141*_xll.qwMVFactor($A$1,F141)*_xll.qwFXRate($A$1,F141)),_xll.qwDV01($A$1,F141)*I141*_xll.qwMVFactor($A$1,F141)*_xll.qwFXRate($A$1,F141),0)</f>
        <v>-113924.16588224808</v>
      </c>
      <c r="Q141" s="6" cm="1">
        <f t="array" ref="Q141">IF(ISNUMBER(_xll.qwDV01($A$1,F141)*G141*_xll.qwMVFactor($A$1,F141)*_xll.qwFXRate($A$1,F141)),_xll.qwDV01($A$1,F141)*G141*_xll.qwMVFactor($A$1,F141)*_xll.qwFXRate($A$1,F141),0)</f>
        <v>-113924.16588224808</v>
      </c>
      <c r="R141" s="6" cm="1">
        <f t="array" ref="R141">IF(ISNUMBER(_xll.qwDV01($A$1,F141)*J141*_xll.qwMVFactor($A$1,F141)*_xll.qwFXRate($A$1,F141)),_xll.qwDV01($A$1,F141)*J141*_xll.qwMVFactor($A$1,F141)*_xll.qwFXRate($A$1,F141),0)</f>
        <v>0</v>
      </c>
      <c r="S141" s="6" cm="1">
        <f t="array" ref="S141">IF(ISNUMBER(_xll.qwDV01($A$1,F141)*J141*_xll.qwMVFactor($A$1,F141)*_xll.qwFXRate($A$1,F141)),_xll.qwDV01($A$1,F141)*J141*_xll.qwMVFactor($A$1,F141)*_xll.qwFXRate($A$1,F141),0)</f>
        <v>0</v>
      </c>
      <c r="T141" s="6" cm="1">
        <f t="array" ref="T141">_xll.qwFXRate($A$1,F141)*J141*(_xll.qwPrice($A$1,F141)-M141)*_xll.qwMVFactor($A$1,F141)+L141</f>
        <v>0</v>
      </c>
      <c r="U141" s="8" cm="1">
        <f t="array" ref="U141">_xll.qwYield($A$1,F141)</f>
        <v>4.7273302273789487E-2</v>
      </c>
      <c r="V141" s="8" cm="1">
        <f t="array" ref="V141">100*(_xll.qwYield($A$4,F141)-U141)</f>
        <v>1.3163714084580419E-2</v>
      </c>
      <c r="W141" s="6">
        <f>IF(ISNA(G141*INDEX(_xll.qwTblData(_xll.qwCurveScenariosPerSecurity($A$1,F141,"Crv210")),2,2)),0,(G141*INDEX(_xll.qwTblData(_xll.qwCurveScenariosPerSecurity($A$1,F141,"Crv210")),2,2)))</f>
        <v>6096.7852036126887</v>
      </c>
      <c r="X141" s="6" cm="1">
        <f t="array" ref="X141">ABS(Q141/_xll.qwMV01($A$1,"CT10"))</f>
        <v>153.363691269702</v>
      </c>
      <c r="Y141" s="6" cm="1">
        <f t="array" ref="Y141">IF(N141="BondFuture",-(_xll.qwCurveYield($A$1,_xll.qwSecVal($A$1,AA141,"CreditCurveName()"),AA141)-_xll.qwCurveYield($A$4,_xll.qwSecVal($A$4,AA141,"CreditCurveName()"),AA141))*P141*10000,IF(N141="Bond",-(_xll.qwCurveYield($A$1,_xll.qwSecVal($A$1,F141,"CreditCurveName()"),F141)-_xll.qwCurveYield($A$4,_xll.qwSecVal($A$4,F141,"CreditCurveName()"),F141))*P141*10000,O141))</f>
        <v>-154360.80871429248</v>
      </c>
      <c r="Z141" s="6" cm="1">
        <f t="array" ref="Z141">IF(OR(N141="BondFuture",N141="Bond"),P141*(_xll.qwCurveZSpread($A$4,_xll.qwSecVal($A$1,AA141,"CreditCurveName()"),AA141)-_xll.qwCurveZSpread($A$1,_xll.qwSecVal($A$1,AA141,"CreditCurveName()"),AA141)),0)</f>
        <v>0</v>
      </c>
      <c r="AA141" s="9" cm="1">
        <f t="array" ref="AA141">IF(_xll.qwSecType(F141)="Bond",F141,IF(_xll.qwSecType(F141)="BondFuture",_xll.qwFutCTD($A$1,F141),0))</f>
        <v>0</v>
      </c>
      <c r="AB141" s="6" cm="1">
        <f t="array" ref="AB141">IF(_xll.qwSecType(F141)="BondFuture",-(I141*_xll.qwDelta($A$4,F141)*_xll.qwMVFactor($A$1,F141)/_xll.qwMVFactor($A$1,_xll.qwFutCTD($A$1,F141)))*(_xll.qwFXRate($A$1,F141)*_xll.qwMVFactor($A$1,_xll.qwFutCTD($A$1,F141))*(_xll.qwIncome($A$4,_xll.qwFutCTD($A$4,F141),_xll.qwBondSettle($A$4,_xll.qwFutCTD($A$4,F141)),_xll.qwBondSettle($A$1,_xll.qwFutCTD($A$1,F141)))+(_xll.qwSecVal($A$1,AA141,"Price")-_xll.qwSecVal($A$4,AA141,"Price"))-_xll.qwBondRepoFromTo($A$1,AA141,_xll.qwBondSettle($A$4,AA141),_xll.qwBondSettle($A$1,AA141))*_xll.qwSecVal($A$1,AA141,"Price")*(_xll.qwBondSettle($A$1,AA141)-_xll.qwBondSettle($A$4,AA141))/360))+O141,0)</f>
        <v>0</v>
      </c>
      <c r="AC141" s="9" cm="1">
        <f t="array" ref="AC141">O141+T141+IF(ISNUMBER(_xll.qwIncome($A$1,F141,_xll.qwSettle($A$4,F141),_xll.qwSettle($A$1,F141))*_xll.qwMVFactor($A$1,F141)*_xll.qwFXRate($A$1,F141)*I141),_xll.qwIncome($A$1,F141,_xll.qwSettle($A$4,F141),_xll.qwSettle($A$1,F141))*_xll.qwMVFactor($A$1,F141)*_xll.qwFXRate($A$1,F141)*I141,0)+IF(ISNUMBER(-(_xll.qwBondRepoFromTo($A$1,F141,_xll.qwSettle($A$4,F141),_xll.qwSettle($A$1,F141))*_xll.qwSecVal($A$1,F141,"Price")*(_xll.qwSettle($A$1,F141)-_xll.qwSettle($A$4,F141))/360)*_xll.qwMVFactor($A$1,F141)*_xll.qwFXRate($A$1,F141)*I141),-(_xll.qwBondRepoFromTo($A$1,F141,_xll.qwSettle($A$4,F141),_xll.qwSettle($A$1,F141))*_xll.qwSecVal($A$1,F141,"Price")*(_xll.qwSettle($A$1,F141)-_xll.qwSettle($A$4,F141))/360)*_xll.qwMVFactor($A$1,F141)*_xll.qwFXRate($A$1,F141)*I141,0)</f>
        <v>-154360.80871429248</v>
      </c>
      <c r="AD141" s="6"/>
    </row>
    <row r="142" spans="2:30" s="7" customFormat="1" x14ac:dyDescent="0.35">
      <c r="B142" s="7" t="str">
        <v>jcleary</v>
      </c>
      <c r="C142" s="7" t="str">
        <v>MAMS</v>
      </c>
      <c r="D142" s="7" t="str">
        <v>jcleary|MAMS|RV_US_TY_Spread|245404667</v>
      </c>
      <c r="E142" s="7" t="str">
        <v>RV_US_TY_Spread</v>
      </c>
      <c r="F142" s="7" t="str">
        <v>245404667</v>
      </c>
      <c r="G142" s="7">
        <v>509.392</v>
      </c>
      <c r="H142" s="7">
        <v>0</v>
      </c>
      <c r="I142" s="7">
        <v>509.392</v>
      </c>
      <c r="J142" s="7">
        <v>0</v>
      </c>
      <c r="K142" s="7">
        <v>0</v>
      </c>
      <c r="L142" s="7">
        <v>0</v>
      </c>
      <c r="M142" s="7">
        <v>0</v>
      </c>
      <c r="N142" s="7" t="str">
        <v>SwapTrade</v>
      </c>
      <c r="O142" s="6" cm="1">
        <f t="array" ref="O142">(_xll.qwPrice($A$1,F142)-_xll.qwPrice($A$4,F142))*_xll.qwMVFactor($A$1,F142)*I142*_xll.qwFXRate($A$1,F142)</f>
        <v>392995.65131804365</v>
      </c>
      <c r="P142" s="6" cm="1">
        <f t="array" ref="P142">IF(ISNUMBER(_xll.qwDV01($A$1,F142)*I142*_xll.qwMVFactor($A$1,F142)*_xll.qwFXRate($A$1,F142)),_xll.qwDV01($A$1,F142)*I142*_xll.qwMVFactor($A$1,F142)*_xll.qwFXRate($A$1,F142),0)</f>
        <v>280742.02980273863</v>
      </c>
      <c r="Q142" s="6" cm="1">
        <f t="array" ref="Q142">IF(ISNUMBER(_xll.qwDV01($A$1,F142)*G142*_xll.qwMVFactor($A$1,F142)*_xll.qwFXRate($A$1,F142)),_xll.qwDV01($A$1,F142)*G142*_xll.qwMVFactor($A$1,F142)*_xll.qwFXRate($A$1,F142),0)</f>
        <v>280742.02980273863</v>
      </c>
      <c r="R142" s="6" cm="1">
        <f t="array" ref="R142">IF(ISNUMBER(_xll.qwDV01($A$1,F142)*J142*_xll.qwMVFactor($A$1,F142)*_xll.qwFXRate($A$1,F142)),_xll.qwDV01($A$1,F142)*J142*_xll.qwMVFactor($A$1,F142)*_xll.qwFXRate($A$1,F142),0)</f>
        <v>0</v>
      </c>
      <c r="S142" s="6" cm="1">
        <f t="array" ref="S142">IF(ISNUMBER(_xll.qwDV01($A$1,F142)*J142*_xll.qwMVFactor($A$1,F142)*_xll.qwFXRate($A$1,F142)),_xll.qwDV01($A$1,F142)*J142*_xll.qwMVFactor($A$1,F142)*_xll.qwFXRate($A$1,F142),0)</f>
        <v>0</v>
      </c>
      <c r="T142" s="6" cm="1">
        <f t="array" ref="T142">_xll.qwFXRate($A$1,F142)*J142*(_xll.qwPrice($A$1,F142)-M142)*_xll.qwMVFactor($A$1,F142)+L142</f>
        <v>0</v>
      </c>
      <c r="U142" s="8" cm="1">
        <f t="array" ref="U142">_xll.qwYield($A$1,F142)</f>
        <v>4.7311560297563941E-2</v>
      </c>
      <c r="V142" s="8" cm="1">
        <f t="array" ref="V142">100*(_xll.qwYield($A$4,F142)-U142)</f>
        <v>1.3670566246419547E-2</v>
      </c>
      <c r="W142" s="6">
        <f>IF(ISNA(G142*INDEX(_xll.qwTblData(_xll.qwCurveScenariosPerSecurity($A$1,F142,"Crv210")),2,2)),0,(G142*INDEX(_xll.qwTblData(_xll.qwCurveScenariosPerSecurity($A$1,F142,"Crv210")),2,2)))</f>
        <v>-23975.151942616394</v>
      </c>
      <c r="X142" s="6" cm="1">
        <f t="array" ref="X142">ABS(Q142/_xll.qwMV01($A$1,"CT10"))</f>
        <v>377.9324048735977</v>
      </c>
      <c r="Y142" s="6" cm="1">
        <f t="array" ref="Y142">IF(N142="BondFuture",-(_xll.qwCurveYield($A$1,_xll.qwSecVal($A$1,AA142,"CreditCurveName()"),AA142)-_xll.qwCurveYield($A$4,_xll.qwSecVal($A$4,AA142,"CreditCurveName()"),AA142))*P142*10000,IF(N142="Bond",-(_xll.qwCurveYield($A$1,_xll.qwSecVal($A$1,F142,"CreditCurveName()"),F142)-_xll.qwCurveYield($A$4,_xll.qwSecVal($A$4,F142,"CreditCurveName()"),F142))*P142*10000,O142))</f>
        <v>392995.65131804365</v>
      </c>
      <c r="Z142" s="6" cm="1">
        <f t="array" ref="Z142">IF(OR(N142="BondFuture",N142="Bond"),P142*(_xll.qwCurveZSpread($A$4,_xll.qwSecVal($A$1,AA142,"CreditCurveName()"),AA142)-_xll.qwCurveZSpread($A$1,_xll.qwSecVal($A$1,AA142,"CreditCurveName()"),AA142)),0)</f>
        <v>0</v>
      </c>
      <c r="AA142" s="9" cm="1">
        <f t="array" ref="AA142">IF(_xll.qwSecType(F142)="Bond",F142,IF(_xll.qwSecType(F142)="BondFuture",_xll.qwFutCTD($A$1,F142),0))</f>
        <v>0</v>
      </c>
      <c r="AB142" s="6" cm="1">
        <f t="array" ref="AB142">IF(_xll.qwSecType(F142)="BondFuture",-(I142*_xll.qwDelta($A$4,F142)*_xll.qwMVFactor($A$1,F142)/_xll.qwMVFactor($A$1,_xll.qwFutCTD($A$1,F142)))*(_xll.qwFXRate($A$1,F142)*_xll.qwMVFactor($A$1,_xll.qwFutCTD($A$1,F142))*(_xll.qwIncome($A$4,_xll.qwFutCTD($A$4,F142),_xll.qwBondSettle($A$4,_xll.qwFutCTD($A$4,F142)),_xll.qwBondSettle($A$1,_xll.qwFutCTD($A$1,F142)))+(_xll.qwSecVal($A$1,AA142,"Price")-_xll.qwSecVal($A$4,AA142,"Price"))-_xll.qwBondRepoFromTo($A$1,AA142,_xll.qwBondSettle($A$4,AA142),_xll.qwBondSettle($A$1,AA142))*_xll.qwSecVal($A$1,AA142,"Price")*(_xll.qwBondSettle($A$1,AA142)-_xll.qwBondSettle($A$4,AA142))/360))+O142,0)</f>
        <v>0</v>
      </c>
      <c r="AC142" s="9" cm="1">
        <f t="array" ref="AC142">O142+T142+IF(ISNUMBER(_xll.qwIncome($A$1,F142,_xll.qwSettle($A$4,F142),_xll.qwSettle($A$1,F142))*_xll.qwMVFactor($A$1,F142)*_xll.qwFXRate($A$1,F142)*I142),_xll.qwIncome($A$1,F142,_xll.qwSettle($A$4,F142),_xll.qwSettle($A$1,F142))*_xll.qwMVFactor($A$1,F142)*_xll.qwFXRate($A$1,F142)*I142,0)+IF(ISNUMBER(-(_xll.qwBondRepoFromTo($A$1,F142,_xll.qwSettle($A$4,F142),_xll.qwSettle($A$1,F142))*_xll.qwSecVal($A$1,F142,"Price")*(_xll.qwSettle($A$1,F142)-_xll.qwSettle($A$4,F142))/360)*_xll.qwMVFactor($A$1,F142)*_xll.qwFXRate($A$1,F142)*I142),-(_xll.qwBondRepoFromTo($A$1,F142,_xll.qwSettle($A$4,F142),_xll.qwSettle($A$1,F142))*_xll.qwSecVal($A$1,F142,"Price")*(_xll.qwSettle($A$1,F142)-_xll.qwSettle($A$4,F142))/360)*_xll.qwMVFactor($A$1,F142)*_xll.qwFXRate($A$1,F142)*I142,0)</f>
        <v>392995.65131804365</v>
      </c>
      <c r="AD142" s="6"/>
    </row>
    <row r="143" spans="2:30" s="7" customFormat="1" x14ac:dyDescent="0.35">
      <c r="B143" s="7" t="str">
        <v>jcleary</v>
      </c>
      <c r="C143" s="7" t="str">
        <v>MAMS</v>
      </c>
      <c r="D143" s="7" t="str">
        <v>jcleary|MAMS|RV_US_TY_Spread|245404668</v>
      </c>
      <c r="E143" s="7" t="str">
        <v>RV_US_TY_Spread</v>
      </c>
      <c r="F143" s="7" t="str">
        <v>245404668</v>
      </c>
      <c r="G143" s="7">
        <v>531.46400000000006</v>
      </c>
      <c r="H143" s="7">
        <v>0</v>
      </c>
      <c r="I143" s="7">
        <v>531.46400000000006</v>
      </c>
      <c r="J143" s="7">
        <v>0</v>
      </c>
      <c r="K143" s="7">
        <v>0</v>
      </c>
      <c r="L143" s="7">
        <v>0</v>
      </c>
      <c r="M143" s="7">
        <v>0</v>
      </c>
      <c r="N143" s="7" t="str">
        <v>SwapTrade</v>
      </c>
      <c r="O143" s="6" cm="1">
        <f t="array" ref="O143">(_xll.qwPrice($A$1,F143)-_xll.qwPrice($A$4,F143))*_xll.qwMVFactor($A$1,F143)*I143*_xll.qwFXRate($A$1,F143)</f>
        <v>-376076.57256622729</v>
      </c>
      <c r="P143" s="6" cm="1">
        <f t="array" ref="P143">IF(ISNUMBER(_xll.qwDV01($A$1,F143)*I143*_xll.qwMVFactor($A$1,F143)*_xll.qwFXRate($A$1,F143)),_xll.qwDV01($A$1,F143)*I143*_xll.qwMVFactor($A$1,F143)*_xll.qwFXRate($A$1,F143),0)</f>
        <v>-280437.6668075241</v>
      </c>
      <c r="Q143" s="6" cm="1">
        <f t="array" ref="Q143">IF(ISNUMBER(_xll.qwDV01($A$1,F143)*G143*_xll.qwMVFactor($A$1,F143)*_xll.qwFXRate($A$1,F143)),_xll.qwDV01($A$1,F143)*G143*_xll.qwMVFactor($A$1,F143)*_xll.qwFXRate($A$1,F143),0)</f>
        <v>-280437.6668075241</v>
      </c>
      <c r="R143" s="6" cm="1">
        <f t="array" ref="R143">IF(ISNUMBER(_xll.qwDV01($A$1,F143)*J143*_xll.qwMVFactor($A$1,F143)*_xll.qwFXRate($A$1,F143)),_xll.qwDV01($A$1,F143)*J143*_xll.qwMVFactor($A$1,F143)*_xll.qwFXRate($A$1,F143),0)</f>
        <v>0</v>
      </c>
      <c r="S143" s="6" cm="1">
        <f t="array" ref="S143">IF(ISNUMBER(_xll.qwDV01($A$1,F143)*J143*_xll.qwMVFactor($A$1,F143)*_xll.qwFXRate($A$1,F143)),_xll.qwDV01($A$1,F143)*J143*_xll.qwMVFactor($A$1,F143)*_xll.qwFXRate($A$1,F143),0)</f>
        <v>0</v>
      </c>
      <c r="T143" s="6" cm="1">
        <f t="array" ref="T143">_xll.qwFXRate($A$1,F143)*J143*(_xll.qwPrice($A$1,F143)-M143)*_xll.qwMVFactor($A$1,F143)+L143</f>
        <v>0</v>
      </c>
      <c r="U143" s="8" cm="1">
        <f t="array" ref="U143">_xll.qwYield($A$1,F143)</f>
        <v>4.7266079358983568E-2</v>
      </c>
      <c r="V143" s="8" cm="1">
        <f t="array" ref="V143">100*(_xll.qwYield($A$4,F143)-U143)</f>
        <v>1.2999858244428647E-2</v>
      </c>
      <c r="W143" s="6">
        <f>IF(ISNA(G143*INDEX(_xll.qwTblData(_xll.qwCurveScenariosPerSecurity($A$1,F143,"Crv210")),2,2)),0,(G143*INDEX(_xll.qwTblData(_xll.qwCurveScenariosPerSecurity($A$1,F143,"Crv210")),2,2)))</f>
        <v>12370.933456391613</v>
      </c>
      <c r="X143" s="6" cm="1">
        <f t="array" ref="X143">ABS(Q143/_xll.qwMV01($A$1,"CT10"))</f>
        <v>377.52267413674724</v>
      </c>
      <c r="Y143" s="6" cm="1">
        <f t="array" ref="Y143">IF(N143="BondFuture",-(_xll.qwCurveYield($A$1,_xll.qwSecVal($A$1,AA143,"CreditCurveName()"),AA143)-_xll.qwCurveYield($A$4,_xll.qwSecVal($A$4,AA143,"CreditCurveName()"),AA143))*P143*10000,IF(N143="Bond",-(_xll.qwCurveYield($A$1,_xll.qwSecVal($A$1,F143,"CreditCurveName()"),F143)-_xll.qwCurveYield($A$4,_xll.qwSecVal($A$4,F143,"CreditCurveName()"),F143))*P143*10000,O143))</f>
        <v>-376076.57256622729</v>
      </c>
      <c r="Z143" s="6" cm="1">
        <f t="array" ref="Z143">IF(OR(N143="BondFuture",N143="Bond"),P143*(_xll.qwCurveZSpread($A$4,_xll.qwSecVal($A$1,AA143,"CreditCurveName()"),AA143)-_xll.qwCurveZSpread($A$1,_xll.qwSecVal($A$1,AA143,"CreditCurveName()"),AA143)),0)</f>
        <v>0</v>
      </c>
      <c r="AA143" s="9" cm="1">
        <f t="array" ref="AA143">IF(_xll.qwSecType(F143)="Bond",F143,IF(_xll.qwSecType(F143)="BondFuture",_xll.qwFutCTD($A$1,F143),0))</f>
        <v>0</v>
      </c>
      <c r="AB143" s="6" cm="1">
        <f t="array" ref="AB143">IF(_xll.qwSecType(F143)="BondFuture",-(I143*_xll.qwDelta($A$4,F143)*_xll.qwMVFactor($A$1,F143)/_xll.qwMVFactor($A$1,_xll.qwFutCTD($A$1,F143)))*(_xll.qwFXRate($A$1,F143)*_xll.qwMVFactor($A$1,_xll.qwFutCTD($A$1,F143))*(_xll.qwIncome($A$4,_xll.qwFutCTD($A$4,F143),_xll.qwBondSettle($A$4,_xll.qwFutCTD($A$4,F143)),_xll.qwBondSettle($A$1,_xll.qwFutCTD($A$1,F143)))+(_xll.qwSecVal($A$1,AA143,"Price")-_xll.qwSecVal($A$4,AA143,"Price"))-_xll.qwBondRepoFromTo($A$1,AA143,_xll.qwBondSettle($A$4,AA143),_xll.qwBondSettle($A$1,AA143))*_xll.qwSecVal($A$1,AA143,"Price")*(_xll.qwBondSettle($A$1,AA143)-_xll.qwBondSettle($A$4,AA143))/360))+O143,0)</f>
        <v>0</v>
      </c>
      <c r="AC143" s="9" cm="1">
        <f t="array" ref="AC143">O143+T143+IF(ISNUMBER(_xll.qwIncome($A$1,F143,_xll.qwSettle($A$4,F143),_xll.qwSettle($A$1,F143))*_xll.qwMVFactor($A$1,F143)*_xll.qwFXRate($A$1,F143)*I143),_xll.qwIncome($A$1,F143,_xll.qwSettle($A$4,F143),_xll.qwSettle($A$1,F143))*_xll.qwMVFactor($A$1,F143)*_xll.qwFXRate($A$1,F143)*I143,0)+IF(ISNUMBER(-(_xll.qwBondRepoFromTo($A$1,F143,_xll.qwSettle($A$4,F143),_xll.qwSettle($A$1,F143))*_xll.qwSecVal($A$1,F143,"Price")*(_xll.qwSettle($A$1,F143)-_xll.qwSettle($A$4,F143))/360)*_xll.qwMVFactor($A$1,F143)*_xll.qwFXRate($A$1,F143)*I143),-(_xll.qwBondRepoFromTo($A$1,F143,_xll.qwSettle($A$4,F143),_xll.qwSettle($A$1,F143))*_xll.qwSecVal($A$1,F143,"Price")*(_xll.qwSettle($A$1,F143)-_xll.qwSettle($A$4,F143))/360)*_xll.qwMVFactor($A$1,F143)*_xll.qwFXRate($A$1,F143)*I143,0)</f>
        <v>-376076.57256622729</v>
      </c>
      <c r="AD143" s="6"/>
    </row>
    <row r="144" spans="2:30" s="7" customFormat="1" x14ac:dyDescent="0.35">
      <c r="B144" s="7" t="str">
        <v>jcleary</v>
      </c>
      <c r="C144" s="7" t="str">
        <v>MAMS</v>
      </c>
      <c r="D144" s="7" t="str">
        <v>jcleary|MAMS|RV_US_TY_Spread|245570646</v>
      </c>
      <c r="E144" s="7" t="str">
        <v>RV_US_TY_Spread</v>
      </c>
      <c r="F144" s="7" t="str">
        <v>245570646</v>
      </c>
      <c r="G144" s="7">
        <v>532.5</v>
      </c>
      <c r="H144" s="7">
        <v>0</v>
      </c>
      <c r="I144" s="7">
        <v>532.5</v>
      </c>
      <c r="J144" s="7">
        <v>0</v>
      </c>
      <c r="K144" s="7">
        <v>0</v>
      </c>
      <c r="L144" s="7">
        <v>0</v>
      </c>
      <c r="M144" s="7">
        <v>0</v>
      </c>
      <c r="N144" s="7" t="str">
        <v>SwapTrade</v>
      </c>
      <c r="O144" s="6" cm="1">
        <f t="array" ref="O144">(_xll.qwPrice($A$1,F144)-_xll.qwPrice($A$4,F144))*_xll.qwMVFactor($A$1,F144)*I144*_xll.qwFXRate($A$1,F144)</f>
        <v>-376963.64187920786</v>
      </c>
      <c r="P144" s="6" cm="1">
        <f t="array" ref="P144">IF(ISNUMBER(_xll.qwDV01($A$1,F144)*I144*_xll.qwMVFactor($A$1,F144)*_xll.qwFXRate($A$1,F144)),_xll.qwDV01($A$1,F144)*I144*_xll.qwMVFactor($A$1,F144)*_xll.qwFXRate($A$1,F144),0)</f>
        <v>-281106.69063793076</v>
      </c>
      <c r="Q144" s="6" cm="1">
        <f t="array" ref="Q144">IF(ISNUMBER(_xll.qwDV01($A$1,F144)*G144*_xll.qwMVFactor($A$1,F144)*_xll.qwFXRate($A$1,F144)),_xll.qwDV01($A$1,F144)*G144*_xll.qwMVFactor($A$1,F144)*_xll.qwFXRate($A$1,F144),0)</f>
        <v>-281106.69063793076</v>
      </c>
      <c r="R144" s="6" cm="1">
        <f t="array" ref="R144">IF(ISNUMBER(_xll.qwDV01($A$1,F144)*J144*_xll.qwMVFactor($A$1,F144)*_xll.qwFXRate($A$1,F144)),_xll.qwDV01($A$1,F144)*J144*_xll.qwMVFactor($A$1,F144)*_xll.qwFXRate($A$1,F144),0)</f>
        <v>0</v>
      </c>
      <c r="S144" s="6" cm="1">
        <f t="array" ref="S144">IF(ISNUMBER(_xll.qwDV01($A$1,F144)*J144*_xll.qwMVFactor($A$1,F144)*_xll.qwFXRate($A$1,F144)),_xll.qwDV01($A$1,F144)*J144*_xll.qwMVFactor($A$1,F144)*_xll.qwFXRate($A$1,F144),0)</f>
        <v>0</v>
      </c>
      <c r="T144" s="6" cm="1">
        <f t="array" ref="T144">_xll.qwFXRate($A$1,F144)*J144*(_xll.qwPrice($A$1,F144)-M144)*_xll.qwMVFactor($A$1,F144)+L144</f>
        <v>0</v>
      </c>
      <c r="U144" s="8" cm="1">
        <f t="array" ref="U144">_xll.qwYield($A$1,F144)</f>
        <v>4.7266079358983568E-2</v>
      </c>
      <c r="V144" s="8" cm="1">
        <f t="array" ref="V144">100*(_xll.qwYield($A$4,F144)-U144)</f>
        <v>1.2999858244428647E-2</v>
      </c>
      <c r="W144" s="6">
        <f>IF(ISNA(G144*INDEX(_xll.qwTblData(_xll.qwCurveScenariosPerSecurity($A$1,F144,"Crv210")),2,2)),0,(G144*INDEX(_xll.qwTblData(_xll.qwCurveScenariosPerSecurity($A$1,F144,"Crv210")),2,2)))</f>
        <v>12376.944164752391</v>
      </c>
      <c r="X144" s="6" cm="1">
        <f t="array" ref="X144">ABS(Q144/_xll.qwMV01($A$1,"CT10"))</f>
        <v>378.4233080223147</v>
      </c>
      <c r="Y144" s="6" cm="1">
        <f t="array" ref="Y144">IF(N144="BondFuture",-(_xll.qwCurveYield($A$1,_xll.qwSecVal($A$1,AA144,"CreditCurveName()"),AA144)-_xll.qwCurveYield($A$4,_xll.qwSecVal($A$4,AA144,"CreditCurveName()"),AA144))*P144*10000,IF(N144="Bond",-(_xll.qwCurveYield($A$1,_xll.qwSecVal($A$1,F144,"CreditCurveName()"),F144)-_xll.qwCurveYield($A$4,_xll.qwSecVal($A$4,F144,"CreditCurveName()"),F144))*P144*10000,O144))</f>
        <v>-376963.64187920786</v>
      </c>
      <c r="Z144" s="6" cm="1">
        <f t="array" ref="Z144">IF(OR(N144="BondFuture",N144="Bond"),P144*(_xll.qwCurveZSpread($A$4,_xll.qwSecVal($A$1,AA144,"CreditCurveName()"),AA144)-_xll.qwCurveZSpread($A$1,_xll.qwSecVal($A$1,AA144,"CreditCurveName()"),AA144)),0)</f>
        <v>0</v>
      </c>
      <c r="AA144" s="9" cm="1">
        <f t="array" ref="AA144">IF(_xll.qwSecType(F144)="Bond",F144,IF(_xll.qwSecType(F144)="BondFuture",_xll.qwFutCTD($A$1,F144),0))</f>
        <v>0</v>
      </c>
      <c r="AB144" s="6" cm="1">
        <f t="array" ref="AB144">IF(_xll.qwSecType(F144)="BondFuture",-(I144*_xll.qwDelta($A$4,F144)*_xll.qwMVFactor($A$1,F144)/_xll.qwMVFactor($A$1,_xll.qwFutCTD($A$1,F144)))*(_xll.qwFXRate($A$1,F144)*_xll.qwMVFactor($A$1,_xll.qwFutCTD($A$1,F144))*(_xll.qwIncome($A$4,_xll.qwFutCTD($A$4,F144),_xll.qwBondSettle($A$4,_xll.qwFutCTD($A$4,F144)),_xll.qwBondSettle($A$1,_xll.qwFutCTD($A$1,F144)))+(_xll.qwSecVal($A$1,AA144,"Price")-_xll.qwSecVal($A$4,AA144,"Price"))-_xll.qwBondRepoFromTo($A$1,AA144,_xll.qwBondSettle($A$4,AA144),_xll.qwBondSettle($A$1,AA144))*_xll.qwSecVal($A$1,AA144,"Price")*(_xll.qwBondSettle($A$1,AA144)-_xll.qwBondSettle($A$4,AA144))/360))+O144,0)</f>
        <v>0</v>
      </c>
      <c r="AC144" s="9" cm="1">
        <f t="array" ref="AC144">O144+T144+IF(ISNUMBER(_xll.qwIncome($A$1,F144,_xll.qwSettle($A$4,F144),_xll.qwSettle($A$1,F144))*_xll.qwMVFactor($A$1,F144)*_xll.qwFXRate($A$1,F144)*I144),_xll.qwIncome($A$1,F144,_xll.qwSettle($A$4,F144),_xll.qwSettle($A$1,F144))*_xll.qwMVFactor($A$1,F144)*_xll.qwFXRate($A$1,F144)*I144,0)+IF(ISNUMBER(-(_xll.qwBondRepoFromTo($A$1,F144,_xll.qwSettle($A$4,F144),_xll.qwSettle($A$1,F144))*_xll.qwSecVal($A$1,F144,"Price")*(_xll.qwSettle($A$1,F144)-_xll.qwSettle($A$4,F144))/360)*_xll.qwMVFactor($A$1,F144)*_xll.qwFXRate($A$1,F144)*I144),-(_xll.qwBondRepoFromTo($A$1,F144,_xll.qwSettle($A$4,F144),_xll.qwSettle($A$1,F144))*_xll.qwSecVal($A$1,F144,"Price")*(_xll.qwSettle($A$1,F144)-_xll.qwSettle($A$4,F144))/360)*_xll.qwMVFactor($A$1,F144)*_xll.qwFXRate($A$1,F144)*I144,0)</f>
        <v>-376963.64187920786</v>
      </c>
      <c r="AD144" s="6"/>
    </row>
    <row r="145" spans="2:30" s="7" customFormat="1" x14ac:dyDescent="0.35">
      <c r="B145" s="7" t="str">
        <v>jcleary</v>
      </c>
      <c r="C145" s="7" t="str">
        <v>MAMS</v>
      </c>
      <c r="D145" s="7" t="str">
        <v>jcleary|MAMS|RV_US_TY_Spread|245570681</v>
      </c>
      <c r="E145" s="7" t="str">
        <v>RV_US_TY_Spread</v>
      </c>
      <c r="F145" s="7" t="str">
        <v>245570681</v>
      </c>
      <c r="G145" s="7">
        <v>509.6</v>
      </c>
      <c r="H145" s="7">
        <v>0</v>
      </c>
      <c r="I145" s="7">
        <v>509.6</v>
      </c>
      <c r="J145" s="7">
        <v>0</v>
      </c>
      <c r="K145" s="7">
        <v>0</v>
      </c>
      <c r="L145" s="7">
        <v>0</v>
      </c>
      <c r="M145" s="7">
        <v>0</v>
      </c>
      <c r="N145" s="7" t="str">
        <v>SwapTrade</v>
      </c>
      <c r="O145" s="6" cm="1">
        <f t="array" ref="O145">(_xll.qwPrice($A$1,F145)-_xll.qwPrice($A$4,F145))*_xll.qwMVFactor($A$1,F145)*I145*_xll.qwFXRate($A$1,F145)</f>
        <v>393346.11184475513</v>
      </c>
      <c r="P145" s="6" cm="1">
        <f t="array" ref="P145">IF(ISNUMBER(_xll.qwDV01($A$1,F145)*I145*_xll.qwMVFactor($A$1,F145)*_xll.qwFXRate($A$1,F145)),_xll.qwDV01($A$1,F145)*I145*_xll.qwMVFactor($A$1,F145)*_xll.qwFXRate($A$1,F145),0)</f>
        <v>280980.5663542081</v>
      </c>
      <c r="Q145" s="6" cm="1">
        <f t="array" ref="Q145">IF(ISNUMBER(_xll.qwDV01($A$1,F145)*G145*_xll.qwMVFactor($A$1,F145)*_xll.qwFXRate($A$1,F145)),_xll.qwDV01($A$1,F145)*G145*_xll.qwMVFactor($A$1,F145)*_xll.qwFXRate($A$1,F145),0)</f>
        <v>280980.5663542081</v>
      </c>
      <c r="R145" s="6" cm="1">
        <f t="array" ref="R145">IF(ISNUMBER(_xll.qwDV01($A$1,F145)*J145*_xll.qwMVFactor($A$1,F145)*_xll.qwFXRate($A$1,F145)),_xll.qwDV01($A$1,F145)*J145*_xll.qwMVFactor($A$1,F145)*_xll.qwFXRate($A$1,F145),0)</f>
        <v>0</v>
      </c>
      <c r="S145" s="6" cm="1">
        <f t="array" ref="S145">IF(ISNUMBER(_xll.qwDV01($A$1,F145)*J145*_xll.qwMVFactor($A$1,F145)*_xll.qwFXRate($A$1,F145)),_xll.qwDV01($A$1,F145)*J145*_xll.qwMVFactor($A$1,F145)*_xll.qwFXRate($A$1,F145),0)</f>
        <v>0</v>
      </c>
      <c r="T145" s="6" cm="1">
        <f t="array" ref="T145">_xll.qwFXRate($A$1,F145)*J145*(_xll.qwPrice($A$1,F145)-M145)*_xll.qwMVFactor($A$1,F145)+L145</f>
        <v>0</v>
      </c>
      <c r="U145" s="8" cm="1">
        <f t="array" ref="U145">_xll.qwYield($A$1,F145)</f>
        <v>4.7311560297563941E-2</v>
      </c>
      <c r="V145" s="8" cm="1">
        <f t="array" ref="V145">100*(_xll.qwYield($A$4,F145)-U145)</f>
        <v>1.3670566246419547E-2</v>
      </c>
      <c r="W145" s="6">
        <f>IF(ISNA(G145*INDEX(_xll.qwTblData(_xll.qwCurveScenariosPerSecurity($A$1,F145,"Crv210")),2,2)),0,(G145*INDEX(_xll.qwTblData(_xll.qwCurveScenariosPerSecurity($A$1,F145,"Crv210")),2,2)))</f>
        <v>-23973.070553263693</v>
      </c>
      <c r="X145" s="6" cm="1">
        <f t="array" ref="X145">ABS(Q145/_xll.qwMV01($A$1,"CT10"))</f>
        <v>378.25352064172995</v>
      </c>
      <c r="Y145" s="6" cm="1">
        <f t="array" ref="Y145">IF(N145="BondFuture",-(_xll.qwCurveYield($A$1,_xll.qwSecVal($A$1,AA145,"CreditCurveName()"),AA145)-_xll.qwCurveYield($A$4,_xll.qwSecVal($A$4,AA145,"CreditCurveName()"),AA145))*P145*10000,IF(N145="Bond",-(_xll.qwCurveYield($A$1,_xll.qwSecVal($A$1,F145,"CreditCurveName()"),F145)-_xll.qwCurveYield($A$4,_xll.qwSecVal($A$4,F145,"CreditCurveName()"),F145))*P145*10000,O145))</f>
        <v>393346.11184475513</v>
      </c>
      <c r="Z145" s="6" cm="1">
        <f t="array" ref="Z145">IF(OR(N145="BondFuture",N145="Bond"),P145*(_xll.qwCurveZSpread($A$4,_xll.qwSecVal($A$1,AA145,"CreditCurveName()"),AA145)-_xll.qwCurveZSpread($A$1,_xll.qwSecVal($A$1,AA145,"CreditCurveName()"),AA145)),0)</f>
        <v>0</v>
      </c>
      <c r="AA145" s="9" cm="1">
        <f t="array" ref="AA145">IF(_xll.qwSecType(F145)="Bond",F145,IF(_xll.qwSecType(F145)="BondFuture",_xll.qwFutCTD($A$1,F145),0))</f>
        <v>0</v>
      </c>
      <c r="AB145" s="6" cm="1">
        <f t="array" ref="AB145">IF(_xll.qwSecType(F145)="BondFuture",-(I145*_xll.qwDelta($A$4,F145)*_xll.qwMVFactor($A$1,F145)/_xll.qwMVFactor($A$1,_xll.qwFutCTD($A$1,F145)))*(_xll.qwFXRate($A$1,F145)*_xll.qwMVFactor($A$1,_xll.qwFutCTD($A$1,F145))*(_xll.qwIncome($A$4,_xll.qwFutCTD($A$4,F145),_xll.qwBondSettle($A$4,_xll.qwFutCTD($A$4,F145)),_xll.qwBondSettle($A$1,_xll.qwFutCTD($A$1,F145)))+(_xll.qwSecVal($A$1,AA145,"Price")-_xll.qwSecVal($A$4,AA145,"Price"))-_xll.qwBondRepoFromTo($A$1,AA145,_xll.qwBondSettle($A$4,AA145),_xll.qwBondSettle($A$1,AA145))*_xll.qwSecVal($A$1,AA145,"Price")*(_xll.qwBondSettle($A$1,AA145)-_xll.qwBondSettle($A$4,AA145))/360))+O145,0)</f>
        <v>0</v>
      </c>
      <c r="AC145" s="9" cm="1">
        <f t="array" ref="AC145">O145+T145+IF(ISNUMBER(_xll.qwIncome($A$1,F145,_xll.qwSettle($A$4,F145),_xll.qwSettle($A$1,F145))*_xll.qwMVFactor($A$1,F145)*_xll.qwFXRate($A$1,F145)*I145),_xll.qwIncome($A$1,F145,_xll.qwSettle($A$4,F145),_xll.qwSettle($A$1,F145))*_xll.qwMVFactor($A$1,F145)*_xll.qwFXRate($A$1,F145)*I145,0)+IF(ISNUMBER(-(_xll.qwBondRepoFromTo($A$1,F145,_xll.qwSettle($A$4,F145),_xll.qwSettle($A$1,F145))*_xll.qwSecVal($A$1,F145,"Price")*(_xll.qwSettle($A$1,F145)-_xll.qwSettle($A$4,F145))/360)*_xll.qwMVFactor($A$1,F145)*_xll.qwFXRate($A$1,F145)*I145),-(_xll.qwBondRepoFromTo($A$1,F145,_xll.qwSettle($A$4,F145),_xll.qwSettle($A$1,F145))*_xll.qwSecVal($A$1,F145,"Price")*(_xll.qwSettle($A$1,F145)-_xll.qwSettle($A$4,F145))/360)*_xll.qwMVFactor($A$1,F145)*_xll.qwFXRate($A$1,F145)*I145,0)</f>
        <v>393346.11184475513</v>
      </c>
      <c r="AD145" s="6"/>
    </row>
    <row r="146" spans="2:30" s="7" customFormat="1" x14ac:dyDescent="0.35">
      <c r="B146" s="7" t="str">
        <v>jcleary</v>
      </c>
      <c r="C146" s="7" t="str">
        <v>MAMS</v>
      </c>
      <c r="D146" s="7" t="str">
        <v>jcleary|MAMS|RV_US_TY_Spread|245652779</v>
      </c>
      <c r="E146" s="7" t="str">
        <v>RV_US_TY_Spread</v>
      </c>
      <c r="F146" s="7" t="str">
        <v>245652779</v>
      </c>
      <c r="G146" s="7">
        <v>107.8</v>
      </c>
      <c r="H146" s="7">
        <v>0</v>
      </c>
      <c r="I146" s="7">
        <v>107.8</v>
      </c>
      <c r="J146" s="7">
        <v>0</v>
      </c>
      <c r="K146" s="7">
        <v>0</v>
      </c>
      <c r="L146" s="7">
        <v>0</v>
      </c>
      <c r="M146" s="7">
        <v>0</v>
      </c>
      <c r="N146" s="7" t="str">
        <v>SwapTrade</v>
      </c>
      <c r="O146" s="6" cm="1">
        <f t="array" ref="O146">(_xll.qwPrice($A$1,F146)-_xll.qwPrice($A$4,F146))*_xll.qwMVFactor($A$1,F146)*I146*_xll.qwFXRate($A$1,F146)</f>
        <v>-83654.530179488458</v>
      </c>
      <c r="P146" s="6" cm="1">
        <f t="array" ref="P146">IF(ISNUMBER(_xll.qwDV01($A$1,F146)*I146*_xll.qwMVFactor($A$1,F146)*_xll.qwFXRate($A$1,F146)),_xll.qwDV01($A$1,F146)*I146*_xll.qwMVFactor($A$1,F146)*_xll.qwFXRate($A$1,F146),0)</f>
        <v>-59543.713899742477</v>
      </c>
      <c r="Q146" s="6" cm="1">
        <f t="array" ref="Q146">IF(ISNUMBER(_xll.qwDV01($A$1,F146)*G146*_xll.qwMVFactor($A$1,F146)*_xll.qwFXRate($A$1,F146)),_xll.qwDV01($A$1,F146)*G146*_xll.qwMVFactor($A$1,F146)*_xll.qwFXRate($A$1,F146),0)</f>
        <v>-59543.713899742477</v>
      </c>
      <c r="R146" s="6" cm="1">
        <f t="array" ref="R146">IF(ISNUMBER(_xll.qwDV01($A$1,F146)*J146*_xll.qwMVFactor($A$1,F146)*_xll.qwFXRate($A$1,F146)),_xll.qwDV01($A$1,F146)*J146*_xll.qwMVFactor($A$1,F146)*_xll.qwFXRate($A$1,F146),0)</f>
        <v>0</v>
      </c>
      <c r="S146" s="6" cm="1">
        <f t="array" ref="S146">IF(ISNUMBER(_xll.qwDV01($A$1,F146)*J146*_xll.qwMVFactor($A$1,F146)*_xll.qwFXRate($A$1,F146)),_xll.qwDV01($A$1,F146)*J146*_xll.qwMVFactor($A$1,F146)*_xll.qwFXRate($A$1,F146),0)</f>
        <v>0</v>
      </c>
      <c r="T146" s="6" cm="1">
        <f t="array" ref="T146">_xll.qwFXRate($A$1,F146)*J146*(_xll.qwPrice($A$1,F146)-M146)*_xll.qwMVFactor($A$1,F146)+L146</f>
        <v>0</v>
      </c>
      <c r="U146" s="8" cm="1">
        <f t="array" ref="U146">_xll.qwYield($A$1,F146)</f>
        <v>4.7311560297563941E-2</v>
      </c>
      <c r="V146" s="8" cm="1">
        <f t="array" ref="V146">100*(_xll.qwYield($A$4,F146)-U146)</f>
        <v>1.3670566246419547E-2</v>
      </c>
      <c r="W146" s="6">
        <f>IF(ISNA(G146*INDEX(_xll.qwTblData(_xll.qwCurveScenariosPerSecurity($A$1,F146,"Crv210")),2,2)),0,(G146*INDEX(_xll.qwTblData(_xll.qwCurveScenariosPerSecurity($A$1,F146,"Crv210")),2,2)))</f>
        <v>5098.1187414725773</v>
      </c>
      <c r="X146" s="6" cm="1">
        <f t="array" ref="X146">ABS(Q146/_xll.qwMV01($A$1,"CT10"))</f>
        <v>80.157214098106579</v>
      </c>
      <c r="Y146" s="6" cm="1">
        <f t="array" ref="Y146">IF(N146="BondFuture",-(_xll.qwCurveYield($A$1,_xll.qwSecVal($A$1,AA146,"CreditCurveName()"),AA146)-_xll.qwCurveYield($A$4,_xll.qwSecVal($A$4,AA146,"CreditCurveName()"),AA146))*P146*10000,IF(N146="Bond",-(_xll.qwCurveYield($A$1,_xll.qwSecVal($A$1,F146,"CreditCurveName()"),F146)-_xll.qwCurveYield($A$4,_xll.qwSecVal($A$4,F146,"CreditCurveName()"),F146))*P146*10000,O146))</f>
        <v>-83654.530179488458</v>
      </c>
      <c r="Z146" s="6" cm="1">
        <f t="array" ref="Z146">IF(OR(N146="BondFuture",N146="Bond"),P146*(_xll.qwCurveZSpread($A$4,_xll.qwSecVal($A$1,AA146,"CreditCurveName()"),AA146)-_xll.qwCurveZSpread($A$1,_xll.qwSecVal($A$1,AA146,"CreditCurveName()"),AA146)),0)</f>
        <v>0</v>
      </c>
      <c r="AA146" s="9" cm="1">
        <f t="array" ref="AA146">IF(_xll.qwSecType(F146)="Bond",F146,IF(_xll.qwSecType(F146)="BondFuture",_xll.qwFutCTD($A$1,F146),0))</f>
        <v>0</v>
      </c>
      <c r="AB146" s="6" cm="1">
        <f t="array" ref="AB146">IF(_xll.qwSecType(F146)="BondFuture",-(I146*_xll.qwDelta($A$4,F146)*_xll.qwMVFactor($A$1,F146)/_xll.qwMVFactor($A$1,_xll.qwFutCTD($A$1,F146)))*(_xll.qwFXRate($A$1,F146)*_xll.qwMVFactor($A$1,_xll.qwFutCTD($A$1,F146))*(_xll.qwIncome($A$4,_xll.qwFutCTD($A$4,F146),_xll.qwBondSettle($A$4,_xll.qwFutCTD($A$4,F146)),_xll.qwBondSettle($A$1,_xll.qwFutCTD($A$1,F146)))+(_xll.qwSecVal($A$1,AA146,"Price")-_xll.qwSecVal($A$4,AA146,"Price"))-_xll.qwBondRepoFromTo($A$1,AA146,_xll.qwBondSettle($A$4,AA146),_xll.qwBondSettle($A$1,AA146))*_xll.qwSecVal($A$1,AA146,"Price")*(_xll.qwBondSettle($A$1,AA146)-_xll.qwBondSettle($A$4,AA146))/360))+O146,0)</f>
        <v>0</v>
      </c>
      <c r="AC146" s="9" cm="1">
        <f t="array" ref="AC146">O146+T146+IF(ISNUMBER(_xll.qwIncome($A$1,F146,_xll.qwSettle($A$4,F146),_xll.qwSettle($A$1,F146))*_xll.qwMVFactor($A$1,F146)*_xll.qwFXRate($A$1,F146)*I146),_xll.qwIncome($A$1,F146,_xll.qwSettle($A$4,F146),_xll.qwSettle($A$1,F146))*_xll.qwMVFactor($A$1,F146)*_xll.qwFXRate($A$1,F146)*I146,0)+IF(ISNUMBER(-(_xll.qwBondRepoFromTo($A$1,F146,_xll.qwSettle($A$4,F146),_xll.qwSettle($A$1,F146))*_xll.qwSecVal($A$1,F146,"Price")*(_xll.qwSettle($A$1,F146)-_xll.qwSettle($A$4,F146))/360)*_xll.qwMVFactor($A$1,F146)*_xll.qwFXRate($A$1,F146)*I146),-(_xll.qwBondRepoFromTo($A$1,F146,_xll.qwSettle($A$4,F146),_xll.qwSettle($A$1,F146))*_xll.qwSecVal($A$1,F146,"Price")*(_xll.qwSettle($A$1,F146)-_xll.qwSettle($A$4,F146))/360)*_xll.qwMVFactor($A$1,F146)*_xll.qwFXRate($A$1,F146)*I146,0)</f>
        <v>-83654.530179488458</v>
      </c>
      <c r="AD146" s="6"/>
    </row>
    <row r="147" spans="2:30" s="7" customFormat="1" x14ac:dyDescent="0.35">
      <c r="B147" s="7" t="str">
        <v>jcleary</v>
      </c>
      <c r="C147" s="7" t="str">
        <v>MAMS</v>
      </c>
      <c r="D147" s="7" t="str">
        <v>jcleary|MAMS|RV_US_TY_Spread|245819675</v>
      </c>
      <c r="E147" s="7" t="str">
        <v>RV_US_TY_Spread</v>
      </c>
      <c r="F147" s="7" t="str">
        <v>245819675</v>
      </c>
      <c r="G147" s="7">
        <v>131</v>
      </c>
      <c r="H147" s="7">
        <v>0</v>
      </c>
      <c r="I147" s="7">
        <v>131</v>
      </c>
      <c r="J147" s="7">
        <v>0</v>
      </c>
      <c r="K147" s="7">
        <v>0</v>
      </c>
      <c r="L147" s="7">
        <v>0</v>
      </c>
      <c r="M147" s="7">
        <v>0</v>
      </c>
      <c r="N147" s="7" t="str">
        <v>SwapTrade</v>
      </c>
      <c r="O147" s="6" cm="1">
        <f t="array" ref="O147">(_xll.qwPrice($A$1,F147)-_xll.qwPrice($A$4,F147))*_xll.qwMVFactor($A$1,F147)*I147*_xll.qwFXRate($A$1,F147)</f>
        <v>-101308.00201951516</v>
      </c>
      <c r="P147" s="6" cm="1">
        <f t="array" ref="P147">IF(ISNUMBER(_xll.qwDV01($A$1,F147)*I147*_xll.qwMVFactor($A$1,F147)*_xll.qwFXRate($A$1,F147)),_xll.qwDV01($A$1,F147)*I147*_xll.qwMVFactor($A$1,F147)*_xll.qwFXRate($A$1,F147),0)</f>
        <v>-72396.167483791651</v>
      </c>
      <c r="Q147" s="6" cm="1">
        <f t="array" ref="Q147">IF(ISNUMBER(_xll.qwDV01($A$1,F147)*G147*_xll.qwMVFactor($A$1,F147)*_xll.qwFXRate($A$1,F147)),_xll.qwDV01($A$1,F147)*G147*_xll.qwMVFactor($A$1,F147)*_xll.qwFXRate($A$1,F147),0)</f>
        <v>-72396.167483791651</v>
      </c>
      <c r="R147" s="6" cm="1">
        <f t="array" ref="R147">IF(ISNUMBER(_xll.qwDV01($A$1,F147)*J147*_xll.qwMVFactor($A$1,F147)*_xll.qwFXRate($A$1,F147)),_xll.qwDV01($A$1,F147)*J147*_xll.qwMVFactor($A$1,F147)*_xll.qwFXRate($A$1,F147),0)</f>
        <v>0</v>
      </c>
      <c r="S147" s="6" cm="1">
        <f t="array" ref="S147">IF(ISNUMBER(_xll.qwDV01($A$1,F147)*J147*_xll.qwMVFactor($A$1,F147)*_xll.qwFXRate($A$1,F147)),_xll.qwDV01($A$1,F147)*J147*_xll.qwMVFactor($A$1,F147)*_xll.qwFXRate($A$1,F147),0)</f>
        <v>0</v>
      </c>
      <c r="T147" s="6" cm="1">
        <f t="array" ref="T147">_xll.qwFXRate($A$1,F147)*J147*(_xll.qwPrice($A$1,F147)-M147)*_xll.qwMVFactor($A$1,F147)+L147</f>
        <v>0</v>
      </c>
      <c r="U147" s="8" cm="1">
        <f t="array" ref="U147">_xll.qwYield($A$1,F147)</f>
        <v>4.7311560297563941E-2</v>
      </c>
      <c r="V147" s="8" cm="1">
        <f t="array" ref="V147">100*(_xll.qwYield($A$4,F147)-U147)</f>
        <v>1.3670566246419547E-2</v>
      </c>
      <c r="W147" s="6">
        <f>IF(ISNA(G147*INDEX(_xll.qwTblData(_xll.qwCurveScenariosPerSecurity($A$1,F147,"Crv210")),2,2)),0,(G147*INDEX(_xll.qwTblData(_xll.qwCurveScenariosPerSecurity($A$1,F147,"Crv210")),2,2)))</f>
        <v>6138.7694023587437</v>
      </c>
      <c r="X147" s="6" cm="1">
        <f t="array" ref="X147">ABS(Q147/_xll.qwMV01($A$1,"CT10"))</f>
        <v>97.459071945892973</v>
      </c>
      <c r="Y147" s="6" cm="1">
        <f t="array" ref="Y147">IF(N147="BondFuture",-(_xll.qwCurveYield($A$1,_xll.qwSecVal($A$1,AA147,"CreditCurveName()"),AA147)-_xll.qwCurveYield($A$4,_xll.qwSecVal($A$4,AA147,"CreditCurveName()"),AA147))*P147*10000,IF(N147="Bond",-(_xll.qwCurveYield($A$1,_xll.qwSecVal($A$1,F147,"CreditCurveName()"),F147)-_xll.qwCurveYield($A$4,_xll.qwSecVal($A$4,F147,"CreditCurveName()"),F147))*P147*10000,O147))</f>
        <v>-101308.00201951516</v>
      </c>
      <c r="Z147" s="6" cm="1">
        <f t="array" ref="Z147">IF(OR(N147="BondFuture",N147="Bond"),P147*(_xll.qwCurveZSpread($A$4,_xll.qwSecVal($A$1,AA147,"CreditCurveName()"),AA147)-_xll.qwCurveZSpread($A$1,_xll.qwSecVal($A$1,AA147,"CreditCurveName()"),AA147)),0)</f>
        <v>0</v>
      </c>
      <c r="AA147" s="9" cm="1">
        <f t="array" ref="AA147">IF(_xll.qwSecType(F147)="Bond",F147,IF(_xll.qwSecType(F147)="BondFuture",_xll.qwFutCTD($A$1,F147),0))</f>
        <v>0</v>
      </c>
      <c r="AB147" s="6" cm="1">
        <f t="array" ref="AB147">IF(_xll.qwSecType(F147)="BondFuture",-(I147*_xll.qwDelta($A$4,F147)*_xll.qwMVFactor($A$1,F147)/_xll.qwMVFactor($A$1,_xll.qwFutCTD($A$1,F147)))*(_xll.qwFXRate($A$1,F147)*_xll.qwMVFactor($A$1,_xll.qwFutCTD($A$1,F147))*(_xll.qwIncome($A$4,_xll.qwFutCTD($A$4,F147),_xll.qwBondSettle($A$4,_xll.qwFutCTD($A$4,F147)),_xll.qwBondSettle($A$1,_xll.qwFutCTD($A$1,F147)))+(_xll.qwSecVal($A$1,AA147,"Price")-_xll.qwSecVal($A$4,AA147,"Price"))-_xll.qwBondRepoFromTo($A$1,AA147,_xll.qwBondSettle($A$4,AA147),_xll.qwBondSettle($A$1,AA147))*_xll.qwSecVal($A$1,AA147,"Price")*(_xll.qwBondSettle($A$1,AA147)-_xll.qwBondSettle($A$4,AA147))/360))+O147,0)</f>
        <v>0</v>
      </c>
      <c r="AC147" s="9" cm="1">
        <f t="array" ref="AC147">O147+T147+IF(ISNUMBER(_xll.qwIncome($A$1,F147,_xll.qwSettle($A$4,F147),_xll.qwSettle($A$1,F147))*_xll.qwMVFactor($A$1,F147)*_xll.qwFXRate($A$1,F147)*I147),_xll.qwIncome($A$1,F147,_xll.qwSettle($A$4,F147),_xll.qwSettle($A$1,F147))*_xll.qwMVFactor($A$1,F147)*_xll.qwFXRate($A$1,F147)*I147,0)+IF(ISNUMBER(-(_xll.qwBondRepoFromTo($A$1,F147,_xll.qwSettle($A$4,F147),_xll.qwSettle($A$1,F147))*_xll.qwSecVal($A$1,F147,"Price")*(_xll.qwSettle($A$1,F147)-_xll.qwSettle($A$4,F147))/360)*_xll.qwMVFactor($A$1,F147)*_xll.qwFXRate($A$1,F147)*I147),-(_xll.qwBondRepoFromTo($A$1,F147,_xll.qwSettle($A$4,F147),_xll.qwSettle($A$1,F147))*_xll.qwSecVal($A$1,F147,"Price")*(_xll.qwSettle($A$1,F147)-_xll.qwSettle($A$4,F147))/360)*_xll.qwMVFactor($A$1,F147)*_xll.qwFXRate($A$1,F147)*I147,0)</f>
        <v>-101308.00201951516</v>
      </c>
      <c r="AD147" s="6"/>
    </row>
    <row r="148" spans="2:30" s="7" customFormat="1" x14ac:dyDescent="0.35">
      <c r="B148" s="7" t="str">
        <v>jcleary</v>
      </c>
      <c r="C148" s="7" t="str">
        <v>MAMS</v>
      </c>
      <c r="D148" s="7" t="str">
        <v>jcleary|MAMS|RV_US_TY_Spread|245887458</v>
      </c>
      <c r="E148" s="7" t="str">
        <v>RV_US_TY_Spread</v>
      </c>
      <c r="F148" s="7" t="str">
        <v>245887458</v>
      </c>
      <c r="G148" s="7">
        <v>139.80000000000001</v>
      </c>
      <c r="H148" s="7">
        <v>0</v>
      </c>
      <c r="I148" s="7">
        <v>139.80000000000001</v>
      </c>
      <c r="J148" s="7">
        <v>0</v>
      </c>
      <c r="K148" s="7">
        <v>0</v>
      </c>
      <c r="L148" s="7">
        <v>0</v>
      </c>
      <c r="M148" s="7">
        <v>0</v>
      </c>
      <c r="N148" s="7" t="str">
        <v>SwapTrade</v>
      </c>
      <c r="O148" s="6" cm="1">
        <f t="array" ref="O148">(_xll.qwPrice($A$1,F148)-_xll.qwPrice($A$4,F148))*_xll.qwMVFactor($A$1,F148)*I148*_xll.qwFXRate($A$1,F148)</f>
        <v>-130217.73551814916</v>
      </c>
      <c r="P148" s="6" cm="1">
        <f t="array" ref="P148">IF(ISNUMBER(_xll.qwDV01($A$1,F148)*I148*_xll.qwMVFactor($A$1,F148)*_xll.qwFXRate($A$1,F148)),_xll.qwDV01($A$1,F148)*I148*_xll.qwMVFactor($A$1,F148)*_xll.qwFXRate($A$1,F148),0)</f>
        <v>-83914.066940232209</v>
      </c>
      <c r="Q148" s="6" cm="1">
        <f t="array" ref="Q148">IF(ISNUMBER(_xll.qwDV01($A$1,F148)*G148*_xll.qwMVFactor($A$1,F148)*_xll.qwFXRate($A$1,F148)),_xll.qwDV01($A$1,F148)*G148*_xll.qwMVFactor($A$1,F148)*_xll.qwFXRate($A$1,F148),0)</f>
        <v>-83914.066940232209</v>
      </c>
      <c r="R148" s="6" cm="1">
        <f t="array" ref="R148">IF(ISNUMBER(_xll.qwDV01($A$1,F148)*J148*_xll.qwMVFactor($A$1,F148)*_xll.qwFXRate($A$1,F148)),_xll.qwDV01($A$1,F148)*J148*_xll.qwMVFactor($A$1,F148)*_xll.qwFXRate($A$1,F148),0)</f>
        <v>0</v>
      </c>
      <c r="S148" s="6" cm="1">
        <f t="array" ref="S148">IF(ISNUMBER(_xll.qwDV01($A$1,F148)*J148*_xll.qwMVFactor($A$1,F148)*_xll.qwFXRate($A$1,F148)),_xll.qwDV01($A$1,F148)*J148*_xll.qwMVFactor($A$1,F148)*_xll.qwFXRate($A$1,F148),0)</f>
        <v>0</v>
      </c>
      <c r="T148" s="6" cm="1">
        <f t="array" ref="T148">_xll.qwFXRate($A$1,F148)*J148*(_xll.qwPrice($A$1,F148)-M148)*_xll.qwMVFactor($A$1,F148)+L148</f>
        <v>0</v>
      </c>
      <c r="U148" s="8" cm="1">
        <f t="array" ref="U148">_xll.qwYield($A$1,F148)</f>
        <v>4.7436467458888645E-2</v>
      </c>
      <c r="V148" s="8" cm="1">
        <f t="array" ref="V148">100*(_xll.qwYield($A$4,F148)-U148)</f>
        <v>1.5142692694201237E-2</v>
      </c>
      <c r="W148" s="6">
        <f>IF(ISNA(G148*INDEX(_xll.qwTblData(_xll.qwCurveScenariosPerSecurity($A$1,F148,"Crv210")),2,2)),0,(G148*INDEX(_xll.qwTblData(_xll.qwCurveScenariosPerSecurity($A$1,F148,"Crv210")),2,2)))</f>
        <v>14810.915311651223</v>
      </c>
      <c r="X148" s="6" cm="1">
        <f t="array" ref="X148">ABS(Q148/_xll.qwMV01($A$1,"CT10"))</f>
        <v>112.9643649856401</v>
      </c>
      <c r="Y148" s="6" cm="1">
        <f t="array" ref="Y148">IF(N148="BondFuture",-(_xll.qwCurveYield($A$1,_xll.qwSecVal($A$1,AA148,"CreditCurveName()"),AA148)-_xll.qwCurveYield($A$4,_xll.qwSecVal($A$4,AA148,"CreditCurveName()"),AA148))*P148*10000,IF(N148="Bond",-(_xll.qwCurveYield($A$1,_xll.qwSecVal($A$1,F148,"CreditCurveName()"),F148)-_xll.qwCurveYield($A$4,_xll.qwSecVal($A$4,F148,"CreditCurveName()"),F148))*P148*10000,O148))</f>
        <v>-130217.73551814916</v>
      </c>
      <c r="Z148" s="6" cm="1">
        <f t="array" ref="Z148">IF(OR(N148="BondFuture",N148="Bond"),P148*(_xll.qwCurveZSpread($A$4,_xll.qwSecVal($A$1,AA148,"CreditCurveName()"),AA148)-_xll.qwCurveZSpread($A$1,_xll.qwSecVal($A$1,AA148,"CreditCurveName()"),AA148)),0)</f>
        <v>0</v>
      </c>
      <c r="AA148" s="9" cm="1">
        <f t="array" ref="AA148">IF(_xll.qwSecType(F148)="Bond",F148,IF(_xll.qwSecType(F148)="BondFuture",_xll.qwFutCTD($A$1,F148),0))</f>
        <v>0</v>
      </c>
      <c r="AB148" s="6" cm="1">
        <f t="array" ref="AB148">IF(_xll.qwSecType(F148)="BondFuture",-(I148*_xll.qwDelta($A$4,F148)*_xll.qwMVFactor($A$1,F148)/_xll.qwMVFactor($A$1,_xll.qwFutCTD($A$1,F148)))*(_xll.qwFXRate($A$1,F148)*_xll.qwMVFactor($A$1,_xll.qwFutCTD($A$1,F148))*(_xll.qwIncome($A$4,_xll.qwFutCTD($A$4,F148),_xll.qwBondSettle($A$4,_xll.qwFutCTD($A$4,F148)),_xll.qwBondSettle($A$1,_xll.qwFutCTD($A$1,F148)))+(_xll.qwSecVal($A$1,AA148,"Price")-_xll.qwSecVal($A$4,AA148,"Price"))-_xll.qwBondRepoFromTo($A$1,AA148,_xll.qwBondSettle($A$4,AA148),_xll.qwBondSettle($A$1,AA148))*_xll.qwSecVal($A$1,AA148,"Price")*(_xll.qwBondSettle($A$1,AA148)-_xll.qwBondSettle($A$4,AA148))/360))+O148,0)</f>
        <v>0</v>
      </c>
      <c r="AC148" s="9" cm="1">
        <f t="array" ref="AC148">O148+T148+IF(ISNUMBER(_xll.qwIncome($A$1,F148,_xll.qwSettle($A$4,F148),_xll.qwSettle($A$1,F148))*_xll.qwMVFactor($A$1,F148)*_xll.qwFXRate($A$1,F148)*I148),_xll.qwIncome($A$1,F148,_xll.qwSettle($A$4,F148),_xll.qwSettle($A$1,F148))*_xll.qwMVFactor($A$1,F148)*_xll.qwFXRate($A$1,F148)*I148,0)+IF(ISNUMBER(-(_xll.qwBondRepoFromTo($A$1,F148,_xll.qwSettle($A$4,F148),_xll.qwSettle($A$1,F148))*_xll.qwSecVal($A$1,F148,"Price")*(_xll.qwSettle($A$1,F148)-_xll.qwSettle($A$4,F148))/360)*_xll.qwMVFactor($A$1,F148)*_xll.qwFXRate($A$1,F148)*I148),-(_xll.qwBondRepoFromTo($A$1,F148,_xll.qwSettle($A$4,F148),_xll.qwSettle($A$1,F148))*_xll.qwSecVal($A$1,F148,"Price")*(_xll.qwSettle($A$1,F148)-_xll.qwSettle($A$4,F148))/360)*_xll.qwMVFactor($A$1,F148)*_xll.qwFXRate($A$1,F148)*I148,0)</f>
        <v>-130217.73551814916</v>
      </c>
      <c r="AD148" s="6"/>
    </row>
    <row r="149" spans="2:30" s="7" customFormat="1" x14ac:dyDescent="0.35">
      <c r="B149" s="7" t="str">
        <v>jcleary</v>
      </c>
      <c r="C149" s="7" t="str">
        <v>MAMS</v>
      </c>
      <c r="D149" s="7" t="str">
        <v>jcleary|MAMS|RV_US_TY_Spread|248308134</v>
      </c>
      <c r="E149" s="7" t="str">
        <v>RV_US_TY_Spread</v>
      </c>
      <c r="F149" s="7" t="str">
        <v>248308134</v>
      </c>
      <c r="G149" s="7">
        <v>136.6</v>
      </c>
      <c r="H149" s="7">
        <v>0</v>
      </c>
      <c r="I149" s="7">
        <v>136.6</v>
      </c>
      <c r="J149" s="7">
        <v>0</v>
      </c>
      <c r="K149" s="7">
        <v>0</v>
      </c>
      <c r="L149" s="7">
        <v>0</v>
      </c>
      <c r="M149" s="7">
        <v>0</v>
      </c>
      <c r="N149" s="7" t="str">
        <v>SwapTrade</v>
      </c>
      <c r="O149" s="6" cm="1">
        <f t="array" ref="O149">(_xll.qwPrice($A$1,F149)-_xll.qwPrice($A$4,F149))*_xll.qwMVFactor($A$1,F149)*I149*_xll.qwFXRate($A$1,F149)</f>
        <v>-143186.35239819108</v>
      </c>
      <c r="P149" s="6" cm="1">
        <f t="array" ref="P149">IF(ISNUMBER(_xll.qwDV01($A$1,F149)*I149*_xll.qwMVFactor($A$1,F149)*_xll.qwFXRate($A$1,F149)),_xll.qwDV01($A$1,F149)*I149*_xll.qwMVFactor($A$1,F149)*_xll.qwFXRate($A$1,F149),0)</f>
        <v>-86491.958606025582</v>
      </c>
      <c r="Q149" s="6" cm="1">
        <f t="array" ref="Q149">IF(ISNUMBER(_xll.qwDV01($A$1,F149)*G149*_xll.qwMVFactor($A$1,F149)*_xll.qwFXRate($A$1,F149)),_xll.qwDV01($A$1,F149)*G149*_xll.qwMVFactor($A$1,F149)*_xll.qwFXRate($A$1,F149),0)</f>
        <v>-86491.958606025582</v>
      </c>
      <c r="R149" s="6" cm="1">
        <f t="array" ref="R149">IF(ISNUMBER(_xll.qwDV01($A$1,F149)*J149*_xll.qwMVFactor($A$1,F149)*_xll.qwFXRate($A$1,F149)),_xll.qwDV01($A$1,F149)*J149*_xll.qwMVFactor($A$1,F149)*_xll.qwFXRate($A$1,F149),0)</f>
        <v>0</v>
      </c>
      <c r="S149" s="6" cm="1">
        <f t="array" ref="S149">IF(ISNUMBER(_xll.qwDV01($A$1,F149)*J149*_xll.qwMVFactor($A$1,F149)*_xll.qwFXRate($A$1,F149)),_xll.qwDV01($A$1,F149)*J149*_xll.qwMVFactor($A$1,F149)*_xll.qwFXRate($A$1,F149),0)</f>
        <v>0</v>
      </c>
      <c r="T149" s="6" cm="1">
        <f t="array" ref="T149">_xll.qwFXRate($A$1,F149)*J149*(_xll.qwPrice($A$1,F149)-M149)*_xll.qwMVFactor($A$1,F149)+L149</f>
        <v>0</v>
      </c>
      <c r="U149" s="8" cm="1">
        <f t="array" ref="U149">_xll.qwYield($A$1,F149)</f>
        <v>4.7538222331360527E-2</v>
      </c>
      <c r="V149" s="8" cm="1">
        <f t="array" ref="V149">100*(_xll.qwYield($A$4,F149)-U149)</f>
        <v>1.6233519294874682E-2</v>
      </c>
      <c r="W149" s="6">
        <f>IF(ISNA(G149*INDEX(_xll.qwTblData(_xll.qwCurveScenariosPerSecurity($A$1,F149,"Crv210")),2,2)),0,(G149*INDEX(_xll.qwTblData(_xll.qwCurveScenariosPerSecurity($A$1,F149,"Crv210")),2,2)))</f>
        <v>20714.504888177486</v>
      </c>
      <c r="X149" s="6" cm="1">
        <f t="array" ref="X149">ABS(Q149/_xll.qwMV01($A$1,"CT10"))</f>
        <v>116.43469964640128</v>
      </c>
      <c r="Y149" s="6" cm="1">
        <f t="array" ref="Y149">IF(N149="BondFuture",-(_xll.qwCurveYield($A$1,_xll.qwSecVal($A$1,AA149,"CreditCurveName()"),AA149)-_xll.qwCurveYield($A$4,_xll.qwSecVal($A$4,AA149,"CreditCurveName()"),AA149))*P149*10000,IF(N149="Bond",-(_xll.qwCurveYield($A$1,_xll.qwSecVal($A$1,F149,"CreditCurveName()"),F149)-_xll.qwCurveYield($A$4,_xll.qwSecVal($A$4,F149,"CreditCurveName()"),F149))*P149*10000,O149))</f>
        <v>-143186.35239819108</v>
      </c>
      <c r="Z149" s="6" cm="1">
        <f t="array" ref="Z149">IF(OR(N149="BondFuture",N149="Bond"),P149*(_xll.qwCurveZSpread($A$4,_xll.qwSecVal($A$1,AA149,"CreditCurveName()"),AA149)-_xll.qwCurveZSpread($A$1,_xll.qwSecVal($A$1,AA149,"CreditCurveName()"),AA149)),0)</f>
        <v>0</v>
      </c>
      <c r="AA149" s="9" cm="1">
        <f t="array" ref="AA149">IF(_xll.qwSecType(F149)="Bond",F149,IF(_xll.qwSecType(F149)="BondFuture",_xll.qwFutCTD($A$1,F149),0))</f>
        <v>0</v>
      </c>
      <c r="AB149" s="6" cm="1">
        <f t="array" ref="AB149">IF(_xll.qwSecType(F149)="BondFuture",-(I149*_xll.qwDelta($A$4,F149)*_xll.qwMVFactor($A$1,F149)/_xll.qwMVFactor($A$1,_xll.qwFutCTD($A$1,F149)))*(_xll.qwFXRate($A$1,F149)*_xll.qwMVFactor($A$1,_xll.qwFutCTD($A$1,F149))*(_xll.qwIncome($A$4,_xll.qwFutCTD($A$4,F149),_xll.qwBondSettle($A$4,_xll.qwFutCTD($A$4,F149)),_xll.qwBondSettle($A$1,_xll.qwFutCTD($A$1,F149)))+(_xll.qwSecVal($A$1,AA149,"Price")-_xll.qwSecVal($A$4,AA149,"Price"))-_xll.qwBondRepoFromTo($A$1,AA149,_xll.qwBondSettle($A$4,AA149),_xll.qwBondSettle($A$1,AA149))*_xll.qwSecVal($A$1,AA149,"Price")*(_xll.qwBondSettle($A$1,AA149)-_xll.qwBondSettle($A$4,AA149))/360))+O149,0)</f>
        <v>0</v>
      </c>
      <c r="AC149" s="9" cm="1">
        <f t="array" ref="AC149">O149+T149+IF(ISNUMBER(_xll.qwIncome($A$1,F149,_xll.qwSettle($A$4,F149),_xll.qwSettle($A$1,F149))*_xll.qwMVFactor($A$1,F149)*_xll.qwFXRate($A$1,F149)*I149),_xll.qwIncome($A$1,F149,_xll.qwSettle($A$4,F149),_xll.qwSettle($A$1,F149))*_xll.qwMVFactor($A$1,F149)*_xll.qwFXRate($A$1,F149)*I149,0)+IF(ISNUMBER(-(_xll.qwBondRepoFromTo($A$1,F149,_xll.qwSettle($A$4,F149),_xll.qwSettle($A$1,F149))*_xll.qwSecVal($A$1,F149,"Price")*(_xll.qwSettle($A$1,F149)-_xll.qwSettle($A$4,F149))/360)*_xll.qwMVFactor($A$1,F149)*_xll.qwFXRate($A$1,F149)*I149),-(_xll.qwBondRepoFromTo($A$1,F149,_xll.qwSettle($A$4,F149),_xll.qwSettle($A$1,F149))*_xll.qwSecVal($A$1,F149,"Price")*(_xll.qwSettle($A$1,F149)-_xll.qwSettle($A$4,F149))/360)*_xll.qwMVFactor($A$1,F149)*_xll.qwFXRate($A$1,F149)*I149,0)</f>
        <v>-143186.35239819108</v>
      </c>
      <c r="AD149" s="6"/>
    </row>
    <row r="150" spans="2:30" s="7" customFormat="1" x14ac:dyDescent="0.35">
      <c r="B150" s="7" t="str">
        <v>jcleary</v>
      </c>
      <c r="C150" s="7" t="str">
        <v>MAMS</v>
      </c>
      <c r="D150" s="7" t="str">
        <v>jcleary|MAMS|RV_US_TY_Spread|249069902</v>
      </c>
      <c r="E150" s="7" t="str">
        <v>RV_US_TY_Spread</v>
      </c>
      <c r="F150" s="7" t="str">
        <v>249069902</v>
      </c>
      <c r="G150" s="7">
        <v>169.6</v>
      </c>
      <c r="H150" s="7">
        <v>0</v>
      </c>
      <c r="I150" s="7">
        <v>169.6</v>
      </c>
      <c r="J150" s="7">
        <v>0</v>
      </c>
      <c r="K150" s="7">
        <v>0</v>
      </c>
      <c r="L150" s="7">
        <v>0</v>
      </c>
      <c r="M150" s="7">
        <v>0</v>
      </c>
      <c r="N150" s="7" t="str">
        <v>SwapTrade</v>
      </c>
      <c r="O150" s="6" cm="1">
        <f t="array" ref="O150">(_xll.qwPrice($A$1,F150)-_xll.qwPrice($A$4,F150))*_xll.qwMVFactor($A$1,F150)*I150*_xll.qwFXRate($A$1,F150)</f>
        <v>-168645.33952850397</v>
      </c>
      <c r="P150" s="6" cm="1">
        <f t="array" ref="P150">IF(ISNUMBER(_xll.qwDV01($A$1,F150)*I150*_xll.qwMVFactor($A$1,F150)*_xll.qwFXRate($A$1,F150)),_xll.qwDV01($A$1,F150)*I150*_xll.qwMVFactor($A$1,F150)*_xll.qwFXRate($A$1,F150),0)</f>
        <v>-105274.32708735834</v>
      </c>
      <c r="Q150" s="6" cm="1">
        <f t="array" ref="Q150">IF(ISNUMBER(_xll.qwDV01($A$1,F150)*G150*_xll.qwMVFactor($A$1,F150)*_xll.qwFXRate($A$1,F150)),_xll.qwDV01($A$1,F150)*G150*_xll.qwMVFactor($A$1,F150)*_xll.qwFXRate($A$1,F150),0)</f>
        <v>-105274.32708735834</v>
      </c>
      <c r="R150" s="6" cm="1">
        <f t="array" ref="R150">IF(ISNUMBER(_xll.qwDV01($A$1,F150)*J150*_xll.qwMVFactor($A$1,F150)*_xll.qwFXRate($A$1,F150)),_xll.qwDV01($A$1,F150)*J150*_xll.qwMVFactor($A$1,F150)*_xll.qwFXRate($A$1,F150),0)</f>
        <v>0</v>
      </c>
      <c r="S150" s="6" cm="1">
        <f t="array" ref="S150">IF(ISNUMBER(_xll.qwDV01($A$1,F150)*J150*_xll.qwMVFactor($A$1,F150)*_xll.qwFXRate($A$1,F150)),_xll.qwDV01($A$1,F150)*J150*_xll.qwMVFactor($A$1,F150)*_xll.qwFXRate($A$1,F150),0)</f>
        <v>0</v>
      </c>
      <c r="T150" s="6" cm="1">
        <f t="array" ref="T150">_xll.qwFXRate($A$1,F150)*J150*(_xll.qwPrice($A$1,F150)-M150)*_xll.qwMVFactor($A$1,F150)+L150</f>
        <v>0</v>
      </c>
      <c r="U150" s="8" cm="1">
        <f t="array" ref="U150">_xll.qwYield($A$1,F150)</f>
        <v>4.7476822292721238E-2</v>
      </c>
      <c r="V150" s="8" cm="1">
        <f t="array" ref="V150">100*(_xll.qwYield($A$4,F150)-U150)</f>
        <v>1.5697009637031384E-2</v>
      </c>
      <c r="W150" s="6">
        <f>IF(ISNA(G150*INDEX(_xll.qwTblData(_xll.qwCurveScenariosPerSecurity($A$1,F150,"Crv210")),2,2)),0,(G150*INDEX(_xll.qwTblData(_xll.qwCurveScenariosPerSecurity($A$1,F150,"Crv210")),2,2)))</f>
        <v>21632.854263475747</v>
      </c>
      <c r="X150" s="6" cm="1">
        <f t="array" ref="X150">ABS(Q150/_xll.qwMV01($A$1,"CT10"))</f>
        <v>141.7193557926856</v>
      </c>
      <c r="Y150" s="6" cm="1">
        <f t="array" ref="Y150">IF(N150="BondFuture",-(_xll.qwCurveYield($A$1,_xll.qwSecVal($A$1,AA150,"CreditCurveName()"),AA150)-_xll.qwCurveYield($A$4,_xll.qwSecVal($A$4,AA150,"CreditCurveName()"),AA150))*P150*10000,IF(N150="Bond",-(_xll.qwCurveYield($A$1,_xll.qwSecVal($A$1,F150,"CreditCurveName()"),F150)-_xll.qwCurveYield($A$4,_xll.qwSecVal($A$4,F150,"CreditCurveName()"),F150))*P150*10000,O150))</f>
        <v>-168645.33952850397</v>
      </c>
      <c r="Z150" s="6" cm="1">
        <f t="array" ref="Z150">IF(OR(N150="BondFuture",N150="Bond"),P150*(_xll.qwCurveZSpread($A$4,_xll.qwSecVal($A$1,AA150,"CreditCurveName()"),AA150)-_xll.qwCurveZSpread($A$1,_xll.qwSecVal($A$1,AA150,"CreditCurveName()"),AA150)),0)</f>
        <v>0</v>
      </c>
      <c r="AA150" s="9" cm="1">
        <f t="array" ref="AA150">IF(_xll.qwSecType(F150)="Bond",F150,IF(_xll.qwSecType(F150)="BondFuture",_xll.qwFutCTD($A$1,F150),0))</f>
        <v>0</v>
      </c>
      <c r="AB150" s="6" cm="1">
        <f t="array" ref="AB150">IF(_xll.qwSecType(F150)="BondFuture",-(I150*_xll.qwDelta($A$4,F150)*_xll.qwMVFactor($A$1,F150)/_xll.qwMVFactor($A$1,_xll.qwFutCTD($A$1,F150)))*(_xll.qwFXRate($A$1,F150)*_xll.qwMVFactor($A$1,_xll.qwFutCTD($A$1,F150))*(_xll.qwIncome($A$4,_xll.qwFutCTD($A$4,F150),_xll.qwBondSettle($A$4,_xll.qwFutCTD($A$4,F150)),_xll.qwBondSettle($A$1,_xll.qwFutCTD($A$1,F150)))+(_xll.qwSecVal($A$1,AA150,"Price")-_xll.qwSecVal($A$4,AA150,"Price"))-_xll.qwBondRepoFromTo($A$1,AA150,_xll.qwBondSettle($A$4,AA150),_xll.qwBondSettle($A$1,AA150))*_xll.qwSecVal($A$1,AA150,"Price")*(_xll.qwBondSettle($A$1,AA150)-_xll.qwBondSettle($A$4,AA150))/360))+O150,0)</f>
        <v>0</v>
      </c>
      <c r="AC150" s="9" cm="1">
        <f t="array" ref="AC150">O150+T150+IF(ISNUMBER(_xll.qwIncome($A$1,F150,_xll.qwSettle($A$4,F150),_xll.qwSettle($A$1,F150))*_xll.qwMVFactor($A$1,F150)*_xll.qwFXRate($A$1,F150)*I150),_xll.qwIncome($A$1,F150,_xll.qwSettle($A$4,F150),_xll.qwSettle($A$1,F150))*_xll.qwMVFactor($A$1,F150)*_xll.qwFXRate($A$1,F150)*I150,0)+IF(ISNUMBER(-(_xll.qwBondRepoFromTo($A$1,F150,_xll.qwSettle($A$4,F150),_xll.qwSettle($A$1,F150))*_xll.qwSecVal($A$1,F150,"Price")*(_xll.qwSettle($A$1,F150)-_xll.qwSettle($A$4,F150))/360)*_xll.qwMVFactor($A$1,F150)*_xll.qwFXRate($A$1,F150)*I150),-(_xll.qwBondRepoFromTo($A$1,F150,_xll.qwSettle($A$4,F150),_xll.qwSettle($A$1,F150))*_xll.qwSecVal($A$1,F150,"Price")*(_xll.qwSettle($A$1,F150)-_xll.qwSettle($A$4,F150))/360)*_xll.qwMVFactor($A$1,F150)*_xll.qwFXRate($A$1,F150)*I150,0)</f>
        <v>-168645.33952850397</v>
      </c>
      <c r="AD150" s="6"/>
    </row>
    <row r="151" spans="2:30" s="7" customFormat="1" x14ac:dyDescent="0.35">
      <c r="B151" s="7" t="str">
        <v>jcleary</v>
      </c>
      <c r="C151" s="7" t="str">
        <v>MAMS</v>
      </c>
      <c r="D151" s="7" t="str">
        <v>jcleary|MAMS|RV_US_TY_Spread|251001574</v>
      </c>
      <c r="E151" s="7" t="str">
        <v>RV_US_TY_Spread</v>
      </c>
      <c r="F151" s="7" t="str">
        <v>251001574</v>
      </c>
      <c r="G151" s="7">
        <v>33</v>
      </c>
      <c r="H151" s="7">
        <v>0</v>
      </c>
      <c r="I151" s="7">
        <v>33</v>
      </c>
      <c r="J151" s="7">
        <v>0</v>
      </c>
      <c r="K151" s="7">
        <v>0</v>
      </c>
      <c r="L151" s="7">
        <v>0</v>
      </c>
      <c r="M151" s="7">
        <v>0</v>
      </c>
      <c r="N151" s="7" t="str">
        <v>SwapTrade</v>
      </c>
      <c r="O151" s="6" cm="1">
        <f t="array" ref="O151">(_xll.qwPrice($A$1,F151)-_xll.qwPrice($A$4,F151))*_xll.qwMVFactor($A$1,F151)*I151*_xll.qwFXRate($A$1,F151)</f>
        <v>-25705.252408861052</v>
      </c>
      <c r="P151" s="6" cm="1">
        <f t="array" ref="P151">IF(ISNUMBER(_xll.qwDV01($A$1,F151)*I151*_xll.qwMVFactor($A$1,F151)*_xll.qwFXRate($A$1,F151)),_xll.qwDV01($A$1,F151)*I151*_xll.qwMVFactor($A$1,F151)*_xll.qwFXRate($A$1,F151),0)</f>
        <v>-18314.069861535783</v>
      </c>
      <c r="Q151" s="6" cm="1">
        <f t="array" ref="Q151">IF(ISNUMBER(_xll.qwDV01($A$1,F151)*G151*_xll.qwMVFactor($A$1,F151)*_xll.qwFXRate($A$1,F151)),_xll.qwDV01($A$1,F151)*G151*_xll.qwMVFactor($A$1,F151)*_xll.qwFXRate($A$1,F151),0)</f>
        <v>-18314.069861535783</v>
      </c>
      <c r="R151" s="6" cm="1">
        <f t="array" ref="R151">IF(ISNUMBER(_xll.qwDV01($A$1,F151)*J151*_xll.qwMVFactor($A$1,F151)*_xll.qwFXRate($A$1,F151)),_xll.qwDV01($A$1,F151)*J151*_xll.qwMVFactor($A$1,F151)*_xll.qwFXRate($A$1,F151),0)</f>
        <v>0</v>
      </c>
      <c r="S151" s="6" cm="1">
        <f t="array" ref="S151">IF(ISNUMBER(_xll.qwDV01($A$1,F151)*J151*_xll.qwMVFactor($A$1,F151)*_xll.qwFXRate($A$1,F151)),_xll.qwDV01($A$1,F151)*J151*_xll.qwMVFactor($A$1,F151)*_xll.qwFXRate($A$1,F151),0)</f>
        <v>0</v>
      </c>
      <c r="T151" s="6" cm="1">
        <f t="array" ref="T151">_xll.qwFXRate($A$1,F151)*J151*(_xll.qwPrice($A$1,F151)-M151)*_xll.qwMVFactor($A$1,F151)+L151</f>
        <v>0</v>
      </c>
      <c r="U151" s="8" cm="1">
        <f t="array" ref="U151">_xll.qwYield($A$1,F151)</f>
        <v>4.7311560297563941E-2</v>
      </c>
      <c r="V151" s="8" cm="1">
        <f t="array" ref="V151">100*(_xll.qwYield($A$4,F151)-U151)</f>
        <v>1.3670566246419547E-2</v>
      </c>
      <c r="W151" s="6">
        <f>IF(ISNA(G151*INDEX(_xll.qwTblData(_xll.qwCurveScenariosPerSecurity($A$1,F151,"Crv210")),2,2)),0,(G151*INDEX(_xll.qwTblData(_xll.qwCurveScenariosPerSecurity($A$1,F151,"Crv210")),2,2)))</f>
        <v>1547.9560461891051</v>
      </c>
      <c r="X151" s="6" cm="1">
        <f t="array" ref="X151">ABS(Q151/_xll.qwMV01($A$1,"CT10"))</f>
        <v>24.654236740599984</v>
      </c>
      <c r="Y151" s="6" cm="1">
        <f t="array" ref="Y151">IF(N151="BondFuture",-(_xll.qwCurveYield($A$1,_xll.qwSecVal($A$1,AA151,"CreditCurveName()"),AA151)-_xll.qwCurveYield($A$4,_xll.qwSecVal($A$4,AA151,"CreditCurveName()"),AA151))*P151*10000,IF(N151="Bond",-(_xll.qwCurveYield($A$1,_xll.qwSecVal($A$1,F151,"CreditCurveName()"),F151)-_xll.qwCurveYield($A$4,_xll.qwSecVal($A$4,F151,"CreditCurveName()"),F151))*P151*10000,O151))</f>
        <v>-25705.252408861052</v>
      </c>
      <c r="Z151" s="6" cm="1">
        <f t="array" ref="Z151">IF(OR(N151="BondFuture",N151="Bond"),P151*(_xll.qwCurveZSpread($A$4,_xll.qwSecVal($A$1,AA151,"CreditCurveName()"),AA151)-_xll.qwCurveZSpread($A$1,_xll.qwSecVal($A$1,AA151,"CreditCurveName()"),AA151)),0)</f>
        <v>0</v>
      </c>
      <c r="AA151" s="9" cm="1">
        <f t="array" ref="AA151">IF(_xll.qwSecType(F151)="Bond",F151,IF(_xll.qwSecType(F151)="BondFuture",_xll.qwFutCTD($A$1,F151),0))</f>
        <v>0</v>
      </c>
      <c r="AB151" s="6" cm="1">
        <f t="array" ref="AB151">IF(_xll.qwSecType(F151)="BondFuture",-(I151*_xll.qwDelta($A$4,F151)*_xll.qwMVFactor($A$1,F151)/_xll.qwMVFactor($A$1,_xll.qwFutCTD($A$1,F151)))*(_xll.qwFXRate($A$1,F151)*_xll.qwMVFactor($A$1,_xll.qwFutCTD($A$1,F151))*(_xll.qwIncome($A$4,_xll.qwFutCTD($A$4,F151),_xll.qwBondSettle($A$4,_xll.qwFutCTD($A$4,F151)),_xll.qwBondSettle($A$1,_xll.qwFutCTD($A$1,F151)))+(_xll.qwSecVal($A$1,AA151,"Price")-_xll.qwSecVal($A$4,AA151,"Price"))-_xll.qwBondRepoFromTo($A$1,AA151,_xll.qwBondSettle($A$4,AA151),_xll.qwBondSettle($A$1,AA151))*_xll.qwSecVal($A$1,AA151,"Price")*(_xll.qwBondSettle($A$1,AA151)-_xll.qwBondSettle($A$4,AA151))/360))+O151,0)</f>
        <v>0</v>
      </c>
      <c r="AC151" s="9" cm="1">
        <f t="array" ref="AC151">O151+T151+IF(ISNUMBER(_xll.qwIncome($A$1,F151,_xll.qwSettle($A$4,F151),_xll.qwSettle($A$1,F151))*_xll.qwMVFactor($A$1,F151)*_xll.qwFXRate($A$1,F151)*I151),_xll.qwIncome($A$1,F151,_xll.qwSettle($A$4,F151),_xll.qwSettle($A$1,F151))*_xll.qwMVFactor($A$1,F151)*_xll.qwFXRate($A$1,F151)*I151,0)+IF(ISNUMBER(-(_xll.qwBondRepoFromTo($A$1,F151,_xll.qwSettle($A$4,F151),_xll.qwSettle($A$1,F151))*_xll.qwSecVal($A$1,F151,"Price")*(_xll.qwSettle($A$1,F151)-_xll.qwSettle($A$4,F151))/360)*_xll.qwMVFactor($A$1,F151)*_xll.qwFXRate($A$1,F151)*I151),-(_xll.qwBondRepoFromTo($A$1,F151,_xll.qwSettle($A$4,F151),_xll.qwSettle($A$1,F151))*_xll.qwSecVal($A$1,F151,"Price")*(_xll.qwSettle($A$1,F151)-_xll.qwSettle($A$4,F151))/360)*_xll.qwMVFactor($A$1,F151)*_xll.qwFXRate($A$1,F151)*I151,0)</f>
        <v>-25705.252408861052</v>
      </c>
      <c r="AD151" s="6"/>
    </row>
    <row r="152" spans="2:30" s="7" customFormat="1" x14ac:dyDescent="0.35">
      <c r="B152" s="7" t="str">
        <v>jcleary</v>
      </c>
      <c r="C152" s="7" t="str">
        <v>MAMS</v>
      </c>
      <c r="D152" s="7" t="str">
        <v>jcleary|MAMS|RV_US_TY_Spread|251001581</v>
      </c>
      <c r="E152" s="7" t="str">
        <v>RV_US_TY_Spread</v>
      </c>
      <c r="F152" s="7" t="str">
        <v>251001581</v>
      </c>
      <c r="G152" s="7">
        <v>23.5</v>
      </c>
      <c r="H152" s="7">
        <v>0</v>
      </c>
      <c r="I152" s="7">
        <v>23.5</v>
      </c>
      <c r="J152" s="7">
        <v>0</v>
      </c>
      <c r="K152" s="7">
        <v>0</v>
      </c>
      <c r="L152" s="7">
        <v>0</v>
      </c>
      <c r="M152" s="7">
        <v>0</v>
      </c>
      <c r="N152" s="7" t="str">
        <v>SwapTrade</v>
      </c>
      <c r="O152" s="6" cm="1">
        <f t="array" ref="O152">(_xll.qwPrice($A$1,F152)-_xll.qwPrice($A$4,F152))*_xll.qwMVFactor($A$1,F152)*I152*_xll.qwFXRate($A$1,F152)</f>
        <v>35194.248748942351</v>
      </c>
      <c r="P152" s="6" cm="1">
        <f t="array" ref="P152">IF(ISNUMBER(_xll.qwDV01($A$1,F152)*I152*_xll.qwMVFactor($A$1,F152)*_xll.qwFXRate($A$1,F152)),_xll.qwDV01($A$1,F152)*I152*_xll.qwMVFactor($A$1,F152)*_xll.qwFXRate($A$1,F152),0)</f>
        <v>17918.23173055832</v>
      </c>
      <c r="Q152" s="6" cm="1">
        <f t="array" ref="Q152">IF(ISNUMBER(_xll.qwDV01($A$1,F152)*G152*_xll.qwMVFactor($A$1,F152)*_xll.qwFXRate($A$1,F152)),_xll.qwDV01($A$1,F152)*G152*_xll.qwMVFactor($A$1,F152)*_xll.qwFXRate($A$1,F152),0)</f>
        <v>17918.23173055832</v>
      </c>
      <c r="R152" s="6" cm="1">
        <f t="array" ref="R152">IF(ISNUMBER(_xll.qwDV01($A$1,F152)*J152*_xll.qwMVFactor($A$1,F152)*_xll.qwFXRate($A$1,F152)),_xll.qwDV01($A$1,F152)*J152*_xll.qwMVFactor($A$1,F152)*_xll.qwFXRate($A$1,F152),0)</f>
        <v>0</v>
      </c>
      <c r="S152" s="6" cm="1">
        <f t="array" ref="S152">IF(ISNUMBER(_xll.qwDV01($A$1,F152)*J152*_xll.qwMVFactor($A$1,F152)*_xll.qwFXRate($A$1,F152)),_xll.qwDV01($A$1,F152)*J152*_xll.qwMVFactor($A$1,F152)*_xll.qwFXRate($A$1,F152),0)</f>
        <v>0</v>
      </c>
      <c r="T152" s="6" cm="1">
        <f t="array" ref="T152">_xll.qwFXRate($A$1,F152)*J152*(_xll.qwPrice($A$1,F152)-M152)*_xll.qwMVFactor($A$1,F152)+L152</f>
        <v>0</v>
      </c>
      <c r="U152" s="8" cm="1">
        <f t="array" ref="U152">_xll.qwYield($A$1,F152)</f>
        <v>4.797921380245114E-2</v>
      </c>
      <c r="V152" s="8" cm="1">
        <f t="array" ref="V152">100*(_xll.qwYield($A$4,F152)-U152)</f>
        <v>1.9357502412116478E-2</v>
      </c>
      <c r="W152" s="6">
        <f>IF(ISNA(G152*INDEX(_xll.qwTblData(_xll.qwCurveScenariosPerSecurity($A$1,F152,"Crv210")),2,2)),0,(G152*INDEX(_xll.qwTblData(_xll.qwCurveScenariosPerSecurity($A$1,F152,"Crv210")),2,2)))</f>
        <v>-8822.2586277041191</v>
      </c>
      <c r="X152" s="6" cm="1">
        <f t="array" ref="X152">ABS(Q152/_xll.qwMV01($A$1,"CT10"))</f>
        <v>24.121362995667322</v>
      </c>
      <c r="Y152" s="6" cm="1">
        <f t="array" ref="Y152">IF(N152="BondFuture",-(_xll.qwCurveYield($A$1,_xll.qwSecVal($A$1,AA152,"CreditCurveName()"),AA152)-_xll.qwCurveYield($A$4,_xll.qwSecVal($A$4,AA152,"CreditCurveName()"),AA152))*P152*10000,IF(N152="Bond",-(_xll.qwCurveYield($A$1,_xll.qwSecVal($A$1,F152,"CreditCurveName()"),F152)-_xll.qwCurveYield($A$4,_xll.qwSecVal($A$4,F152,"CreditCurveName()"),F152))*P152*10000,O152))</f>
        <v>35194.248748942351</v>
      </c>
      <c r="Z152" s="6" cm="1">
        <f t="array" ref="Z152">IF(OR(N152="BondFuture",N152="Bond"),P152*(_xll.qwCurveZSpread($A$4,_xll.qwSecVal($A$1,AA152,"CreditCurveName()"),AA152)-_xll.qwCurveZSpread($A$1,_xll.qwSecVal($A$1,AA152,"CreditCurveName()"),AA152)),0)</f>
        <v>0</v>
      </c>
      <c r="AA152" s="9" cm="1">
        <f t="array" ref="AA152">IF(_xll.qwSecType(F152)="Bond",F152,IF(_xll.qwSecType(F152)="BondFuture",_xll.qwFutCTD($A$1,F152),0))</f>
        <v>0</v>
      </c>
      <c r="AB152" s="6" cm="1">
        <f t="array" ref="AB152">IF(_xll.qwSecType(F152)="BondFuture",-(I152*_xll.qwDelta($A$4,F152)*_xll.qwMVFactor($A$1,F152)/_xll.qwMVFactor($A$1,_xll.qwFutCTD($A$1,F152)))*(_xll.qwFXRate($A$1,F152)*_xll.qwMVFactor($A$1,_xll.qwFutCTD($A$1,F152))*(_xll.qwIncome($A$4,_xll.qwFutCTD($A$4,F152),_xll.qwBondSettle($A$4,_xll.qwFutCTD($A$4,F152)),_xll.qwBondSettle($A$1,_xll.qwFutCTD($A$1,F152)))+(_xll.qwSecVal($A$1,AA152,"Price")-_xll.qwSecVal($A$4,AA152,"Price"))-_xll.qwBondRepoFromTo($A$1,AA152,_xll.qwBondSettle($A$4,AA152),_xll.qwBondSettle($A$1,AA152))*_xll.qwSecVal($A$1,AA152,"Price")*(_xll.qwBondSettle($A$1,AA152)-_xll.qwBondSettle($A$4,AA152))/360))+O152,0)</f>
        <v>0</v>
      </c>
      <c r="AC152" s="9" cm="1">
        <f t="array" ref="AC152">O152+T152+IF(ISNUMBER(_xll.qwIncome($A$1,F152,_xll.qwSettle($A$4,F152),_xll.qwSettle($A$1,F152))*_xll.qwMVFactor($A$1,F152)*_xll.qwFXRate($A$1,F152)*I152),_xll.qwIncome($A$1,F152,_xll.qwSettle($A$4,F152),_xll.qwSettle($A$1,F152))*_xll.qwMVFactor($A$1,F152)*_xll.qwFXRate($A$1,F152)*I152,0)+IF(ISNUMBER(-(_xll.qwBondRepoFromTo($A$1,F152,_xll.qwSettle($A$4,F152),_xll.qwSettle($A$1,F152))*_xll.qwSecVal($A$1,F152,"Price")*(_xll.qwSettle($A$1,F152)-_xll.qwSettle($A$4,F152))/360)*_xll.qwMVFactor($A$1,F152)*_xll.qwFXRate($A$1,F152)*I152),-(_xll.qwBondRepoFromTo($A$1,F152,_xll.qwSettle($A$4,F152),_xll.qwSettle($A$1,F152))*_xll.qwSecVal($A$1,F152,"Price")*(_xll.qwSettle($A$1,F152)-_xll.qwSettle($A$4,F152))/360)*_xll.qwMVFactor($A$1,F152)*_xll.qwFXRate($A$1,F152)*I152,0)</f>
        <v>35194.248748942351</v>
      </c>
      <c r="AD152" s="6"/>
    </row>
    <row r="153" spans="2:30" s="7" customFormat="1" x14ac:dyDescent="0.35">
      <c r="B153" s="7" t="str">
        <v>jcleary</v>
      </c>
      <c r="C153" s="7" t="str">
        <v>MAMS</v>
      </c>
      <c r="D153" s="7" t="str">
        <v>jcleary|MAMS|RV_US_TY_Spread|251394776</v>
      </c>
      <c r="E153" s="7" t="str">
        <v>RV_US_TY_Spread</v>
      </c>
      <c r="F153" s="7" t="str">
        <v>251394776</v>
      </c>
      <c r="G153" s="7">
        <v>634.1</v>
      </c>
      <c r="H153" s="7">
        <v>0</v>
      </c>
      <c r="I153" s="7">
        <v>634.1</v>
      </c>
      <c r="J153" s="7">
        <v>0</v>
      </c>
      <c r="K153" s="7">
        <v>0</v>
      </c>
      <c r="L153" s="7">
        <v>0</v>
      </c>
      <c r="M153" s="7">
        <v>0</v>
      </c>
      <c r="N153" s="7" t="str">
        <v>SwapTrade</v>
      </c>
      <c r="O153" s="6" cm="1">
        <f t="array" ref="O153">(_xll.qwPrice($A$1,F153)-_xll.qwPrice($A$4,F153))*_xll.qwMVFactor($A$1,F153)*I153*_xll.qwFXRate($A$1,F153)</f>
        <v>-492856.15769585274</v>
      </c>
      <c r="P153" s="6" cm="1">
        <f t="array" ref="P153">IF(ISNUMBER(_xll.qwDV01($A$1,F153)*I153*_xll.qwMVFactor($A$1,F153)*_xll.qwFXRate($A$1,F153)),_xll.qwDV01($A$1,F153)*I153*_xll.qwMVFactor($A$1,F153)*_xll.qwFXRate($A$1,F153),0)</f>
        <v>-351479.44441586337</v>
      </c>
      <c r="Q153" s="6" cm="1">
        <f t="array" ref="Q153">IF(ISNUMBER(_xll.qwDV01($A$1,F153)*G153*_xll.qwMVFactor($A$1,F153)*_xll.qwFXRate($A$1,F153)),_xll.qwDV01($A$1,F153)*G153*_xll.qwMVFactor($A$1,F153)*_xll.qwFXRate($A$1,F153),0)</f>
        <v>-351479.44441586337</v>
      </c>
      <c r="R153" s="6" cm="1">
        <f t="array" ref="R153">IF(ISNUMBER(_xll.qwDV01($A$1,F153)*J153*_xll.qwMVFactor($A$1,F153)*_xll.qwFXRate($A$1,F153)),_xll.qwDV01($A$1,F153)*J153*_xll.qwMVFactor($A$1,F153)*_xll.qwFXRate($A$1,F153),0)</f>
        <v>0</v>
      </c>
      <c r="S153" s="6" cm="1">
        <f t="array" ref="S153">IF(ISNUMBER(_xll.qwDV01($A$1,F153)*J153*_xll.qwMVFactor($A$1,F153)*_xll.qwFXRate($A$1,F153)),_xll.qwDV01($A$1,F153)*J153*_xll.qwMVFactor($A$1,F153)*_xll.qwFXRate($A$1,F153),0)</f>
        <v>0</v>
      </c>
      <c r="T153" s="6" cm="1">
        <f t="array" ref="T153">_xll.qwFXRate($A$1,F153)*J153*(_xll.qwPrice($A$1,F153)-M153)*_xll.qwMVFactor($A$1,F153)+L153</f>
        <v>0</v>
      </c>
      <c r="U153" s="8" cm="1">
        <f t="array" ref="U153">_xll.qwYield($A$1,F153)</f>
        <v>4.7311560297563941E-2</v>
      </c>
      <c r="V153" s="8" cm="1">
        <f t="array" ref="V153">100*(_xll.qwYield($A$4,F153)-U153)</f>
        <v>1.3670566246419547E-2</v>
      </c>
      <c r="W153" s="6">
        <f>IF(ISNA(G153*INDEX(_xll.qwTblData(_xll.qwCurveScenariosPerSecurity($A$1,F153,"Crv210")),2,2)),0,(G153*INDEX(_xll.qwTblData(_xll.qwCurveScenariosPerSecurity($A$1,F153,"Crv210")),2,2)))</f>
        <v>29729.499896055004</v>
      </c>
      <c r="X153" s="6" cm="1">
        <f t="array" ref="X153">ABS(Q153/_xll.qwMV01($A$1,"CT10"))</f>
        <v>473.15847856859602</v>
      </c>
      <c r="Y153" s="6" cm="1">
        <f t="array" ref="Y153">IF(N153="BondFuture",-(_xll.qwCurveYield($A$1,_xll.qwSecVal($A$1,AA153,"CreditCurveName()"),AA153)-_xll.qwCurveYield($A$4,_xll.qwSecVal($A$4,AA153,"CreditCurveName()"),AA153))*P153*10000,IF(N153="Bond",-(_xll.qwCurveYield($A$1,_xll.qwSecVal($A$1,F153,"CreditCurveName()"),F153)-_xll.qwCurveYield($A$4,_xll.qwSecVal($A$4,F153,"CreditCurveName()"),F153))*P153*10000,O153))</f>
        <v>-492856.15769585274</v>
      </c>
      <c r="Z153" s="6" cm="1">
        <f t="array" ref="Z153">IF(OR(N153="BondFuture",N153="Bond"),P153*(_xll.qwCurveZSpread($A$4,_xll.qwSecVal($A$1,AA153,"CreditCurveName()"),AA153)-_xll.qwCurveZSpread($A$1,_xll.qwSecVal($A$1,AA153,"CreditCurveName()"),AA153)),0)</f>
        <v>0</v>
      </c>
      <c r="AA153" s="9" cm="1">
        <f t="array" ref="AA153">IF(_xll.qwSecType(F153)="Bond",F153,IF(_xll.qwSecType(F153)="BondFuture",_xll.qwFutCTD($A$1,F153),0))</f>
        <v>0</v>
      </c>
      <c r="AB153" s="6" cm="1">
        <f t="array" ref="AB153">IF(_xll.qwSecType(F153)="BondFuture",-(I153*_xll.qwDelta($A$4,F153)*_xll.qwMVFactor($A$1,F153)/_xll.qwMVFactor($A$1,_xll.qwFutCTD($A$1,F153)))*(_xll.qwFXRate($A$1,F153)*_xll.qwMVFactor($A$1,_xll.qwFutCTD($A$1,F153))*(_xll.qwIncome($A$4,_xll.qwFutCTD($A$4,F153),_xll.qwBondSettle($A$4,_xll.qwFutCTD($A$4,F153)),_xll.qwBondSettle($A$1,_xll.qwFutCTD($A$1,F153)))+(_xll.qwSecVal($A$1,AA153,"Price")-_xll.qwSecVal($A$4,AA153,"Price"))-_xll.qwBondRepoFromTo($A$1,AA153,_xll.qwBondSettle($A$4,AA153),_xll.qwBondSettle($A$1,AA153))*_xll.qwSecVal($A$1,AA153,"Price")*(_xll.qwBondSettle($A$1,AA153)-_xll.qwBondSettle($A$4,AA153))/360))+O153,0)</f>
        <v>0</v>
      </c>
      <c r="AC153" s="9" cm="1">
        <f t="array" ref="AC153">O153+T153+IF(ISNUMBER(_xll.qwIncome($A$1,F153,_xll.qwSettle($A$4,F153),_xll.qwSettle($A$1,F153))*_xll.qwMVFactor($A$1,F153)*_xll.qwFXRate($A$1,F153)*I153),_xll.qwIncome($A$1,F153,_xll.qwSettle($A$4,F153),_xll.qwSettle($A$1,F153))*_xll.qwMVFactor($A$1,F153)*_xll.qwFXRate($A$1,F153)*I153,0)+IF(ISNUMBER(-(_xll.qwBondRepoFromTo($A$1,F153,_xll.qwSettle($A$4,F153),_xll.qwSettle($A$1,F153))*_xll.qwSecVal($A$1,F153,"Price")*(_xll.qwSettle($A$1,F153)-_xll.qwSettle($A$4,F153))/360)*_xll.qwMVFactor($A$1,F153)*_xll.qwFXRate($A$1,F153)*I153),-(_xll.qwBondRepoFromTo($A$1,F153,_xll.qwSettle($A$4,F153),_xll.qwSettle($A$1,F153))*_xll.qwSecVal($A$1,F153,"Price")*(_xll.qwSettle($A$1,F153)-_xll.qwSettle($A$4,F153))/360)*_xll.qwMVFactor($A$1,F153)*_xll.qwFXRate($A$1,F153)*I153,0)</f>
        <v>-492856.15769585274</v>
      </c>
      <c r="AD153" s="6"/>
    </row>
    <row r="154" spans="2:30" s="7" customFormat="1" x14ac:dyDescent="0.35">
      <c r="B154" s="7" t="str">
        <v>jcleary</v>
      </c>
      <c r="C154" s="7" t="str">
        <v>MAMS</v>
      </c>
      <c r="D154" s="7" t="str">
        <v>jcleary|MAMS|RV_US_TY_Spread|251394867</v>
      </c>
      <c r="E154" s="7" t="str">
        <v>RV_US_TY_Spread</v>
      </c>
      <c r="F154" s="7" t="str">
        <v>251394867</v>
      </c>
      <c r="G154" s="7">
        <v>614</v>
      </c>
      <c r="H154" s="7">
        <v>0</v>
      </c>
      <c r="I154" s="7">
        <v>614</v>
      </c>
      <c r="J154" s="7">
        <v>0</v>
      </c>
      <c r="K154" s="7">
        <v>0</v>
      </c>
      <c r="L154" s="7">
        <v>0</v>
      </c>
      <c r="M154" s="7">
        <v>0</v>
      </c>
      <c r="N154" s="7" t="str">
        <v>SwapTrade</v>
      </c>
      <c r="O154" s="6" cm="1">
        <f t="array" ref="O154">(_xll.qwPrice($A$1,F154)-_xll.qwPrice($A$4,F154))*_xll.qwMVFactor($A$1,F154)*I154*_xll.qwFXRate($A$1,F154)</f>
        <v>507513.98712807341</v>
      </c>
      <c r="P154" s="6" cm="1">
        <f t="array" ref="P154">IF(ISNUMBER(_xll.qwDV01($A$1,F154)*I154*_xll.qwMVFactor($A$1,F154)*_xll.qwFXRate($A$1,F154)),_xll.qwDV01($A$1,F154)*I154*_xll.qwMVFactor($A$1,F154)*_xll.qwFXRate($A$1,F154),0)</f>
        <v>350968.03649638355</v>
      </c>
      <c r="Q154" s="6" cm="1">
        <f t="array" ref="Q154">IF(ISNUMBER(_xll.qwDV01($A$1,F154)*G154*_xll.qwMVFactor($A$1,F154)*_xll.qwFXRate($A$1,F154)),_xll.qwDV01($A$1,F154)*G154*_xll.qwMVFactor($A$1,F154)*_xll.qwFXRate($A$1,F154),0)</f>
        <v>350968.03649638355</v>
      </c>
      <c r="R154" s="6" cm="1">
        <f t="array" ref="R154">IF(ISNUMBER(_xll.qwDV01($A$1,F154)*J154*_xll.qwMVFactor($A$1,F154)*_xll.qwFXRate($A$1,F154)),_xll.qwDV01($A$1,F154)*J154*_xll.qwMVFactor($A$1,F154)*_xll.qwFXRate($A$1,F154),0)</f>
        <v>0</v>
      </c>
      <c r="S154" s="6" cm="1">
        <f t="array" ref="S154">IF(ISNUMBER(_xll.qwDV01($A$1,F154)*J154*_xll.qwMVFactor($A$1,F154)*_xll.qwFXRate($A$1,F154)),_xll.qwDV01($A$1,F154)*J154*_xll.qwMVFactor($A$1,F154)*_xll.qwFXRate($A$1,F154),0)</f>
        <v>0</v>
      </c>
      <c r="T154" s="6" cm="1">
        <f t="array" ref="T154">_xll.qwFXRate($A$1,F154)*J154*(_xll.qwPrice($A$1,F154)-M154)*_xll.qwMVFactor($A$1,F154)+L154</f>
        <v>0</v>
      </c>
      <c r="U154" s="8" cm="1">
        <f t="array" ref="U154">_xll.qwYield($A$1,F154)</f>
        <v>4.737192108643079E-2</v>
      </c>
      <c r="V154" s="8" cm="1">
        <f t="array" ref="V154">100*(_xll.qwYield($A$4,F154)-U154)</f>
        <v>1.4142820691610825E-2</v>
      </c>
      <c r="W154" s="6">
        <f>IF(ISNA(G154*INDEX(_xll.qwTblData(_xll.qwCurveScenariosPerSecurity($A$1,F154,"Crv210")),2,2)),0,(G154*INDEX(_xll.qwTblData(_xll.qwCurveScenariosPerSecurity($A$1,F154,"Crv210")),2,2)))</f>
        <v>-40830.338047101752</v>
      </c>
      <c r="X154" s="6" cm="1">
        <f t="array" ref="X154">ABS(Q154/_xll.qwMV01($A$1,"CT10"))</f>
        <v>472.47002580996838</v>
      </c>
      <c r="Y154" s="6" cm="1">
        <f t="array" ref="Y154">IF(N154="BondFuture",-(_xll.qwCurveYield($A$1,_xll.qwSecVal($A$1,AA154,"CreditCurveName()"),AA154)-_xll.qwCurveYield($A$4,_xll.qwSecVal($A$4,AA154,"CreditCurveName()"),AA154))*P154*10000,IF(N154="Bond",-(_xll.qwCurveYield($A$1,_xll.qwSecVal($A$1,F154,"CreditCurveName()"),F154)-_xll.qwCurveYield($A$4,_xll.qwSecVal($A$4,F154,"CreditCurveName()"),F154))*P154*10000,O154))</f>
        <v>507513.98712807341</v>
      </c>
      <c r="Z154" s="6" cm="1">
        <f t="array" ref="Z154">IF(OR(N154="BondFuture",N154="Bond"),P154*(_xll.qwCurveZSpread($A$4,_xll.qwSecVal($A$1,AA154,"CreditCurveName()"),AA154)-_xll.qwCurveZSpread($A$1,_xll.qwSecVal($A$1,AA154,"CreditCurveName()"),AA154)),0)</f>
        <v>0</v>
      </c>
      <c r="AA154" s="9" cm="1">
        <f t="array" ref="AA154">IF(_xll.qwSecType(F154)="Bond",F154,IF(_xll.qwSecType(F154)="BondFuture",_xll.qwFutCTD($A$1,F154),0))</f>
        <v>0</v>
      </c>
      <c r="AB154" s="6" cm="1">
        <f t="array" ref="AB154">IF(_xll.qwSecType(F154)="BondFuture",-(I154*_xll.qwDelta($A$4,F154)*_xll.qwMVFactor($A$1,F154)/_xll.qwMVFactor($A$1,_xll.qwFutCTD($A$1,F154)))*(_xll.qwFXRate($A$1,F154)*_xll.qwMVFactor($A$1,_xll.qwFutCTD($A$1,F154))*(_xll.qwIncome($A$4,_xll.qwFutCTD($A$4,F154),_xll.qwBondSettle($A$4,_xll.qwFutCTD($A$4,F154)),_xll.qwBondSettle($A$1,_xll.qwFutCTD($A$1,F154)))+(_xll.qwSecVal($A$1,AA154,"Price")-_xll.qwSecVal($A$4,AA154,"Price"))-_xll.qwBondRepoFromTo($A$1,AA154,_xll.qwBondSettle($A$4,AA154),_xll.qwBondSettle($A$1,AA154))*_xll.qwSecVal($A$1,AA154,"Price")*(_xll.qwBondSettle($A$1,AA154)-_xll.qwBondSettle($A$4,AA154))/360))+O154,0)</f>
        <v>0</v>
      </c>
      <c r="AC154" s="9" cm="1">
        <f t="array" ref="AC154">O154+T154+IF(ISNUMBER(_xll.qwIncome($A$1,F154,_xll.qwSettle($A$4,F154),_xll.qwSettle($A$1,F154))*_xll.qwMVFactor($A$1,F154)*_xll.qwFXRate($A$1,F154)*I154),_xll.qwIncome($A$1,F154,_xll.qwSettle($A$4,F154),_xll.qwSettle($A$1,F154))*_xll.qwMVFactor($A$1,F154)*_xll.qwFXRate($A$1,F154)*I154,0)+IF(ISNUMBER(-(_xll.qwBondRepoFromTo($A$1,F154,_xll.qwSettle($A$4,F154),_xll.qwSettle($A$1,F154))*_xll.qwSecVal($A$1,F154,"Price")*(_xll.qwSettle($A$1,F154)-_xll.qwSettle($A$4,F154))/360)*_xll.qwMVFactor($A$1,F154)*_xll.qwFXRate($A$1,F154)*I154),-(_xll.qwBondRepoFromTo($A$1,F154,_xll.qwSettle($A$4,F154),_xll.qwSettle($A$1,F154))*_xll.qwSecVal($A$1,F154,"Price")*(_xll.qwSettle($A$1,F154)-_xll.qwSettle($A$4,F154))/360)*_xll.qwMVFactor($A$1,F154)*_xll.qwFXRate($A$1,F154)*I154,0)</f>
        <v>507513.98712807341</v>
      </c>
      <c r="AD154" s="6"/>
    </row>
    <row r="155" spans="2:30" s="7" customFormat="1" x14ac:dyDescent="0.35">
      <c r="B155" s="7" t="str">
        <v>jcleary</v>
      </c>
      <c r="C155" s="7" t="str">
        <v>MAMS</v>
      </c>
      <c r="D155" s="7" t="str">
        <v>jcleary|MAMS|RV_US_TY_Spread|254740986</v>
      </c>
      <c r="E155" s="7" t="str">
        <v>RV_US_TY_Spread</v>
      </c>
      <c r="F155" s="7" t="str">
        <v>254740986</v>
      </c>
      <c r="G155" s="7">
        <v>147.4</v>
      </c>
      <c r="H155" s="7">
        <v>0</v>
      </c>
      <c r="I155" s="7">
        <v>147.4</v>
      </c>
      <c r="J155" s="7">
        <v>0</v>
      </c>
      <c r="K155" s="7">
        <v>0</v>
      </c>
      <c r="L155" s="7">
        <v>0</v>
      </c>
      <c r="M155" s="7">
        <v>0</v>
      </c>
      <c r="N155" s="7" t="str">
        <v>SwapTrade</v>
      </c>
      <c r="O155" s="6" cm="1">
        <f t="array" ref="O155">(_xll.qwPrice($A$1,F155)-_xll.qwPrice($A$4,F155))*_xll.qwMVFactor($A$1,F155)*I155*_xll.qwFXRate($A$1,F155)</f>
        <v>-116969.95980234529</v>
      </c>
      <c r="P155" s="6" cm="1">
        <f t="array" ref="P155">IF(ISNUMBER(_xll.qwDV01($A$1,F155)*I155*_xll.qwMVFactor($A$1,F155)*_xll.qwFXRate($A$1,F155)),_xll.qwDV01($A$1,F155)*I155*_xll.qwMVFactor($A$1,F155)*_xll.qwFXRate($A$1,F155),0)</f>
        <v>-83673.701168845364</v>
      </c>
      <c r="Q155" s="6" cm="1">
        <f t="array" ref="Q155">IF(ISNUMBER(_xll.qwDV01($A$1,F155)*G155*_xll.qwMVFactor($A$1,F155)*_xll.qwFXRate($A$1,F155)),_xll.qwDV01($A$1,F155)*G155*_xll.qwMVFactor($A$1,F155)*_xll.qwFXRate($A$1,F155),0)</f>
        <v>-83673.701168845364</v>
      </c>
      <c r="R155" s="6" cm="1">
        <f t="array" ref="R155">IF(ISNUMBER(_xll.qwDV01($A$1,F155)*J155*_xll.qwMVFactor($A$1,F155)*_xll.qwFXRate($A$1,F155)),_xll.qwDV01($A$1,F155)*J155*_xll.qwMVFactor($A$1,F155)*_xll.qwFXRate($A$1,F155),0)</f>
        <v>0</v>
      </c>
      <c r="S155" s="6" cm="1">
        <f t="array" ref="S155">IF(ISNUMBER(_xll.qwDV01($A$1,F155)*J155*_xll.qwMVFactor($A$1,F155)*_xll.qwFXRate($A$1,F155)),_xll.qwDV01($A$1,F155)*J155*_xll.qwMVFactor($A$1,F155)*_xll.qwFXRate($A$1,F155),0)</f>
        <v>0</v>
      </c>
      <c r="T155" s="6" cm="1">
        <f t="array" ref="T155">_xll.qwFXRate($A$1,F155)*J155*(_xll.qwPrice($A$1,F155)-M155)*_xll.qwMVFactor($A$1,F155)+L155</f>
        <v>0</v>
      </c>
      <c r="U155" s="8" cm="1">
        <f t="array" ref="U155">_xll.qwYield($A$1,F155)</f>
        <v>4.7311560297563941E-2</v>
      </c>
      <c r="V155" s="8" cm="1">
        <f t="array" ref="V155">100*(_xll.qwYield($A$4,F155)-U155)</f>
        <v>9.1354209692265376E-3</v>
      </c>
      <c r="W155" s="6">
        <f>IF(ISNA(G155*INDEX(_xll.qwTblData(_xll.qwCurveScenariosPerSecurity($A$1,F155,"Crv210")),2,2)),0,(G155*INDEX(_xll.qwTblData(_xll.qwCurveScenariosPerSecurity($A$1,F155,"Crv210")),2,2)))</f>
        <v>6647.4206492407347</v>
      </c>
      <c r="X155" s="6" cm="1">
        <f t="array" ref="X155">ABS(Q155/_xll.qwMV01($A$1,"CT10"))</f>
        <v>112.64078673804619</v>
      </c>
      <c r="Y155" s="6" cm="1">
        <f t="array" ref="Y155">IF(N155="BondFuture",-(_xll.qwCurveYield($A$1,_xll.qwSecVal($A$1,AA155,"CreditCurveName()"),AA155)-_xll.qwCurveYield($A$4,_xll.qwSecVal($A$4,AA155,"CreditCurveName()"),AA155))*P155*10000,IF(N155="Bond",-(_xll.qwCurveYield($A$1,_xll.qwSecVal($A$1,F155,"CreditCurveName()"),F155)-_xll.qwCurveYield($A$4,_xll.qwSecVal($A$4,F155,"CreditCurveName()"),F155))*P155*10000,O155))</f>
        <v>-116969.95980234529</v>
      </c>
      <c r="Z155" s="6" cm="1">
        <f t="array" ref="Z155">IF(OR(N155="BondFuture",N155="Bond"),P155*(_xll.qwCurveZSpread($A$4,_xll.qwSecVal($A$1,AA155,"CreditCurveName()"),AA155)-_xll.qwCurveZSpread($A$1,_xll.qwSecVal($A$1,AA155,"CreditCurveName()"),AA155)),0)</f>
        <v>0</v>
      </c>
      <c r="AA155" s="9" cm="1">
        <f t="array" ref="AA155">IF(_xll.qwSecType(F155)="Bond",F155,IF(_xll.qwSecType(F155)="BondFuture",_xll.qwFutCTD($A$1,F155),0))</f>
        <v>0</v>
      </c>
      <c r="AB155" s="6" cm="1">
        <f t="array" ref="AB155">IF(_xll.qwSecType(F155)="BondFuture",-(I155*_xll.qwDelta($A$4,F155)*_xll.qwMVFactor($A$1,F155)/_xll.qwMVFactor($A$1,_xll.qwFutCTD($A$1,F155)))*(_xll.qwFXRate($A$1,F155)*_xll.qwMVFactor($A$1,_xll.qwFutCTD($A$1,F155))*(_xll.qwIncome($A$4,_xll.qwFutCTD($A$4,F155),_xll.qwBondSettle($A$4,_xll.qwFutCTD($A$4,F155)),_xll.qwBondSettle($A$1,_xll.qwFutCTD($A$1,F155)))+(_xll.qwSecVal($A$1,AA155,"Price")-_xll.qwSecVal($A$4,AA155,"Price"))-_xll.qwBondRepoFromTo($A$1,AA155,_xll.qwBondSettle($A$4,AA155),_xll.qwBondSettle($A$1,AA155))*_xll.qwSecVal($A$1,AA155,"Price")*(_xll.qwBondSettle($A$1,AA155)-_xll.qwBondSettle($A$4,AA155))/360))+O155,0)</f>
        <v>0</v>
      </c>
      <c r="AC155" s="9" cm="1">
        <f t="array" ref="AC155">O155+T155+IF(ISNUMBER(_xll.qwIncome($A$1,F155,_xll.qwSettle($A$4,F155),_xll.qwSettle($A$1,F155))*_xll.qwMVFactor($A$1,F155)*_xll.qwFXRate($A$1,F155)*I155),_xll.qwIncome($A$1,F155,_xll.qwSettle($A$4,F155),_xll.qwSettle($A$1,F155))*_xll.qwMVFactor($A$1,F155)*_xll.qwFXRate($A$1,F155)*I155,0)+IF(ISNUMBER(-(_xll.qwBondRepoFromTo($A$1,F155,_xll.qwSettle($A$4,F155),_xll.qwSettle($A$1,F155))*_xll.qwSecVal($A$1,F155,"Price")*(_xll.qwSettle($A$1,F155)-_xll.qwSettle($A$4,F155))/360)*_xll.qwMVFactor($A$1,F155)*_xll.qwFXRate($A$1,F155)*I155),-(_xll.qwBondRepoFromTo($A$1,F155,_xll.qwSettle($A$4,F155),_xll.qwSettle($A$1,F155))*_xll.qwSecVal($A$1,F155,"Price")*(_xll.qwSettle($A$1,F155)-_xll.qwSettle($A$4,F155))/360)*_xll.qwMVFactor($A$1,F155)*_xll.qwFXRate($A$1,F155)*I155,0)</f>
        <v>-116969.95980234529</v>
      </c>
      <c r="AD155" s="6"/>
    </row>
    <row r="156" spans="2:30" s="7" customFormat="1" x14ac:dyDescent="0.35">
      <c r="B156" s="7" t="str">
        <v>jcleary</v>
      </c>
      <c r="C156" s="7" t="str">
        <v>MAMS</v>
      </c>
      <c r="D156" s="7" t="str">
        <v>jcleary|MAMS|RV_US_TY_Spread|254740991</v>
      </c>
      <c r="E156" s="7" t="str">
        <v>RV_US_TY_Spread</v>
      </c>
      <c r="F156" s="7" t="str">
        <v>254740991</v>
      </c>
      <c r="G156" s="7">
        <v>128.19999999999999</v>
      </c>
      <c r="H156" s="7">
        <v>0</v>
      </c>
      <c r="I156" s="7">
        <v>128.19999999999999</v>
      </c>
      <c r="J156" s="7">
        <v>0</v>
      </c>
      <c r="K156" s="7">
        <v>0</v>
      </c>
      <c r="L156" s="7">
        <v>0</v>
      </c>
      <c r="M156" s="7">
        <v>0</v>
      </c>
      <c r="N156" s="7" t="str">
        <v>SwapTrade</v>
      </c>
      <c r="O156" s="6" cm="1">
        <f t="array" ref="O156">(_xll.qwPrice($A$1,F156)-_xll.qwPrice($A$4,F156))*_xll.qwMVFactor($A$1,F156)*I156*_xll.qwFXRate($A$1,F156)</f>
        <v>138055.05938916217</v>
      </c>
      <c r="P156" s="6" cm="1">
        <f t="array" ref="P156">IF(ISNUMBER(_xll.qwDV01($A$1,F156)*I156*_xll.qwMVFactor($A$1,F156)*_xll.qwFXRate($A$1,F156)),_xll.qwDV01($A$1,F156)*I156*_xll.qwMVFactor($A$1,F156)*_xll.qwFXRate($A$1,F156),0)</f>
        <v>83782.371790244564</v>
      </c>
      <c r="Q156" s="6" cm="1">
        <f t="array" ref="Q156">IF(ISNUMBER(_xll.qwDV01($A$1,F156)*G156*_xll.qwMVFactor($A$1,F156)*_xll.qwFXRate($A$1,F156)),_xll.qwDV01($A$1,F156)*G156*_xll.qwMVFactor($A$1,F156)*_xll.qwFXRate($A$1,F156),0)</f>
        <v>83782.371790244564</v>
      </c>
      <c r="R156" s="6" cm="1">
        <f t="array" ref="R156">IF(ISNUMBER(_xll.qwDV01($A$1,F156)*J156*_xll.qwMVFactor($A$1,F156)*_xll.qwFXRate($A$1,F156)),_xll.qwDV01($A$1,F156)*J156*_xll.qwMVFactor($A$1,F156)*_xll.qwFXRate($A$1,F156),0)</f>
        <v>0</v>
      </c>
      <c r="S156" s="6" cm="1">
        <f t="array" ref="S156">IF(ISNUMBER(_xll.qwDV01($A$1,F156)*J156*_xll.qwMVFactor($A$1,F156)*_xll.qwFXRate($A$1,F156)),_xll.qwDV01($A$1,F156)*J156*_xll.qwMVFactor($A$1,F156)*_xll.qwFXRate($A$1,F156),0)</f>
        <v>0</v>
      </c>
      <c r="T156" s="6" cm="1">
        <f t="array" ref="T156">_xll.qwFXRate($A$1,F156)*J156*(_xll.qwPrice($A$1,F156)-M156)*_xll.qwMVFactor($A$1,F156)+L156</f>
        <v>0</v>
      </c>
      <c r="U156" s="8" cm="1">
        <f t="array" ref="U156">_xll.qwYield($A$1,F156)</f>
        <v>4.7538222331360527E-2</v>
      </c>
      <c r="V156" s="8" cm="1">
        <f t="array" ref="V156">100*(_xll.qwYield($A$4,F156)-U156)</f>
        <v>1.2306724939274705E-2</v>
      </c>
      <c r="W156" s="6">
        <f>IF(ISNA(G156*INDEX(_xll.qwTblData(_xll.qwCurveScenariosPerSecurity($A$1,F156,"Crv210")),2,2)),0,(G156*INDEX(_xll.qwTblData(_xll.qwCurveScenariosPerSecurity($A$1,F156,"Crv210")),2,2)))</f>
        <v>-19367.805627200389</v>
      </c>
      <c r="X156" s="6" cm="1">
        <f t="array" ref="X156">ABS(Q156/_xll.qwMV01($A$1,"CT10"))</f>
        <v>112.78707815480828</v>
      </c>
      <c r="Y156" s="6" cm="1">
        <f t="array" ref="Y156">IF(N156="BondFuture",-(_xll.qwCurveYield($A$1,_xll.qwSecVal($A$1,AA156,"CreditCurveName()"),AA156)-_xll.qwCurveYield($A$4,_xll.qwSecVal($A$4,AA156,"CreditCurveName()"),AA156))*P156*10000,IF(N156="Bond",-(_xll.qwCurveYield($A$1,_xll.qwSecVal($A$1,F156,"CreditCurveName()"),F156)-_xll.qwCurveYield($A$4,_xll.qwSecVal($A$4,F156,"CreditCurveName()"),F156))*P156*10000,O156))</f>
        <v>138055.05938916217</v>
      </c>
      <c r="Z156" s="6" cm="1">
        <f t="array" ref="Z156">IF(OR(N156="BondFuture",N156="Bond"),P156*(_xll.qwCurveZSpread($A$4,_xll.qwSecVal($A$1,AA156,"CreditCurveName()"),AA156)-_xll.qwCurveZSpread($A$1,_xll.qwSecVal($A$1,AA156,"CreditCurveName()"),AA156)),0)</f>
        <v>0</v>
      </c>
      <c r="AA156" s="9" cm="1">
        <f t="array" ref="AA156">IF(_xll.qwSecType(F156)="Bond",F156,IF(_xll.qwSecType(F156)="BondFuture",_xll.qwFutCTD($A$1,F156),0))</f>
        <v>0</v>
      </c>
      <c r="AB156" s="6" cm="1">
        <f t="array" ref="AB156">IF(_xll.qwSecType(F156)="BondFuture",-(I156*_xll.qwDelta($A$4,F156)*_xll.qwMVFactor($A$1,F156)/_xll.qwMVFactor($A$1,_xll.qwFutCTD($A$1,F156)))*(_xll.qwFXRate($A$1,F156)*_xll.qwMVFactor($A$1,_xll.qwFutCTD($A$1,F156))*(_xll.qwIncome($A$4,_xll.qwFutCTD($A$4,F156),_xll.qwBondSettle($A$4,_xll.qwFutCTD($A$4,F156)),_xll.qwBondSettle($A$1,_xll.qwFutCTD($A$1,F156)))+(_xll.qwSecVal($A$1,AA156,"Price")-_xll.qwSecVal($A$4,AA156,"Price"))-_xll.qwBondRepoFromTo($A$1,AA156,_xll.qwBondSettle($A$4,AA156),_xll.qwBondSettle($A$1,AA156))*_xll.qwSecVal($A$1,AA156,"Price")*(_xll.qwBondSettle($A$1,AA156)-_xll.qwBondSettle($A$4,AA156))/360))+O156,0)</f>
        <v>0</v>
      </c>
      <c r="AC156" s="9" cm="1">
        <f t="array" ref="AC156">O156+T156+IF(ISNUMBER(_xll.qwIncome($A$1,F156,_xll.qwSettle($A$4,F156),_xll.qwSettle($A$1,F156))*_xll.qwMVFactor($A$1,F156)*_xll.qwFXRate($A$1,F156)*I156),_xll.qwIncome($A$1,F156,_xll.qwSettle($A$4,F156),_xll.qwSettle($A$1,F156))*_xll.qwMVFactor($A$1,F156)*_xll.qwFXRate($A$1,F156)*I156,0)+IF(ISNUMBER(-(_xll.qwBondRepoFromTo($A$1,F156,_xll.qwSettle($A$4,F156),_xll.qwSettle($A$1,F156))*_xll.qwSecVal($A$1,F156,"Price")*(_xll.qwSettle($A$1,F156)-_xll.qwSettle($A$4,F156))/360)*_xll.qwMVFactor($A$1,F156)*_xll.qwFXRate($A$1,F156)*I156),-(_xll.qwBondRepoFromTo($A$1,F156,_xll.qwSettle($A$4,F156),_xll.qwSettle($A$1,F156))*_xll.qwSecVal($A$1,F156,"Price")*(_xll.qwSettle($A$1,F156)-_xll.qwSettle($A$4,F156))/360)*_xll.qwMVFactor($A$1,F156)*_xll.qwFXRate($A$1,F156)*I156,0)</f>
        <v>138055.05938916217</v>
      </c>
      <c r="AD156" s="6"/>
    </row>
    <row r="157" spans="2:30" s="7" customFormat="1" x14ac:dyDescent="0.35">
      <c r="B157" s="7" t="str">
        <v>jcleary</v>
      </c>
      <c r="C157" s="7" t="str">
        <v>MAMS</v>
      </c>
      <c r="D157" s="7" t="str">
        <v>jcleary|MAMS|RV_US_TY_Spread|91282CFF3</v>
      </c>
      <c r="E157" s="7" t="str">
        <v>RV_US_TY_Spread</v>
      </c>
      <c r="F157" s="7" t="str">
        <v>91282CFF3</v>
      </c>
      <c r="G157" s="7">
        <v>157.5</v>
      </c>
      <c r="H157" s="7">
        <v>0</v>
      </c>
      <c r="I157" s="7">
        <v>157.5</v>
      </c>
      <c r="J157" s="7">
        <v>0</v>
      </c>
      <c r="K157" s="7">
        <v>0</v>
      </c>
      <c r="L157" s="7">
        <v>0</v>
      </c>
      <c r="M157" s="7">
        <v>0</v>
      </c>
      <c r="N157" s="7" t="str">
        <v>Bond</v>
      </c>
      <c r="O157" s="6" cm="1">
        <f t="array" ref="O157">(_xll.qwPrice($A$1,F157)-_xll.qwPrice($A$4,F157))*_xll.qwMVFactor($A$1,F157)*I157*_xll.qwFXRate($A$1,F157)</f>
        <v>129199.2187502462</v>
      </c>
      <c r="P157" s="6" cm="1">
        <f t="array" ref="P157">IF(ISNUMBER(_xll.qwDV01($A$1,F157)*I157*_xll.qwMVFactor($A$1,F157)*_xll.qwFXRate($A$1,F157)),_xll.qwDV01($A$1,F157)*I157*_xll.qwMVFactor($A$1,F157)*_xll.qwFXRate($A$1,F157),0)</f>
        <v>73375.651155060943</v>
      </c>
      <c r="Q157" s="6" cm="1">
        <f t="array" ref="Q157">IF(ISNUMBER(_xll.qwDV01($A$1,F157)*G157*_xll.qwMVFactor($A$1,F157)*_xll.qwFXRate($A$1,F157)),_xll.qwDV01($A$1,F157)*G157*_xll.qwMVFactor($A$1,F157)*_xll.qwFXRate($A$1,F157),0)</f>
        <v>73375.651155060943</v>
      </c>
      <c r="R157" s="6" cm="1">
        <f t="array" ref="R157">IF(ISNUMBER(_xll.qwDV01($A$1,F157)*J157*_xll.qwMVFactor($A$1,F157)*_xll.qwFXRate($A$1,F157)),_xll.qwDV01($A$1,F157)*J157*_xll.qwMVFactor($A$1,F157)*_xll.qwFXRate($A$1,F157),0)</f>
        <v>0</v>
      </c>
      <c r="S157" s="6" cm="1">
        <f t="array" ref="S157">IF(ISNUMBER(_xll.qwDV01($A$1,F157)*J157*_xll.qwMVFactor($A$1,F157)*_xll.qwFXRate($A$1,F157)),_xll.qwDV01($A$1,F157)*J157*_xll.qwMVFactor($A$1,F157)*_xll.qwFXRate($A$1,F157),0)</f>
        <v>0</v>
      </c>
      <c r="T157" s="6" cm="1">
        <f t="array" ref="T157">_xll.qwFXRate($A$1,F157)*J157*(_xll.qwPrice($A$1,F157)-M157)*_xll.qwMVFactor($A$1,F157)+L157</f>
        <v>0</v>
      </c>
      <c r="U157" s="8" cm="1">
        <f t="array" ref="U157">_xll.qwYield($A$1,F157)</f>
        <v>5.0562586162677989E-2</v>
      </c>
      <c r="V157" s="8" cm="1">
        <f t="array" ref="V157">100*(_xll.qwYield($A$4,F157)-U157)</f>
        <v>1.6624281392151052E-2</v>
      </c>
      <c r="W157" s="6">
        <f>IF(ISNA(G157*INDEX(_xll.qwTblData(_xll.qwCurveScenariosPerSecurity($A$1,F157,"Crv210")),2,2)),0,(G157*INDEX(_xll.qwTblData(_xll.qwCurveScenariosPerSecurity($A$1,F157,"Crv210")),2,2)))</f>
        <v>334.15508696705842</v>
      </c>
      <c r="X157" s="6" cm="1">
        <f t="array" ref="X157">ABS(Q157/_xll.qwMV01($A$1,"CT10"))</f>
        <v>98.777644087290284</v>
      </c>
      <c r="Y157" s="6" cm="1">
        <f t="array" ref="Y157">IF(N157="BondFuture",-(_xll.qwCurveYield($A$1,_xll.qwSecVal($A$1,AA157,"CreditCurveName()"),AA157)-_xll.qwCurveYield($A$4,_xll.qwSecVal($A$4,AA157,"CreditCurveName()"),AA157))*P157*10000,IF(N157="Bond",-(_xll.qwCurveYield($A$1,_xll.qwSecVal($A$1,F157,"CreditCurveName()"),F157)-_xll.qwCurveYield($A$4,_xll.qwSecVal($A$4,F157,"CreditCurveName()"),F157))*P157*10000,O157))</f>
        <v>130284.57757904373</v>
      </c>
      <c r="Z157" s="6" cm="1">
        <f t="array" ref="Z157">IF(OR(N157="BondFuture",N157="Bond"),P157*(_xll.qwCurveZSpread($A$4,_xll.qwSecVal($A$1,AA157,"CreditCurveName()"),AA157)-_xll.qwCurveZSpread($A$1,_xll.qwSecVal($A$1,AA157,"CreditCurveName()"),AA157)),0)</f>
        <v>-8302.8303656390835</v>
      </c>
      <c r="AA157" s="9" t="str" cm="1">
        <f t="array" ref="AA157">IF(_xll.qwSecType(F157)="Bond",F157,IF(_xll.qwSecType(F157)="BondFuture",_xll.qwFutCTD($A$1,F157),0))</f>
        <v>91282CFF3</v>
      </c>
      <c r="AB157" s="6" cm="1">
        <f t="array" ref="AB157">IF(_xll.qwSecType(F157)="BondFuture",-(I157*_xll.qwDelta($A$4,F157)*_xll.qwMVFactor($A$1,F157)/_xll.qwMVFactor($A$1,_xll.qwFutCTD($A$1,F157)))*(_xll.qwFXRate($A$1,F157)*_xll.qwMVFactor($A$1,_xll.qwFutCTD($A$1,F157))*(_xll.qwIncome($A$4,_xll.qwFutCTD($A$4,F157),_xll.qwBondSettle($A$4,_xll.qwFutCTD($A$4,F157)),_xll.qwBondSettle($A$1,_xll.qwFutCTD($A$1,F157)))+(_xll.qwSecVal($A$1,AA157,"Price")-_xll.qwSecVal($A$4,AA157,"Price"))-_xll.qwBondRepoFromTo($A$1,AA157,_xll.qwBondSettle($A$4,AA157),_xll.qwBondSettle($A$1,AA157))*_xll.qwSecVal($A$1,AA157,"Price")*(_xll.qwBondSettle($A$1,AA157)-_xll.qwBondSettle($A$4,AA157))/360))+O157,0)</f>
        <v>0</v>
      </c>
      <c r="AC157" s="9" cm="1">
        <f t="array" ref="AC157">O157+T157+IF(ISNUMBER(_xll.qwIncome($A$1,F157,_xll.qwSettle($A$4,F157),_xll.qwSettle($A$1,F157))*_xll.qwMVFactor($A$1,F157)*_xll.qwFXRate($A$1,F157)*I157),_xll.qwIncome($A$1,F157,_xll.qwSettle($A$4,F157),_xll.qwSettle($A$1,F157))*_xll.qwMVFactor($A$1,F157)*_xll.qwFXRate($A$1,F157)*I157,0)+IF(ISNUMBER(-(_xll.qwBondRepoFromTo($A$1,F157,_xll.qwSettle($A$4,F157),_xll.qwSettle($A$1,F157))*_xll.qwSecVal($A$1,F157,"Price")*(_xll.qwSettle($A$1,F157)-_xll.qwSettle($A$4,F157))/360)*_xll.qwMVFactor($A$1,F157)*_xll.qwFXRate($A$1,F157)*I157),-(_xll.qwBondRepoFromTo($A$1,F157,_xll.qwSettle($A$4,F157),_xll.qwSettle($A$1,F157))*_xll.qwSecVal($A$1,F157,"Price")*(_xll.qwSettle($A$1,F157)-_xll.qwSettle($A$4,F157))/360)*_xll.qwMVFactor($A$1,F157)*_xll.qwFXRate($A$1,F157)*I157,0)</f>
        <v>125855.7252140499</v>
      </c>
      <c r="AD157" s="6"/>
    </row>
    <row r="158" spans="2:30" s="7" customFormat="1" x14ac:dyDescent="0.35">
      <c r="B158" s="7" t="str">
        <v>jcleary</v>
      </c>
      <c r="C158" s="7" t="str">
        <v>MAMS</v>
      </c>
      <c r="D158" s="7" t="str">
        <v>jcleary|MAMS|RV_US_TY_Spread|91282CJZ5</v>
      </c>
      <c r="E158" s="7" t="str">
        <v>RV_US_TY_Spread</v>
      </c>
      <c r="F158" s="7" t="str">
        <v>91282CJZ5</v>
      </c>
      <c r="G158" s="7">
        <v>143.69999999999999</v>
      </c>
      <c r="H158" s="7">
        <v>0</v>
      </c>
      <c r="I158" s="7">
        <v>143.69999999999999</v>
      </c>
      <c r="J158" s="7">
        <v>0</v>
      </c>
      <c r="K158" s="7">
        <v>0</v>
      </c>
      <c r="L158" s="7">
        <v>0</v>
      </c>
      <c r="M158" s="7">
        <v>0</v>
      </c>
      <c r="N158" s="7" t="str">
        <v>Bond</v>
      </c>
      <c r="O158" s="6" cm="1">
        <f t="array" ref="O158">(_xll.qwPrice($A$1,F158)-_xll.qwPrice($A$4,F158))*_xll.qwMVFactor($A$1,F158)*I158*_xll.qwFXRate($A$1,F158)</f>
        <v>190851.56249973451</v>
      </c>
      <c r="P158" s="6" cm="1">
        <f t="array" ref="P158">IF(ISNUMBER(_xll.qwDV01($A$1,F158)*I158*_xll.qwMVFactor($A$1,F158)*_xll.qwFXRate($A$1,F158)),_xll.qwDV01($A$1,F158)*I158*_xll.qwMVFactor($A$1,F158)*_xll.qwFXRate($A$1,F158),0)</f>
        <v>83475.629182316887</v>
      </c>
      <c r="Q158" s="6" cm="1">
        <f t="array" ref="Q158">IF(ISNUMBER(_xll.qwDV01($A$1,F158)*G158*_xll.qwMVFactor($A$1,F158)*_xll.qwFXRate($A$1,F158)),_xll.qwDV01($A$1,F158)*G158*_xll.qwMVFactor($A$1,F158)*_xll.qwFXRate($A$1,F158),0)</f>
        <v>83475.629182316887</v>
      </c>
      <c r="R158" s="6" cm="1">
        <f t="array" ref="R158">IF(ISNUMBER(_xll.qwDV01($A$1,F158)*J158*_xll.qwMVFactor($A$1,F158)*_xll.qwFXRate($A$1,F158)),_xll.qwDV01($A$1,F158)*J158*_xll.qwMVFactor($A$1,F158)*_xll.qwFXRate($A$1,F158),0)</f>
        <v>0</v>
      </c>
      <c r="S158" s="6" cm="1">
        <f t="array" ref="S158">IF(ISNUMBER(_xll.qwDV01($A$1,F158)*J158*_xll.qwMVFactor($A$1,F158)*_xll.qwFXRate($A$1,F158)),_xll.qwDV01($A$1,F158)*J158*_xll.qwMVFactor($A$1,F158)*_xll.qwFXRate($A$1,F158),0)</f>
        <v>0</v>
      </c>
      <c r="T158" s="6" cm="1">
        <f t="array" ref="T158">_xll.qwFXRate($A$1,F158)*J158*(_xll.qwPrice($A$1,F158)-M158)*_xll.qwMVFactor($A$1,F158)+L158</f>
        <v>0</v>
      </c>
      <c r="U158" s="8" cm="1">
        <f t="array" ref="U158">_xll.qwYield($A$1,F158)</f>
        <v>5.1177386053993856E-2</v>
      </c>
      <c r="V158" s="8" cm="1">
        <f t="array" ref="V158">100*(_xll.qwYield($A$4,F158)-U158)</f>
        <v>2.2526815840354097E-2</v>
      </c>
      <c r="W158" s="6">
        <f>IF(ISNA(G158*INDEX(_xll.qwTblData(_xll.qwCurveScenariosPerSecurity($A$1,F158,"Crv210")),2,2)),0,(G158*INDEX(_xll.qwTblData(_xll.qwCurveScenariosPerSecurity($A$1,F158,"Crv210")),2,2)))</f>
        <v>-14934.76103472561</v>
      </c>
      <c r="X158" s="6" cm="1">
        <f t="array" ref="X158">ABS(Q158/_xll.qwMV01($A$1,"CT10"))</f>
        <v>112.37414400464642</v>
      </c>
      <c r="Y158" s="6" cm="1">
        <f t="array" ref="Y158">IF(N158="BondFuture",-(_xll.qwCurveYield($A$1,_xll.qwSecVal($A$1,AA158,"CreditCurveName()"),AA158)-_xll.qwCurveYield($A$4,_xll.qwSecVal($A$4,AA158,"CreditCurveName()"),AA158))*P158*10000,IF(N158="Bond",-(_xll.qwCurveYield($A$1,_xll.qwSecVal($A$1,F158,"CreditCurveName()"),F158)-_xll.qwCurveYield($A$4,_xll.qwSecVal($A$4,F158,"CreditCurveName()"),F158))*P158*10000,O158))</f>
        <v>179551.8784166885</v>
      </c>
      <c r="Z158" s="6" cm="1">
        <f t="array" ref="Z158">IF(OR(N158="BondFuture",N158="Bond"),P158*(_xll.qwCurveZSpread($A$4,_xll.qwSecVal($A$1,AA158,"CreditCurveName()"),AA158)-_xll.qwCurveZSpread($A$1,_xll.qwSecVal($A$1,AA158,"CreditCurveName()"),AA158)),0)</f>
        <v>8492.1341580856151</v>
      </c>
      <c r="AA158" s="9" t="str" cm="1">
        <f t="array" ref="AA158">IF(_xll.qwSecType(F158)="Bond",F158,IF(_xll.qwSecType(F158)="BondFuture",_xll.qwFutCTD($A$1,F158),0))</f>
        <v>91282CJZ5</v>
      </c>
      <c r="AB158" s="6" cm="1">
        <f t="array" ref="AB158">IF(_xll.qwSecType(F158)="BondFuture",-(I158*_xll.qwDelta($A$4,F158)*_xll.qwMVFactor($A$1,F158)/_xll.qwMVFactor($A$1,_xll.qwFutCTD($A$1,F158)))*(_xll.qwFXRate($A$1,F158)*_xll.qwMVFactor($A$1,_xll.qwFutCTD($A$1,F158))*(_xll.qwIncome($A$4,_xll.qwFutCTD($A$4,F158),_xll.qwBondSettle($A$4,_xll.qwFutCTD($A$4,F158)),_xll.qwBondSettle($A$1,_xll.qwFutCTD($A$1,F158)))+(_xll.qwSecVal($A$1,AA158,"Price")-_xll.qwSecVal($A$4,AA158,"Price"))-_xll.qwBondRepoFromTo($A$1,AA158,_xll.qwBondSettle($A$4,AA158),_xll.qwBondSettle($A$1,AA158))*_xll.qwSecVal($A$1,AA158,"Price")*(_xll.qwBondSettle($A$1,AA158)-_xll.qwBondSettle($A$4,AA158))/360))+O158,0)</f>
        <v>0</v>
      </c>
      <c r="AC158" s="9" cm="1">
        <f t="array" ref="AC158">O158+T158+IF(ISNUMBER(_xll.qwIncome($A$1,F158,_xll.qwSettle($A$4,F158),_xll.qwSettle($A$1,F158))*_xll.qwMVFactor($A$1,F158)*_xll.qwFXRate($A$1,F158)*I158),_xll.qwIncome($A$1,F158,_xll.qwSettle($A$4,F158),_xll.qwSettle($A$1,F158))*_xll.qwMVFactor($A$1,F158)*_xll.qwFXRate($A$1,F158)*I158,0)+IF(ISNUMBER(-(_xll.qwBondRepoFromTo($A$1,F158,_xll.qwSettle($A$4,F158),_xll.qwSettle($A$1,F158))*_xll.qwSecVal($A$1,F158,"Price")*(_xll.qwSettle($A$1,F158)-_xll.qwSettle($A$4,F158))/360)*_xll.qwMVFactor($A$1,F158)*_xll.qwFXRate($A$1,F158)*I158),-(_xll.qwBondRepoFromTo($A$1,F158,_xll.qwSettle($A$4,F158),_xll.qwSettle($A$1,F158))*_xll.qwSecVal($A$1,F158,"Price")*(_xll.qwSettle($A$1,F158)-_xll.qwSettle($A$4,F158))/360)*_xll.qwMVFactor($A$1,F158)*_xll.qwFXRate($A$1,F158)*I158,0)</f>
        <v>191939.96179074427</v>
      </c>
      <c r="AD158" s="6"/>
    </row>
    <row r="159" spans="2:30" s="7" customFormat="1" x14ac:dyDescent="0.35">
      <c r="B159" s="7" t="str">
        <v>jcleary</v>
      </c>
      <c r="C159" s="7" t="str">
        <v>MAMS</v>
      </c>
      <c r="D159" s="7" t="str">
        <v>jcleary|MAMS|RV_US_TY_Spread|91282CKQ3</v>
      </c>
      <c r="E159" s="7" t="str">
        <v>RV_US_TY_Spread</v>
      </c>
      <c r="F159" s="7" t="str">
        <v>91282CKQ3</v>
      </c>
      <c r="G159" s="7">
        <v>248</v>
      </c>
      <c r="H159" s="7">
        <v>0</v>
      </c>
      <c r="I159" s="7">
        <v>248</v>
      </c>
      <c r="J159" s="7">
        <v>0</v>
      </c>
      <c r="K159" s="7">
        <v>0</v>
      </c>
      <c r="L159" s="7">
        <v>0</v>
      </c>
      <c r="M159" s="7">
        <v>0</v>
      </c>
      <c r="N159" s="7" t="str">
        <v>Bond</v>
      </c>
      <c r="O159" s="6" cm="1">
        <f t="array" ref="O159">(_xll.qwPrice($A$1,F159)-_xll.qwPrice($A$4,F159))*_xll.qwMVFactor($A$1,F159)*I159*_xll.qwFXRate($A$1,F159)</f>
        <v>329375.00000003522</v>
      </c>
      <c r="P159" s="6" cm="1">
        <f t="array" ref="P159">IF(ISNUMBER(_xll.qwDV01($A$1,F159)*I159*_xll.qwMVFactor($A$1,F159)*_xll.qwFXRate($A$1,F159)),_xll.qwDV01($A$1,F159)*I159*_xll.qwMVFactor($A$1,F159)*_xll.qwFXRate($A$1,F159),0)</f>
        <v>149958.41183917946</v>
      </c>
      <c r="Q159" s="6" cm="1">
        <f t="array" ref="Q159">IF(ISNUMBER(_xll.qwDV01($A$1,F159)*G159*_xll.qwMVFactor($A$1,F159)*_xll.qwFXRate($A$1,F159)),_xll.qwDV01($A$1,F159)*G159*_xll.qwMVFactor($A$1,F159)*_xll.qwFXRate($A$1,F159),0)</f>
        <v>149958.41183917946</v>
      </c>
      <c r="R159" s="6" cm="1">
        <f t="array" ref="R159">IF(ISNUMBER(_xll.qwDV01($A$1,F159)*J159*_xll.qwMVFactor($A$1,F159)*_xll.qwFXRate($A$1,F159)),_xll.qwDV01($A$1,F159)*J159*_xll.qwMVFactor($A$1,F159)*_xll.qwFXRate($A$1,F159),0)</f>
        <v>0</v>
      </c>
      <c r="S159" s="6" cm="1">
        <f t="array" ref="S159">IF(ISNUMBER(_xll.qwDV01($A$1,F159)*J159*_xll.qwMVFactor($A$1,F159)*_xll.qwFXRate($A$1,F159)),_xll.qwDV01($A$1,F159)*J159*_xll.qwMVFactor($A$1,F159)*_xll.qwFXRate($A$1,F159),0)</f>
        <v>0</v>
      </c>
      <c r="T159" s="6" cm="1">
        <f t="array" ref="T159">_xll.qwFXRate($A$1,F159)*J159*(_xll.qwPrice($A$1,F159)-M159)*_xll.qwMVFactor($A$1,F159)+L159</f>
        <v>0</v>
      </c>
      <c r="U159" s="8" cm="1">
        <f t="array" ref="U159">_xll.qwYield($A$1,F159)</f>
        <v>5.125604507156592E-2</v>
      </c>
      <c r="V159" s="8" cm="1">
        <f t="array" ref="V159">100*(_xll.qwYield($A$4,F159)-U159)</f>
        <v>2.1732516763708215E-2</v>
      </c>
      <c r="W159" s="6">
        <f>IF(ISNA(G159*INDEX(_xll.qwTblData(_xll.qwCurveScenariosPerSecurity($A$1,F159,"Crv210")),2,2)),0,(G159*INDEX(_xll.qwTblData(_xll.qwCurveScenariosPerSecurity($A$1,F159,"Crv210")),2,2)))</f>
        <v>-30829.65624156941</v>
      </c>
      <c r="X159" s="6" cm="1">
        <f t="array" ref="X159">ABS(Q159/_xll.qwMV01($A$1,"CT10"))</f>
        <v>201.8726702846316</v>
      </c>
      <c r="Y159" s="6" cm="1">
        <f t="array" ref="Y159">IF(N159="BondFuture",-(_xll.qwCurveYield($A$1,_xll.qwSecVal($A$1,AA159,"CreditCurveName()"),AA159)-_xll.qwCurveYield($A$4,_xll.qwSecVal($A$4,AA159,"CreditCurveName()"),AA159))*P159*10000,IF(N159="Bond",-(_xll.qwCurveYield($A$1,_xll.qwSecVal($A$1,F159,"CreditCurveName()"),F159)-_xll.qwCurveYield($A$4,_xll.qwSecVal($A$4,F159,"CreditCurveName()"),F159))*P159*10000,O159))</f>
        <v>329877.8628808246</v>
      </c>
      <c r="Z159" s="6" cm="1">
        <f t="array" ref="Z159">IF(OR(N159="BondFuture",N159="Bond"),P159*(_xll.qwCurveZSpread($A$4,_xll.qwSecVal($A$1,AA159,"CreditCurveName()"),AA159)-_xll.qwCurveZSpread($A$1,_xll.qwSecVal($A$1,AA159,"CreditCurveName()"),AA159)),0)</f>
        <v>-3980.4929654217885</v>
      </c>
      <c r="AA159" s="9" t="str" cm="1">
        <f t="array" ref="AA159">IF(_xll.qwSecType(F159)="Bond",F159,IF(_xll.qwSecType(F159)="BondFuture",_xll.qwFutCTD($A$1,F159),0))</f>
        <v>91282CKQ3</v>
      </c>
      <c r="AB159" s="6" cm="1">
        <f t="array" ref="AB159">IF(_xll.qwSecType(F159)="BondFuture",-(I159*_xll.qwDelta($A$4,F159)*_xll.qwMVFactor($A$1,F159)/_xll.qwMVFactor($A$1,_xll.qwFutCTD($A$1,F159)))*(_xll.qwFXRate($A$1,F159)*_xll.qwMVFactor($A$1,_xll.qwFutCTD($A$1,F159))*(_xll.qwIncome($A$4,_xll.qwFutCTD($A$4,F159),_xll.qwBondSettle($A$4,_xll.qwFutCTD($A$4,F159)),_xll.qwBondSettle($A$1,_xll.qwFutCTD($A$1,F159)))+(_xll.qwSecVal($A$1,AA159,"Price")-_xll.qwSecVal($A$4,AA159,"Price"))-_xll.qwBondRepoFromTo($A$1,AA159,_xll.qwBondSettle($A$4,AA159),_xll.qwBondSettle($A$1,AA159))*_xll.qwSecVal($A$1,AA159,"Price")*(_xll.qwBondSettle($A$1,AA159)-_xll.qwBondSettle($A$4,AA159))/360))+O159,0)</f>
        <v>0</v>
      </c>
      <c r="AC159" s="9" cm="1">
        <f t="array" ref="AC159">O159+T159+IF(ISNUMBER(_xll.qwIncome($A$1,F159,_xll.qwSettle($A$4,F159),_xll.qwSettle($A$1,F159))*_xll.qwMVFactor($A$1,F159)*_xll.qwFXRate($A$1,F159)*I159),_xll.qwIncome($A$1,F159,_xll.qwSettle($A$4,F159),_xll.qwSettle($A$1,F159))*_xll.qwMVFactor($A$1,F159)*_xll.qwFXRate($A$1,F159)*I159,0)+IF(ISNUMBER(-(_xll.qwBondRepoFromTo($A$1,F159,_xll.qwSettle($A$4,F159),_xll.qwSettle($A$1,F159))*_xll.qwSecVal($A$1,F159,"Price")*(_xll.qwSettle($A$1,F159)-_xll.qwSettle($A$4,F159))/360)*_xll.qwMVFactor($A$1,F159)*_xll.qwFXRate($A$1,F159)*I159),-(_xll.qwBondRepoFromTo($A$1,F159,_xll.qwSettle($A$4,F159),_xll.qwSettle($A$1,F159))*_xll.qwSecVal($A$1,F159,"Price")*(_xll.qwSettle($A$1,F159)-_xll.qwSettle($A$4,F159))/360)*_xll.qwMVFactor($A$1,F159)*_xll.qwFXRate($A$1,F159)*I159,0)</f>
        <v>333216.3023107156</v>
      </c>
      <c r="AD159" s="6"/>
    </row>
    <row r="160" spans="2:30" s="7" customFormat="1" x14ac:dyDescent="0.35">
      <c r="B160" s="7" t="str">
        <v>jcleary</v>
      </c>
      <c r="C160" s="7" t="str">
        <v>MAMS</v>
      </c>
      <c r="D160" s="7" t="str">
        <v>jcleary|MAMS|RV_US_TY_Spread|91282CNW7</v>
      </c>
      <c r="E160" s="7" t="str">
        <v>RV_US_TY_Spread</v>
      </c>
      <c r="F160" s="7" t="str">
        <v>91282CNW7</v>
      </c>
      <c r="G160" s="7">
        <v>220.5</v>
      </c>
      <c r="H160" s="7">
        <v>0</v>
      </c>
      <c r="I160" s="7">
        <v>220.5</v>
      </c>
      <c r="J160" s="7">
        <v>0</v>
      </c>
      <c r="K160" s="7">
        <v>0</v>
      </c>
      <c r="L160" s="7">
        <v>0</v>
      </c>
      <c r="M160" s="7">
        <v>0</v>
      </c>
      <c r="N160" s="7" t="str">
        <v>Bond</v>
      </c>
      <c r="O160" s="6" cm="1">
        <f t="array" ref="O160">(_xll.qwPrice($A$1,F160)-_xll.qwPrice($A$4,F160))*_xll.qwMVFactor($A$1,F160)*I160*_xll.qwFXRate($A$1,F160)</f>
        <v>180878.90625</v>
      </c>
      <c r="P160" s="6" cm="1">
        <f t="array" ref="P160">IF(ISNUMBER(_xll.qwDV01($A$1,F160)*I160*_xll.qwMVFactor($A$1,F160)*_xll.qwFXRate($A$1,F160)),_xll.qwDV01($A$1,F160)*I160*_xll.qwMVFactor($A$1,F160)*_xll.qwFXRate($A$1,F160),0)</f>
        <v>107041.2334769344</v>
      </c>
      <c r="Q160" s="6" cm="1">
        <f t="array" ref="Q160">IF(ISNUMBER(_xll.qwDV01($A$1,F160)*G160*_xll.qwMVFactor($A$1,F160)*_xll.qwFXRate($A$1,F160)),_xll.qwDV01($A$1,F160)*G160*_xll.qwMVFactor($A$1,F160)*_xll.qwFXRate($A$1,F160),0)</f>
        <v>107041.2334769344</v>
      </c>
      <c r="R160" s="6" cm="1">
        <f t="array" ref="R160">IF(ISNUMBER(_xll.qwDV01($A$1,F160)*J160*_xll.qwMVFactor($A$1,F160)*_xll.qwFXRate($A$1,F160)),_xll.qwDV01($A$1,F160)*J160*_xll.qwMVFactor($A$1,F160)*_xll.qwFXRate($A$1,F160),0)</f>
        <v>0</v>
      </c>
      <c r="S160" s="6" cm="1">
        <f t="array" ref="S160">IF(ISNUMBER(_xll.qwDV01($A$1,F160)*J160*_xll.qwMVFactor($A$1,F160)*_xll.qwFXRate($A$1,F160)),_xll.qwDV01($A$1,F160)*J160*_xll.qwMVFactor($A$1,F160)*_xll.qwFXRate($A$1,F160),0)</f>
        <v>0</v>
      </c>
      <c r="T160" s="6" cm="1">
        <f t="array" ref="T160">_xll.qwFXRate($A$1,F160)*J160*(_xll.qwPrice($A$1,F160)-M160)*_xll.qwMVFactor($A$1,F160)+L160</f>
        <v>0</v>
      </c>
      <c r="U160" s="8" cm="1">
        <f t="array" ref="U160">_xll.qwYield($A$1,F160)</f>
        <v>5.052313178845539E-2</v>
      </c>
      <c r="V160" s="8" cm="1">
        <f t="array" ref="V160">100*(_xll.qwYield($A$4,F160)-U160)</f>
        <v>1.6420345477830695E-2</v>
      </c>
      <c r="W160" s="6">
        <f>IF(ISNA(G160*INDEX(_xll.qwTblData(_xll.qwCurveScenariosPerSecurity($A$1,F160,"Crv210")),2,2)),0,(G160*INDEX(_xll.qwTblData(_xll.qwCurveScenariosPerSecurity($A$1,F160,"Crv210")),2,2)))</f>
        <v>755.11590013547902</v>
      </c>
      <c r="X160" s="6" cm="1">
        <f t="array" ref="X160">ABS(Q160/_xll.qwMV01($A$1,"CT10"))</f>
        <v>144.09794934160385</v>
      </c>
      <c r="Y160" s="6" cm="1">
        <f t="array" ref="Y160">IF(N160="BondFuture",-(_xll.qwCurveYield($A$1,_xll.qwSecVal($A$1,AA160,"CreditCurveName()"),AA160)-_xll.qwCurveYield($A$4,_xll.qwSecVal($A$4,AA160,"CreditCurveName()"),AA160))*P160*10000,IF(N160="Bond",-(_xll.qwCurveYield($A$1,_xll.qwSecVal($A$1,F160,"CreditCurveName()"),F160)-_xll.qwCurveYield($A$4,_xll.qwSecVal($A$4,F160,"CreditCurveName()"),F160))*P160*10000,O160))</f>
        <v>187328.38364070619</v>
      </c>
      <c r="Z160" s="6" cm="1">
        <f t="array" ref="Z160">IF(OR(N160="BondFuture",N160="Bond"),P160*(_xll.qwCurveZSpread($A$4,_xll.qwSecVal($A$1,AA160,"CreditCurveName()"),AA160)-_xll.qwCurveZSpread($A$1,_xll.qwSecVal($A$1,AA160,"CreditCurveName()"),AA160)),0)</f>
        <v>-11562.980234266248</v>
      </c>
      <c r="AA160" s="9" t="str" cm="1">
        <f t="array" ref="AA160">IF(_xll.qwSecType(F160)="Bond",F160,IF(_xll.qwSecType(F160)="BondFuture",_xll.qwFutCTD($A$1,F160),0))</f>
        <v>91282CNW7</v>
      </c>
      <c r="AB160" s="6" cm="1">
        <f t="array" ref="AB160">IF(_xll.qwSecType(F160)="BondFuture",-(I160*_xll.qwDelta($A$4,F160)*_xll.qwMVFactor($A$1,F160)/_xll.qwMVFactor($A$1,_xll.qwFutCTD($A$1,F160)))*(_xll.qwFXRate($A$1,F160)*_xll.qwMVFactor($A$1,_xll.qwFutCTD($A$1,F160))*(_xll.qwIncome($A$4,_xll.qwFutCTD($A$4,F160),_xll.qwBondSettle($A$4,_xll.qwFutCTD($A$4,F160)),_xll.qwBondSettle($A$1,_xll.qwFutCTD($A$1,F160)))+(_xll.qwSecVal($A$1,AA160,"Price")-_xll.qwSecVal($A$4,AA160,"Price"))-_xll.qwBondRepoFromTo($A$1,AA160,_xll.qwBondSettle($A$4,AA160),_xll.qwBondSettle($A$1,AA160))*_xll.qwSecVal($A$1,AA160,"Price")*(_xll.qwBondSettle($A$1,AA160)-_xll.qwBondSettle($A$4,AA160))/360))+O160,0)</f>
        <v>0</v>
      </c>
      <c r="AC160" s="9" cm="1">
        <f t="array" ref="AC160">O160+T160+IF(ISNUMBER(_xll.qwIncome($A$1,F160,_xll.qwSettle($A$4,F160),_xll.qwSettle($A$1,F160))*_xll.qwMVFactor($A$1,F160)*_xll.qwFXRate($A$1,F160)*I160),_xll.qwIncome($A$1,F160,_xll.qwSettle($A$4,F160),_xll.qwSettle($A$1,F160))*_xll.qwMVFactor($A$1,F160)*_xll.qwFXRate($A$1,F160)*I160,0)+IF(ISNUMBER(-(_xll.qwBondRepoFromTo($A$1,F160,_xll.qwSettle($A$4,F160),_xll.qwSettle($A$1,F160))*_xll.qwSecVal($A$1,F160,"Price")*(_xll.qwSettle($A$1,F160)-_xll.qwSettle($A$4,F160))/360)*_xll.qwMVFactor($A$1,F160)*_xll.qwFXRate($A$1,F160)*I160),-(_xll.qwBondRepoFromTo($A$1,F160,_xll.qwSettle($A$4,F160),_xll.qwSettle($A$1,F160))*_xll.qwSecVal($A$1,F160,"Price")*(_xll.qwSettle($A$1,F160)-_xll.qwSettle($A$4,F160))/360)*_xll.qwMVFactor($A$1,F160)*_xll.qwFXRate($A$1,F160)*I160,0)</f>
        <v>181983.0575923351</v>
      </c>
      <c r="AD160" s="6"/>
    </row>
    <row r="161" spans="2:30" s="7" customFormat="1" x14ac:dyDescent="0.35">
      <c r="B161" s="7" t="str">
        <v>jcleary</v>
      </c>
      <c r="C161" s="7" t="str">
        <v>MAMS</v>
      </c>
      <c r="D161" s="7" t="str">
        <v>jcleary|MAMS|RV_US_TY_Spread|91282CNZ0</v>
      </c>
      <c r="E161" s="7" t="str">
        <v>RV_US_TY_Spread</v>
      </c>
      <c r="F161" s="7" t="str">
        <v>91282CNZ0</v>
      </c>
      <c r="G161" s="7">
        <v>285.8</v>
      </c>
      <c r="H161" s="7">
        <v>0</v>
      </c>
      <c r="I161" s="7">
        <v>285.8</v>
      </c>
      <c r="J161" s="7">
        <v>0</v>
      </c>
      <c r="K161" s="7">
        <v>0</v>
      </c>
      <c r="L161" s="7">
        <v>0</v>
      </c>
      <c r="M161" s="7">
        <v>0</v>
      </c>
      <c r="N161" s="7" t="str">
        <v>Bond</v>
      </c>
      <c r="O161" s="6" cm="1">
        <f t="array" ref="O161">(_xll.qwPrice($A$1,F161)-_xll.qwPrice($A$4,F161))*_xll.qwMVFactor($A$1,F161)*I161*_xll.qwFXRate($A$1,F161)</f>
        <v>234445.31250101537</v>
      </c>
      <c r="P161" s="6" cm="1">
        <f t="array" ref="P161">IF(ISNUMBER(_xll.qwDV01($A$1,F161)*I161*_xll.qwMVFactor($A$1,F161)*_xll.qwFXRate($A$1,F161)),_xll.qwDV01($A$1,F161)*I161*_xll.qwMVFactor($A$1,F161)*_xll.qwFXRate($A$1,F161),0)</f>
        <v>140319.01346811536</v>
      </c>
      <c r="Q161" s="6" cm="1">
        <f t="array" ref="Q161">IF(ISNUMBER(_xll.qwDV01($A$1,F161)*G161*_xll.qwMVFactor($A$1,F161)*_xll.qwFXRate($A$1,F161)),_xll.qwDV01($A$1,F161)*G161*_xll.qwMVFactor($A$1,F161)*_xll.qwFXRate($A$1,F161),0)</f>
        <v>140319.01346811536</v>
      </c>
      <c r="R161" s="6" cm="1">
        <f t="array" ref="R161">IF(ISNUMBER(_xll.qwDV01($A$1,F161)*J161*_xll.qwMVFactor($A$1,F161)*_xll.qwFXRate($A$1,F161)),_xll.qwDV01($A$1,F161)*J161*_xll.qwMVFactor($A$1,F161)*_xll.qwFXRate($A$1,F161),0)</f>
        <v>0</v>
      </c>
      <c r="S161" s="6" cm="1">
        <f t="array" ref="S161">IF(ISNUMBER(_xll.qwDV01($A$1,F161)*J161*_xll.qwMVFactor($A$1,F161)*_xll.qwFXRate($A$1,F161)),_xll.qwDV01($A$1,F161)*J161*_xll.qwMVFactor($A$1,F161)*_xll.qwFXRate($A$1,F161),0)</f>
        <v>0</v>
      </c>
      <c r="T161" s="6" cm="1">
        <f t="array" ref="T161">_xll.qwFXRate($A$1,F161)*J161*(_xll.qwPrice($A$1,F161)-M161)*_xll.qwMVFactor($A$1,F161)+L161</f>
        <v>0</v>
      </c>
      <c r="U161" s="8" cm="1">
        <f t="array" ref="U161">_xll.qwYield($A$1,F161)</f>
        <v>5.0557147126991712E-2</v>
      </c>
      <c r="V161" s="8" cm="1">
        <f t="array" ref="V161">100*(_xll.qwYield($A$4,F161)-U161)</f>
        <v>1.6248084483578423E-2</v>
      </c>
      <c r="W161" s="6">
        <f>IF(ISNA(G161*INDEX(_xll.qwTblData(_xll.qwCurveScenariosPerSecurity($A$1,F161,"Crv210")),2,2)),0,(G161*INDEX(_xll.qwTblData(_xll.qwCurveScenariosPerSecurity($A$1,F161,"Crv210")),2,2)))</f>
        <v>-480.89605309689887</v>
      </c>
      <c r="X161" s="6" cm="1">
        <f t="array" ref="X161">ABS(Q161/_xll.qwMV01($A$1,"CT10"))</f>
        <v>188.89619857332193</v>
      </c>
      <c r="Y161" s="6" cm="1">
        <f t="array" ref="Y161">IF(N161="BondFuture",-(_xll.qwCurveYield($A$1,_xll.qwSecVal($A$1,AA161,"CreditCurveName()"),AA161)-_xll.qwCurveYield($A$4,_xll.qwSecVal($A$4,AA161,"CreditCurveName()"),AA161))*P161*10000,IF(N161="Bond",-(_xll.qwCurveYield($A$1,_xll.qwSecVal($A$1,F161,"CreditCurveName()"),F161)-_xll.qwCurveYield($A$4,_xll.qwSecVal($A$4,F161,"CreditCurveName()"),F161))*P161*10000,O161))</f>
        <v>249172.08745491097</v>
      </c>
      <c r="Z161" s="6" cm="1">
        <f t="array" ref="Z161">IF(OR(N161="BondFuture",N161="Bond"),P161*(_xll.qwCurveZSpread($A$4,_xll.qwSecVal($A$1,AA161,"CreditCurveName()"),AA161)-_xll.qwCurveZSpread($A$1,_xll.qwSecVal($A$1,AA161,"CreditCurveName()"),AA161)),0)</f>
        <v>-21180.568906679309</v>
      </c>
      <c r="AA161" s="9" t="str" cm="1">
        <f t="array" ref="AA161">IF(_xll.qwSecType(F161)="Bond",F161,IF(_xll.qwSecType(F161)="BondFuture",_xll.qwFutCTD($A$1,F161),0))</f>
        <v>91282CNZ0</v>
      </c>
      <c r="AB161" s="6" cm="1">
        <f t="array" ref="AB161">IF(_xll.qwSecType(F161)="BondFuture",-(I161*_xll.qwDelta($A$4,F161)*_xll.qwMVFactor($A$1,F161)/_xll.qwMVFactor($A$1,_xll.qwFutCTD($A$1,F161)))*(_xll.qwFXRate($A$1,F161)*_xll.qwMVFactor($A$1,_xll.qwFutCTD($A$1,F161))*(_xll.qwIncome($A$4,_xll.qwFutCTD($A$4,F161),_xll.qwBondSettle($A$4,_xll.qwFutCTD($A$4,F161)),_xll.qwBondSettle($A$1,_xll.qwFutCTD($A$1,F161)))+(_xll.qwSecVal($A$1,AA161,"Price")-_xll.qwSecVal($A$4,AA161,"Price"))-_xll.qwBondRepoFromTo($A$1,AA161,_xll.qwBondSettle($A$4,AA161),_xll.qwBondSettle($A$1,AA161))*_xll.qwSecVal($A$1,AA161,"Price")*(_xll.qwBondSettle($A$1,AA161)-_xll.qwBondSettle($A$4,AA161))/360))+O161,0)</f>
        <v>0</v>
      </c>
      <c r="AC161" s="9" cm="1">
        <f t="array" ref="AC161">O161+T161+IF(ISNUMBER(_xll.qwIncome($A$1,F161,_xll.qwSettle($A$4,F161),_xll.qwSettle($A$1,F161))*_xll.qwMVFactor($A$1,F161)*_xll.qwFXRate($A$1,F161)*I161),_xll.qwIncome($A$1,F161,_xll.qwSettle($A$4,F161),_xll.qwSettle($A$1,F161))*_xll.qwMVFactor($A$1,F161)*_xll.qwFXRate($A$1,F161)*I161,0)+IF(ISNUMBER(-(_xll.qwBondRepoFromTo($A$1,F161,_xll.qwSettle($A$4,F161),_xll.qwSettle($A$1,F161))*_xll.qwSecVal($A$1,F161,"Price")*(_xll.qwSettle($A$1,F161)-_xll.qwSettle($A$4,F161))/360)*_xll.qwMVFactor($A$1,F161)*_xll.qwFXRate($A$1,F161)*I161),-(_xll.qwBondRepoFromTo($A$1,F161,_xll.qwSettle($A$4,F161),_xll.qwSettle($A$1,F161))*_xll.qwSecVal($A$1,F161,"Price")*(_xll.qwSettle($A$1,F161)-_xll.qwSettle($A$4,F161))/360)*_xll.qwMVFactor($A$1,F161)*_xll.qwFXRate($A$1,F161)*I161,0)</f>
        <v>235734.99798689617</v>
      </c>
      <c r="AD161" s="6"/>
    </row>
    <row r="162" spans="2:30" s="7" customFormat="1" x14ac:dyDescent="0.35">
      <c r="B162" s="7" t="str">
        <v>jcleary</v>
      </c>
      <c r="C162" s="7" t="str">
        <v>MAMS</v>
      </c>
      <c r="D162" s="7" t="str">
        <v>jcleary|MAMS|RV_US_TY_Spread|91282CPM7</v>
      </c>
      <c r="E162" s="7" t="str">
        <v>RV_US_TY_Spread</v>
      </c>
      <c r="F162" s="7" t="str">
        <v>91282CPM7</v>
      </c>
      <c r="G162" s="7">
        <v>300.10000000000002</v>
      </c>
      <c r="H162" s="7">
        <v>0</v>
      </c>
      <c r="I162" s="7">
        <v>300.10000000000002</v>
      </c>
      <c r="J162" s="7">
        <v>0</v>
      </c>
      <c r="K162" s="7">
        <v>0</v>
      </c>
      <c r="L162" s="7">
        <v>0</v>
      </c>
      <c r="M162" s="7">
        <v>0</v>
      </c>
      <c r="N162" s="7" t="str">
        <v>Bond</v>
      </c>
      <c r="O162" s="6" cm="1">
        <f t="array" ref="O162">(_xll.qwPrice($A$1,F162)-_xll.qwPrice($A$4,F162))*_xll.qwMVFactor($A$1,F162)*I162*_xll.qwFXRate($A$1,F162)</f>
        <v>293066.40624970151</v>
      </c>
      <c r="P162" s="6" cm="1">
        <f t="array" ref="P162">IF(ISNUMBER(_xll.qwDV01($A$1,F162)*I162*_xll.qwMVFactor($A$1,F162)*_xll.qwFXRate($A$1,F162)),_xll.qwDV01($A$1,F162)*I162*_xll.qwMVFactor($A$1,F162)*_xll.qwFXRate($A$1,F162),0)</f>
        <v>150074.85416163038</v>
      </c>
      <c r="Q162" s="6" cm="1">
        <f t="array" ref="Q162">IF(ISNUMBER(_xll.qwDV01($A$1,F162)*G162*_xll.qwMVFactor($A$1,F162)*_xll.qwFXRate($A$1,F162)),_xll.qwDV01($A$1,F162)*G162*_xll.qwMVFactor($A$1,F162)*_xll.qwFXRate($A$1,F162),0)</f>
        <v>150074.85416163038</v>
      </c>
      <c r="R162" s="6" cm="1">
        <f t="array" ref="R162">IF(ISNUMBER(_xll.qwDV01($A$1,F162)*J162*_xll.qwMVFactor($A$1,F162)*_xll.qwFXRate($A$1,F162)),_xll.qwDV01($A$1,F162)*J162*_xll.qwMVFactor($A$1,F162)*_xll.qwFXRate($A$1,F162),0)</f>
        <v>0</v>
      </c>
      <c r="S162" s="6" cm="1">
        <f t="array" ref="S162">IF(ISNUMBER(_xll.qwDV01($A$1,F162)*J162*_xll.qwMVFactor($A$1,F162)*_xll.qwFXRate($A$1,F162)),_xll.qwDV01($A$1,F162)*J162*_xll.qwMVFactor($A$1,F162)*_xll.qwFXRate($A$1,F162),0)</f>
        <v>0</v>
      </c>
      <c r="T162" s="6" cm="1">
        <f t="array" ref="T162">_xll.qwFXRate($A$1,F162)*J162*(_xll.qwPrice($A$1,F162)-M162)*_xll.qwMVFactor($A$1,F162)+L162</f>
        <v>0</v>
      </c>
      <c r="U162" s="8" cm="1">
        <f t="array" ref="U162">_xll.qwYield($A$1,F162)</f>
        <v>5.0632977744396394E-2</v>
      </c>
      <c r="V162" s="8" cm="1">
        <f t="array" ref="V162">100*(_xll.qwYield($A$4,F162)-U162)</f>
        <v>1.8998072485010287E-2</v>
      </c>
      <c r="W162" s="6">
        <f>IF(ISNA(G162*INDEX(_xll.qwTblData(_xll.qwCurveScenariosPerSecurity($A$1,F162,"Crv210")),2,2)),0,(G162*INDEX(_xll.qwTblData(_xll.qwCurveScenariosPerSecurity($A$1,F162,"Crv210")),2,2)))</f>
        <v>-3869.8951777234074</v>
      </c>
      <c r="X162" s="6" cm="1">
        <f t="array" ref="X162">ABS(Q162/_xll.qwMV01($A$1,"CT10"))</f>
        <v>202.02942389570958</v>
      </c>
      <c r="Y162" s="6" cm="1">
        <f t="array" ref="Y162">IF(N162="BondFuture",-(_xll.qwCurveYield($A$1,_xll.qwSecVal($A$1,AA162,"CreditCurveName()"),AA162)-_xll.qwCurveYield($A$4,_xll.qwSecVal($A$4,AA162,"CreditCurveName()"),AA162))*P162*10000,IF(N162="Bond",-(_xll.qwCurveYield($A$1,_xll.qwSecVal($A$1,F162,"CreditCurveName()"),F162)-_xll.qwCurveYield($A$4,_xll.qwSecVal($A$4,F162,"CreditCurveName()"),F162))*P162*10000,O162))</f>
        <v>274119.56736208673</v>
      </c>
      <c r="Z162" s="6" cm="1">
        <f t="array" ref="Z162">IF(OR(N162="BondFuture",N162="Bond"),P162*(_xll.qwCurveZSpread($A$4,_xll.qwSecVal($A$1,AA162,"CreditCurveName()"),AA162)-_xll.qwCurveZSpread($A$1,_xll.qwSecVal($A$1,AA162,"CreditCurveName()"),AA162)),0)</f>
        <v>10993.728391913437</v>
      </c>
      <c r="AA162" s="9" t="str" cm="1">
        <f t="array" ref="AA162">IF(_xll.qwSecType(F162)="Bond",F162,IF(_xll.qwSecType(F162)="BondFuture",_xll.qwFutCTD($A$1,F162),0))</f>
        <v>91282CPM7</v>
      </c>
      <c r="AB162" s="6" cm="1">
        <f t="array" ref="AB162">IF(_xll.qwSecType(F162)="BondFuture",-(I162*_xll.qwDelta($A$4,F162)*_xll.qwMVFactor($A$1,F162)/_xll.qwMVFactor($A$1,_xll.qwFutCTD($A$1,F162)))*(_xll.qwFXRate($A$1,F162)*_xll.qwMVFactor($A$1,_xll.qwFutCTD($A$1,F162))*(_xll.qwIncome($A$4,_xll.qwFutCTD($A$4,F162),_xll.qwBondSettle($A$4,_xll.qwFutCTD($A$4,F162)),_xll.qwBondSettle($A$1,_xll.qwFutCTD($A$1,F162)))+(_xll.qwSecVal($A$1,AA162,"Price")-_xll.qwSecVal($A$4,AA162,"Price"))-_xll.qwBondRepoFromTo($A$1,AA162,_xll.qwBondSettle($A$4,AA162),_xll.qwBondSettle($A$1,AA162))*_xll.qwSecVal($A$1,AA162,"Price")*(_xll.qwBondSettle($A$1,AA162)-_xll.qwBondSettle($A$4,AA162))/360))+O162,0)</f>
        <v>0</v>
      </c>
      <c r="AC162" s="9" cm="1">
        <f t="array" ref="AC162">O162+T162+IF(ISNUMBER(_xll.qwIncome($A$1,F162,_xll.qwSettle($A$4,F162),_xll.qwSettle($A$1,F162))*_xll.qwMVFactor($A$1,F162)*_xll.qwFXRate($A$1,F162)*I162),_xll.qwIncome($A$1,F162,_xll.qwSettle($A$4,F162),_xll.qwSettle($A$1,F162))*_xll.qwMVFactor($A$1,F162)*_xll.qwFXRate($A$1,F162)*I162,0)+IF(ISNUMBER(-(_xll.qwBondRepoFromTo($A$1,F162,_xll.qwSettle($A$4,F162),_xll.qwSettle($A$1,F162))*_xll.qwSecVal($A$1,F162,"Price")*(_xll.qwSettle($A$1,F162)-_xll.qwSettle($A$4,F162))/360)*_xll.qwMVFactor($A$1,F162)*_xll.qwFXRate($A$1,F162)*I162),-(_xll.qwBondRepoFromTo($A$1,F162,_xll.qwSettle($A$4,F162),_xll.qwSettle($A$1,F162))*_xll.qwSecVal($A$1,F162,"Price")*(_xll.qwSettle($A$1,F162)-_xll.qwSettle($A$4,F162))/360)*_xll.qwMVFactor($A$1,F162)*_xll.qwFXRate($A$1,F162)*I162,0)</f>
        <v>293493.21133906342</v>
      </c>
      <c r="AD162" s="6"/>
    </row>
    <row r="163" spans="2:30" s="7" customFormat="1" x14ac:dyDescent="0.35">
      <c r="B163" s="7" t="str">
        <v>jcleary</v>
      </c>
      <c r="C163" s="7" t="str">
        <v>MAMS</v>
      </c>
      <c r="D163" s="7" t="str">
        <v>jcleary|MAMS|RV_US_TY_Spread|91282CPY1</v>
      </c>
      <c r="E163" s="7" t="str">
        <v>RV_US_TY_Spread</v>
      </c>
      <c r="F163" s="7" t="str">
        <v>91282CPY1</v>
      </c>
      <c r="G163" s="7">
        <v>229.28</v>
      </c>
      <c r="H163" s="7">
        <v>0</v>
      </c>
      <c r="I163" s="7">
        <v>229.28</v>
      </c>
      <c r="J163" s="7">
        <v>0</v>
      </c>
      <c r="K163" s="7">
        <v>0</v>
      </c>
      <c r="L163" s="7">
        <v>0</v>
      </c>
      <c r="M163" s="7">
        <v>0</v>
      </c>
      <c r="N163" s="7" t="str">
        <v>Bond</v>
      </c>
      <c r="O163" s="6" cm="1">
        <f t="array" ref="O163">(_xll.qwPrice($A$1,F163)-_xll.qwPrice($A$4,F163))*_xll.qwMVFactor($A$1,F163)*I163*_xll.qwFXRate($A$1,F163)</f>
        <v>232862.49999970675</v>
      </c>
      <c r="P163" s="6" cm="1">
        <f t="array" ref="P163">IF(ISNUMBER(_xll.qwDV01($A$1,F163)*I163*_xll.qwMVFactor($A$1,F163)*_xll.qwFXRate($A$1,F163)),_xll.qwDV01($A$1,F163)*I163*_xll.qwMVFactor($A$1,F163)*_xll.qwFXRate($A$1,F163),0)</f>
        <v>118122.26366600953</v>
      </c>
      <c r="Q163" s="6" cm="1">
        <f t="array" ref="Q163">IF(ISNUMBER(_xll.qwDV01($A$1,F163)*G163*_xll.qwMVFactor($A$1,F163)*_xll.qwFXRate($A$1,F163)),_xll.qwDV01($A$1,F163)*G163*_xll.qwMVFactor($A$1,F163)*_xll.qwFXRate($A$1,F163),0)</f>
        <v>118122.26366600953</v>
      </c>
      <c r="R163" s="6" cm="1">
        <f t="array" ref="R163">IF(ISNUMBER(_xll.qwDV01($A$1,F163)*J163*_xll.qwMVFactor($A$1,F163)*_xll.qwFXRate($A$1,F163)),_xll.qwDV01($A$1,F163)*J163*_xll.qwMVFactor($A$1,F163)*_xll.qwFXRate($A$1,F163),0)</f>
        <v>0</v>
      </c>
      <c r="S163" s="6" cm="1">
        <f t="array" ref="S163">IF(ISNUMBER(_xll.qwDV01($A$1,F163)*J163*_xll.qwMVFactor($A$1,F163)*_xll.qwFXRate($A$1,F163)),_xll.qwDV01($A$1,F163)*J163*_xll.qwMVFactor($A$1,F163)*_xll.qwFXRate($A$1,F163),0)</f>
        <v>0</v>
      </c>
      <c r="T163" s="6" cm="1">
        <f t="array" ref="T163">_xll.qwFXRate($A$1,F163)*J163*(_xll.qwPrice($A$1,F163)-M163)*_xll.qwMVFactor($A$1,F163)+L163</f>
        <v>0</v>
      </c>
      <c r="U163" s="8" cm="1">
        <f t="array" ref="U163">_xll.qwYield($A$1,F163)</f>
        <v>5.071636672990909E-2</v>
      </c>
      <c r="V163" s="8" cm="1">
        <f t="array" ref="V163">100*(_xll.qwYield($A$4,F163)-U163)</f>
        <v>1.931628955860118E-2</v>
      </c>
      <c r="W163" s="6">
        <f>IF(ISNA(G163*INDEX(_xll.qwTblData(_xll.qwCurveScenariosPerSecurity($A$1,F163,"Crv210")),2,2)),0,(G163*INDEX(_xll.qwTblData(_xll.qwCurveScenariosPerSecurity($A$1,F163,"Crv210")),2,2)))</f>
        <v>-5385.4420359389223</v>
      </c>
      <c r="X163" s="6" cm="1">
        <f t="array" ref="X163">ABS(Q163/_xll.qwMV01($A$1,"CT10"))</f>
        <v>159.01513288828079</v>
      </c>
      <c r="Y163" s="6" cm="1">
        <f t="array" ref="Y163">IF(N163="BondFuture",-(_xll.qwCurveYield($A$1,_xll.qwSecVal($A$1,AA163,"CreditCurveName()"),AA163)-_xll.qwCurveYield($A$4,_xll.qwSecVal($A$4,AA163,"CreditCurveName()"),AA163))*P163*10000,IF(N163="Bond",-(_xll.qwCurveYield($A$1,_xll.qwSecVal($A$1,F163,"CreditCurveName()"),F163)-_xll.qwCurveYield($A$4,_xll.qwSecVal($A$4,F163,"CreditCurveName()"),F163))*P163*10000,O163))</f>
        <v>220718.78201171651</v>
      </c>
      <c r="Z163" s="6" cm="1">
        <f t="array" ref="Z163">IF(OR(N163="BondFuture",N163="Bond"),P163*(_xll.qwCurveZSpread($A$4,_xll.qwSecVal($A$1,AA163,"CreditCurveName()"),AA163)-_xll.qwCurveZSpread($A$1,_xll.qwSecVal($A$1,AA163,"CreditCurveName()"),AA163)),0)</f>
        <v>7449.6028172910319</v>
      </c>
      <c r="AA163" s="9" t="str" cm="1">
        <f t="array" ref="AA163">IF(_xll.qwSecType(F163)="Bond",F163,IF(_xll.qwSecType(F163)="BondFuture",_xll.qwFutCTD($A$1,F163),0))</f>
        <v>91282CPY1</v>
      </c>
      <c r="AB163" s="6" cm="1">
        <f t="array" ref="AB163">IF(_xll.qwSecType(F163)="BondFuture",-(I163*_xll.qwDelta($A$4,F163)*_xll.qwMVFactor($A$1,F163)/_xll.qwMVFactor($A$1,_xll.qwFutCTD($A$1,F163)))*(_xll.qwFXRate($A$1,F163)*_xll.qwMVFactor($A$1,_xll.qwFutCTD($A$1,F163))*(_xll.qwIncome($A$4,_xll.qwFutCTD($A$4,F163),_xll.qwBondSettle($A$4,_xll.qwFutCTD($A$4,F163)),_xll.qwBondSettle($A$1,_xll.qwFutCTD($A$1,F163)))+(_xll.qwSecVal($A$1,AA163,"Price")-_xll.qwSecVal($A$4,AA163,"Price"))-_xll.qwBondRepoFromTo($A$1,AA163,_xll.qwBondSettle($A$4,AA163),_xll.qwBondSettle($A$1,AA163))*_xll.qwSecVal($A$1,AA163,"Price")*(_xll.qwBondSettle($A$1,AA163)-_xll.qwBondSettle($A$4,AA163))/360))+O163,0)</f>
        <v>0</v>
      </c>
      <c r="AC163" s="9" cm="1">
        <f t="array" ref="AC163">O163+T163+IF(ISNUMBER(_xll.qwIncome($A$1,F163,_xll.qwSettle($A$4,F163),_xll.qwSettle($A$1,F163))*_xll.qwMVFactor($A$1,F163)*_xll.qwFXRate($A$1,F163)*I163),_xll.qwIncome($A$1,F163,_xll.qwSettle($A$4,F163),_xll.qwSettle($A$1,F163))*_xll.qwMVFactor($A$1,F163)*_xll.qwFXRate($A$1,F163)*I163,0)+IF(ISNUMBER(-(_xll.qwBondRepoFromTo($A$1,F163,_xll.qwSettle($A$4,F163),_xll.qwSettle($A$1,F163))*_xll.qwSecVal($A$1,F163,"Price")*(_xll.qwSettle($A$1,F163)-_xll.qwSettle($A$4,F163))/360)*_xll.qwMVFactor($A$1,F163)*_xll.qwFXRate($A$1,F163)*I163),-(_xll.qwBondRepoFromTo($A$1,F163,_xll.qwSettle($A$4,F163),_xll.qwSettle($A$1,F163))*_xll.qwSecVal($A$1,F163,"Price")*(_xll.qwSettle($A$1,F163)-_xll.qwSettle($A$4,F163))/360)*_xll.qwMVFactor($A$1,F163)*_xll.qwFXRate($A$1,F163)*I163,0)</f>
        <v>234337.77645205701</v>
      </c>
      <c r="AD163" s="6"/>
    </row>
    <row r="164" spans="2:30" s="7" customFormat="1" x14ac:dyDescent="0.35">
      <c r="B164" s="7" t="str">
        <v>jcleary</v>
      </c>
      <c r="C164" s="7" t="str">
        <v>MAMS</v>
      </c>
      <c r="D164" s="7" t="str">
        <v>jcleary|MAMS|RV_US_TY_Spread|91282CRC7</v>
      </c>
      <c r="E164" s="7" t="str">
        <v>RV_US_TY_Spread</v>
      </c>
      <c r="F164" s="7" t="str">
        <v>91282CRC7</v>
      </c>
      <c r="G164" s="7">
        <v>-329.86</v>
      </c>
      <c r="H164" s="7">
        <v>0</v>
      </c>
      <c r="I164" s="7">
        <v>-329.86</v>
      </c>
      <c r="J164" s="7">
        <v>0</v>
      </c>
      <c r="K164" s="7">
        <v>0</v>
      </c>
      <c r="L164" s="7">
        <v>0</v>
      </c>
      <c r="M164" s="7">
        <v>0</v>
      </c>
      <c r="N164" s="7" t="str">
        <v>Bond</v>
      </c>
      <c r="O164" s="6" cm="1">
        <f t="array" ref="O164">(_xll.qwPrice($A$1,F164)-_xll.qwPrice($A$4,F164))*_xll.qwMVFactor($A$1,F164)*I164*_xll.qwFXRate($A$1,F164)</f>
        <v>-386554.68749990629</v>
      </c>
      <c r="P164" s="6" cm="1">
        <f t="array" ref="P164">IF(ISNUMBER(_xll.qwDV01($A$1,F164)*I164*_xll.qwMVFactor($A$1,F164)*_xll.qwFXRate($A$1,F164)),_xll.qwDV01($A$1,F164)*I164*_xll.qwMVFactor($A$1,F164)*_xll.qwFXRate($A$1,F164),0)</f>
        <v>-183014.44095811804</v>
      </c>
      <c r="Q164" s="6" cm="1">
        <f t="array" ref="Q164">IF(ISNUMBER(_xll.qwDV01($A$1,F164)*G164*_xll.qwMVFactor($A$1,F164)*_xll.qwFXRate($A$1,F164)),_xll.qwDV01($A$1,F164)*G164*_xll.qwMVFactor($A$1,F164)*_xll.qwFXRate($A$1,F164),0)</f>
        <v>-183014.44095811804</v>
      </c>
      <c r="R164" s="6" cm="1">
        <f t="array" ref="R164">IF(ISNUMBER(_xll.qwDV01($A$1,F164)*J164*_xll.qwMVFactor($A$1,F164)*_xll.qwFXRate($A$1,F164)),_xll.qwDV01($A$1,F164)*J164*_xll.qwMVFactor($A$1,F164)*_xll.qwFXRate($A$1,F164),0)</f>
        <v>0</v>
      </c>
      <c r="S164" s="6" cm="1">
        <f t="array" ref="S164">IF(ISNUMBER(_xll.qwDV01($A$1,F164)*J164*_xll.qwMVFactor($A$1,F164)*_xll.qwFXRate($A$1,F164)),_xll.qwDV01($A$1,F164)*J164*_xll.qwMVFactor($A$1,F164)*_xll.qwFXRate($A$1,F164),0)</f>
        <v>0</v>
      </c>
      <c r="T164" s="6" cm="1">
        <f t="array" ref="T164">_xll.qwFXRate($A$1,F164)*J164*(_xll.qwPrice($A$1,F164)-M164)*_xll.qwMVFactor($A$1,F164)+L164</f>
        <v>0</v>
      </c>
      <c r="U164" s="8" cm="1">
        <f t="array" ref="U164">_xll.qwYield($A$1,F164)</f>
        <v>5.0879325977215326E-2</v>
      </c>
      <c r="V164" s="8" cm="1">
        <f t="array" ref="V164">100*(_xll.qwYield($A$4,F164)-U164)</f>
        <v>2.0889303908877555E-2</v>
      </c>
      <c r="W164" s="6">
        <f>IF(ISNA(G164*INDEX(_xll.qwTblData(_xll.qwCurveScenariosPerSecurity($A$1,F164,"Crv210")),2,2)),0,(G164*INDEX(_xll.qwTblData(_xll.qwCurveScenariosPerSecurity($A$1,F164,"Crv210")),2,2)))</f>
        <v>19314.583733334632</v>
      </c>
      <c r="X164" s="6" cm="1">
        <f t="array" ref="X164">ABS(Q164/_xll.qwMV01($A$1,"CT10"))</f>
        <v>246.37240047918141</v>
      </c>
      <c r="Y164" s="6" cm="1">
        <f t="array" ref="Y164">IF(N164="BondFuture",-(_xll.qwCurveYield($A$1,_xll.qwSecVal($A$1,AA164,"CreditCurveName()"),AA164)-_xll.qwCurveYield($A$4,_xll.qwSecVal($A$4,AA164,"CreditCurveName()"),AA164))*P164*10000,IF(N164="Bond",-(_xll.qwCurveYield($A$1,_xll.qwSecVal($A$1,F164,"CreditCurveName()"),F164)-_xll.qwCurveYield($A$4,_xll.qwSecVal($A$4,F164,"CreditCurveName()"),F164))*P164*10000,O164))</f>
        <v>-364828.52273151756</v>
      </c>
      <c r="Z164" s="6" cm="1">
        <f t="array" ref="Z164">IF(OR(N164="BondFuture",N164="Bond"),P164*(_xll.qwCurveZSpread($A$4,_xll.qwSecVal($A$1,AA164,"CreditCurveName()"),AA164)-_xll.qwCurveZSpread($A$1,_xll.qwSecVal($A$1,AA164,"CreditCurveName()"),AA164)),0)</f>
        <v>-17475.904957228013</v>
      </c>
      <c r="AA164" s="9" t="str" cm="1">
        <f t="array" ref="AA164">IF(_xll.qwSecType(F164)="Bond",F164,IF(_xll.qwSecType(F164)="BondFuture",_xll.qwFutCTD($A$1,F164),0))</f>
        <v>91282CRC7</v>
      </c>
      <c r="AB164" s="6" cm="1">
        <f t="array" ref="AB164">IF(_xll.qwSecType(F164)="BondFuture",-(I164*_xll.qwDelta($A$4,F164)*_xll.qwMVFactor($A$1,F164)/_xll.qwMVFactor($A$1,_xll.qwFutCTD($A$1,F164)))*(_xll.qwFXRate($A$1,F164)*_xll.qwMVFactor($A$1,_xll.qwFutCTD($A$1,F164))*(_xll.qwIncome($A$4,_xll.qwFutCTD($A$4,F164),_xll.qwBondSettle($A$4,_xll.qwFutCTD($A$4,F164)),_xll.qwBondSettle($A$1,_xll.qwFutCTD($A$1,F164)))+(_xll.qwSecVal($A$1,AA164,"Price")-_xll.qwSecVal($A$4,AA164,"Price"))-_xll.qwBondRepoFromTo($A$1,AA164,_xll.qwBondSettle($A$4,AA164),_xll.qwBondSettle($A$1,AA164))*_xll.qwSecVal($A$1,AA164,"Price")*(_xll.qwBondSettle($A$1,AA164)-_xll.qwBondSettle($A$4,AA164))/360))+O164,0)</f>
        <v>0</v>
      </c>
      <c r="AC164" s="9" cm="1">
        <f t="array" ref="AC164">O164+T164+IF(ISNUMBER(_xll.qwIncome($A$1,F164,_xll.qwSettle($A$4,F164),_xll.qwSettle($A$1,F164))*_xll.qwMVFactor($A$1,F164)*_xll.qwFXRate($A$1,F164)*I164),_xll.qwIncome($A$1,F164,_xll.qwSettle($A$4,F164),_xll.qwSettle($A$1,F164))*_xll.qwMVFactor($A$1,F164)*_xll.qwFXRate($A$1,F164)*I164,0)+IF(ISNUMBER(-(_xll.qwBondRepoFromTo($A$1,F164,_xll.qwSettle($A$4,F164),_xll.qwSettle($A$1,F164))*_xll.qwSecVal($A$1,F164,"Price")*(_xll.qwSettle($A$1,F164)-_xll.qwSettle($A$4,F164))/360)*_xll.qwMVFactor($A$1,F164)*_xll.qwFXRate($A$1,F164)*I164),-(_xll.qwBondRepoFromTo($A$1,F164,_xll.qwSettle($A$4,F164),_xll.qwSettle($A$1,F164))*_xll.qwSecVal($A$1,F164,"Price")*(_xll.qwSettle($A$1,F164)-_xll.qwSettle($A$4,F164))/360)*_xll.qwMVFactor($A$1,F164)*_xll.qwFXRate($A$1,F164)*I164,0)</f>
        <v>-391444.50988249521</v>
      </c>
      <c r="AD164" s="6"/>
    </row>
    <row r="165" spans="2:30" s="7" customFormat="1" x14ac:dyDescent="0.35">
      <c r="B165" s="7" t="str">
        <v>jcleary</v>
      </c>
      <c r="C165" s="7" t="str">
        <v>MAMS</v>
      </c>
      <c r="D165" s="7" t="str">
        <v>jcleary|MAMS|RV_US_TY_Spread|91282CRJ2</v>
      </c>
      <c r="E165" s="7" t="str">
        <v>RV_US_TY_Spread</v>
      </c>
      <c r="F165" s="7" t="str">
        <v>91282CRJ2</v>
      </c>
      <c r="G165" s="7">
        <v>228.85</v>
      </c>
      <c r="H165" s="7">
        <v>0</v>
      </c>
      <c r="I165" s="7">
        <v>228.85</v>
      </c>
      <c r="J165" s="7">
        <v>0</v>
      </c>
      <c r="K165" s="7">
        <v>0</v>
      </c>
      <c r="L165" s="7">
        <v>0</v>
      </c>
      <c r="M165" s="7">
        <v>0</v>
      </c>
      <c r="N165" s="7" t="str">
        <v>Bond</v>
      </c>
      <c r="O165" s="6" cm="1">
        <f t="array" ref="O165">(_xll.qwPrice($A$1,F165)-_xll.qwPrice($A$4,F165))*_xll.qwMVFactor($A$1,F165)*I165*_xll.qwFXRate($A$1,F165)</f>
        <v>268183.59422946506</v>
      </c>
      <c r="P165" s="6" cm="1">
        <f t="array" ref="P165">IF(ISNUMBER(_xll.qwDV01($A$1,F165)*I165*_xll.qwMVFactor($A$1,F165)*_xll.qwFXRate($A$1,F165)),_xll.qwDV01($A$1,F165)*I165*_xll.qwMVFactor($A$1,F165)*_xll.qwFXRate($A$1,F165),0)</f>
        <v>128780.35914809516</v>
      </c>
      <c r="Q165" s="6" cm="1">
        <f t="array" ref="Q165">IF(ISNUMBER(_xll.qwDV01($A$1,F165)*G165*_xll.qwMVFactor($A$1,F165)*_xll.qwFXRate($A$1,F165)),_xll.qwDV01($A$1,F165)*G165*_xll.qwMVFactor($A$1,F165)*_xll.qwFXRate($A$1,F165),0)</f>
        <v>128780.35914809516</v>
      </c>
      <c r="R165" s="6" cm="1">
        <f t="array" ref="R165">IF(ISNUMBER(_xll.qwDV01($A$1,F165)*J165*_xll.qwMVFactor($A$1,F165)*_xll.qwFXRate($A$1,F165)),_xll.qwDV01($A$1,F165)*J165*_xll.qwMVFactor($A$1,F165)*_xll.qwFXRate($A$1,F165),0)</f>
        <v>0</v>
      </c>
      <c r="S165" s="6" cm="1">
        <f t="array" ref="S165">IF(ISNUMBER(_xll.qwDV01($A$1,F165)*J165*_xll.qwMVFactor($A$1,F165)*_xll.qwFXRate($A$1,F165)),_xll.qwDV01($A$1,F165)*J165*_xll.qwMVFactor($A$1,F165)*_xll.qwFXRate($A$1,F165),0)</f>
        <v>0</v>
      </c>
      <c r="T165" s="6" cm="1">
        <f t="array" ref="T165">_xll.qwFXRate($A$1,F165)*J165*(_xll.qwPrice($A$1,F165)-M165)*_xll.qwMVFactor($A$1,F165)+L165</f>
        <v>0</v>
      </c>
      <c r="U165" s="8" cm="1">
        <f t="array" ref="U165">_xll.qwYield($A$1,F165)</f>
        <v>5.0876264240570471E-2</v>
      </c>
      <c r="V165" s="8" cm="1">
        <f t="array" ref="V165">100*(_xll.qwYield($A$4,F165)-U165)</f>
        <v>2.0645205908060432E-2</v>
      </c>
      <c r="W165" s="6">
        <f>IF(ISNA(G165*INDEX(_xll.qwTblData(_xll.qwCurveScenariosPerSecurity($A$1,F165,"Crv210")),2,2)),0,(G165*INDEX(_xll.qwTblData(_xll.qwCurveScenariosPerSecurity($A$1,F165,"Crv210")),2,2)))</f>
        <v>-14830.455063761128</v>
      </c>
      <c r="X165" s="6" cm="1">
        <f t="array" ref="X165">ABS(Q165/_xll.qwMV01($A$1,"CT10"))</f>
        <v>173.36296552220213</v>
      </c>
      <c r="Y165" s="6" cm="1">
        <f t="array" ref="Y165">IF(N165="BondFuture",-(_xll.qwCurveYield($A$1,_xll.qwSecVal($A$1,AA165,"CreditCurveName()"),AA165)-_xll.qwCurveYield($A$4,_xll.qwSecVal($A$4,AA165,"CreditCurveName()"),AA165))*P165*10000,IF(N165="Bond",-(_xll.qwCurveYield($A$1,_xll.qwSecVal($A$1,F165,"CreditCurveName()"),F165)-_xll.qwCurveYield($A$4,_xll.qwSecVal($A$4,F165,"CreditCurveName()"),F165))*P165*10000,O165))</f>
        <v>258635.15619707873</v>
      </c>
      <c r="Z165" s="6" cm="1">
        <f t="array" ref="Z165">IF(OR(N165="BondFuture",N165="Bond"),P165*(_xll.qwCurveZSpread($A$4,_xll.qwSecVal($A$1,AA165,"CreditCurveName()"),AA165)-_xll.qwCurveZSpread($A$1,_xll.qwSecVal($A$1,AA165,"CreditCurveName()"),AA165)),0)</f>
        <v>7234.5469555611271</v>
      </c>
      <c r="AA165" s="9" t="str" cm="1">
        <f t="array" ref="AA165">IF(_xll.qwSecType(F165)="Bond",F165,IF(_xll.qwSecType(F165)="BondFuture",_xll.qwFutCTD($A$1,F165),0))</f>
        <v>91282CRJ2</v>
      </c>
      <c r="AB165" s="6" cm="1">
        <f t="array" ref="AB165">IF(_xll.qwSecType(F165)="BondFuture",-(I165*_xll.qwDelta($A$4,F165)*_xll.qwMVFactor($A$1,F165)/_xll.qwMVFactor($A$1,_xll.qwFutCTD($A$1,F165)))*(_xll.qwFXRate($A$1,F165)*_xll.qwMVFactor($A$1,_xll.qwFutCTD($A$1,F165))*(_xll.qwIncome($A$4,_xll.qwFutCTD($A$4,F165),_xll.qwBondSettle($A$4,_xll.qwFutCTD($A$4,F165)),_xll.qwBondSettle($A$1,_xll.qwFutCTD($A$1,F165)))+(_xll.qwSecVal($A$1,AA165,"Price")-_xll.qwSecVal($A$4,AA165,"Price"))-_xll.qwBondRepoFromTo($A$1,AA165,_xll.qwBondSettle($A$4,AA165),_xll.qwBondSettle($A$1,AA165))*_xll.qwSecVal($A$1,AA165,"Price")*(_xll.qwBondSettle($A$1,AA165)-_xll.qwBondSettle($A$4,AA165))/360))+O165,0)</f>
        <v>0</v>
      </c>
      <c r="AC165" s="9" cm="1">
        <f t="array" ref="AC165">O165+T165+IF(ISNUMBER(_xll.qwIncome($A$1,F165,_xll.qwSettle($A$4,F165),_xll.qwSettle($A$1,F165))*_xll.qwMVFactor($A$1,F165)*_xll.qwFXRate($A$1,F165)*I165),_xll.qwIncome($A$1,F165,_xll.qwSettle($A$4,F165),_xll.qwSettle($A$1,F165))*_xll.qwMVFactor($A$1,F165)*_xll.qwFXRate($A$1,F165)*I165,0)+IF(ISNUMBER(-(_xll.qwBondRepoFromTo($A$1,F165,_xll.qwSettle($A$4,F165),_xll.qwSettle($A$1,F165))*_xll.qwSecVal($A$1,F165,"Price")*(_xll.qwSettle($A$1,F165)-_xll.qwSettle($A$4,F165))/360)*_xll.qwMVFactor($A$1,F165)*_xll.qwFXRate($A$1,F165)*I165),-(_xll.qwBondRepoFromTo($A$1,F165,_xll.qwSettle($A$4,F165),_xll.qwSettle($A$1,F165))*_xll.qwSecVal($A$1,F165,"Price")*(_xll.qwSettle($A$1,F165)-_xll.qwSettle($A$4,F165))/360)*_xll.qwMVFactor($A$1,F165)*_xll.qwFXRate($A$1,F165)*I165,0)</f>
        <v>272648.51233743923</v>
      </c>
      <c r="AD165" s="6"/>
    </row>
    <row r="166" spans="2:30" s="7" customFormat="1" x14ac:dyDescent="0.35">
      <c r="B166" s="7" t="str">
        <v>jcleary</v>
      </c>
      <c r="C166" s="7" t="str">
        <v>MAMS</v>
      </c>
      <c r="D166" s="7" t="str">
        <v>jcleary|MAMS|RV_US_TY_Spread|91282CRM5</v>
      </c>
      <c r="E166" s="7" t="str">
        <v>RV_US_TY_Spread</v>
      </c>
      <c r="F166" s="7" t="str">
        <v>91282CRM5</v>
      </c>
      <c r="G166" s="7">
        <v>142.65</v>
      </c>
      <c r="H166" s="7">
        <v>0</v>
      </c>
      <c r="I166" s="7">
        <v>142.65</v>
      </c>
      <c r="J166" s="7">
        <v>0</v>
      </c>
      <c r="K166" s="7">
        <v>0</v>
      </c>
      <c r="L166" s="7">
        <v>0</v>
      </c>
      <c r="M166" s="7">
        <v>0</v>
      </c>
      <c r="N166" s="7" t="str">
        <v>Bond</v>
      </c>
      <c r="O166" s="6" cm="1">
        <f t="array" ref="O166">(_xll.qwPrice($A$1,F166)-_xll.qwPrice($A$4,F166))*_xll.qwMVFactor($A$1,F166)*I166*_xll.qwFXRate($A$1,F166)</f>
        <v>178312.49999991892</v>
      </c>
      <c r="P166" s="6" cm="1">
        <f t="array" ref="P166">IF(ISNUMBER(_xll.qwDV01($A$1,F166)*I166*_xll.qwMVFactor($A$1,F166)*_xll.qwFXRate($A$1,F166)),_xll.qwDV01($A$1,F166)*I166*_xll.qwMVFactor($A$1,F166)*_xll.qwFXRate($A$1,F166),0)</f>
        <v>82480.132931550543</v>
      </c>
      <c r="Q166" s="6" cm="1">
        <f t="array" ref="Q166">IF(ISNUMBER(_xll.qwDV01($A$1,F166)*G166*_xll.qwMVFactor($A$1,F166)*_xll.qwFXRate($A$1,F166)),_xll.qwDV01($A$1,F166)*G166*_xll.qwMVFactor($A$1,F166)*_xll.qwFXRate($A$1,F166),0)</f>
        <v>82480.132931550543</v>
      </c>
      <c r="R166" s="6" cm="1">
        <f t="array" ref="R166">IF(ISNUMBER(_xll.qwDV01($A$1,F166)*J166*_xll.qwMVFactor($A$1,F166)*_xll.qwFXRate($A$1,F166)),_xll.qwDV01($A$1,F166)*J166*_xll.qwMVFactor($A$1,F166)*_xll.qwFXRate($A$1,F166),0)</f>
        <v>0</v>
      </c>
      <c r="S166" s="6" cm="1">
        <f t="array" ref="S166">IF(ISNUMBER(_xll.qwDV01($A$1,F166)*J166*_xll.qwMVFactor($A$1,F166)*_xll.qwFXRate($A$1,F166)),_xll.qwDV01($A$1,F166)*J166*_xll.qwMVFactor($A$1,F166)*_xll.qwFXRate($A$1,F166),0)</f>
        <v>0</v>
      </c>
      <c r="T166" s="6" cm="1">
        <f t="array" ref="T166">_xll.qwFXRate($A$1,F166)*J166*(_xll.qwPrice($A$1,F166)-M166)*_xll.qwMVFactor($A$1,F166)+L166</f>
        <v>0</v>
      </c>
      <c r="U166" s="8" cm="1">
        <f t="array" ref="U166">_xll.qwYield($A$1,F166)</f>
        <v>5.0878336465150477E-2</v>
      </c>
      <c r="V166" s="8" cm="1">
        <f t="array" ref="V166">100*(_xll.qwYield($A$4,F166)-U166)</f>
        <v>2.1623917281092531E-2</v>
      </c>
      <c r="W166" s="6">
        <f>IF(ISNA(G166*INDEX(_xll.qwTblData(_xll.qwCurveScenariosPerSecurity($A$1,F166,"Crv210")),2,2)),0,(G166*INDEX(_xll.qwTblData(_xll.qwCurveScenariosPerSecurity($A$1,F166,"Crv210")),2,2)))</f>
        <v>-9974.7664998172349</v>
      </c>
      <c r="X166" s="6" cm="1">
        <f t="array" ref="X166">ABS(Q166/_xll.qwMV01($A$1,"CT10"))</f>
        <v>111.03401587221421</v>
      </c>
      <c r="Y166" s="6" cm="1">
        <f t="array" ref="Y166">IF(N166="BondFuture",-(_xll.qwCurveYield($A$1,_xll.qwSecVal($A$1,AA166,"CreditCurveName()"),AA166)-_xll.qwCurveYield($A$4,_xll.qwSecVal($A$4,AA166,"CreditCurveName()"),AA166))*P166*10000,IF(N166="Bond",-(_xll.qwCurveYield($A$1,_xll.qwSecVal($A$1,F166,"CreditCurveName()"),F166)-_xll.qwCurveYield($A$4,_xll.qwSecVal($A$4,F166,"CreditCurveName()"),F166))*P166*10000,O166))</f>
        <v>166384.03421857106</v>
      </c>
      <c r="Z166" s="6" cm="1">
        <f t="array" ref="Z166">IF(OR(N166="BondFuture",N166="Bond"),P166*(_xll.qwCurveZSpread($A$4,_xll.qwSecVal($A$1,AA166,"CreditCurveName()"),AA166)-_xll.qwCurveZSpread($A$1,_xll.qwSecVal($A$1,AA166,"CreditCurveName()"),AA166)),0)</f>
        <v>11970.322965965443</v>
      </c>
      <c r="AA166" s="9" t="str" cm="1">
        <f t="array" ref="AA166">IF(_xll.qwSecType(F166)="Bond",F166,IF(_xll.qwSecType(F166)="BondFuture",_xll.qwFutCTD($A$1,F166),0))</f>
        <v>91282CRM5</v>
      </c>
      <c r="AB166" s="6" cm="1">
        <f t="array" ref="AB166">IF(_xll.qwSecType(F166)="BondFuture",-(I166*_xll.qwDelta($A$4,F166)*_xll.qwMVFactor($A$1,F166)/_xll.qwMVFactor($A$1,_xll.qwFutCTD($A$1,F166)))*(_xll.qwFXRate($A$1,F166)*_xll.qwMVFactor($A$1,_xll.qwFutCTD($A$1,F166))*(_xll.qwIncome($A$4,_xll.qwFutCTD($A$4,F166),_xll.qwBondSettle($A$4,_xll.qwFutCTD($A$4,F166)),_xll.qwBondSettle($A$1,_xll.qwFutCTD($A$1,F166)))+(_xll.qwSecVal($A$1,AA166,"Price")-_xll.qwSecVal($A$4,AA166,"Price"))-_xll.qwBondRepoFromTo($A$1,AA166,_xll.qwBondSettle($A$4,AA166),_xll.qwBondSettle($A$1,AA166))*_xll.qwSecVal($A$1,AA166,"Price")*(_xll.qwBondSettle($A$1,AA166)-_xll.qwBondSettle($A$4,AA166))/360))+O166,0)</f>
        <v>0</v>
      </c>
      <c r="AC166" s="9" cm="1">
        <f t="array" ref="AC166">O166+T166+IF(ISNUMBER(_xll.qwIncome($A$1,F166,_xll.qwSettle($A$4,F166),_xll.qwSettle($A$1,F166))*_xll.qwMVFactor($A$1,F166)*_xll.qwFXRate($A$1,F166)*I166),_xll.qwIncome($A$1,F166,_xll.qwSettle($A$4,F166),_xll.qwSettle($A$1,F166))*_xll.qwMVFactor($A$1,F166)*_xll.qwFXRate($A$1,F166)*I166,0)+IF(ISNUMBER(-(_xll.qwBondRepoFromTo($A$1,F166,_xll.qwSettle($A$4,F166),_xll.qwSettle($A$1,F166))*_xll.qwSecVal($A$1,F166,"Price")*(_xll.qwSettle($A$1,F166)-_xll.qwSettle($A$4,F166))/360)*_xll.qwMVFactor($A$1,F166)*_xll.qwFXRate($A$1,F166)*I166),-(_xll.qwBondRepoFromTo($A$1,F166,_xll.qwSettle($A$4,F166),_xll.qwSettle($A$1,F166))*_xll.qwSecVal($A$1,F166,"Price")*(_xll.qwSettle($A$1,F166)-_xll.qwSettle($A$4,F166))/360)*_xll.qwMVFactor($A$1,F166)*_xll.qwFXRate($A$1,F166)*I166,0)</f>
        <v>183381.34740951535</v>
      </c>
      <c r="AD166" s="6"/>
    </row>
    <row r="167" spans="2:30" s="7" customFormat="1" hidden="1" x14ac:dyDescent="0.35">
      <c r="B167" s="7" t="str">
        <v>jcleary</v>
      </c>
      <c r="C167" s="7" t="str">
        <v>MAMS</v>
      </c>
      <c r="D167" s="7" t="str">
        <v>jcleary|MAMS|RV_US_TY_Spread|SERV6</v>
      </c>
      <c r="E167" s="7" t="str">
        <v>RV_US_TY_Spread</v>
      </c>
      <c r="F167" s="7" t="str">
        <v>SERV6</v>
      </c>
      <c r="G167" s="7">
        <v>-163</v>
      </c>
      <c r="H167" s="7">
        <v>0</v>
      </c>
      <c r="I167" s="7">
        <v>-163</v>
      </c>
      <c r="J167" s="7">
        <v>0</v>
      </c>
      <c r="K167" s="7">
        <v>0</v>
      </c>
      <c r="L167" s="7">
        <v>0</v>
      </c>
      <c r="M167" s="7">
        <v>0</v>
      </c>
      <c r="N167" s="7" t="str">
        <v>RateFuture</v>
      </c>
      <c r="O167" s="6" cm="1">
        <f t="array" ref="O167">(_xll.qwPrice($A$1,F167)-_xll.qwPrice($A$4,F167))*_xll.qwMVFactor($A$1,F167)*I167*_xll.qwFXRate($A$1,F167)</f>
        <v>1698.0524999984557</v>
      </c>
      <c r="P167" s="6" cm="1">
        <f t="array" ref="P167">IF(ISNUMBER(_xll.qwDV01($A$1,F167)*I167*_xll.qwMVFactor($A$1,F167)*_xll.qwFXRate($A$1,F167)),_xll.qwDV01($A$1,F167)*I167*_xll.qwMVFactor($A$1,F167)*_xll.qwFXRate($A$1,F167),0)</f>
        <v>-3724.7603225806447</v>
      </c>
      <c r="Q167" s="6" cm="1">
        <f t="array" ref="Q167">IF(ISNUMBER(_xll.qwDV01($A$1,F167)*G167*_xll.qwMVFactor($A$1,F167)*_xll.qwFXRate($A$1,F167)),_xll.qwDV01($A$1,F167)*G167*_xll.qwMVFactor($A$1,F167)*_xll.qwFXRate($A$1,F167),0)</f>
        <v>-3724.7603225806447</v>
      </c>
      <c r="R167" s="6" cm="1">
        <f t="array" ref="R167">IF(ISNUMBER(_xll.qwDV01($A$1,F167)*J167*_xll.qwMVFactor($A$1,F167)*_xll.qwFXRate($A$1,F167)),_xll.qwDV01($A$1,F167)*J167*_xll.qwMVFactor($A$1,F167)*_xll.qwFXRate($A$1,F167),0)</f>
        <v>0</v>
      </c>
      <c r="S167" s="6" cm="1">
        <f t="array" ref="S167">IF(ISNUMBER(_xll.qwDV01($A$1,F167)*J167*_xll.qwMVFactor($A$1,F167)*_xll.qwFXRate($A$1,F167)),_xll.qwDV01($A$1,F167)*J167*_xll.qwMVFactor($A$1,F167)*_xll.qwFXRate($A$1,F167),0)</f>
        <v>0</v>
      </c>
      <c r="T167" s="6" cm="1">
        <f t="array" ref="T167">_xll.qwFXRate($A$1,F167)*J167*(_xll.qwPrice($A$1,F167)-M167)*_xll.qwMVFactor($A$1,F167)</f>
        <v>0</v>
      </c>
      <c r="U167" s="8" cm="1">
        <f t="array" ref="U167">_xll.qwYield($A$1,F167)</f>
        <v>3.9119260558155323E-2</v>
      </c>
      <c r="V167" s="8" cm="1">
        <f t="array" ref="V167">100*(_xll.qwYield($A$4,F167)-U167)</f>
        <v>-8.1176879049328632E-3</v>
      </c>
      <c r="W167" s="6">
        <f>IF(ISNA(G167*INDEX(_xll.qwTblData(_xll.qwCurveScenariosPerSecurity($A$1,F167,"Crv210")),2,2)),0,(G167*INDEX(_xll.qwTblData(_xll.qwCurveScenariosPerSecurity($A$1,F167,"Crv210")),2,2)))</f>
        <v>-2676.5455714024233</v>
      </c>
      <c r="X167" s="6" cm="1">
        <f t="array" ref="X167">ABS(Q167/_xll.qwMV01($A$1,"CT10"))</f>
        <v>5.0142389697751213</v>
      </c>
      <c r="Y167" s="6" cm="1">
        <f t="array" ref="Y167">IF(N167="BondFuture",-(_xll.qwCurveYield($A$1,_xll.qwSecVal($A$1,AA167,"CreditCurveName()"),AA167)-_xll.qwCurveYield($A$4,_xll.qwSecVal($A$4,AA167,"CreditCurveName()"),AA167))*P167*10000,IF(N167="Bond",-(_xll.qwCurveYield($A$1,_xll.qwSecVal($A$1,F167,"CreditCurveName()"),F167)-_xll.qwCurveYield($A$4,_xll.qwSecVal($A$4,F167,"CreditCurveName()"),F167))*P167*10000,O167))</f>
        <v>1698.0524999984557</v>
      </c>
      <c r="Z167" s="6" cm="1">
        <f t="array" ref="Z167">IF(OR(N167="BondFuture",N167="Bond"),P167*(_xll.qwCurveZSpread($A$4,_xll.qwSecVal($A$1,AA167,"CreditCurveName()"),AA167)-_xll.qwCurveZSpread($A$1,_xll.qwSecVal($A$1,AA167,"CreditCurveName()"),AA167)),0)</f>
        <v>0</v>
      </c>
      <c r="AA167" s="9" cm="1">
        <f t="array" ref="AA167">IF(_xll.qwSecType(F167)="Bond",F167,IF(_xll.qwSecType(F167)="BondFuture",_xll.qwFutCTD($A$1,F167),0))</f>
        <v>0</v>
      </c>
      <c r="AB167" s="6" cm="1">
        <f t="array" ref="AB167">IF(_xll.qwSecType(F167)="BondFuture",-(I167*_xll.qwDelta($A$4,F167)*_xll.qwMVFactor($A$1,F167)/_xll.qwMVFactor($A$1,_xll.qwFutCTD($A$1,F167)))*(_xll.qwFXRate($A$1,F167)*_xll.qwMVFactor($A$1,_xll.qwFutCTD($A$1,F167))*(_xll.qwIncome($A$4,_xll.qwFutCTD($A$4,F167),_xll.qwBondSettle($A$4,_xll.qwFutCTD($A$4,F167)),_xll.qwBondSettle($A$1,_xll.qwFutCTD($A$1,F167)))+(_xll.qwSecVal($A$1,AA167,"Price")-_xll.qwSecVal($A$4,AA167,"Price"))-_xll.qwBondRepoFromTo($A$1,AA167,_xll.qwBondSettle($A$4,AA167),_xll.qwBondSettle($A$1,AA167))*_xll.qwSecVal($A$1,AA167,"Price")*(_xll.qwBondSettle($A$1,AA167)-_xll.qwBondSettle($A$4,AA167))/360))+O167,0)</f>
        <v>0</v>
      </c>
      <c r="AC167" s="9" cm="1">
        <f t="array" ref="AC167">O167+T167+IF(ISNUMBER(_xll.qwIncome($A$1,F167,_xll.qwSettle($A$4,F167),_xll.qwSettle($A$1,F167))*_xll.qwMVFactor($A$1,F167)*_xll.qwFXRate($A$1,F167)*I167),_xll.qwIncome($A$1,F167,_xll.qwSettle($A$4,F167),_xll.qwSettle($A$1,F167))*_xll.qwMVFactor($A$1,F167)*_xll.qwFXRate($A$1,F167)*I167,0)+IF(ISNUMBER(-(_xll.qwBondRepoFromTo($A$1,F167,_xll.qwSettle($A$4,F167),_xll.qwSettle($A$1,F167))*_xll.qwSecVal($A$1,F167,"Price")*(_xll.qwSettle($A$1,F167)-_xll.qwSettle($A$4,F167))/360)*_xll.qwMVFactor($A$1,F167)*_xll.qwFXRate($A$1,F167)*I167),-(_xll.qwBondRepoFromTo($A$1,F167,_xll.qwSettle($A$4,F167),_xll.qwSettle($A$1,F167))*_xll.qwSecVal($A$1,F167,"Price")*(_xll.qwSettle($A$1,F167)-_xll.qwSettle($A$4,F167))/360)*_xll.qwMVFactor($A$1,F167)*_xll.qwFXRate($A$1,F167)*I167,0)</f>
        <v>1698.0524999984557</v>
      </c>
      <c r="AD167" s="6"/>
    </row>
    <row r="168" spans="2:30" s="7" customFormat="1" hidden="1" x14ac:dyDescent="0.35">
      <c r="B168" s="7" t="str">
        <v>jcleary</v>
      </c>
      <c r="C168" s="7" t="str">
        <v>MAMS</v>
      </c>
      <c r="D168" s="7" t="str">
        <v>jcleary|MAMS|RV_US_TY_Spread|SERX6</v>
      </c>
      <c r="E168" s="7" t="str">
        <v>RV_US_TY_Spread</v>
      </c>
      <c r="F168" s="7" t="str">
        <v>SERX6</v>
      </c>
      <c r="G168" s="7">
        <v>-159</v>
      </c>
      <c r="H168" s="7">
        <v>0</v>
      </c>
      <c r="I168" s="7">
        <v>-159</v>
      </c>
      <c r="J168" s="7">
        <v>0</v>
      </c>
      <c r="K168" s="7">
        <v>0</v>
      </c>
      <c r="L168" s="7">
        <v>0</v>
      </c>
      <c r="M168" s="7">
        <v>0</v>
      </c>
      <c r="N168" s="7" t="str">
        <v>RateFuture</v>
      </c>
      <c r="O168" s="6" cm="1">
        <f t="array" ref="O168">(_xll.qwPrice($A$1,F168)-_xll.qwPrice($A$4,F168))*_xll.qwMVFactor($A$1,F168)*I168*_xll.qwFXRate($A$1,F168)</f>
        <v>19876.590000000753</v>
      </c>
      <c r="P168" s="6" cm="1">
        <f t="array" ref="P168">IF(ISNUMBER(_xll.qwDV01($A$1,F168)*I168*_xll.qwMVFactor($A$1,F168)*_xll.qwFXRate($A$1,F168)),_xll.qwDV01($A$1,F168)*I168*_xll.qwMVFactor($A$1,F168)*_xll.qwFXRate($A$1,F168),0)</f>
        <v>-6625.5300000000007</v>
      </c>
      <c r="Q168" s="6" cm="1">
        <f t="array" ref="Q168">IF(ISNUMBER(_xll.qwDV01($A$1,F168)*G168*_xll.qwMVFactor($A$1,F168)*_xll.qwFXRate($A$1,F168)),_xll.qwDV01($A$1,F168)*G168*_xll.qwMVFactor($A$1,F168)*_xll.qwFXRate($A$1,F168),0)</f>
        <v>-6625.5300000000007</v>
      </c>
      <c r="R168" s="6" cm="1">
        <f t="array" ref="R168">IF(ISNUMBER(_xll.qwDV01($A$1,F168)*J168*_xll.qwMVFactor($A$1,F168)*_xll.qwFXRate($A$1,F168)),_xll.qwDV01($A$1,F168)*J168*_xll.qwMVFactor($A$1,F168)*_xll.qwFXRate($A$1,F168),0)</f>
        <v>0</v>
      </c>
      <c r="S168" s="6" cm="1">
        <f t="array" ref="S168">IF(ISNUMBER(_xll.qwDV01($A$1,F168)*J168*_xll.qwMVFactor($A$1,F168)*_xll.qwFXRate($A$1,F168)),_xll.qwDV01($A$1,F168)*J168*_xll.qwMVFactor($A$1,F168)*_xll.qwFXRate($A$1,F168),0)</f>
        <v>0</v>
      </c>
      <c r="T168" s="6" cm="1">
        <f t="array" ref="T168">_xll.qwFXRate($A$1,F168)*J168*(_xll.qwPrice($A$1,F168)-M168)*_xll.qwMVFactor($A$1,F168)</f>
        <v>0</v>
      </c>
      <c r="U168" s="8" cm="1">
        <f t="array" ref="U168">_xll.qwYield($A$1,F168)</f>
        <v>3.9863867494098315E-2</v>
      </c>
      <c r="V168" s="8" cm="1">
        <f t="array" ref="V168">100*(_xll.qwYield($A$4,F168)-U168)</f>
        <v>-3.0095968735022183E-2</v>
      </c>
      <c r="W168" s="6">
        <f>IF(ISNA(G168*INDEX(_xll.qwTblData(_xll.qwCurveScenariosPerSecurity($A$1,F168,"Crv210")),2,2)),0,(G168*INDEX(_xll.qwTblData(_xll.qwCurveScenariosPerSecurity($A$1,F168,"Crv210")),2,2)))</f>
        <v>-4751.8261768962366</v>
      </c>
      <c r="X168" s="6" cm="1">
        <f t="array" ref="X168">ABS(Q168/_xll.qwMV01($A$1,"CT10"))</f>
        <v>8.919229116572204</v>
      </c>
      <c r="Y168" s="6" cm="1">
        <f t="array" ref="Y168">IF(N168="BondFuture",-(_xll.qwCurveYield($A$1,_xll.qwSecVal($A$1,AA168,"CreditCurveName()"),AA168)-_xll.qwCurveYield($A$4,_xll.qwSecVal($A$4,AA168,"CreditCurveName()"),AA168))*P168*10000,IF(N168="Bond",-(_xll.qwCurveYield($A$1,_xll.qwSecVal($A$1,F168,"CreditCurveName()"),F168)-_xll.qwCurveYield($A$4,_xll.qwSecVal($A$4,F168,"CreditCurveName()"),F168))*P168*10000,O168))</f>
        <v>19876.590000000753</v>
      </c>
      <c r="Z168" s="6" cm="1">
        <f t="array" ref="Z168">IF(OR(N168="BondFuture",N168="Bond"),P168*(_xll.qwCurveZSpread($A$4,_xll.qwSecVal($A$1,AA168,"CreditCurveName()"),AA168)-_xll.qwCurveZSpread($A$1,_xll.qwSecVal($A$1,AA168,"CreditCurveName()"),AA168)),0)</f>
        <v>0</v>
      </c>
      <c r="AA168" s="9" cm="1">
        <f t="array" ref="AA168">IF(_xll.qwSecType(F168)="Bond",F168,IF(_xll.qwSecType(F168)="BondFuture",_xll.qwFutCTD($A$1,F168),0))</f>
        <v>0</v>
      </c>
      <c r="AB168" s="6" cm="1">
        <f t="array" ref="AB168">IF(_xll.qwSecType(F168)="BondFuture",-(I168*_xll.qwDelta($A$4,F168)*_xll.qwMVFactor($A$1,F168)/_xll.qwMVFactor($A$1,_xll.qwFutCTD($A$1,F168)))*(_xll.qwFXRate($A$1,F168)*_xll.qwMVFactor($A$1,_xll.qwFutCTD($A$1,F168))*(_xll.qwIncome($A$4,_xll.qwFutCTD($A$4,F168),_xll.qwBondSettle($A$4,_xll.qwFutCTD($A$4,F168)),_xll.qwBondSettle($A$1,_xll.qwFutCTD($A$1,F168)))+(_xll.qwSecVal($A$1,AA168,"Price")-_xll.qwSecVal($A$4,AA168,"Price"))-_xll.qwBondRepoFromTo($A$1,AA168,_xll.qwBondSettle($A$4,AA168),_xll.qwBondSettle($A$1,AA168))*_xll.qwSecVal($A$1,AA168,"Price")*(_xll.qwBondSettle($A$1,AA168)-_xll.qwBondSettle($A$4,AA168))/360))+O168,0)</f>
        <v>0</v>
      </c>
      <c r="AC168" s="9" cm="1">
        <f t="array" ref="AC168">O168+T168+IF(ISNUMBER(_xll.qwIncome($A$1,F168,_xll.qwSettle($A$4,F168),_xll.qwSettle($A$1,F168))*_xll.qwMVFactor($A$1,F168)*_xll.qwFXRate($A$1,F168)*I168),_xll.qwIncome($A$1,F168,_xll.qwSettle($A$4,F168),_xll.qwSettle($A$1,F168))*_xll.qwMVFactor($A$1,F168)*_xll.qwFXRate($A$1,F168)*I168,0)+IF(ISNUMBER(-(_xll.qwBondRepoFromTo($A$1,F168,_xll.qwSettle($A$4,F168),_xll.qwSettle($A$1,F168))*_xll.qwSecVal($A$1,F168,"Price")*(_xll.qwSettle($A$1,F168)-_xll.qwSettle($A$4,F168))/360)*_xll.qwMVFactor($A$1,F168)*_xll.qwFXRate($A$1,F168)*I168),-(_xll.qwBondRepoFromTo($A$1,F168,_xll.qwSettle($A$4,F168),_xll.qwSettle($A$1,F168))*_xll.qwSecVal($A$1,F168,"Price")*(_xll.qwSettle($A$1,F168)-_xll.qwSettle($A$4,F168))/360)*_xll.qwMVFactor($A$1,F168)*_xll.qwFXRate($A$1,F168)*I168,0)</f>
        <v>19876.590000000753</v>
      </c>
      <c r="AD168" s="6"/>
    </row>
    <row r="169" spans="2:30" s="7" customFormat="1" hidden="1" x14ac:dyDescent="0.35">
      <c r="B169" s="7" t="str">
        <v>jcleary</v>
      </c>
      <c r="C169" s="7" t="str">
        <v>MAMS</v>
      </c>
      <c r="D169" s="7" t="str">
        <v>jcleary|MAMS|RV_US_TY_Spread|SERZ6</v>
      </c>
      <c r="E169" s="7" t="str">
        <v>RV_US_TY_Spread</v>
      </c>
      <c r="F169" s="7" t="str">
        <v>SERZ6</v>
      </c>
      <c r="G169" s="7">
        <v>-122</v>
      </c>
      <c r="H169" s="7">
        <v>0</v>
      </c>
      <c r="I169" s="7">
        <v>-122</v>
      </c>
      <c r="J169" s="7">
        <v>0</v>
      </c>
      <c r="K169" s="7">
        <v>0</v>
      </c>
      <c r="L169" s="7">
        <v>0</v>
      </c>
      <c r="M169" s="7">
        <v>0</v>
      </c>
      <c r="N169" s="7" t="str">
        <v>RateFuture</v>
      </c>
      <c r="O169" s="6" cm="1">
        <f t="array" ref="O169">(_xll.qwPrice($A$1,F169)-_xll.qwPrice($A$4,F169))*_xll.qwMVFactor($A$1,F169)*I169*_xll.qwFXRate($A$1,F169)</f>
        <v>15251.220000000578</v>
      </c>
      <c r="P169" s="6" cm="1">
        <f t="array" ref="P169">IF(ISNUMBER(_xll.qwDV01($A$1,F169)*I169*_xll.qwMVFactor($A$1,F169)*_xll.qwFXRate($A$1,F169)),_xll.qwDV01($A$1,F169)*I169*_xll.qwMVFactor($A$1,F169)*_xll.qwFXRate($A$1,F169),0)</f>
        <v>-5083.74</v>
      </c>
      <c r="Q169" s="6" cm="1">
        <f t="array" ref="Q169">IF(ISNUMBER(_xll.qwDV01($A$1,F169)*G169*_xll.qwMVFactor($A$1,F169)*_xll.qwFXRate($A$1,F169)),_xll.qwDV01($A$1,F169)*G169*_xll.qwMVFactor($A$1,F169)*_xll.qwFXRate($A$1,F169),0)</f>
        <v>-5083.74</v>
      </c>
      <c r="R169" s="6" cm="1">
        <f t="array" ref="R169">IF(ISNUMBER(_xll.qwDV01($A$1,F169)*J169*_xll.qwMVFactor($A$1,F169)*_xll.qwFXRate($A$1,F169)),_xll.qwDV01($A$1,F169)*J169*_xll.qwMVFactor($A$1,F169)*_xll.qwFXRate($A$1,F169),0)</f>
        <v>0</v>
      </c>
      <c r="S169" s="6" cm="1">
        <f t="array" ref="S169">IF(ISNUMBER(_xll.qwDV01($A$1,F169)*J169*_xll.qwMVFactor($A$1,F169)*_xll.qwFXRate($A$1,F169)),_xll.qwDV01($A$1,F169)*J169*_xll.qwMVFactor($A$1,F169)*_xll.qwFXRate($A$1,F169),0)</f>
        <v>0</v>
      </c>
      <c r="T169" s="6" cm="1">
        <f t="array" ref="T169">_xll.qwFXRate($A$1,F169)*J169*(_xll.qwPrice($A$1,F169)-M169)*_xll.qwMVFactor($A$1,F169)</f>
        <v>0</v>
      </c>
      <c r="U169" s="8" cm="1">
        <f t="array" ref="U169">_xll.qwYield($A$1,F169)</f>
        <v>4.1521667346102957E-2</v>
      </c>
      <c r="V169" s="8" cm="1">
        <f t="array" ref="V169">100*(_xll.qwYield($A$4,F169)-U169)</f>
        <v>-3.010342194256152E-2</v>
      </c>
      <c r="W169" s="6">
        <f>IF(ISNA(G169*INDEX(_xll.qwTblData(_xll.qwCurveScenariosPerSecurity($A$1,F169,"Crv210")),2,2)),0,(G169*INDEX(_xll.qwTblData(_xll.qwCurveScenariosPerSecurity($A$1,F169,"Crv210")),2,2)))</f>
        <v>-3435.5714250454666</v>
      </c>
      <c r="X169" s="6" cm="1">
        <f t="array" ref="X169">ABS(Q169/_xll.qwMV01($A$1,"CT10"))</f>
        <v>6.8436852340994259</v>
      </c>
      <c r="Y169" s="6" cm="1">
        <f t="array" ref="Y169">IF(N169="BondFuture",-(_xll.qwCurveYield($A$1,_xll.qwSecVal($A$1,AA169,"CreditCurveName()"),AA169)-_xll.qwCurveYield($A$4,_xll.qwSecVal($A$4,AA169,"CreditCurveName()"),AA169))*P169*10000,IF(N169="Bond",-(_xll.qwCurveYield($A$1,_xll.qwSecVal($A$1,F169,"CreditCurveName()"),F169)-_xll.qwCurveYield($A$4,_xll.qwSecVal($A$4,F169,"CreditCurveName()"),F169))*P169*10000,O169))</f>
        <v>15251.220000000578</v>
      </c>
      <c r="Z169" s="6" cm="1">
        <f t="array" ref="Z169">IF(OR(N169="BondFuture",N169="Bond"),P169*(_xll.qwCurveZSpread($A$4,_xll.qwSecVal($A$1,AA169,"CreditCurveName()"),AA169)-_xll.qwCurveZSpread($A$1,_xll.qwSecVal($A$1,AA169,"CreditCurveName()"),AA169)),0)</f>
        <v>0</v>
      </c>
      <c r="AA169" s="9" cm="1">
        <f t="array" ref="AA169">IF(_xll.qwSecType(F169)="Bond",F169,IF(_xll.qwSecType(F169)="BondFuture",_xll.qwFutCTD($A$1,F169),0))</f>
        <v>0</v>
      </c>
      <c r="AB169" s="6" cm="1">
        <f t="array" ref="AB169">IF(_xll.qwSecType(F169)="BondFuture",-(I169*_xll.qwDelta($A$4,F169)*_xll.qwMVFactor($A$1,F169)/_xll.qwMVFactor($A$1,_xll.qwFutCTD($A$1,F169)))*(_xll.qwFXRate($A$1,F169)*_xll.qwMVFactor($A$1,_xll.qwFutCTD($A$1,F169))*(_xll.qwIncome($A$4,_xll.qwFutCTD($A$4,F169),_xll.qwBondSettle($A$4,_xll.qwFutCTD($A$4,F169)),_xll.qwBondSettle($A$1,_xll.qwFutCTD($A$1,F169)))+(_xll.qwSecVal($A$1,AA169,"Price")-_xll.qwSecVal($A$4,AA169,"Price"))-_xll.qwBondRepoFromTo($A$1,AA169,_xll.qwBondSettle($A$4,AA169),_xll.qwBondSettle($A$1,AA169))*_xll.qwSecVal($A$1,AA169,"Price")*(_xll.qwBondSettle($A$1,AA169)-_xll.qwBondSettle($A$4,AA169))/360))+O169,0)</f>
        <v>0</v>
      </c>
      <c r="AC169" s="9" cm="1">
        <f t="array" ref="AC169">O169+T169+IF(ISNUMBER(_xll.qwIncome($A$1,F169,_xll.qwSettle($A$4,F169),_xll.qwSettle($A$1,F169))*_xll.qwMVFactor($A$1,F169)*_xll.qwFXRate($A$1,F169)*I169),_xll.qwIncome($A$1,F169,_xll.qwSettle($A$4,F169),_xll.qwSettle($A$1,F169))*_xll.qwMVFactor($A$1,F169)*_xll.qwFXRate($A$1,F169)*I169,0)+IF(ISNUMBER(-(_xll.qwBondRepoFromTo($A$1,F169,_xll.qwSettle($A$4,F169),_xll.qwSettle($A$1,F169))*_xll.qwSecVal($A$1,F169,"Price")*(_xll.qwSettle($A$1,F169)-_xll.qwSettle($A$4,F169))/360)*_xll.qwMVFactor($A$1,F169)*_xll.qwFXRate($A$1,F169)*I169),-(_xll.qwBondRepoFromTo($A$1,F169,_xll.qwSettle($A$4,F169),_xll.qwSettle($A$1,F169))*_xll.qwSecVal($A$1,F169,"Price")*(_xll.qwSettle($A$1,F169)-_xll.qwSettle($A$4,F169))/360)*_xll.qwMVFactor($A$1,F169)*_xll.qwFXRate($A$1,F169)*I169,0)</f>
        <v>15251.220000000578</v>
      </c>
      <c r="AD169" s="6"/>
    </row>
    <row r="170" spans="2:30" s="7" customFormat="1" x14ac:dyDescent="0.35">
      <c r="B170" s="7" t="str">
        <v>jcleary</v>
      </c>
      <c r="C170" s="7" t="str">
        <v>MAMS</v>
      </c>
      <c r="D170" s="7" t="str">
        <v>jcleary|MAMS|RV_US_TY_Spread|TYZ6</v>
      </c>
      <c r="E170" s="7" t="str">
        <v>RV_US_TY_Spread</v>
      </c>
      <c r="F170" s="7" t="str">
        <v>TYZ6</v>
      </c>
      <c r="G170" s="7">
        <v>-13108</v>
      </c>
      <c r="H170" s="7">
        <v>0</v>
      </c>
      <c r="I170" s="7">
        <v>-13108</v>
      </c>
      <c r="J170" s="7">
        <v>0</v>
      </c>
      <c r="K170" s="7">
        <v>0</v>
      </c>
      <c r="L170" s="7">
        <v>0</v>
      </c>
      <c r="M170" s="7">
        <v>0</v>
      </c>
      <c r="N170" s="7" t="str">
        <v>BondFuture</v>
      </c>
      <c r="O170" s="6" cm="1">
        <f t="array" ref="O170">(_xll.qwPrice($A$1,F170)-_xll.qwPrice($A$4,F170))*_xll.qwMVFactor($A$1,F170)*I170*_xll.qwFXRate($A$1,F170)</f>
        <v>-1843312.5</v>
      </c>
      <c r="P170" s="6" cm="1">
        <f t="array" ref="P170">IF(ISNUMBER(_xll.qwDV01($A$1,F170)*I170*_xll.qwMVFactor($A$1,F170)*_xll.qwFXRate($A$1,F170)),_xll.qwDV01($A$1,F170)*I170*_xll.qwMVFactor($A$1,F170)*_xll.qwFXRate($A$1,F170),0)</f>
        <v>-808614.95905474504</v>
      </c>
      <c r="Q170" s="6" cm="1">
        <f t="array" ref="Q170">IF(ISNUMBER(_xll.qwDV01($A$1,F170)*G170*_xll.qwMVFactor($A$1,F170)*_xll.qwFXRate($A$1,F170)),_xll.qwDV01($A$1,F170)*G170*_xll.qwMVFactor($A$1,F170)*_xll.qwFXRate($A$1,F170),0)</f>
        <v>-808614.95905474504</v>
      </c>
      <c r="R170" s="6" cm="1">
        <f t="array" ref="R170">IF(ISNUMBER(_xll.qwDV01($A$1,F170)*J170*_xll.qwMVFactor($A$1,F170)*_xll.qwFXRate($A$1,F170)),_xll.qwDV01($A$1,F170)*J170*_xll.qwMVFactor($A$1,F170)*_xll.qwFXRate($A$1,F170),0)</f>
        <v>0</v>
      </c>
      <c r="S170" s="6" cm="1">
        <f t="array" ref="S170">IF(ISNUMBER(_xll.qwDV01($A$1,F170)*J170*_xll.qwMVFactor($A$1,F170)*_xll.qwFXRate($A$1,F170)),_xll.qwDV01($A$1,F170)*J170*_xll.qwMVFactor($A$1,F170)*_xll.qwFXRate($A$1,F170),0)</f>
        <v>0</v>
      </c>
      <c r="T170" s="6" cm="1">
        <f t="array" ref="T170">_xll.qwFXRate($A$1,F170)*J170*(_xll.qwPrice($A$1,F170)-M170)*_xll.qwMVFactor($A$1,F170)+L170</f>
        <v>0</v>
      </c>
      <c r="U170" s="8" cm="1">
        <f t="array" ref="U170">_xll.qwYield($A$1,F170)</f>
        <v>5.089289193508531E-2</v>
      </c>
      <c r="V170" s="8" cm="1">
        <f t="array" ref="V170">100*(_xll.qwYield($A$4,F170)-U170)</f>
        <v>2.1281642668301293E-2</v>
      </c>
      <c r="W170" s="6">
        <f>IF(ISNA(G170*INDEX(_xll.qwTblData(_xll.qwCurveScenariosPerSecurity($A$1,F170,"Crv210")),2,2)),0,(G170*INDEX(_xll.qwTblData(_xll.qwCurveScenariosPerSecurity($A$1,F170,"Crv210")),2,2)))</f>
        <v>93120.758918669249</v>
      </c>
      <c r="X170" s="6" cm="1">
        <f t="array" ref="X170">ABS(Q170/_xll.qwMV01($A$1,"CT10"))</f>
        <v>1088.5502121184149</v>
      </c>
      <c r="Y170" s="6" cm="1">
        <f t="array" ref="Y170">IF(N170="BondFuture",-(_xll.qwCurveYield($A$1,_xll.qwSecVal($A$1,AA170,"CreditCurveName()"),AA170)-_xll.qwCurveYield($A$4,_xll.qwSecVal($A$4,AA170,"CreditCurveName()"),AA170))*P170*10000,IF(N170="Bond",-(_xll.qwCurveYield($A$1,_xll.qwSecVal($A$1,F170,"CreditCurveName()"),F170)-_xll.qwCurveYield($A$4,_xll.qwSecVal($A$4,F170,"CreditCurveName()"),F170))*P170*10000,O170))</f>
        <v>-1623976.3394192383</v>
      </c>
      <c r="Z170" s="6" cm="1">
        <f t="array" ref="Z170">IF(OR(N170="BondFuture",N170="Bond"),P170*(_xll.qwCurveZSpread($A$4,_xll.qwSecVal($A$1,AA170,"CreditCurveName()"),AA170)-_xll.qwCurveZSpread($A$1,_xll.qwSecVal($A$1,AA170,"CreditCurveName()"),AA170)),0)</f>
        <v>-45425.893583068333</v>
      </c>
      <c r="AA170" s="9" t="str" cm="1">
        <f t="array" ref="AA170">IF(_xll.qwSecType(F170)="Bond",F170,IF(_xll.qwSecType(F170)="BondFuture",_xll.qwFutCTD($A$1,F170),0))</f>
        <v>91282CRJ2</v>
      </c>
      <c r="AB170" s="6" cm="1">
        <f t="array" ref="AB170">IF(_xll.qwSecType(F170)="BondFuture",-(I170*_xll.qwDelta($A$4,F170)*_xll.qwMVFactor($A$1,F170)/_xll.qwMVFactor($A$1,_xll.qwFutCTD($A$1,F170)))*(_xll.qwFXRate($A$1,F170)*_xll.qwMVFactor($A$1,_xll.qwFutCTD($A$1,F170))*(_xll.qwIncome($A$4,_xll.qwFutCTD($A$4,F170),_xll.qwBondSettle($A$4,_xll.qwFutCTD($A$4,F170)),_xll.qwBondSettle($A$1,_xll.qwFutCTD($A$1,F170)))+(_xll.qwSecVal($A$1,AA170,"Price")-_xll.qwSecVal($A$4,AA170,"Price"))-_xll.qwBondRepoFromTo($A$1,AA170,_xll.qwBondSettle($A$4,AA170),_xll.qwBondSettle($A$1,AA170))*_xll.qwSecVal($A$1,AA170,"Price")*(_xll.qwBondSettle($A$1,AA170)-_xll.qwBondSettle($A$4,AA170))/360))+O170,0)</f>
        <v>-131259.83833909826</v>
      </c>
      <c r="AC170" s="9" cm="1">
        <f t="array" ref="AC170">O170+T170+IF(ISNUMBER(_xll.qwIncome($A$1,F170,_xll.qwSettle($A$4,F170),_xll.qwSettle($A$1,F170))*_xll.qwMVFactor($A$1,F170)*_xll.qwFXRate($A$1,F170)*I170),_xll.qwIncome($A$1,F170,_xll.qwSettle($A$4,F170),_xll.qwSettle($A$1,F170))*_xll.qwMVFactor($A$1,F170)*_xll.qwFXRate($A$1,F170)*I170,0)+IF(ISNUMBER(-(_xll.qwBondRepoFromTo($A$1,F170,_xll.qwSettle($A$4,F170),_xll.qwSettle($A$1,F170))*_xll.qwSecVal($A$1,F170,"Price")*(_xll.qwSettle($A$1,F170)-_xll.qwSettle($A$4,F170))/360)*_xll.qwMVFactor($A$1,F170)*_xll.qwFXRate($A$1,F170)*I170),-(_xll.qwBondRepoFromTo($A$1,F170,_xll.qwSettle($A$4,F170),_xll.qwSettle($A$1,F170))*_xll.qwSecVal($A$1,F170,"Price")*(_xll.qwSettle($A$1,F170)-_xll.qwSettle($A$4,F170))/360)*_xll.qwMVFactor($A$1,F170)*_xll.qwFXRate($A$1,F170)*I170,0)</f>
        <v>-1843312.5</v>
      </c>
      <c r="AD170" s="6"/>
    </row>
    <row r="171" spans="2:30" s="7" customFormat="1" x14ac:dyDescent="0.35">
      <c r="B171" s="7" t="str">
        <v>jcleary</v>
      </c>
      <c r="C171" s="7" t="str">
        <v>MAMS</v>
      </c>
      <c r="D171" s="7" t="str">
        <v>jcleary|MAMS|RV_US_USCurve_Curve|252970386</v>
      </c>
      <c r="E171" s="7" t="str">
        <v>RV_US_USCurve_Curve</v>
      </c>
      <c r="F171" s="7" t="str">
        <v>252970386</v>
      </c>
      <c r="G171" s="7">
        <v>-1.4210854715202004E-14</v>
      </c>
      <c r="H171" s="7">
        <v>0</v>
      </c>
      <c r="I171" s="7">
        <v>55.6</v>
      </c>
      <c r="J171" s="7">
        <v>-55.600000000000016</v>
      </c>
      <c r="K171" s="7">
        <v>-1.00363309352518</v>
      </c>
      <c r="L171" s="7">
        <v>0</v>
      </c>
      <c r="M171" s="7">
        <v>-1.00363309352518</v>
      </c>
      <c r="N171" s="7" t="str">
        <v>SwapTrade</v>
      </c>
      <c r="O171" s="6" cm="1">
        <f t="array" ref="O171">(_xll.qwPrice($A$1,F171)-_xll.qwPrice($A$4,F171))*_xll.qwMVFactor($A$1,F171)*I171*_xll.qwFXRate($A$1,F171)</f>
        <v>35005.104877598642</v>
      </c>
      <c r="P171" s="6" cm="1">
        <f t="array" ref="P171">IF(ISNUMBER(_xll.qwDV01($A$1,F171)*I171*_xll.qwMVFactor($A$1,F171)*_xll.qwFXRate($A$1,F171)),_xll.qwDV01($A$1,F171)*I171*_xll.qwMVFactor($A$1,F171)*_xll.qwFXRate($A$1,F171),0)</f>
        <v>14457.911042217967</v>
      </c>
      <c r="Q171" s="6" cm="1">
        <f t="array" ref="Q171">IF(ISNUMBER(_xll.qwDV01($A$1,F171)*G171*_xll.qwMVFactor($A$1,F171)*_xll.qwFXRate($A$1,F171)),_xll.qwDV01($A$1,F171)*G171*_xll.qwMVFactor($A$1,F171)*_xll.qwFXRate($A$1,F171),0)</f>
        <v>-3.6953106709761564E-12</v>
      </c>
      <c r="R171" s="6" cm="1">
        <f t="array" ref="R171">IF(ISNUMBER(_xll.qwDV01($A$1,F171)*J171*_xll.qwMVFactor($A$1,F171)*_xll.qwFXRate($A$1,F171)),_xll.qwDV01($A$1,F171)*J171*_xll.qwMVFactor($A$1,F171)*_xll.qwFXRate($A$1,F171),0)</f>
        <v>-14457.911042217973</v>
      </c>
      <c r="S171" s="6" cm="1">
        <f t="array" ref="S171">IF(ISNUMBER(_xll.qwDV01($A$1,F171)*J171*_xll.qwMVFactor($A$1,F171)*_xll.qwFXRate($A$1,F171)),_xll.qwDV01($A$1,F171)*J171*_xll.qwMVFactor($A$1,F171)*_xll.qwFXRate($A$1,F171),0)</f>
        <v>-14457.911042217973</v>
      </c>
      <c r="T171" s="6" cm="1">
        <f t="array" ref="T171">_xll.qwFXRate($A$1,F171)*J171*(_xll.qwPrice($A$1,F171)-M171)*_xll.qwMVFactor($A$1,F171)+L171</f>
        <v>-46370.881074865516</v>
      </c>
      <c r="U171" s="8" cm="1">
        <f t="array" ref="U171">_xll.qwYield($A$1,F171)</f>
        <v>5.26112356548675E-2</v>
      </c>
      <c r="V171" s="8" cm="1">
        <f t="array" ref="V171">100*(_xll.qwYield($A$4,F171)-U171)</f>
        <v>2.42782441724404E-2</v>
      </c>
      <c r="W171" s="6">
        <f>IF(ISNA(G171*INDEX(_xll.qwTblData(_xll.qwCurveScenariosPerSecurity($A$1,F171,"Crv210")),2,2)),0,(G171*INDEX(_xll.qwTblData(_xll.qwCurveScenariosPerSecurity($A$1,F171,"Crv210")),2,2)))</f>
        <v>1.1386186654655311E-11</v>
      </c>
      <c r="X171" s="6" cm="1">
        <f t="array" ref="X171">ABS(Q171/_xll.qwMV01($A$1,"CT10"))</f>
        <v>4.9745941126748351E-15</v>
      </c>
      <c r="Y171" s="6" cm="1">
        <f t="array" ref="Y171">IF(N171="BondFuture",-(_xll.qwCurveYield($A$1,_xll.qwSecVal($A$1,AA171,"CreditCurveName()"),AA171)-_xll.qwCurveYield($A$4,_xll.qwSecVal($A$4,AA171,"CreditCurveName()"),AA171))*P171*10000,IF(N171="Bond",-(_xll.qwCurveYield($A$1,_xll.qwSecVal($A$1,F171,"CreditCurveName()"),F171)-_xll.qwCurveYield($A$4,_xll.qwSecVal($A$4,F171,"CreditCurveName()"),F171))*P171*10000,O171))</f>
        <v>35005.104877598642</v>
      </c>
      <c r="Z171" s="6" cm="1">
        <f t="array" ref="Z171">IF(OR(N171="BondFuture",N171="Bond"),P171*(_xll.qwCurveZSpread($A$4,_xll.qwSecVal($A$1,AA171,"CreditCurveName()"),AA171)-_xll.qwCurveZSpread($A$1,_xll.qwSecVal($A$1,AA171,"CreditCurveName()"),AA171)),0)</f>
        <v>0</v>
      </c>
      <c r="AA171" s="9" cm="1">
        <f t="array" ref="AA171">IF(_xll.qwSecType(F171)="Bond",F171,IF(_xll.qwSecType(F171)="BondFuture",_xll.qwFutCTD($A$1,F171),0))</f>
        <v>0</v>
      </c>
      <c r="AB171" s="6" cm="1">
        <f t="array" ref="AB171">IF(_xll.qwSecType(F171)="BondFuture",-(I171*_xll.qwDelta($A$4,F171)*_xll.qwMVFactor($A$1,F171)/_xll.qwMVFactor($A$1,_xll.qwFutCTD($A$1,F171)))*(_xll.qwFXRate($A$1,F171)*_xll.qwMVFactor($A$1,_xll.qwFutCTD($A$1,F171))*(_xll.qwIncome($A$4,_xll.qwFutCTD($A$4,F171),_xll.qwBondSettle($A$4,_xll.qwFutCTD($A$4,F171)),_xll.qwBondSettle($A$1,_xll.qwFutCTD($A$1,F171)))+(_xll.qwSecVal($A$1,AA171,"Price")-_xll.qwSecVal($A$4,AA171,"Price"))-_xll.qwBondRepoFromTo($A$1,AA171,_xll.qwBondSettle($A$4,AA171),_xll.qwBondSettle($A$1,AA171))*_xll.qwSecVal($A$1,AA171,"Price")*(_xll.qwBondSettle($A$1,AA171)-_xll.qwBondSettle($A$4,AA171))/360))+O171,0)</f>
        <v>0</v>
      </c>
      <c r="AC171" s="9" cm="1">
        <f t="array" ref="AC171">O171+T171+IF(ISNUMBER(_xll.qwIncome($A$1,F171,_xll.qwSettle($A$4,F171),_xll.qwSettle($A$1,F171))*_xll.qwMVFactor($A$1,F171)*_xll.qwFXRate($A$1,F171)*I171),_xll.qwIncome($A$1,F171,_xll.qwSettle($A$4,F171),_xll.qwSettle($A$1,F171))*_xll.qwMVFactor($A$1,F171)*_xll.qwFXRate($A$1,F171)*I171,0)+IF(ISNUMBER(-(_xll.qwBondRepoFromTo($A$1,F171,_xll.qwSettle($A$4,F171),_xll.qwSettle($A$1,F171))*_xll.qwSecVal($A$1,F171,"Price")*(_xll.qwSettle($A$1,F171)-_xll.qwSettle($A$4,F171))/360)*_xll.qwMVFactor($A$1,F171)*_xll.qwFXRate($A$1,F171)*I171),-(_xll.qwBondRepoFromTo($A$1,F171,_xll.qwSettle($A$4,F171),_xll.qwSettle($A$1,F171))*_xll.qwSecVal($A$1,F171,"Price")*(_xll.qwSettle($A$1,F171)-_xll.qwSettle($A$4,F171))/360)*_xll.qwMVFactor($A$1,F171)*_xll.qwFXRate($A$1,F171)*I171,0)</f>
        <v>-11365.776197266874</v>
      </c>
      <c r="AD171" s="6"/>
    </row>
    <row r="172" spans="2:30" s="7" customFormat="1" x14ac:dyDescent="0.35">
      <c r="B172" s="7" t="str">
        <v>jcleary</v>
      </c>
      <c r="C172" s="7" t="str">
        <v>MAMS</v>
      </c>
      <c r="D172" s="7" t="str">
        <v>jcleary|MAMS|RV_US_USCurve_Curve|252970434</v>
      </c>
      <c r="E172" s="7" t="str">
        <v>RV_US_USCurve_Curve</v>
      </c>
      <c r="F172" s="7" t="str">
        <v>252970434</v>
      </c>
      <c r="G172" s="7">
        <v>0</v>
      </c>
      <c r="H172" s="7">
        <v>0</v>
      </c>
      <c r="I172" s="7">
        <v>71.099999999999994</v>
      </c>
      <c r="J172" s="7">
        <v>-71.099999999999994</v>
      </c>
      <c r="K172" s="7">
        <v>0.67422222222222195</v>
      </c>
      <c r="L172" s="7">
        <v>0</v>
      </c>
      <c r="M172" s="7">
        <v>0.67422222222222195</v>
      </c>
      <c r="N172" s="7" t="str">
        <v>SwapTrade</v>
      </c>
      <c r="O172" s="6" cm="1">
        <f t="array" ref="O172">(_xll.qwPrice($A$1,F172)-_xll.qwPrice($A$4,F172))*_xll.qwMVFactor($A$1,F172)*I172*_xll.qwFXRate($A$1,F172)</f>
        <v>-27160.717328919109</v>
      </c>
      <c r="P172" s="6" cm="1">
        <f t="array" ref="P172">IF(ISNUMBER(_xll.qwDV01($A$1,F172)*I172*_xll.qwMVFactor($A$1,F172)*_xll.qwFXRate($A$1,F172)),_xll.qwDV01($A$1,F172)*I172*_xll.qwMVFactor($A$1,F172)*_xll.qwFXRate($A$1,F172),0)</f>
        <v>-14116.95321038819</v>
      </c>
      <c r="Q172" s="6" cm="1">
        <f t="array" ref="Q172">IF(ISNUMBER(_xll.qwDV01($A$1,F172)*G172*_xll.qwMVFactor($A$1,F172)*_xll.qwFXRate($A$1,F172)),_xll.qwDV01($A$1,F172)*G172*_xll.qwMVFactor($A$1,F172)*_xll.qwFXRate($A$1,F172),0)</f>
        <v>0</v>
      </c>
      <c r="R172" s="6" cm="1">
        <f t="array" ref="R172">IF(ISNUMBER(_xll.qwDV01($A$1,F172)*J172*_xll.qwMVFactor($A$1,F172)*_xll.qwFXRate($A$1,F172)),_xll.qwDV01($A$1,F172)*J172*_xll.qwMVFactor($A$1,F172)*_xll.qwFXRate($A$1,F172),0)</f>
        <v>14116.95321038819</v>
      </c>
      <c r="S172" s="6" cm="1">
        <f t="array" ref="S172">IF(ISNUMBER(_xll.qwDV01($A$1,F172)*J172*_xll.qwMVFactor($A$1,F172)*_xll.qwFXRate($A$1,F172)),_xll.qwDV01($A$1,F172)*J172*_xll.qwMVFactor($A$1,F172)*_xll.qwFXRate($A$1,F172),0)</f>
        <v>14116.95321038819</v>
      </c>
      <c r="T172" s="6" cm="1">
        <f t="array" ref="T172">_xll.qwFXRate($A$1,F172)*J172*(_xll.qwPrice($A$1,F172)-M172)*_xll.qwMVFactor($A$1,F172)+L172</f>
        <v>24186.925903409148</v>
      </c>
      <c r="U172" s="8" cm="1">
        <f t="array" ref="U172">_xll.qwYield($A$1,F172)</f>
        <v>5.1989401434737917E-2</v>
      </c>
      <c r="V172" s="8" cm="1">
        <f t="array" ref="V172">100*(_xll.qwYield($A$4,F172)-U172)</f>
        <v>1.9527611213324136E-2</v>
      </c>
      <c r="W172" s="6">
        <f>IF(ISNA(G172*INDEX(_xll.qwTblData(_xll.qwCurveScenariosPerSecurity($A$1,F172,"Crv210")),2,2)),0,(G172*INDEX(_xll.qwTblData(_xll.qwCurveScenariosPerSecurity($A$1,F172,"Crv210")),2,2)))</f>
        <v>0</v>
      </c>
      <c r="X172" s="6" cm="1">
        <f t="array" ref="X172">ABS(Q172/_xll.qwMV01($A$1,"CT10"))</f>
        <v>0</v>
      </c>
      <c r="Y172" s="6" cm="1">
        <f t="array" ref="Y172">IF(N172="BondFuture",-(_xll.qwCurveYield($A$1,_xll.qwSecVal($A$1,AA172,"CreditCurveName()"),AA172)-_xll.qwCurveYield($A$4,_xll.qwSecVal($A$4,AA172,"CreditCurveName()"),AA172))*P172*10000,IF(N172="Bond",-(_xll.qwCurveYield($A$1,_xll.qwSecVal($A$1,F172,"CreditCurveName()"),F172)-_xll.qwCurveYield($A$4,_xll.qwSecVal($A$4,F172,"CreditCurveName()"),F172))*P172*10000,O172))</f>
        <v>-27160.717328919109</v>
      </c>
      <c r="Z172" s="6" cm="1">
        <f t="array" ref="Z172">IF(OR(N172="BondFuture",N172="Bond"),P172*(_xll.qwCurveZSpread($A$4,_xll.qwSecVal($A$1,AA172,"CreditCurveName()"),AA172)-_xll.qwCurveZSpread($A$1,_xll.qwSecVal($A$1,AA172,"CreditCurveName()"),AA172)),0)</f>
        <v>0</v>
      </c>
      <c r="AA172" s="9" cm="1">
        <f t="array" ref="AA172">IF(_xll.qwSecType(F172)="Bond",F172,IF(_xll.qwSecType(F172)="BondFuture",_xll.qwFutCTD($A$1,F172),0))</f>
        <v>0</v>
      </c>
      <c r="AB172" s="6" cm="1">
        <f t="array" ref="AB172">IF(_xll.qwSecType(F172)="BondFuture",-(I172*_xll.qwDelta($A$4,F172)*_xll.qwMVFactor($A$1,F172)/_xll.qwMVFactor($A$1,_xll.qwFutCTD($A$1,F172)))*(_xll.qwFXRate($A$1,F172)*_xll.qwMVFactor($A$1,_xll.qwFutCTD($A$1,F172))*(_xll.qwIncome($A$4,_xll.qwFutCTD($A$4,F172),_xll.qwBondSettle($A$4,_xll.qwFutCTD($A$4,F172)),_xll.qwBondSettle($A$1,_xll.qwFutCTD($A$1,F172)))+(_xll.qwSecVal($A$1,AA172,"Price")-_xll.qwSecVal($A$4,AA172,"Price"))-_xll.qwBondRepoFromTo($A$1,AA172,_xll.qwBondSettle($A$4,AA172),_xll.qwBondSettle($A$1,AA172))*_xll.qwSecVal($A$1,AA172,"Price")*(_xll.qwBondSettle($A$1,AA172)-_xll.qwBondSettle($A$4,AA172))/360))+O172,0)</f>
        <v>0</v>
      </c>
      <c r="AC172" s="9" cm="1">
        <f t="array" ref="AC172">O172+T172+IF(ISNUMBER(_xll.qwIncome($A$1,F172,_xll.qwSettle($A$4,F172),_xll.qwSettle($A$1,F172))*_xll.qwMVFactor($A$1,F172)*_xll.qwFXRate($A$1,F172)*I172),_xll.qwIncome($A$1,F172,_xll.qwSettle($A$4,F172),_xll.qwSettle($A$1,F172))*_xll.qwMVFactor($A$1,F172)*_xll.qwFXRate($A$1,F172)*I172,0)+IF(ISNUMBER(-(_xll.qwBondRepoFromTo($A$1,F172,_xll.qwSettle($A$4,F172),_xll.qwSettle($A$1,F172))*_xll.qwSecVal($A$1,F172,"Price")*(_xll.qwSettle($A$1,F172)-_xll.qwSettle($A$4,F172))/360)*_xll.qwMVFactor($A$1,F172)*_xll.qwFXRate($A$1,F172)*I172),-(_xll.qwBondRepoFromTo($A$1,F172,_xll.qwSettle($A$4,F172),_xll.qwSettle($A$1,F172))*_xll.qwSecVal($A$1,F172,"Price")*(_xll.qwSettle($A$1,F172)-_xll.qwSettle($A$4,F172))/360)*_xll.qwMVFactor($A$1,F172)*_xll.qwFXRate($A$1,F172)*I172,0)</f>
        <v>-2973.7914255099604</v>
      </c>
      <c r="AD172" s="6"/>
    </row>
    <row r="173" spans="2:30" s="7" customFormat="1" x14ac:dyDescent="0.35">
      <c r="B173" s="7" t="str">
        <v>jcleary</v>
      </c>
      <c r="C173" s="7" t="str">
        <v>MAMS</v>
      </c>
      <c r="D173" s="7" t="str">
        <v>jcleary|MAMS|RV_US_WN_Spread|912810UW6</v>
      </c>
      <c r="E173" s="7" t="str">
        <v>RV_US_WN_Spread</v>
      </c>
      <c r="F173" s="7" t="str">
        <v>912810UW6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772544.80000000482</v>
      </c>
      <c r="M173" s="7">
        <v>0</v>
      </c>
      <c r="N173" s="7" t="str">
        <v>Bond</v>
      </c>
      <c r="O173" s="6" cm="1">
        <f t="array" ref="O173">(_xll.qwPrice($A$1,F173)-_xll.qwPrice($A$4,F173))*_xll.qwMVFactor($A$1,F173)*I173*_xll.qwFXRate($A$1,F173)</f>
        <v>0</v>
      </c>
      <c r="P173" s="6" cm="1">
        <f t="array" ref="P173">IF(ISNUMBER(_xll.qwDV01($A$1,F173)*I173*_xll.qwMVFactor($A$1,F173)*_xll.qwFXRate($A$1,F173)),_xll.qwDV01($A$1,F173)*I173*_xll.qwMVFactor($A$1,F173)*_xll.qwFXRate($A$1,F173),0)</f>
        <v>0</v>
      </c>
      <c r="Q173" s="6" cm="1">
        <f t="array" ref="Q173">IF(ISNUMBER(_xll.qwDV01($A$1,F173)*G173*_xll.qwMVFactor($A$1,F173)*_xll.qwFXRate($A$1,F173)),_xll.qwDV01($A$1,F173)*G173*_xll.qwMVFactor($A$1,F173)*_xll.qwFXRate($A$1,F173),0)</f>
        <v>0</v>
      </c>
      <c r="R173" s="6" cm="1">
        <f t="array" ref="R173">IF(ISNUMBER(_xll.qwDV01($A$1,F173)*J173*_xll.qwMVFactor($A$1,F173)*_xll.qwFXRate($A$1,F173)),_xll.qwDV01($A$1,F173)*J173*_xll.qwMVFactor($A$1,F173)*_xll.qwFXRate($A$1,F173),0)</f>
        <v>0</v>
      </c>
      <c r="S173" s="6" cm="1">
        <f t="array" ref="S173">IF(ISNUMBER(_xll.qwDV01($A$1,F173)*J173*_xll.qwMVFactor($A$1,F173)*_xll.qwFXRate($A$1,F173)),_xll.qwDV01($A$1,F173)*J173*_xll.qwMVFactor($A$1,F173)*_xll.qwFXRate($A$1,F173),0)</f>
        <v>0</v>
      </c>
      <c r="T173" s="6" cm="1">
        <f t="array" ref="T173">_xll.qwFXRate($A$1,F173)*J173*(_xll.qwPrice($A$1,F173)-M173)*_xll.qwMVFactor($A$1,F173)+L173</f>
        <v>772544.80000000482</v>
      </c>
      <c r="U173" s="8" cm="1">
        <f t="array" ref="U173">_xll.qwYield($A$1,F173)</f>
        <v>5.523658204135673E-2</v>
      </c>
      <c r="V173" s="8" cm="1">
        <f t="array" ref="V173">100*(_xll.qwYield($A$4,F173)-U173)</f>
        <v>3.8355584894027295E-2</v>
      </c>
      <c r="W173" s="6">
        <f>IF(ISNA(G173*INDEX(_xll.qwTblData(_xll.qwCurveScenariosPerSecurity($A$1,F173,"Crv210")),2,2)),0,(G173*INDEX(_xll.qwTblData(_xll.qwCurveScenariosPerSecurity($A$1,F173,"Crv210")),2,2)))</f>
        <v>0</v>
      </c>
      <c r="X173" s="6" cm="1">
        <f t="array" ref="X173">ABS(Q173/_xll.qwMV01($A$1,"CT10"))</f>
        <v>0</v>
      </c>
      <c r="Y173" s="6" cm="1">
        <f t="array" ref="Y173">IF(N173="BondFuture",-(_xll.qwCurveYield($A$1,_xll.qwSecVal($A$1,AA173,"CreditCurveName()"),AA173)-_xll.qwCurveYield($A$4,_xll.qwSecVal($A$4,AA173,"CreditCurveName()"),AA173))*P173*10000,IF(N173="Bond",-(_xll.qwCurveYield($A$1,_xll.qwSecVal($A$1,F173,"CreditCurveName()"),F173)-_xll.qwCurveYield($A$4,_xll.qwSecVal($A$4,F173,"CreditCurveName()"),F173))*P173*10000,O173))</f>
        <v>0</v>
      </c>
      <c r="Z173" s="6" cm="1">
        <f t="array" ref="Z173">IF(OR(N173="BondFuture",N173="Bond"),P173*(_xll.qwCurveZSpread($A$4,_xll.qwSecVal($A$1,AA173,"CreditCurveName()"),AA173)-_xll.qwCurveZSpread($A$1,_xll.qwSecVal($A$1,AA173,"CreditCurveName()"),AA173)),0)</f>
        <v>0</v>
      </c>
      <c r="AA173" s="9" t="str" cm="1">
        <f t="array" ref="AA173">IF(_xll.qwSecType(F173)="Bond",F173,IF(_xll.qwSecType(F173)="BondFuture",_xll.qwFutCTD($A$1,F173),0))</f>
        <v>912810UW6</v>
      </c>
      <c r="AB173" s="6" cm="1">
        <f t="array" ref="AB173">IF(_xll.qwSecType(F173)="BondFuture",-(I173*_xll.qwDelta($A$4,F173)*_xll.qwMVFactor($A$1,F173)/_xll.qwMVFactor($A$1,_xll.qwFutCTD($A$1,F173)))*(_xll.qwFXRate($A$1,F173)*_xll.qwMVFactor($A$1,_xll.qwFutCTD($A$1,F173))*(_xll.qwIncome($A$4,_xll.qwFutCTD($A$4,F173),_xll.qwBondSettle($A$4,_xll.qwFutCTD($A$4,F173)),_xll.qwBondSettle($A$1,_xll.qwFutCTD($A$1,F173)))+(_xll.qwSecVal($A$1,AA173,"Price")-_xll.qwSecVal($A$4,AA173,"Price"))-_xll.qwBondRepoFromTo($A$1,AA173,_xll.qwBondSettle($A$4,AA173),_xll.qwBondSettle($A$1,AA173))*_xll.qwSecVal($A$1,AA173,"Price")*(_xll.qwBondSettle($A$1,AA173)-_xll.qwBondSettle($A$4,AA173))/360))+O173,0)</f>
        <v>0</v>
      </c>
      <c r="AC173" s="9" cm="1">
        <f t="array" ref="AC173">O173+T173+IF(ISNUMBER(_xll.qwIncome($A$1,F173,_xll.qwSettle($A$4,F173),_xll.qwSettle($A$1,F173))*_xll.qwMVFactor($A$1,F173)*_xll.qwFXRate($A$1,F173)*I173),_xll.qwIncome($A$1,F173,_xll.qwSettle($A$4,F173),_xll.qwSettle($A$1,F173))*_xll.qwMVFactor($A$1,F173)*_xll.qwFXRate($A$1,F173)*I173,0)+IF(ISNUMBER(-(_xll.qwBondRepoFromTo($A$1,F173,_xll.qwSettle($A$4,F173),_xll.qwSettle($A$1,F173))*_xll.qwSecVal($A$1,F173,"Price")*(_xll.qwSettle($A$1,F173)-_xll.qwSettle($A$4,F173))/360)*_xll.qwMVFactor($A$1,F173)*_xll.qwFXRate($A$1,F173)*I173),-(_xll.qwBondRepoFromTo($A$1,F173,_xll.qwSettle($A$4,F173),_xll.qwSettle($A$1,F173))*_xll.qwSecVal($A$1,F173,"Price")*(_xll.qwSettle($A$1,F173)-_xll.qwSettle($A$4,F173))/360)*_xll.qwMVFactor($A$1,F173)*_xll.qwFXRate($A$1,F173)*I173,0)</f>
        <v>772544.80000000482</v>
      </c>
      <c r="AD173" s="6"/>
    </row>
    <row r="174" spans="2:30" s="7" customFormat="1" x14ac:dyDescent="0.35">
      <c r="B174" s="7" t="str">
        <v>jcleary</v>
      </c>
      <c r="C174" s="7" t="str">
        <v>MAMS</v>
      </c>
      <c r="D174" s="7" t="str">
        <v>jcleary|MAMS|RV_US_WN_Spread|WNZ6</v>
      </c>
      <c r="E174" s="7" t="str">
        <v>RV_US_WN_Spread</v>
      </c>
      <c r="F174" s="7" t="str">
        <v>WNZ6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-744094.54549999337</v>
      </c>
      <c r="M174" s="7">
        <v>0</v>
      </c>
      <c r="N174" s="7" t="str">
        <v>BondFuture</v>
      </c>
      <c r="O174" s="6" cm="1">
        <f t="array" ref="O174">(_xll.qwPrice($A$1,F174)-_xll.qwPrice($A$4,F174))*_xll.qwMVFactor($A$1,F174)*I174*_xll.qwFXRate($A$1,F174)</f>
        <v>0</v>
      </c>
      <c r="P174" s="6" cm="1">
        <f t="array" ref="P174">IF(ISNUMBER(_xll.qwDV01($A$1,F174)*I174*_xll.qwMVFactor($A$1,F174)*_xll.qwFXRate($A$1,F174)),_xll.qwDV01($A$1,F174)*I174*_xll.qwMVFactor($A$1,F174)*_xll.qwFXRate($A$1,F174),0)</f>
        <v>0</v>
      </c>
      <c r="Q174" s="6" cm="1">
        <f t="array" ref="Q174">IF(ISNUMBER(_xll.qwDV01($A$1,F174)*G174*_xll.qwMVFactor($A$1,F174)*_xll.qwFXRate($A$1,F174)),_xll.qwDV01($A$1,F174)*G174*_xll.qwMVFactor($A$1,F174)*_xll.qwFXRate($A$1,F174),0)</f>
        <v>0</v>
      </c>
      <c r="R174" s="6" cm="1">
        <f t="array" ref="R174">IF(ISNUMBER(_xll.qwDV01($A$1,F174)*J174*_xll.qwMVFactor($A$1,F174)*_xll.qwFXRate($A$1,F174)),_xll.qwDV01($A$1,F174)*J174*_xll.qwMVFactor($A$1,F174)*_xll.qwFXRate($A$1,F174),0)</f>
        <v>0</v>
      </c>
      <c r="S174" s="6" cm="1">
        <f t="array" ref="S174">IF(ISNUMBER(_xll.qwDV01($A$1,F174)*J174*_xll.qwMVFactor($A$1,F174)*_xll.qwFXRate($A$1,F174)),_xll.qwDV01($A$1,F174)*J174*_xll.qwMVFactor($A$1,F174)*_xll.qwFXRate($A$1,F174),0)</f>
        <v>0</v>
      </c>
      <c r="T174" s="6" cm="1">
        <f t="array" ref="T174">_xll.qwFXRate($A$1,F174)*J174*(_xll.qwPrice($A$1,F174)-M174)*_xll.qwMVFactor($A$1,F174)+L174</f>
        <v>-744094.54549999337</v>
      </c>
      <c r="U174" s="8" cm="1">
        <f t="array" ref="U174">_xll.qwYield($A$1,F174)</f>
        <v>5.5992520917912493E-2</v>
      </c>
      <c r="V174" s="8" cm="1">
        <f t="array" ref="V174">100*(_xll.qwYield($A$4,F174)-U174)</f>
        <v>4.1477795744292861E-2</v>
      </c>
      <c r="W174" s="6">
        <f>IF(ISNA(G174*INDEX(_xll.qwTblData(_xll.qwCurveScenariosPerSecurity($A$1,F174,"Crv210")),2,2)),0,(G174*INDEX(_xll.qwTblData(_xll.qwCurveScenariosPerSecurity($A$1,F174,"Crv210")),2,2)))</f>
        <v>0</v>
      </c>
      <c r="X174" s="6" cm="1">
        <f t="array" ref="X174">ABS(Q174/_xll.qwMV01($A$1,"CT10"))</f>
        <v>0</v>
      </c>
      <c r="Y174" s="6" cm="1">
        <f t="array" ref="Y174">IF(N174="BondFuture",-(_xll.qwCurveYield($A$1,_xll.qwSecVal($A$1,AA174,"CreditCurveName()"),AA174)-_xll.qwCurveYield($A$4,_xll.qwSecVal($A$4,AA174,"CreditCurveName()"),AA174))*P174*10000,IF(N174="Bond",-(_xll.qwCurveYield($A$1,_xll.qwSecVal($A$1,F174,"CreditCurveName()"),F174)-_xll.qwCurveYield($A$4,_xll.qwSecVal($A$4,F174,"CreditCurveName()"),F174))*P174*10000,O174))</f>
        <v>0</v>
      </c>
      <c r="Z174" s="6" cm="1">
        <f t="array" ref="Z174">IF(OR(N174="BondFuture",N174="Bond"),P174*(_xll.qwCurveZSpread($A$4,_xll.qwSecVal($A$1,AA174,"CreditCurveName()"),AA174)-_xll.qwCurveZSpread($A$1,_xll.qwSecVal($A$1,AA174,"CreditCurveName()"),AA174)),0)</f>
        <v>0</v>
      </c>
      <c r="AA174" s="9" t="str" cm="1">
        <f t="array" ref="AA174">IF(_xll.qwSecType(F174)="Bond",F174,IF(_xll.qwSecType(F174)="BondFuture",_xll.qwFutCTD($A$1,F174),0))</f>
        <v>912810TL2</v>
      </c>
      <c r="AB174" s="6" cm="1">
        <f t="array" ref="AB174">IF(_xll.qwSecType(F174)="BondFuture",-(I174*_xll.qwDelta($A$4,F174)*_xll.qwMVFactor($A$1,F174)/_xll.qwMVFactor($A$1,_xll.qwFutCTD($A$1,F174)))*(_xll.qwFXRate($A$1,F174)*_xll.qwMVFactor($A$1,_xll.qwFutCTD($A$1,F174))*(_xll.qwIncome($A$4,_xll.qwFutCTD($A$4,F174),_xll.qwBondSettle($A$4,_xll.qwFutCTD($A$4,F174)),_xll.qwBondSettle($A$1,_xll.qwFutCTD($A$1,F174)))+(_xll.qwSecVal($A$1,AA174,"Price")-_xll.qwSecVal($A$4,AA174,"Price"))-_xll.qwBondRepoFromTo($A$1,AA174,_xll.qwBondSettle($A$4,AA174),_xll.qwBondSettle($A$1,AA174))*_xll.qwSecVal($A$1,AA174,"Price")*(_xll.qwBondSettle($A$1,AA174)-_xll.qwBondSettle($A$4,AA174))/360))+O174,0)</f>
        <v>0</v>
      </c>
      <c r="AC174" s="9" cm="1">
        <f t="array" ref="AC174">O174+T174+IF(ISNUMBER(_xll.qwIncome($A$1,F174,_xll.qwSettle($A$4,F174),_xll.qwSettle($A$1,F174))*_xll.qwMVFactor($A$1,F174)*_xll.qwFXRate($A$1,F174)*I174),_xll.qwIncome($A$1,F174,_xll.qwSettle($A$4,F174),_xll.qwSettle($A$1,F174))*_xll.qwMVFactor($A$1,F174)*_xll.qwFXRate($A$1,F174)*I174,0)+IF(ISNUMBER(-(_xll.qwBondRepoFromTo($A$1,F174,_xll.qwSettle($A$4,F174),_xll.qwSettle($A$1,F174))*_xll.qwSecVal($A$1,F174,"Price")*(_xll.qwSettle($A$1,F174)-_xll.qwSettle($A$4,F174))/360)*_xll.qwMVFactor($A$1,F174)*_xll.qwFXRate($A$1,F174)*I174),-(_xll.qwBondRepoFromTo($A$1,F174,_xll.qwSettle($A$4,F174),_xll.qwSettle($A$1,F174))*_xll.qwSecVal($A$1,F174,"Price")*(_xll.qwSettle($A$1,F174)-_xll.qwSettle($A$4,F174))/360)*_xll.qwMVFactor($A$1,F174)*_xll.qwFXRate($A$1,F174)*I174,0)</f>
        <v>-744094.54549999337</v>
      </c>
      <c r="AD174" s="6"/>
    </row>
    <row r="175" spans="2:30" s="7" customFormat="1" x14ac:dyDescent="0.35">
      <c r="B175" s="7" t="str">
        <v>jcleary</v>
      </c>
      <c r="C175" s="7" t="str">
        <v>PPA</v>
      </c>
      <c r="D175" s="7" t="str">
        <v>jcleary|PPA|RV_EU_Spreads_SpreadCurve|246887501</v>
      </c>
      <c r="E175" s="7" t="str">
        <v>RV_EU_Spreads_SpreadCurve</v>
      </c>
      <c r="F175" s="7" t="str">
        <v>246887501</v>
      </c>
      <c r="G175" s="7">
        <v>19.38</v>
      </c>
      <c r="H175" s="7">
        <v>0</v>
      </c>
      <c r="I175" s="7">
        <v>19.38</v>
      </c>
      <c r="J175" s="7">
        <v>0</v>
      </c>
      <c r="K175" s="7">
        <v>0</v>
      </c>
      <c r="L175" s="7">
        <v>0</v>
      </c>
      <c r="M175" s="7">
        <v>0</v>
      </c>
      <c r="N175" s="7" t="str">
        <v>SwapTrade</v>
      </c>
      <c r="O175" s="6" cm="1">
        <f t="array" ref="O175">(_xll.qwPrice($A$1,F175)-_xll.qwPrice($A$4,F175))*_xll.qwMVFactor($A$1,F175)*I175*_xll.qwFXRate($A$1,F175)</f>
        <v>70414.106355539872</v>
      </c>
      <c r="P175" s="6" cm="1">
        <f t="array" ref="P175">IF(ISNUMBER(_xll.qwDV01($A$1,F175)*I175*_xll.qwMVFactor($A$1,F175)*_xll.qwFXRate($A$1,F175)),_xll.qwDV01($A$1,F175)*I175*_xll.qwMVFactor($A$1,F175)*_xll.qwFXRate($A$1,F175),0)</f>
        <v>-39034.944351337159</v>
      </c>
      <c r="Q175" s="6" cm="1">
        <f t="array" ref="Q175">IF(ISNUMBER(_xll.qwDV01($A$1,F175)*G175*_xll.qwMVFactor($A$1,F175)*_xll.qwFXRate($A$1,F175)),_xll.qwDV01($A$1,F175)*G175*_xll.qwMVFactor($A$1,F175)*_xll.qwFXRate($A$1,F175),0)</f>
        <v>-39034.944351337159</v>
      </c>
      <c r="R175" s="6" cm="1">
        <f t="array" ref="R175">IF(ISNUMBER(_xll.qwDV01($A$1,F175)*J175*_xll.qwMVFactor($A$1,F175)*_xll.qwFXRate($A$1,F175)),_xll.qwDV01($A$1,F175)*J175*_xll.qwMVFactor($A$1,F175)*_xll.qwFXRate($A$1,F175),0)</f>
        <v>0</v>
      </c>
      <c r="S175" s="6" cm="1">
        <f t="array" ref="S175">IF(ISNUMBER(_xll.qwDV01($A$1,F175)*J175*_xll.qwMVFactor($A$1,F175)*_xll.qwFXRate($A$1,F175)),_xll.qwDV01($A$1,F175)*J175*_xll.qwMVFactor($A$1,F175)*_xll.qwFXRate($A$1,F175),0)</f>
        <v>0</v>
      </c>
      <c r="T175" s="6" cm="1">
        <f t="array" ref="T175">_xll.qwFXRate($A$1,F175)*J175*(_xll.qwPrice($A$1,F175)-M175)*_xll.qwMVFactor($A$1,F175)+L175</f>
        <v>0</v>
      </c>
      <c r="U175" s="8" cm="1">
        <f t="array" ref="U175">_xll.qwYield($A$1,F175)</f>
        <v>3.3450225710341445E-2</v>
      </c>
      <c r="V175" s="8" cm="1">
        <f t="array" ref="V175">100*(_xll.qwYield($A$4,F175)-U175)</f>
        <v>-1.8131897055933405E-2</v>
      </c>
      <c r="W175" s="6">
        <f>IF(ISNA(G175*INDEX(_xll.qwTblData(_xll.qwCurveScenariosPerSecurity($A$1,F175,"Crv210")),2,2)),0,(G175*INDEX(_xll.qwTblData(_xll.qwCurveScenariosPerSecurity($A$1,F175,"Crv210")),2,2)))</f>
        <v>118156.66395278645</v>
      </c>
      <c r="X175" s="6" cm="1">
        <f t="array" ref="X175">ABS(Q175/_xll.qwMV01($A$1,"CT10"))</f>
        <v>52.548492305101938</v>
      </c>
      <c r="Y175" s="6" cm="1">
        <f t="array" ref="Y175">IF(N175="BondFuture",-(_xll.qwCurveYield($A$1,_xll.qwSecVal($A$1,AA175,"CreditCurveName()"),AA175)-_xll.qwCurveYield($A$4,_xll.qwSecVal($A$4,AA175,"CreditCurveName()"),AA175))*P175*10000,IF(N175="Bond",-(_xll.qwCurveYield($A$1,_xll.qwSecVal($A$1,F175,"CreditCurveName()"),F175)-_xll.qwCurveYield($A$4,_xll.qwSecVal($A$4,F175,"CreditCurveName()"),F175))*P175*10000,O175))</f>
        <v>70414.106355539872</v>
      </c>
      <c r="Z175" s="6" cm="1">
        <f t="array" ref="Z175">IF(OR(N175="BondFuture",N175="Bond"),P175*(_xll.qwCurveZSpread($A$4,_xll.qwSecVal($A$1,AA175,"CreditCurveName()"),AA175)-_xll.qwCurveZSpread($A$1,_xll.qwSecVal($A$1,AA175,"CreditCurveName()"),AA175)),0)</f>
        <v>0</v>
      </c>
      <c r="AA175" s="9" cm="1">
        <f t="array" ref="AA175">IF(_xll.qwSecType(F175)="Bond",F175,IF(_xll.qwSecType(F175)="BondFuture",_xll.qwFutCTD($A$1,F175),0))</f>
        <v>0</v>
      </c>
      <c r="AB175" s="6" cm="1">
        <f t="array" ref="AB175">IF(_xll.qwSecType(F175)="BondFuture",-(I175*_xll.qwDelta($A$4,F175)*_xll.qwMVFactor($A$1,F175)/_xll.qwMVFactor($A$1,_xll.qwFutCTD($A$1,F175)))*(_xll.qwFXRate($A$1,F175)*_xll.qwMVFactor($A$1,_xll.qwFutCTD($A$1,F175))*(_xll.qwIncome($A$4,_xll.qwFutCTD($A$4,F175),_xll.qwBondSettle($A$4,_xll.qwFutCTD($A$4,F175)),_xll.qwBondSettle($A$1,_xll.qwFutCTD($A$1,F175)))+(_xll.qwSecVal($A$1,AA175,"Price")-_xll.qwSecVal($A$4,AA175,"Price"))-_xll.qwBondRepoFromTo($A$1,AA175,_xll.qwBondSettle($A$4,AA175),_xll.qwBondSettle($A$1,AA175))*_xll.qwSecVal($A$1,AA175,"Price")*(_xll.qwBondSettle($A$1,AA175)-_xll.qwBondSettle($A$4,AA175))/360))+O175,0)</f>
        <v>0</v>
      </c>
      <c r="AC175" s="9" cm="1">
        <f t="array" ref="AC175">O175+T175+IF(ISNUMBER(_xll.qwIncome($A$1,F175,_xll.qwSettle($A$4,F175),_xll.qwSettle($A$1,F175))*_xll.qwMVFactor($A$1,F175)*_xll.qwFXRate($A$1,F175)*I175),_xll.qwIncome($A$1,F175,_xll.qwSettle($A$4,F175),_xll.qwSettle($A$1,F175))*_xll.qwMVFactor($A$1,F175)*_xll.qwFXRate($A$1,F175)*I175,0)+IF(ISNUMBER(-(_xll.qwBondRepoFromTo($A$1,F175,_xll.qwSettle($A$4,F175),_xll.qwSettle($A$1,F175))*_xll.qwSecVal($A$1,F175,"Price")*(_xll.qwSettle($A$1,F175)-_xll.qwSettle($A$4,F175))/360)*_xll.qwMVFactor($A$1,F175)*_xll.qwFXRate($A$1,F175)*I175),-(_xll.qwBondRepoFromTo($A$1,F175,_xll.qwSettle($A$4,F175),_xll.qwSettle($A$1,F175))*_xll.qwSecVal($A$1,F175,"Price")*(_xll.qwSettle($A$1,F175)-_xll.qwSettle($A$4,F175))/360)*_xll.qwMVFactor($A$1,F175)*_xll.qwFXRate($A$1,F175)*I175,0)</f>
        <v>70414.106355539872</v>
      </c>
      <c r="AD175" s="6"/>
    </row>
    <row r="176" spans="2:30" s="7" customFormat="1" x14ac:dyDescent="0.35">
      <c r="B176" s="7" t="str">
        <v>jcleary</v>
      </c>
      <c r="C176" s="7" t="str">
        <v>PPA</v>
      </c>
      <c r="D176" s="7" t="str">
        <v>jcleary|PPA|RV_EU_Spreads_SpreadCurve|246889747</v>
      </c>
      <c r="E176" s="7" t="str">
        <v>RV_EU_Spreads_SpreadCurve</v>
      </c>
      <c r="F176" s="7" t="str">
        <v>246889747</v>
      </c>
      <c r="G176" s="7">
        <v>47.956000000000003</v>
      </c>
      <c r="H176" s="7">
        <v>0</v>
      </c>
      <c r="I176" s="7">
        <v>47.956000000000003</v>
      </c>
      <c r="J176" s="7">
        <v>0</v>
      </c>
      <c r="K176" s="7">
        <v>0</v>
      </c>
      <c r="L176" s="7">
        <v>0</v>
      </c>
      <c r="M176" s="7">
        <v>0</v>
      </c>
      <c r="N176" s="7" t="str">
        <v>SwapTrade</v>
      </c>
      <c r="O176" s="6" cm="1">
        <f t="array" ref="O176">(_xll.qwPrice($A$1,F176)-_xll.qwPrice($A$4,F176))*_xll.qwMVFactor($A$1,F176)*I176*_xll.qwFXRate($A$1,F176)</f>
        <v>-68635.106341226885</v>
      </c>
      <c r="P176" s="6" cm="1">
        <f t="array" ref="P176">IF(ISNUMBER(_xll.qwDV01($A$1,F176)*I176*_xll.qwMVFactor($A$1,F176)*_xll.qwFXRate($A$1,F176)),_xll.qwDV01($A$1,F176)*I176*_xll.qwMVFactor($A$1,F176)*_xll.qwFXRate($A$1,F176),0)</f>
        <v>39982.489340432236</v>
      </c>
      <c r="Q176" s="6" cm="1">
        <f t="array" ref="Q176">IF(ISNUMBER(_xll.qwDV01($A$1,F176)*G176*_xll.qwMVFactor($A$1,F176)*_xll.qwFXRate($A$1,F176)),_xll.qwDV01($A$1,F176)*G176*_xll.qwMVFactor($A$1,F176)*_xll.qwFXRate($A$1,F176),0)</f>
        <v>39982.489340432236</v>
      </c>
      <c r="R176" s="6" cm="1">
        <f t="array" ref="R176">IF(ISNUMBER(_xll.qwDV01($A$1,F176)*J176*_xll.qwMVFactor($A$1,F176)*_xll.qwFXRate($A$1,F176)),_xll.qwDV01($A$1,F176)*J176*_xll.qwMVFactor($A$1,F176)*_xll.qwFXRate($A$1,F176),0)</f>
        <v>0</v>
      </c>
      <c r="S176" s="6" cm="1">
        <f t="array" ref="S176">IF(ISNUMBER(_xll.qwDV01($A$1,F176)*J176*_xll.qwMVFactor($A$1,F176)*_xll.qwFXRate($A$1,F176)),_xll.qwDV01($A$1,F176)*J176*_xll.qwMVFactor($A$1,F176)*_xll.qwFXRate($A$1,F176),0)</f>
        <v>0</v>
      </c>
      <c r="T176" s="6" cm="1">
        <f t="array" ref="T176">_xll.qwFXRate($A$1,F176)*J176*(_xll.qwPrice($A$1,F176)-M176)*_xll.qwMVFactor($A$1,F176)+L176</f>
        <v>0</v>
      </c>
      <c r="U176" s="8" cm="1">
        <f t="array" ref="U176">_xll.qwYield($A$1,F176)</f>
        <v>3.2818369606720833E-2</v>
      </c>
      <c r="V176" s="8" cm="1">
        <f t="array" ref="V176">100*(_xll.qwYield($A$4,F176)-U176)</f>
        <v>-1.7240045906818241E-2</v>
      </c>
      <c r="W176" s="6">
        <f>IF(ISNA(G176*INDEX(_xll.qwTblData(_xll.qwCurveScenariosPerSecurity($A$1,F176,"Crv210")),2,2)),0,(G176*INDEX(_xll.qwTblData(_xll.qwCurveScenariosPerSecurity($A$1,F176,"Crv210")),2,2)))</f>
        <v>-14470.051864258587</v>
      </c>
      <c r="X176" s="6" cm="1">
        <f t="array" ref="X176">ABS(Q176/_xll.qwMV01($A$1,"CT10"))</f>
        <v>53.824068878749465</v>
      </c>
      <c r="Y176" s="6" cm="1">
        <f t="array" ref="Y176">IF(N176="BondFuture",-(_xll.qwCurveYield($A$1,_xll.qwSecVal($A$1,AA176,"CreditCurveName()"),AA176)-_xll.qwCurveYield($A$4,_xll.qwSecVal($A$4,AA176,"CreditCurveName()"),AA176))*P176*10000,IF(N176="Bond",-(_xll.qwCurveYield($A$1,_xll.qwSecVal($A$1,F176,"CreditCurveName()"),F176)-_xll.qwCurveYield($A$4,_xll.qwSecVal($A$4,F176,"CreditCurveName()"),F176))*P176*10000,O176))</f>
        <v>-68635.106341226885</v>
      </c>
      <c r="Z176" s="6" cm="1">
        <f t="array" ref="Z176">IF(OR(N176="BondFuture",N176="Bond"),P176*(_xll.qwCurveZSpread($A$4,_xll.qwSecVal($A$1,AA176,"CreditCurveName()"),AA176)-_xll.qwCurveZSpread($A$1,_xll.qwSecVal($A$1,AA176,"CreditCurveName()"),AA176)),0)</f>
        <v>0</v>
      </c>
      <c r="AA176" s="9" cm="1">
        <f t="array" ref="AA176">IF(_xll.qwSecType(F176)="Bond",F176,IF(_xll.qwSecType(F176)="BondFuture",_xll.qwFutCTD($A$1,F176),0))</f>
        <v>0</v>
      </c>
      <c r="AB176" s="6" cm="1">
        <f t="array" ref="AB176">IF(_xll.qwSecType(F176)="BondFuture",-(I176*_xll.qwDelta($A$4,F176)*_xll.qwMVFactor($A$1,F176)/_xll.qwMVFactor($A$1,_xll.qwFutCTD($A$1,F176)))*(_xll.qwFXRate($A$1,F176)*_xll.qwMVFactor($A$1,_xll.qwFutCTD($A$1,F176))*(_xll.qwIncome($A$4,_xll.qwFutCTD($A$4,F176),_xll.qwBondSettle($A$4,_xll.qwFutCTD($A$4,F176)),_xll.qwBondSettle($A$1,_xll.qwFutCTD($A$1,F176)))+(_xll.qwSecVal($A$1,AA176,"Price")-_xll.qwSecVal($A$4,AA176,"Price"))-_xll.qwBondRepoFromTo($A$1,AA176,_xll.qwBondSettle($A$4,AA176),_xll.qwBondSettle($A$1,AA176))*_xll.qwSecVal($A$1,AA176,"Price")*(_xll.qwBondSettle($A$1,AA176)-_xll.qwBondSettle($A$4,AA176))/360))+O176,0)</f>
        <v>0</v>
      </c>
      <c r="AC176" s="9" cm="1">
        <f t="array" ref="AC176">O176+T176+IF(ISNUMBER(_xll.qwIncome($A$1,F176,_xll.qwSettle($A$4,F176),_xll.qwSettle($A$1,F176))*_xll.qwMVFactor($A$1,F176)*_xll.qwFXRate($A$1,F176)*I176),_xll.qwIncome($A$1,F176,_xll.qwSettle($A$4,F176),_xll.qwSettle($A$1,F176))*_xll.qwMVFactor($A$1,F176)*_xll.qwFXRate($A$1,F176)*I176,0)+IF(ISNUMBER(-(_xll.qwBondRepoFromTo($A$1,F176,_xll.qwSettle($A$4,F176),_xll.qwSettle($A$1,F176))*_xll.qwSecVal($A$1,F176,"Price")*(_xll.qwSettle($A$1,F176)-_xll.qwSettle($A$4,F176))/360)*_xll.qwMVFactor($A$1,F176)*_xll.qwFXRate($A$1,F176)*I176),-(_xll.qwBondRepoFromTo($A$1,F176,_xll.qwSettle($A$4,F176),_xll.qwSettle($A$1,F176))*_xll.qwSecVal($A$1,F176,"Price")*(_xll.qwSettle($A$1,F176)-_xll.qwSettle($A$4,F176))/360)*_xll.qwMVFactor($A$1,F176)*_xll.qwFXRate($A$1,F176)*I176,0)</f>
        <v>-68635.106341226885</v>
      </c>
      <c r="AD176" s="6"/>
    </row>
    <row r="177" spans="2:30" s="7" customFormat="1" x14ac:dyDescent="0.35">
      <c r="B177" s="7" t="str">
        <v>jcleary</v>
      </c>
      <c r="C177" s="7" t="str">
        <v>PPA</v>
      </c>
      <c r="D177" s="7" t="str">
        <v>jcleary|PPA|RV_EU_Spreads_SpreadCurve|RXZ6</v>
      </c>
      <c r="E177" s="7" t="str">
        <v>RV_EU_Spreads_SpreadCurve</v>
      </c>
      <c r="F177" s="7" t="str">
        <v>RXZ6</v>
      </c>
      <c r="G177" s="7">
        <v>-383</v>
      </c>
      <c r="H177" s="7">
        <v>0</v>
      </c>
      <c r="I177" s="7">
        <v>-383</v>
      </c>
      <c r="J177" s="7">
        <v>0</v>
      </c>
      <c r="K177" s="7">
        <v>0</v>
      </c>
      <c r="L177" s="7">
        <v>0</v>
      </c>
      <c r="M177" s="7">
        <v>0</v>
      </c>
      <c r="N177" s="7" t="str">
        <v>BondFuture</v>
      </c>
      <c r="O177" s="6" cm="1">
        <f t="array" ref="O177">(_xll.qwPrice($A$1,F177)-_xll.qwPrice($A$4,F177))*_xll.qwMVFactor($A$1,F177)*I177*_xll.qwFXRate($A$1,F177)</f>
        <v>55351.543000004116</v>
      </c>
      <c r="P177" s="6" cm="1">
        <f t="array" ref="P177">IF(ISNUMBER(_xll.qwDV01($A$1,F177)*I177*_xll.qwMVFactor($A$1,F177)*_xll.qwFXRate($A$1,F177)),_xll.qwDV01($A$1,F177)*I177*_xll.qwMVFactor($A$1,F177)*_xll.qwFXRate($A$1,F177),0)</f>
        <v>-39872.350692576663</v>
      </c>
      <c r="Q177" s="6" cm="1">
        <f t="array" ref="Q177">IF(ISNUMBER(_xll.qwDV01($A$1,F177)*G177*_xll.qwMVFactor($A$1,F177)*_xll.qwFXRate($A$1,F177)),_xll.qwDV01($A$1,F177)*G177*_xll.qwMVFactor($A$1,F177)*_xll.qwFXRate($A$1,F177),0)</f>
        <v>-39872.350692576663</v>
      </c>
      <c r="R177" s="6" cm="1">
        <f t="array" ref="R177">IF(ISNUMBER(_xll.qwDV01($A$1,F177)*J177*_xll.qwMVFactor($A$1,F177)*_xll.qwFXRate($A$1,F177)),_xll.qwDV01($A$1,F177)*J177*_xll.qwMVFactor($A$1,F177)*_xll.qwFXRate($A$1,F177),0)</f>
        <v>0</v>
      </c>
      <c r="S177" s="6" cm="1">
        <f t="array" ref="S177">IF(ISNUMBER(_xll.qwDV01($A$1,F177)*J177*_xll.qwMVFactor($A$1,F177)*_xll.qwFXRate($A$1,F177)),_xll.qwDV01($A$1,F177)*J177*_xll.qwMVFactor($A$1,F177)*_xll.qwFXRate($A$1,F177),0)</f>
        <v>0</v>
      </c>
      <c r="T177" s="6" cm="1">
        <f t="array" ref="T177">_xll.qwFXRate($A$1,F177)*J177*(_xll.qwPrice($A$1,F177)-M177)*_xll.qwMVFactor($A$1,F177)+L177</f>
        <v>0</v>
      </c>
      <c r="U177" s="8" cm="1">
        <f t="array" ref="U177">_xll.qwYield($A$1,F177)</f>
        <v>3.4305704799564789E-2</v>
      </c>
      <c r="V177" s="8" cm="1">
        <f t="array" ref="V177">100*(_xll.qwYield($A$4,F177)-U177)</f>
        <v>-1.4180309961804582E-2</v>
      </c>
      <c r="W177" s="6">
        <f>IF(ISNA(G177*INDEX(_xll.qwTblData(_xll.qwCurveScenariosPerSecurity($A$1,F177,"Crv210")),2,2)),0,(G177*INDEX(_xll.qwTblData(_xll.qwCurveScenariosPerSecurity($A$1,F177,"Crv210")),2,2)))</f>
        <v>14904.106145813039</v>
      </c>
      <c r="X177" s="6" cm="1">
        <f t="array" ref="X177">ABS(Q177/_xll.qwMV01($A$1,"CT10"))</f>
        <v>53.675801217926356</v>
      </c>
      <c r="Y177" s="6" cm="1">
        <f t="array" ref="Y177">IF(N177="BondFuture",-(_xll.qwCurveYield($A$1,_xll.qwSecVal($A$1,AA177,"CreditCurveName()"),AA177)-_xll.qwCurveYield($A$4,_xll.qwSecVal($A$4,AA177,"CreditCurveName()"),AA177))*P177*10000,IF(N177="Bond",-(_xll.qwCurveYield($A$1,_xll.qwSecVal($A$1,F177,"CreditCurveName()"),F177)-_xll.qwCurveYield($A$4,_xll.qwSecVal($A$4,F177,"CreditCurveName()"),F177))*P177*10000,O177))</f>
        <v>51467.80271724151</v>
      </c>
      <c r="Z177" s="6" cm="1">
        <f t="array" ref="Z177">IF(OR(N177="BondFuture",N177="Bond"),P177*(_xll.qwCurveZSpread($A$4,_xll.qwSecVal($A$1,AA177,"CreditCurveName()"),AA177)-_xll.qwCurveZSpread($A$1,_xll.qwSecVal($A$1,AA177,"CreditCurveName()"),AA177)),0)</f>
        <v>1832.0328600165867</v>
      </c>
      <c r="AA177" s="9" t="str" cm="1">
        <f t="array" ref="AA177">IF(_xll.qwSecType(F177)="Bond",F177,IF(_xll.qwSecType(F177)="BondFuture",_xll.qwFutCTD($A$1,F177),0))</f>
        <v>DE000BU2Z056</v>
      </c>
      <c r="AB177" s="6" cm="1">
        <f t="array" ref="AB177">IF(_xll.qwSecType(F177)="BondFuture",-(I177*_xll.qwDelta($A$4,F177)*_xll.qwMVFactor($A$1,F177)/_xll.qwMVFactor($A$1,_xll.qwFutCTD($A$1,F177)))*(_xll.qwFXRate($A$1,F177)*_xll.qwMVFactor($A$1,_xll.qwFutCTD($A$1,F177))*(_xll.qwIncome($A$4,_xll.qwFutCTD($A$4,F177),_xll.qwBondSettle($A$4,_xll.qwFutCTD($A$4,F177)),_xll.qwBondSettle($A$1,_xll.qwFutCTD($A$1,F177)))+(_xll.qwSecVal($A$1,AA177,"Price")-_xll.qwSecVal($A$4,AA177,"Price"))-_xll.qwBondRepoFromTo($A$1,AA177,_xll.qwBondSettle($A$4,AA177),_xll.qwBondSettle($A$1,AA177))*_xll.qwSecVal($A$1,AA177,"Price")*(_xll.qwBondSettle($A$1,AA177)-_xll.qwBondSettle($A$4,AA177))/360))+O177,0)</f>
        <v>3150.0934887281546</v>
      </c>
      <c r="AC177" s="9" cm="1">
        <f t="array" ref="AC177">O177+T177+IF(ISNUMBER(_xll.qwIncome($A$1,F177,_xll.qwSettle($A$4,F177),_xll.qwSettle($A$1,F177))*_xll.qwMVFactor($A$1,F177)*_xll.qwFXRate($A$1,F177)*I177),_xll.qwIncome($A$1,F177,_xll.qwSettle($A$4,F177),_xll.qwSettle($A$1,F177))*_xll.qwMVFactor($A$1,F177)*_xll.qwFXRate($A$1,F177)*I177,0)+IF(ISNUMBER(-(_xll.qwBondRepoFromTo($A$1,F177,_xll.qwSettle($A$4,F177),_xll.qwSettle($A$1,F177))*_xll.qwSecVal($A$1,F177,"Price")*(_xll.qwSettle($A$1,F177)-_xll.qwSettle($A$4,F177))/360)*_xll.qwMVFactor($A$1,F177)*_xll.qwFXRate($A$1,F177)*I177),-(_xll.qwBondRepoFromTo($A$1,F177,_xll.qwSettle($A$4,F177),_xll.qwSettle($A$1,F177))*_xll.qwSecVal($A$1,F177,"Price")*(_xll.qwSettle($A$1,F177)-_xll.qwSettle($A$4,F177))/360)*_xll.qwMVFactor($A$1,F177)*_xll.qwFXRate($A$1,F177)*I177,0)</f>
        <v>55351.543000004116</v>
      </c>
      <c r="AD177" s="6"/>
    </row>
    <row r="178" spans="2:30" s="7" customFormat="1" x14ac:dyDescent="0.35">
      <c r="B178" s="7" t="str">
        <v>jcleary</v>
      </c>
      <c r="C178" s="7" t="str">
        <v>PPA</v>
      </c>
      <c r="D178" s="7" t="str">
        <v>jcleary|PPA|RV_EU_Spreads_SpreadCurve|UBZ6</v>
      </c>
      <c r="E178" s="7" t="str">
        <v>RV_EU_Spreads_SpreadCurve</v>
      </c>
      <c r="F178" s="7" t="str">
        <v>UBZ6</v>
      </c>
      <c r="G178" s="7">
        <v>182</v>
      </c>
      <c r="H178" s="7">
        <v>0</v>
      </c>
      <c r="I178" s="7">
        <v>182</v>
      </c>
      <c r="J178" s="7">
        <v>0</v>
      </c>
      <c r="K178" s="7">
        <v>0</v>
      </c>
      <c r="L178" s="7">
        <v>0</v>
      </c>
      <c r="M178" s="7">
        <v>0</v>
      </c>
      <c r="N178" s="7" t="str">
        <v>BondFuture</v>
      </c>
      <c r="O178" s="6" cm="1">
        <f t="array" ref="O178">(_xll.qwPrice($A$1,F178)-_xll.qwPrice($A$4,F178))*_xll.qwMVFactor($A$1,F178)*I178*_xll.qwFXRate($A$1,F178)</f>
        <v>-56652.231999997348</v>
      </c>
      <c r="P178" s="6" cm="1">
        <f t="array" ref="P178">IF(ISNUMBER(_xll.qwDV01($A$1,F178)*I178*_xll.qwMVFactor($A$1,F178)*_xll.qwFXRate($A$1,F178)),_xll.qwDV01($A$1,F178)*I178*_xll.qwMVFactor($A$1,F178)*_xll.qwFXRate($A$1,F178),0)</f>
        <v>38586.591799605652</v>
      </c>
      <c r="Q178" s="6" cm="1">
        <f t="array" ref="Q178">IF(ISNUMBER(_xll.qwDV01($A$1,F178)*G178*_xll.qwMVFactor($A$1,F178)*_xll.qwFXRate($A$1,F178)),_xll.qwDV01($A$1,F178)*G178*_xll.qwMVFactor($A$1,F178)*_xll.qwFXRate($A$1,F178),0)</f>
        <v>38586.591799605652</v>
      </c>
      <c r="R178" s="6" cm="1">
        <f t="array" ref="R178">IF(ISNUMBER(_xll.qwDV01($A$1,F178)*J178*_xll.qwMVFactor($A$1,F178)*_xll.qwFXRate($A$1,F178)),_xll.qwDV01($A$1,F178)*J178*_xll.qwMVFactor($A$1,F178)*_xll.qwFXRate($A$1,F178),0)</f>
        <v>0</v>
      </c>
      <c r="S178" s="6" cm="1">
        <f t="array" ref="S178">IF(ISNUMBER(_xll.qwDV01($A$1,F178)*J178*_xll.qwMVFactor($A$1,F178)*_xll.qwFXRate($A$1,F178)),_xll.qwDV01($A$1,F178)*J178*_xll.qwMVFactor($A$1,F178)*_xll.qwFXRate($A$1,F178),0)</f>
        <v>0</v>
      </c>
      <c r="T178" s="6" cm="1">
        <f t="array" ref="T178">_xll.qwFXRate($A$1,F178)*J178*(_xll.qwPrice($A$1,F178)-M178)*_xll.qwMVFactor($A$1,F178)+L178</f>
        <v>0</v>
      </c>
      <c r="U178" s="8" cm="1">
        <f t="array" ref="U178">_xll.qwYield($A$1,F178)</f>
        <v>3.8531932380258885E-2</v>
      </c>
      <c r="V178" s="8" cm="1">
        <f t="array" ref="V178">100*(_xll.qwYield($A$4,F178)-U178)</f>
        <v>-1.4874578616543011E-2</v>
      </c>
      <c r="W178" s="6">
        <f>IF(ISNA(G178*INDEX(_xll.qwTblData(_xll.qwCurveScenariosPerSecurity($A$1,F178,"Crv210")),2,2)),0,(G178*INDEX(_xll.qwTblData(_xll.qwCurveScenariosPerSecurity($A$1,F178,"Crv210")),2,2)))</f>
        <v>-114462.81183522558</v>
      </c>
      <c r="X178" s="6" cm="1">
        <f t="array" ref="X178">ABS(Q178/_xll.qwMV01($A$1,"CT10"))</f>
        <v>51.944924117516479</v>
      </c>
      <c r="Y178" s="6" cm="1">
        <f t="array" ref="Y178">IF(N178="BondFuture",-(_xll.qwCurveYield($A$1,_xll.qwSecVal($A$1,AA178,"CreditCurveName()"),AA178)-_xll.qwCurveYield($A$4,_xll.qwSecVal($A$4,AA178,"CreditCurveName()"),AA178))*P178*10000,IF(N178="Bond",-(_xll.qwCurveYield($A$1,_xll.qwSecVal($A$1,F178,"CreditCurveName()"),F178)-_xll.qwCurveYield($A$4,_xll.qwSecVal($A$4,F178,"CreditCurveName()"),F178))*P178*10000,O178))</f>
        <v>-69579.804498672602</v>
      </c>
      <c r="Z178" s="6" cm="1">
        <f t="array" ref="Z178">IF(OR(N178="BondFuture",N178="Bond"),P178*(_xll.qwCurveZSpread($A$4,_xll.qwSecVal($A$1,AA178,"CreditCurveName()"),AA178)-_xll.qwCurveZSpread($A$1,_xll.qwSecVal($A$1,AA178,"CreditCurveName()"),AA178)),0)</f>
        <v>1252.4006719909341</v>
      </c>
      <c r="AA178" s="9" t="str" cm="1">
        <f t="array" ref="AA178">IF(_xll.qwSecType(F178)="Bond",F178,IF(_xll.qwSecType(F178)="BondFuture",_xll.qwFutCTD($A$1,F178),0))</f>
        <v>DE000BU2D004</v>
      </c>
      <c r="AB178" s="6" cm="1">
        <f t="array" ref="AB178">IF(_xll.qwSecType(F178)="BondFuture",-(I178*_xll.qwDelta($A$4,F178)*_xll.qwMVFactor($A$1,F178)/_xll.qwMVFactor($A$1,_xll.qwFutCTD($A$1,F178)))*(_xll.qwFXRate($A$1,F178)*_xll.qwMVFactor($A$1,_xll.qwFutCTD($A$1,F178))*(_xll.qwIncome($A$4,_xll.qwFutCTD($A$4,F178),_xll.qwBondSettle($A$4,_xll.qwFutCTD($A$4,F178)),_xll.qwBondSettle($A$1,_xll.qwFutCTD($A$1,F178)))+(_xll.qwSecVal($A$1,AA178,"Price")-_xll.qwSecVal($A$4,AA178,"Price"))-_xll.qwBondRepoFromTo($A$1,AA178,_xll.qwBondSettle($A$4,AA178),_xll.qwBondSettle($A$1,AA178))*_xll.qwSecVal($A$1,AA178,"Price")*(_xll.qwBondSettle($A$1,AA178)-_xll.qwBondSettle($A$4,AA178))/360))+O178,0)</f>
        <v>11133.319607683596</v>
      </c>
      <c r="AC178" s="9" cm="1">
        <f t="array" ref="AC178">O178+T178+IF(ISNUMBER(_xll.qwIncome($A$1,F178,_xll.qwSettle($A$4,F178),_xll.qwSettle($A$1,F178))*_xll.qwMVFactor($A$1,F178)*_xll.qwFXRate($A$1,F178)*I178),_xll.qwIncome($A$1,F178,_xll.qwSettle($A$4,F178),_xll.qwSettle($A$1,F178))*_xll.qwMVFactor($A$1,F178)*_xll.qwFXRate($A$1,F178)*I178,0)+IF(ISNUMBER(-(_xll.qwBondRepoFromTo($A$1,F178,_xll.qwSettle($A$4,F178),_xll.qwSettle($A$1,F178))*_xll.qwSecVal($A$1,F178,"Price")*(_xll.qwSettle($A$1,F178)-_xll.qwSettle($A$4,F178))/360)*_xll.qwMVFactor($A$1,F178)*_xll.qwFXRate($A$1,F178)*I178),-(_xll.qwBondRepoFromTo($A$1,F178,_xll.qwSettle($A$4,F178),_xll.qwSettle($A$1,F178))*_xll.qwSecVal($A$1,F178,"Price")*(_xll.qwSettle($A$1,F178)-_xll.qwSettle($A$4,F178))/360)*_xll.qwMVFactor($A$1,F178)*_xll.qwFXRate($A$1,F178)*I178,0)</f>
        <v>-56652.231999997348</v>
      </c>
      <c r="AD178" s="6"/>
    </row>
    <row r="179" spans="2:30" s="7" customFormat="1" x14ac:dyDescent="0.35">
      <c r="B179" s="7" t="str">
        <v>jcleary</v>
      </c>
      <c r="C179" s="7" t="str">
        <v>PPA</v>
      </c>
      <c r="D179" s="7" t="str">
        <v>jcleary|PPA|RV_US_20Y_Spread|251537861</v>
      </c>
      <c r="E179" s="7" t="str">
        <v>RV_US_20Y_Spread</v>
      </c>
      <c r="F179" s="7" t="str">
        <v>251537861</v>
      </c>
      <c r="G179" s="7">
        <v>28.8</v>
      </c>
      <c r="H179" s="7">
        <v>0</v>
      </c>
      <c r="I179" s="7">
        <v>28.8</v>
      </c>
      <c r="J179" s="7">
        <v>0</v>
      </c>
      <c r="K179" s="7">
        <v>0</v>
      </c>
      <c r="L179" s="7">
        <v>0</v>
      </c>
      <c r="M179" s="7">
        <v>0</v>
      </c>
      <c r="N179" s="7" t="str">
        <v>SwapTrade</v>
      </c>
      <c r="O179" s="6" cm="1">
        <f t="array" ref="O179">(_xll.qwPrice($A$1,F179)-_xll.qwPrice($A$4,F179))*_xll.qwMVFactor($A$1,F179)*I179*_xll.qwFXRate($A$1,F179)</f>
        <v>-71334.58198780824</v>
      </c>
      <c r="P179" s="6" cm="1">
        <f t="array" ref="P179">IF(ISNUMBER(_xll.qwDV01($A$1,F179)*I179*_xll.qwMVFactor($A$1,F179)*_xll.qwFXRate($A$1,F179)),_xll.qwDV01($A$1,F179)*I179*_xll.qwMVFactor($A$1,F179)*_xll.qwFXRate($A$1,F179),0)</f>
        <v>-35070.990184431503</v>
      </c>
      <c r="Q179" s="6" cm="1">
        <f t="array" ref="Q179">IF(ISNUMBER(_xll.qwDV01($A$1,F179)*G179*_xll.qwMVFactor($A$1,F179)*_xll.qwFXRate($A$1,F179)),_xll.qwDV01($A$1,F179)*G179*_xll.qwMVFactor($A$1,F179)*_xll.qwFXRate($A$1,F179),0)</f>
        <v>-35070.990184431503</v>
      </c>
      <c r="R179" s="6" cm="1">
        <f t="array" ref="R179">IF(ISNUMBER(_xll.qwDV01($A$1,F179)*J179*_xll.qwMVFactor($A$1,F179)*_xll.qwFXRate($A$1,F179)),_xll.qwDV01($A$1,F179)*J179*_xll.qwMVFactor($A$1,F179)*_xll.qwFXRate($A$1,F179),0)</f>
        <v>0</v>
      </c>
      <c r="S179" s="6" cm="1">
        <f t="array" ref="S179">IF(ISNUMBER(_xll.qwDV01($A$1,F179)*J179*_xll.qwMVFactor($A$1,F179)*_xll.qwFXRate($A$1,F179)),_xll.qwDV01($A$1,F179)*J179*_xll.qwMVFactor($A$1,F179)*_xll.qwFXRate($A$1,F179),0)</f>
        <v>0</v>
      </c>
      <c r="T179" s="6" cm="1">
        <f t="array" ref="T179">_xll.qwFXRate($A$1,F179)*J179*(_xll.qwPrice($A$1,F179)-M179)*_xll.qwMVFactor($A$1,F179)+L179</f>
        <v>0</v>
      </c>
      <c r="U179" s="8" cm="1">
        <f t="array" ref="U179">_xll.qwYield($A$1,F179)</f>
        <v>4.9639045301813137E-2</v>
      </c>
      <c r="V179" s="8" cm="1">
        <f t="array" ref="V179">100*(_xll.qwYield($A$4,F179)-U179)</f>
        <v>2.0220187694078989E-2</v>
      </c>
      <c r="W179" s="6">
        <f>IF(ISNA(G179*INDEX(_xll.qwTblData(_xll.qwCurveScenariosPerSecurity($A$1,F179,"Crv210")),2,2)),0,(G179*INDEX(_xll.qwTblData(_xll.qwCurveScenariosPerSecurity($A$1,F179,"Crv210")),2,2)))</f>
        <v>62107.043791795775</v>
      </c>
      <c r="X179" s="6" cm="1">
        <f t="array" ref="X179">ABS(Q179/_xll.qwMV01($A$1,"CT10"))</f>
        <v>47.212252725442255</v>
      </c>
      <c r="Y179" s="6" cm="1">
        <f t="array" ref="Y179">IF(N179="BondFuture",-(_xll.qwCurveYield($A$1,_xll.qwSecVal($A$1,AA179,"CreditCurveName()"),AA179)-_xll.qwCurveYield($A$4,_xll.qwSecVal($A$4,AA179,"CreditCurveName()"),AA179))*P179*10000,IF(N179="Bond",-(_xll.qwCurveYield($A$1,_xll.qwSecVal($A$1,F179,"CreditCurveName()"),F179)-_xll.qwCurveYield($A$4,_xll.qwSecVal($A$4,F179,"CreditCurveName()"),F179))*P179*10000,O179))</f>
        <v>-71334.58198780824</v>
      </c>
      <c r="Z179" s="6" cm="1">
        <f t="array" ref="Z179">IF(OR(N179="BondFuture",N179="Bond"),P179*(_xll.qwCurveZSpread($A$4,_xll.qwSecVal($A$1,AA179,"CreditCurveName()"),AA179)-_xll.qwCurveZSpread($A$1,_xll.qwSecVal($A$1,AA179,"CreditCurveName()"),AA179)),0)</f>
        <v>0</v>
      </c>
      <c r="AA179" s="9" cm="1">
        <f t="array" ref="AA179">IF(_xll.qwSecType(F179)="Bond",F179,IF(_xll.qwSecType(F179)="BondFuture",_xll.qwFutCTD($A$1,F179),0))</f>
        <v>0</v>
      </c>
      <c r="AB179" s="6" cm="1">
        <f t="array" ref="AB179">IF(_xll.qwSecType(F179)="BondFuture",-(I179*_xll.qwDelta($A$4,F179)*_xll.qwMVFactor($A$1,F179)/_xll.qwMVFactor($A$1,_xll.qwFutCTD($A$1,F179)))*(_xll.qwFXRate($A$1,F179)*_xll.qwMVFactor($A$1,_xll.qwFutCTD($A$1,F179))*(_xll.qwIncome($A$4,_xll.qwFutCTD($A$4,F179),_xll.qwBondSettle($A$4,_xll.qwFutCTD($A$4,F179)),_xll.qwBondSettle($A$1,_xll.qwFutCTD($A$1,F179)))+(_xll.qwSecVal($A$1,AA179,"Price")-_xll.qwSecVal($A$4,AA179,"Price"))-_xll.qwBondRepoFromTo($A$1,AA179,_xll.qwBondSettle($A$4,AA179),_xll.qwBondSettle($A$1,AA179))*_xll.qwSecVal($A$1,AA179,"Price")*(_xll.qwBondSettle($A$1,AA179)-_xll.qwBondSettle($A$4,AA179))/360))+O179,0)</f>
        <v>0</v>
      </c>
      <c r="AC179" s="9" cm="1">
        <f t="array" ref="AC179">O179+T179+IF(ISNUMBER(_xll.qwIncome($A$1,F179,_xll.qwSettle($A$4,F179),_xll.qwSettle($A$1,F179))*_xll.qwMVFactor($A$1,F179)*_xll.qwFXRate($A$1,F179)*I179),_xll.qwIncome($A$1,F179,_xll.qwSettle($A$4,F179),_xll.qwSettle($A$1,F179))*_xll.qwMVFactor($A$1,F179)*_xll.qwFXRate($A$1,F179)*I179,0)+IF(ISNUMBER(-(_xll.qwBondRepoFromTo($A$1,F179,_xll.qwSettle($A$4,F179),_xll.qwSettle($A$1,F179))*_xll.qwSecVal($A$1,F179,"Price")*(_xll.qwSettle($A$1,F179)-_xll.qwSettle($A$4,F179))/360)*_xll.qwMVFactor($A$1,F179)*_xll.qwFXRate($A$1,F179)*I179),-(_xll.qwBondRepoFromTo($A$1,F179,_xll.qwSettle($A$4,F179),_xll.qwSettle($A$1,F179))*_xll.qwSecVal($A$1,F179,"Price")*(_xll.qwSettle($A$1,F179)-_xll.qwSettle($A$4,F179))/360)*_xll.qwMVFactor($A$1,F179)*_xll.qwFXRate($A$1,F179)*I179,0)</f>
        <v>-71334.58198780824</v>
      </c>
      <c r="AD179" s="6"/>
    </row>
    <row r="180" spans="2:30" s="7" customFormat="1" x14ac:dyDescent="0.35">
      <c r="B180" s="7" t="str">
        <v>jcleary</v>
      </c>
      <c r="C180" s="7" t="str">
        <v>PPA</v>
      </c>
      <c r="D180" s="7" t="str">
        <v>jcleary|PPA|RV_US_20Y_Spread|251537871</v>
      </c>
      <c r="E180" s="7" t="str">
        <v>RV_US_20Y_Spread</v>
      </c>
      <c r="F180" s="7" t="str">
        <v>251537871</v>
      </c>
      <c r="G180" s="7">
        <v>23.1</v>
      </c>
      <c r="H180" s="7">
        <v>0</v>
      </c>
      <c r="I180" s="7">
        <v>23.1</v>
      </c>
      <c r="J180" s="7">
        <v>0</v>
      </c>
      <c r="K180" s="7">
        <v>0</v>
      </c>
      <c r="L180" s="7">
        <v>0</v>
      </c>
      <c r="M180" s="7">
        <v>0</v>
      </c>
      <c r="N180" s="7" t="str">
        <v>SwapTrade</v>
      </c>
      <c r="O180" s="6" cm="1">
        <f t="array" ref="O180">(_xll.qwPrice($A$1,F180)-_xll.qwPrice($A$4,F180))*_xll.qwMVFactor($A$1,F180)*I180*_xll.qwFXRate($A$1,F180)</f>
        <v>69546.435274659962</v>
      </c>
      <c r="P180" s="6" cm="1">
        <f t="array" ref="P180">IF(ISNUMBER(_xll.qwDV01($A$1,F180)*I180*_xll.qwMVFactor($A$1,F180)*_xll.qwFXRate($A$1,F180)),_xll.qwDV01($A$1,F180)*I180*_xll.qwMVFactor($A$1,F180)*_xll.qwFXRate($A$1,F180),0)</f>
        <v>34462.719432812955</v>
      </c>
      <c r="Q180" s="6" cm="1">
        <f t="array" ref="Q180">IF(ISNUMBER(_xll.qwDV01($A$1,F180)*G180*_xll.qwMVFactor($A$1,F180)*_xll.qwFXRate($A$1,F180)),_xll.qwDV01($A$1,F180)*G180*_xll.qwMVFactor($A$1,F180)*_xll.qwFXRate($A$1,F180),0)</f>
        <v>34462.719432812955</v>
      </c>
      <c r="R180" s="6" cm="1">
        <f t="array" ref="R180">IF(ISNUMBER(_xll.qwDV01($A$1,F180)*J180*_xll.qwMVFactor($A$1,F180)*_xll.qwFXRate($A$1,F180)),_xll.qwDV01($A$1,F180)*J180*_xll.qwMVFactor($A$1,F180)*_xll.qwFXRate($A$1,F180),0)</f>
        <v>0</v>
      </c>
      <c r="S180" s="6" cm="1">
        <f t="array" ref="S180">IF(ISNUMBER(_xll.qwDV01($A$1,F180)*J180*_xll.qwMVFactor($A$1,F180)*_xll.qwFXRate($A$1,F180)),_xll.qwDV01($A$1,F180)*J180*_xll.qwMVFactor($A$1,F180)*_xll.qwFXRate($A$1,F180),0)</f>
        <v>0</v>
      </c>
      <c r="T180" s="6" cm="1">
        <f t="array" ref="T180">_xll.qwFXRate($A$1,F180)*J180*(_xll.qwPrice($A$1,F180)-M180)*_xll.qwMVFactor($A$1,F180)+L180</f>
        <v>0</v>
      </c>
      <c r="U180" s="8" cm="1">
        <f t="array" ref="U180">_xll.qwYield($A$1,F180)</f>
        <v>4.888613746506925E-2</v>
      </c>
      <c r="V180" s="8" cm="1">
        <f t="array" ref="V180">100*(_xll.qwYield($A$4,F180)-U180)</f>
        <v>2.0160951363486224E-2</v>
      </c>
      <c r="W180" s="6">
        <f>IF(ISNA(G180*INDEX(_xll.qwTblData(_xll.qwCurveScenariosPerSecurity($A$1,F180,"Crv210")),2,2)),0,(G180*INDEX(_xll.qwTblData(_xll.qwCurveScenariosPerSecurity($A$1,F180,"Crv210")),2,2)))</f>
        <v>-106118.00712818935</v>
      </c>
      <c r="X180" s="6" cm="1">
        <f t="array" ref="X180">ABS(Q180/_xll.qwMV01($A$1,"CT10"))</f>
        <v>46.393404090148863</v>
      </c>
      <c r="Y180" s="6" cm="1">
        <f t="array" ref="Y180">IF(N180="BondFuture",-(_xll.qwCurveYield($A$1,_xll.qwSecVal($A$1,AA180,"CreditCurveName()"),AA180)-_xll.qwCurveYield($A$4,_xll.qwSecVal($A$4,AA180,"CreditCurveName()"),AA180))*P180*10000,IF(N180="Bond",-(_xll.qwCurveYield($A$1,_xll.qwSecVal($A$1,F180,"CreditCurveName()"),F180)-_xll.qwCurveYield($A$4,_xll.qwSecVal($A$4,F180,"CreditCurveName()"),F180))*P180*10000,O180))</f>
        <v>69546.435274659962</v>
      </c>
      <c r="Z180" s="6" cm="1">
        <f t="array" ref="Z180">IF(OR(N180="BondFuture",N180="Bond"),P180*(_xll.qwCurveZSpread($A$4,_xll.qwSecVal($A$1,AA180,"CreditCurveName()"),AA180)-_xll.qwCurveZSpread($A$1,_xll.qwSecVal($A$1,AA180,"CreditCurveName()"),AA180)),0)</f>
        <v>0</v>
      </c>
      <c r="AA180" s="9" cm="1">
        <f t="array" ref="AA180">IF(_xll.qwSecType(F180)="Bond",F180,IF(_xll.qwSecType(F180)="BondFuture",_xll.qwFutCTD($A$1,F180),0))</f>
        <v>0</v>
      </c>
      <c r="AB180" s="6" cm="1">
        <f t="array" ref="AB180">IF(_xll.qwSecType(F180)="BondFuture",-(I180*_xll.qwDelta($A$4,F180)*_xll.qwMVFactor($A$1,F180)/_xll.qwMVFactor($A$1,_xll.qwFutCTD($A$1,F180)))*(_xll.qwFXRate($A$1,F180)*_xll.qwMVFactor($A$1,_xll.qwFutCTD($A$1,F180))*(_xll.qwIncome($A$4,_xll.qwFutCTD($A$4,F180),_xll.qwBondSettle($A$4,_xll.qwFutCTD($A$4,F180)),_xll.qwBondSettle($A$1,_xll.qwFutCTD($A$1,F180)))+(_xll.qwSecVal($A$1,AA180,"Price")-_xll.qwSecVal($A$4,AA180,"Price"))-_xll.qwBondRepoFromTo($A$1,AA180,_xll.qwBondSettle($A$4,AA180),_xll.qwBondSettle($A$1,AA180))*_xll.qwSecVal($A$1,AA180,"Price")*(_xll.qwBondSettle($A$1,AA180)-_xll.qwBondSettle($A$4,AA180))/360))+O180,0)</f>
        <v>0</v>
      </c>
      <c r="AC180" s="9" cm="1">
        <f t="array" ref="AC180">O180+T180+IF(ISNUMBER(_xll.qwIncome($A$1,F180,_xll.qwSettle($A$4,F180),_xll.qwSettle($A$1,F180))*_xll.qwMVFactor($A$1,F180)*_xll.qwFXRate($A$1,F180)*I180),_xll.qwIncome($A$1,F180,_xll.qwSettle($A$4,F180),_xll.qwSettle($A$1,F180))*_xll.qwMVFactor($A$1,F180)*_xll.qwFXRate($A$1,F180)*I180,0)+IF(ISNUMBER(-(_xll.qwBondRepoFromTo($A$1,F180,_xll.qwSettle($A$4,F180),_xll.qwSettle($A$1,F180))*_xll.qwSecVal($A$1,F180,"Price")*(_xll.qwSettle($A$1,F180)-_xll.qwSettle($A$4,F180))/360)*_xll.qwMVFactor($A$1,F180)*_xll.qwFXRate($A$1,F180)*I180),-(_xll.qwBondRepoFromTo($A$1,F180,_xll.qwSettle($A$4,F180),_xll.qwSettle($A$1,F180))*_xll.qwSecVal($A$1,F180,"Price")*(_xll.qwSettle($A$1,F180)-_xll.qwSettle($A$4,F180))/360)*_xll.qwMVFactor($A$1,F180)*_xll.qwFXRate($A$1,F180)*I180,0)</f>
        <v>69546.435274659962</v>
      </c>
      <c r="AD180" s="6"/>
    </row>
    <row r="181" spans="2:30" s="7" customFormat="1" x14ac:dyDescent="0.35">
      <c r="B181" s="7" t="str">
        <v>jcleary</v>
      </c>
      <c r="C181" s="7" t="str">
        <v>PPA</v>
      </c>
      <c r="D181" s="7" t="str">
        <v>jcleary|PPA|RV_US_20Y_Spread|252972750</v>
      </c>
      <c r="E181" s="7" t="str">
        <v>RV_US_20Y_Spread</v>
      </c>
      <c r="F181" s="7" t="str">
        <v>252972750</v>
      </c>
      <c r="G181" s="7">
        <v>29.5</v>
      </c>
      <c r="H181" s="7">
        <v>0</v>
      </c>
      <c r="I181" s="7">
        <v>29.5</v>
      </c>
      <c r="J181" s="7">
        <v>0</v>
      </c>
      <c r="K181" s="7">
        <v>0</v>
      </c>
      <c r="L181" s="7">
        <v>0</v>
      </c>
      <c r="M181" s="7">
        <v>0</v>
      </c>
      <c r="N181" s="7" t="str">
        <v>SwapTrade</v>
      </c>
      <c r="O181" s="6" cm="1">
        <f t="array" ref="O181">(_xll.qwPrice($A$1,F181)-_xll.qwPrice($A$4,F181))*_xll.qwMVFactor($A$1,F181)*I181*_xll.qwFXRate($A$1,F181)</f>
        <v>-74556.420752988721</v>
      </c>
      <c r="P181" s="6" cm="1">
        <f t="array" ref="P181">IF(ISNUMBER(_xll.qwDV01($A$1,F181)*I181*_xll.qwMVFactor($A$1,F181)*_xll.qwFXRate($A$1,F181)),_xll.qwDV01($A$1,F181)*I181*_xll.qwMVFactor($A$1,F181)*_xll.qwFXRate($A$1,F181),0)</f>
        <v>-36649.105898721602</v>
      </c>
      <c r="Q181" s="6" cm="1">
        <f t="array" ref="Q181">IF(ISNUMBER(_xll.qwDV01($A$1,F181)*G181*_xll.qwMVFactor($A$1,F181)*_xll.qwFXRate($A$1,F181)),_xll.qwDV01($A$1,F181)*G181*_xll.qwMVFactor($A$1,F181)*_xll.qwFXRate($A$1,F181),0)</f>
        <v>-36649.105898721602</v>
      </c>
      <c r="R181" s="6" cm="1">
        <f t="array" ref="R181">IF(ISNUMBER(_xll.qwDV01($A$1,F181)*J181*_xll.qwMVFactor($A$1,F181)*_xll.qwFXRate($A$1,F181)),_xll.qwDV01($A$1,F181)*J181*_xll.qwMVFactor($A$1,F181)*_xll.qwFXRate($A$1,F181),0)</f>
        <v>0</v>
      </c>
      <c r="S181" s="6" cm="1">
        <f t="array" ref="S181">IF(ISNUMBER(_xll.qwDV01($A$1,F181)*J181*_xll.qwMVFactor($A$1,F181)*_xll.qwFXRate($A$1,F181)),_xll.qwDV01($A$1,F181)*J181*_xll.qwMVFactor($A$1,F181)*_xll.qwFXRate($A$1,F181),0)</f>
        <v>0</v>
      </c>
      <c r="T181" s="6" cm="1">
        <f t="array" ref="T181">_xll.qwFXRate($A$1,F181)*J181*(_xll.qwPrice($A$1,F181)-M181)*_xll.qwMVFactor($A$1,F181)+L181</f>
        <v>0</v>
      </c>
      <c r="U181" s="8" cm="1">
        <f t="array" ref="U181">_xll.qwYield($A$1,F181)</f>
        <v>4.9639045301813137E-2</v>
      </c>
      <c r="V181" s="8" cm="1">
        <f t="array" ref="V181">100*(_xll.qwYield($A$4,F181)-U181)</f>
        <v>2.0220187694078989E-2</v>
      </c>
      <c r="W181" s="6">
        <f>IF(ISNA(G181*INDEX(_xll.qwTblData(_xll.qwCurveScenariosPerSecurity($A$1,F181,"Crv210")),2,2)),0,(G181*INDEX(_xll.qwTblData(_xll.qwCurveScenariosPerSecurity($A$1,F181,"Crv210")),2,2)))</f>
        <v>64365.775048931355</v>
      </c>
      <c r="X181" s="6" cm="1">
        <f t="array" ref="X181">ABS(Q181/_xll.qwMV01($A$1,"CT10"))</f>
        <v>49.33669795898831</v>
      </c>
      <c r="Y181" s="6" cm="1">
        <f t="array" ref="Y181">IF(N181="BondFuture",-(_xll.qwCurveYield($A$1,_xll.qwSecVal($A$1,AA181,"CreditCurveName()"),AA181)-_xll.qwCurveYield($A$4,_xll.qwSecVal($A$4,AA181,"CreditCurveName()"),AA181))*P181*10000,IF(N181="Bond",-(_xll.qwCurveYield($A$1,_xll.qwSecVal($A$1,F181,"CreditCurveName()"),F181)-_xll.qwCurveYield($A$4,_xll.qwSecVal($A$4,F181,"CreditCurveName()"),F181))*P181*10000,O181))</f>
        <v>-74556.420752988721</v>
      </c>
      <c r="Z181" s="6" cm="1">
        <f t="array" ref="Z181">IF(OR(N181="BondFuture",N181="Bond"),P181*(_xll.qwCurveZSpread($A$4,_xll.qwSecVal($A$1,AA181,"CreditCurveName()"),AA181)-_xll.qwCurveZSpread($A$1,_xll.qwSecVal($A$1,AA181,"CreditCurveName()"),AA181)),0)</f>
        <v>0</v>
      </c>
      <c r="AA181" s="9" cm="1">
        <f t="array" ref="AA181">IF(_xll.qwSecType(F181)="Bond",F181,IF(_xll.qwSecType(F181)="BondFuture",_xll.qwFutCTD($A$1,F181),0))</f>
        <v>0</v>
      </c>
      <c r="AB181" s="6" cm="1">
        <f t="array" ref="AB181">IF(_xll.qwSecType(F181)="BondFuture",-(I181*_xll.qwDelta($A$4,F181)*_xll.qwMVFactor($A$1,F181)/_xll.qwMVFactor($A$1,_xll.qwFutCTD($A$1,F181)))*(_xll.qwFXRate($A$1,F181)*_xll.qwMVFactor($A$1,_xll.qwFutCTD($A$1,F181))*(_xll.qwIncome($A$4,_xll.qwFutCTD($A$4,F181),_xll.qwBondSettle($A$4,_xll.qwFutCTD($A$4,F181)),_xll.qwBondSettle($A$1,_xll.qwFutCTD($A$1,F181)))+(_xll.qwSecVal($A$1,AA181,"Price")-_xll.qwSecVal($A$4,AA181,"Price"))-_xll.qwBondRepoFromTo($A$1,AA181,_xll.qwBondSettle($A$4,AA181),_xll.qwBondSettle($A$1,AA181))*_xll.qwSecVal($A$1,AA181,"Price")*(_xll.qwBondSettle($A$1,AA181)-_xll.qwBondSettle($A$4,AA181))/360))+O181,0)</f>
        <v>0</v>
      </c>
      <c r="AC181" s="9" cm="1">
        <f t="array" ref="AC181">O181+T181+IF(ISNUMBER(_xll.qwIncome($A$1,F181,_xll.qwSettle($A$4,F181),_xll.qwSettle($A$1,F181))*_xll.qwMVFactor($A$1,F181)*_xll.qwFXRate($A$1,F181)*I181),_xll.qwIncome($A$1,F181,_xll.qwSettle($A$4,F181),_xll.qwSettle($A$1,F181))*_xll.qwMVFactor($A$1,F181)*_xll.qwFXRate($A$1,F181)*I181,0)+IF(ISNUMBER(-(_xll.qwBondRepoFromTo($A$1,F181,_xll.qwSettle($A$4,F181),_xll.qwSettle($A$1,F181))*_xll.qwSecVal($A$1,F181,"Price")*(_xll.qwSettle($A$1,F181)-_xll.qwSettle($A$4,F181))/360)*_xll.qwMVFactor($A$1,F181)*_xll.qwFXRate($A$1,F181)*I181),-(_xll.qwBondRepoFromTo($A$1,F181,_xll.qwSettle($A$4,F181),_xll.qwSettle($A$1,F181))*_xll.qwSecVal($A$1,F181,"Price")*(_xll.qwSettle($A$1,F181)-_xll.qwSettle($A$4,F181))/360)*_xll.qwMVFactor($A$1,F181)*_xll.qwFXRate($A$1,F181)*I181,0)</f>
        <v>-74556.420752988721</v>
      </c>
      <c r="AD181" s="6"/>
    </row>
    <row r="182" spans="2:30" s="7" customFormat="1" x14ac:dyDescent="0.35">
      <c r="B182" s="7" t="str">
        <v>jcleary</v>
      </c>
      <c r="C182" s="7" t="str">
        <v>PPA</v>
      </c>
      <c r="D182" s="7" t="str">
        <v>jcleary|PPA|RV_US_20Y_Spread|252973724</v>
      </c>
      <c r="E182" s="7" t="str">
        <v>RV_US_20Y_Spread</v>
      </c>
      <c r="F182" s="7" t="str">
        <v>252973724</v>
      </c>
      <c r="G182" s="7">
        <v>23.8</v>
      </c>
      <c r="H182" s="7">
        <v>0</v>
      </c>
      <c r="I182" s="7">
        <v>23.8</v>
      </c>
      <c r="J182" s="7">
        <v>0</v>
      </c>
      <c r="K182" s="7">
        <v>0</v>
      </c>
      <c r="L182" s="7">
        <v>0</v>
      </c>
      <c r="M182" s="7">
        <v>0</v>
      </c>
      <c r="N182" s="7" t="str">
        <v>SwapTrade</v>
      </c>
      <c r="O182" s="6" cm="1">
        <f t="array" ref="O182">(_xll.qwPrice($A$1,F182)-_xll.qwPrice($A$4,F182))*_xll.qwMVFactor($A$1,F182)*I182*_xll.qwFXRate($A$1,F182)</f>
        <v>73286.521192243512</v>
      </c>
      <c r="P182" s="6" cm="1">
        <f t="array" ref="P182">IF(ISNUMBER(_xll.qwDV01($A$1,F182)*I182*_xll.qwMVFactor($A$1,F182)*_xll.qwFXRate($A$1,F182)),_xll.qwDV01($A$1,F182)*I182*_xll.qwMVFactor($A$1,F182)*_xll.qwFXRate($A$1,F182),0)</f>
        <v>36280.79549724792</v>
      </c>
      <c r="Q182" s="6" cm="1">
        <f t="array" ref="Q182">IF(ISNUMBER(_xll.qwDV01($A$1,F182)*G182*_xll.qwMVFactor($A$1,F182)*_xll.qwFXRate($A$1,F182)),_xll.qwDV01($A$1,F182)*G182*_xll.qwMVFactor($A$1,F182)*_xll.qwFXRate($A$1,F182),0)</f>
        <v>36280.79549724792</v>
      </c>
      <c r="R182" s="6" cm="1">
        <f t="array" ref="R182">IF(ISNUMBER(_xll.qwDV01($A$1,F182)*J182*_xll.qwMVFactor($A$1,F182)*_xll.qwFXRate($A$1,F182)),_xll.qwDV01($A$1,F182)*J182*_xll.qwMVFactor($A$1,F182)*_xll.qwFXRate($A$1,F182),0)</f>
        <v>0</v>
      </c>
      <c r="S182" s="6" cm="1">
        <f t="array" ref="S182">IF(ISNUMBER(_xll.qwDV01($A$1,F182)*J182*_xll.qwMVFactor($A$1,F182)*_xll.qwFXRate($A$1,F182)),_xll.qwDV01($A$1,F182)*J182*_xll.qwMVFactor($A$1,F182)*_xll.qwFXRate($A$1,F182),0)</f>
        <v>0</v>
      </c>
      <c r="T182" s="6" cm="1">
        <f t="array" ref="T182">_xll.qwFXRate($A$1,F182)*J182*(_xll.qwPrice($A$1,F182)-M182)*_xll.qwMVFactor($A$1,F182)+L182</f>
        <v>0</v>
      </c>
      <c r="U182" s="8" cm="1">
        <f t="array" ref="U182">_xll.qwYield($A$1,F182)</f>
        <v>4.888613746506925E-2</v>
      </c>
      <c r="V182" s="8" cm="1">
        <f t="array" ref="V182">100*(_xll.qwYield($A$4,F182)-U182)</f>
        <v>2.0160951363486224E-2</v>
      </c>
      <c r="W182" s="6">
        <f>IF(ISNA(G182*INDEX(_xll.qwTblData(_xll.qwCurveScenariosPerSecurity($A$1,F182,"Crv210")),2,2)),0,(G182*INDEX(_xll.qwTblData(_xll.qwCurveScenariosPerSecurity($A$1,F182,"Crv210")),2,2)))</f>
        <v>-110877.58295315862</v>
      </c>
      <c r="X182" s="6" cm="1">
        <f t="array" ref="X182">ABS(Q182/_xll.qwMV01($A$1,"CT10"))</f>
        <v>48.840881796845736</v>
      </c>
      <c r="Y182" s="6" cm="1">
        <f t="array" ref="Y182">IF(N182="BondFuture",-(_xll.qwCurveYield($A$1,_xll.qwSecVal($A$1,AA182,"CreditCurveName()"),AA182)-_xll.qwCurveYield($A$4,_xll.qwSecVal($A$4,AA182,"CreditCurveName()"),AA182))*P182*10000,IF(N182="Bond",-(_xll.qwCurveYield($A$1,_xll.qwSecVal($A$1,F182,"CreditCurveName()"),F182)-_xll.qwCurveYield($A$4,_xll.qwSecVal($A$4,F182,"CreditCurveName()"),F182))*P182*10000,O182))</f>
        <v>73286.521192243512</v>
      </c>
      <c r="Z182" s="6" cm="1">
        <f t="array" ref="Z182">IF(OR(N182="BondFuture",N182="Bond"),P182*(_xll.qwCurveZSpread($A$4,_xll.qwSecVal($A$1,AA182,"CreditCurveName()"),AA182)-_xll.qwCurveZSpread($A$1,_xll.qwSecVal($A$1,AA182,"CreditCurveName()"),AA182)),0)</f>
        <v>0</v>
      </c>
      <c r="AA182" s="9" cm="1">
        <f t="array" ref="AA182">IF(_xll.qwSecType(F182)="Bond",F182,IF(_xll.qwSecType(F182)="BondFuture",_xll.qwFutCTD($A$1,F182),0))</f>
        <v>0</v>
      </c>
      <c r="AB182" s="6" cm="1">
        <f t="array" ref="AB182">IF(_xll.qwSecType(F182)="BondFuture",-(I182*_xll.qwDelta($A$4,F182)*_xll.qwMVFactor($A$1,F182)/_xll.qwMVFactor($A$1,_xll.qwFutCTD($A$1,F182)))*(_xll.qwFXRate($A$1,F182)*_xll.qwMVFactor($A$1,_xll.qwFutCTD($A$1,F182))*(_xll.qwIncome($A$4,_xll.qwFutCTD($A$4,F182),_xll.qwBondSettle($A$4,_xll.qwFutCTD($A$4,F182)),_xll.qwBondSettle($A$1,_xll.qwFutCTD($A$1,F182)))+(_xll.qwSecVal($A$1,AA182,"Price")-_xll.qwSecVal($A$4,AA182,"Price"))-_xll.qwBondRepoFromTo($A$1,AA182,_xll.qwBondSettle($A$4,AA182),_xll.qwBondSettle($A$1,AA182))*_xll.qwSecVal($A$1,AA182,"Price")*(_xll.qwBondSettle($A$1,AA182)-_xll.qwBondSettle($A$4,AA182))/360))+O182,0)</f>
        <v>0</v>
      </c>
      <c r="AC182" s="9" cm="1">
        <f t="array" ref="AC182">O182+T182+IF(ISNUMBER(_xll.qwIncome($A$1,F182,_xll.qwSettle($A$4,F182),_xll.qwSettle($A$1,F182))*_xll.qwMVFactor($A$1,F182)*_xll.qwFXRate($A$1,F182)*I182),_xll.qwIncome($A$1,F182,_xll.qwSettle($A$4,F182),_xll.qwSettle($A$1,F182))*_xll.qwMVFactor($A$1,F182)*_xll.qwFXRate($A$1,F182)*I182,0)+IF(ISNUMBER(-(_xll.qwBondRepoFromTo($A$1,F182,_xll.qwSettle($A$4,F182),_xll.qwSettle($A$1,F182))*_xll.qwSecVal($A$1,F182,"Price")*(_xll.qwSettle($A$1,F182)-_xll.qwSettle($A$4,F182))/360)*_xll.qwMVFactor($A$1,F182)*_xll.qwFXRate($A$1,F182)*I182),-(_xll.qwBondRepoFromTo($A$1,F182,_xll.qwSettle($A$4,F182),_xll.qwSettle($A$1,F182))*_xll.qwSecVal($A$1,F182,"Price")*(_xll.qwSettle($A$1,F182)-_xll.qwSettle($A$4,F182))/360)*_xll.qwMVFactor($A$1,F182)*_xll.qwFXRate($A$1,F182)*I182,0)</f>
        <v>73286.521192243512</v>
      </c>
      <c r="AD182" s="6"/>
    </row>
    <row r="183" spans="2:30" s="7" customFormat="1" x14ac:dyDescent="0.35">
      <c r="B183" s="7" t="str">
        <v>jcleary</v>
      </c>
      <c r="C183" s="7" t="str">
        <v>PPA</v>
      </c>
      <c r="D183" s="7" t="str">
        <v>jcleary|PPA|RV_US_20Y_Spread|253291819</v>
      </c>
      <c r="E183" s="7" t="str">
        <v>RV_US_20Y_Spread</v>
      </c>
      <c r="F183" s="7" t="str">
        <v>253291819</v>
      </c>
      <c r="G183" s="7">
        <v>29.4</v>
      </c>
      <c r="H183" s="7">
        <v>0</v>
      </c>
      <c r="I183" s="7">
        <v>29.4</v>
      </c>
      <c r="J183" s="7">
        <v>0</v>
      </c>
      <c r="K183" s="7">
        <v>0</v>
      </c>
      <c r="L183" s="7">
        <v>0</v>
      </c>
      <c r="M183" s="7">
        <v>0</v>
      </c>
      <c r="N183" s="7" t="str">
        <v>SwapTrade</v>
      </c>
      <c r="O183" s="6" cm="1">
        <f t="array" ref="O183">(_xll.qwPrice($A$1,F183)-_xll.qwPrice($A$4,F183))*_xll.qwMVFactor($A$1,F183)*I183*_xll.qwFXRate($A$1,F183)</f>
        <v>-73986.717921484174</v>
      </c>
      <c r="P183" s="6" cm="1">
        <f t="array" ref="P183">IF(ISNUMBER(_xll.qwDV01($A$1,F183)*I183*_xll.qwMVFactor($A$1,F183)*_xll.qwFXRate($A$1,F183)),_xll.qwDV01($A$1,F183)*I183*_xll.qwMVFactor($A$1,F183)*_xll.qwFXRate($A$1,F183),0)</f>
        <v>-36363.461519276585</v>
      </c>
      <c r="Q183" s="6" cm="1">
        <f t="array" ref="Q183">IF(ISNUMBER(_xll.qwDV01($A$1,F183)*G183*_xll.qwMVFactor($A$1,F183)*_xll.qwFXRate($A$1,F183)),_xll.qwDV01($A$1,F183)*G183*_xll.qwMVFactor($A$1,F183)*_xll.qwFXRate($A$1,F183),0)</f>
        <v>-36363.461519276585</v>
      </c>
      <c r="R183" s="6" cm="1">
        <f t="array" ref="R183">IF(ISNUMBER(_xll.qwDV01($A$1,F183)*J183*_xll.qwMVFactor($A$1,F183)*_xll.qwFXRate($A$1,F183)),_xll.qwDV01($A$1,F183)*J183*_xll.qwMVFactor($A$1,F183)*_xll.qwFXRate($A$1,F183),0)</f>
        <v>0</v>
      </c>
      <c r="S183" s="6" cm="1">
        <f t="array" ref="S183">IF(ISNUMBER(_xll.qwDV01($A$1,F183)*J183*_xll.qwMVFactor($A$1,F183)*_xll.qwFXRate($A$1,F183)),_xll.qwDV01($A$1,F183)*J183*_xll.qwMVFactor($A$1,F183)*_xll.qwFXRate($A$1,F183),0)</f>
        <v>0</v>
      </c>
      <c r="T183" s="6" cm="1">
        <f t="array" ref="T183">_xll.qwFXRate($A$1,F183)*J183*(_xll.qwPrice($A$1,F183)-M183)*_xll.qwMVFactor($A$1,F183)+L183</f>
        <v>0</v>
      </c>
      <c r="U183" s="8" cm="1">
        <f t="array" ref="U183">_xll.qwYield($A$1,F183)</f>
        <v>4.9639045301813137E-2</v>
      </c>
      <c r="V183" s="8" cm="1">
        <f t="array" ref="V183">100*(_xll.qwYield($A$4,F183)-U183)</f>
        <v>2.0220187694078989E-2</v>
      </c>
      <c r="W183" s="6">
        <f>IF(ISNA(G183*INDEX(_xll.qwTblData(_xll.qwCurveScenariosPerSecurity($A$1,F183,"Crv210")),2,2)),0,(G183*INDEX(_xll.qwTblData(_xll.qwCurveScenariosPerSecurity($A$1,F183,"Crv210")),2,2)))</f>
        <v>63985.816256813065</v>
      </c>
      <c r="X183" s="6" cm="1">
        <f t="array" ref="X183">ABS(Q183/_xll.qwMV01($A$1,"CT10"))</f>
        <v>48.952166054954787</v>
      </c>
      <c r="Y183" s="6" cm="1">
        <f t="array" ref="Y183">IF(N183="BondFuture",-(_xll.qwCurveYield($A$1,_xll.qwSecVal($A$1,AA183,"CreditCurveName()"),AA183)-_xll.qwCurveYield($A$4,_xll.qwSecVal($A$4,AA183,"CreditCurveName()"),AA183))*P183*10000,IF(N183="Bond",-(_xll.qwCurveYield($A$1,_xll.qwSecVal($A$1,F183,"CreditCurveName()"),F183)-_xll.qwCurveYield($A$4,_xll.qwSecVal($A$4,F183,"CreditCurveName()"),F183))*P183*10000,O183))</f>
        <v>-73986.717921484174</v>
      </c>
      <c r="Z183" s="6" cm="1">
        <f t="array" ref="Z183">IF(OR(N183="BondFuture",N183="Bond"),P183*(_xll.qwCurveZSpread($A$4,_xll.qwSecVal($A$1,AA183,"CreditCurveName()"),AA183)-_xll.qwCurveZSpread($A$1,_xll.qwSecVal($A$1,AA183,"CreditCurveName()"),AA183)),0)</f>
        <v>0</v>
      </c>
      <c r="AA183" s="9" cm="1">
        <f t="array" ref="AA183">IF(_xll.qwSecType(F183)="Bond",F183,IF(_xll.qwSecType(F183)="BondFuture",_xll.qwFutCTD($A$1,F183),0))</f>
        <v>0</v>
      </c>
      <c r="AB183" s="6" cm="1">
        <f t="array" ref="AB183">IF(_xll.qwSecType(F183)="BondFuture",-(I183*_xll.qwDelta($A$4,F183)*_xll.qwMVFactor($A$1,F183)/_xll.qwMVFactor($A$1,_xll.qwFutCTD($A$1,F183)))*(_xll.qwFXRate($A$1,F183)*_xll.qwMVFactor($A$1,_xll.qwFutCTD($A$1,F183))*(_xll.qwIncome($A$4,_xll.qwFutCTD($A$4,F183),_xll.qwBondSettle($A$4,_xll.qwFutCTD($A$4,F183)),_xll.qwBondSettle($A$1,_xll.qwFutCTD($A$1,F183)))+(_xll.qwSecVal($A$1,AA183,"Price")-_xll.qwSecVal($A$4,AA183,"Price"))-_xll.qwBondRepoFromTo($A$1,AA183,_xll.qwBondSettle($A$4,AA183),_xll.qwBondSettle($A$1,AA183))*_xll.qwSecVal($A$1,AA183,"Price")*(_xll.qwBondSettle($A$1,AA183)-_xll.qwBondSettle($A$4,AA183))/360))+O183,0)</f>
        <v>0</v>
      </c>
      <c r="AC183" s="9" cm="1">
        <f t="array" ref="AC183">O183+T183+IF(ISNUMBER(_xll.qwIncome($A$1,F183,_xll.qwSettle($A$4,F183),_xll.qwSettle($A$1,F183))*_xll.qwMVFactor($A$1,F183)*_xll.qwFXRate($A$1,F183)*I183),_xll.qwIncome($A$1,F183,_xll.qwSettle($A$4,F183),_xll.qwSettle($A$1,F183))*_xll.qwMVFactor($A$1,F183)*_xll.qwFXRate($A$1,F183)*I183,0)+IF(ISNUMBER(-(_xll.qwBondRepoFromTo($A$1,F183,_xll.qwSettle($A$4,F183),_xll.qwSettle($A$1,F183))*_xll.qwSecVal($A$1,F183,"Price")*(_xll.qwSettle($A$1,F183)-_xll.qwSettle($A$4,F183))/360)*_xll.qwMVFactor($A$1,F183)*_xll.qwFXRate($A$1,F183)*I183),-(_xll.qwBondRepoFromTo($A$1,F183,_xll.qwSettle($A$4,F183),_xll.qwSettle($A$1,F183))*_xll.qwSecVal($A$1,F183,"Price")*(_xll.qwSettle($A$1,F183)-_xll.qwSettle($A$4,F183))/360)*_xll.qwMVFactor($A$1,F183)*_xll.qwFXRate($A$1,F183)*I183,0)</f>
        <v>-73986.717921484174</v>
      </c>
      <c r="AD183" s="6"/>
    </row>
    <row r="184" spans="2:30" s="7" customFormat="1" x14ac:dyDescent="0.35">
      <c r="B184" s="7" t="str">
        <v>jcleary</v>
      </c>
      <c r="C184" s="7" t="str">
        <v>PPA</v>
      </c>
      <c r="D184" s="7" t="str">
        <v>jcleary|PPA|RV_US_20Y_Spread|253291823</v>
      </c>
      <c r="E184" s="7" t="str">
        <v>RV_US_20Y_Spread</v>
      </c>
      <c r="F184" s="7" t="str">
        <v>253291823</v>
      </c>
      <c r="G184" s="7">
        <v>23.7</v>
      </c>
      <c r="H184" s="7">
        <v>0</v>
      </c>
      <c r="I184" s="7">
        <v>23.7</v>
      </c>
      <c r="J184" s="7">
        <v>0</v>
      </c>
      <c r="K184" s="7">
        <v>0</v>
      </c>
      <c r="L184" s="7">
        <v>0</v>
      </c>
      <c r="M184" s="7">
        <v>0</v>
      </c>
      <c r="N184" s="7" t="str">
        <v>SwapTrade</v>
      </c>
      <c r="O184" s="6" cm="1">
        <f t="array" ref="O184">(_xll.qwPrice($A$1,F184)-_xll.qwPrice($A$4,F184))*_xll.qwMVFactor($A$1,F184)*I184*_xll.qwFXRate($A$1,F184)</f>
        <v>72546.434247996629</v>
      </c>
      <c r="P184" s="6" cm="1">
        <f t="array" ref="P184">IF(ISNUMBER(_xll.qwDV01($A$1,F184)*I184*_xll.qwMVFactor($A$1,F184)*_xll.qwFXRate($A$1,F184)),_xll.qwDV01($A$1,F184)*I184*_xll.qwMVFactor($A$1,F184)*_xll.qwFXRate($A$1,F184),0)</f>
        <v>35917.754417050724</v>
      </c>
      <c r="Q184" s="6" cm="1">
        <f t="array" ref="Q184">IF(ISNUMBER(_xll.qwDV01($A$1,F184)*G184*_xll.qwMVFactor($A$1,F184)*_xll.qwFXRate($A$1,F184)),_xll.qwDV01($A$1,F184)*G184*_xll.qwMVFactor($A$1,F184)*_xll.qwFXRate($A$1,F184),0)</f>
        <v>35917.754417050724</v>
      </c>
      <c r="R184" s="6" cm="1">
        <f t="array" ref="R184">IF(ISNUMBER(_xll.qwDV01($A$1,F184)*J184*_xll.qwMVFactor($A$1,F184)*_xll.qwFXRate($A$1,F184)),_xll.qwDV01($A$1,F184)*J184*_xll.qwMVFactor($A$1,F184)*_xll.qwFXRate($A$1,F184),0)</f>
        <v>0</v>
      </c>
      <c r="S184" s="6" cm="1">
        <f t="array" ref="S184">IF(ISNUMBER(_xll.qwDV01($A$1,F184)*J184*_xll.qwMVFactor($A$1,F184)*_xll.qwFXRate($A$1,F184)),_xll.qwDV01($A$1,F184)*J184*_xll.qwMVFactor($A$1,F184)*_xll.qwFXRate($A$1,F184),0)</f>
        <v>0</v>
      </c>
      <c r="T184" s="6" cm="1">
        <f t="array" ref="T184">_xll.qwFXRate($A$1,F184)*J184*(_xll.qwPrice($A$1,F184)-M184)*_xll.qwMVFactor($A$1,F184)+L184</f>
        <v>0</v>
      </c>
      <c r="U184" s="8" cm="1">
        <f t="array" ref="U184">_xll.qwYield($A$1,F184)</f>
        <v>4.888613746506925E-2</v>
      </c>
      <c r="V184" s="8" cm="1">
        <f t="array" ref="V184">100*(_xll.qwYield($A$4,F184)-U184)</f>
        <v>2.0160951363486224E-2</v>
      </c>
      <c r="W184" s="6">
        <f>IF(ISNA(G184*INDEX(_xll.qwTblData(_xll.qwCurveScenariosPerSecurity($A$1,F184,"Crv210")),2,2)),0,(G184*INDEX(_xll.qwTblData(_xll.qwCurveScenariosPerSecurity($A$1,F184,"Crv210")),2,2)))</f>
        <v>-109998.0628100789</v>
      </c>
      <c r="X184" s="6" cm="1">
        <f t="array" ref="X184">ABS(Q184/_xll.qwMV01($A$1,"CT10"))</f>
        <v>48.352159147788733</v>
      </c>
      <c r="Y184" s="6" cm="1">
        <f t="array" ref="Y184">IF(N184="BondFuture",-(_xll.qwCurveYield($A$1,_xll.qwSecVal($A$1,AA184,"CreditCurveName()"),AA184)-_xll.qwCurveYield($A$4,_xll.qwSecVal($A$4,AA184,"CreditCurveName()"),AA184))*P184*10000,IF(N184="Bond",-(_xll.qwCurveYield($A$1,_xll.qwSecVal($A$1,F184,"CreditCurveName()"),F184)-_xll.qwCurveYield($A$4,_xll.qwSecVal($A$4,F184,"CreditCurveName()"),F184))*P184*10000,O184))</f>
        <v>72546.434247996629</v>
      </c>
      <c r="Z184" s="6" cm="1">
        <f t="array" ref="Z184">IF(OR(N184="BondFuture",N184="Bond"),P184*(_xll.qwCurveZSpread($A$4,_xll.qwSecVal($A$1,AA184,"CreditCurveName()"),AA184)-_xll.qwCurveZSpread($A$1,_xll.qwSecVal($A$1,AA184,"CreditCurveName()"),AA184)),0)</f>
        <v>0</v>
      </c>
      <c r="AA184" s="9" cm="1">
        <f t="array" ref="AA184">IF(_xll.qwSecType(F184)="Bond",F184,IF(_xll.qwSecType(F184)="BondFuture",_xll.qwFutCTD($A$1,F184),0))</f>
        <v>0</v>
      </c>
      <c r="AB184" s="6" cm="1">
        <f t="array" ref="AB184">IF(_xll.qwSecType(F184)="BondFuture",-(I184*_xll.qwDelta($A$4,F184)*_xll.qwMVFactor($A$1,F184)/_xll.qwMVFactor($A$1,_xll.qwFutCTD($A$1,F184)))*(_xll.qwFXRate($A$1,F184)*_xll.qwMVFactor($A$1,_xll.qwFutCTD($A$1,F184))*(_xll.qwIncome($A$4,_xll.qwFutCTD($A$4,F184),_xll.qwBondSettle($A$4,_xll.qwFutCTD($A$4,F184)),_xll.qwBondSettle($A$1,_xll.qwFutCTD($A$1,F184)))+(_xll.qwSecVal($A$1,AA184,"Price")-_xll.qwSecVal($A$4,AA184,"Price"))-_xll.qwBondRepoFromTo($A$1,AA184,_xll.qwBondSettle($A$4,AA184),_xll.qwBondSettle($A$1,AA184))*_xll.qwSecVal($A$1,AA184,"Price")*(_xll.qwBondSettle($A$1,AA184)-_xll.qwBondSettle($A$4,AA184))/360))+O184,0)</f>
        <v>0</v>
      </c>
      <c r="AC184" s="9" cm="1">
        <f t="array" ref="AC184">O184+T184+IF(ISNUMBER(_xll.qwIncome($A$1,F184,_xll.qwSettle($A$4,F184),_xll.qwSettle($A$1,F184))*_xll.qwMVFactor($A$1,F184)*_xll.qwFXRate($A$1,F184)*I184),_xll.qwIncome($A$1,F184,_xll.qwSettle($A$4,F184),_xll.qwSettle($A$1,F184))*_xll.qwMVFactor($A$1,F184)*_xll.qwFXRate($A$1,F184)*I184,0)+IF(ISNUMBER(-(_xll.qwBondRepoFromTo($A$1,F184,_xll.qwSettle($A$4,F184),_xll.qwSettle($A$1,F184))*_xll.qwSecVal($A$1,F184,"Price")*(_xll.qwSettle($A$1,F184)-_xll.qwSettle($A$4,F184))/360)*_xll.qwMVFactor($A$1,F184)*_xll.qwFXRate($A$1,F184)*I184),-(_xll.qwBondRepoFromTo($A$1,F184,_xll.qwSettle($A$4,F184),_xll.qwSettle($A$1,F184))*_xll.qwSecVal($A$1,F184,"Price")*(_xll.qwSettle($A$1,F184)-_xll.qwSettle($A$4,F184))/360)*_xll.qwMVFactor($A$1,F184)*_xll.qwFXRate($A$1,F184)*I184,0)</f>
        <v>72546.434247996629</v>
      </c>
      <c r="AD184" s="6"/>
    </row>
    <row r="185" spans="2:30" s="7" customFormat="1" x14ac:dyDescent="0.35">
      <c r="B185" s="7" t="str">
        <v>jcleary</v>
      </c>
      <c r="C185" s="7" t="str">
        <v>PPA</v>
      </c>
      <c r="D185" s="7" t="str">
        <v>jcleary|PPA|RV_US_20Y_Spread|912810UW6</v>
      </c>
      <c r="E185" s="7" t="str">
        <v>RV_US_20Y_Spread</v>
      </c>
      <c r="F185" s="7" t="str">
        <v>912810UW6</v>
      </c>
      <c r="G185" s="7">
        <v>-77.7</v>
      </c>
      <c r="H185" s="7">
        <v>0</v>
      </c>
      <c r="I185" s="7">
        <v>-77.7</v>
      </c>
      <c r="J185" s="7">
        <v>0</v>
      </c>
      <c r="K185" s="7">
        <v>0</v>
      </c>
      <c r="L185" s="7">
        <v>0</v>
      </c>
      <c r="M185" s="7">
        <v>0</v>
      </c>
      <c r="N185" s="7" t="str">
        <v>Bond</v>
      </c>
      <c r="O185" s="6" cm="1">
        <f t="array" ref="O185">(_xll.qwPrice($A$1,F185)-_xll.qwPrice($A$4,F185))*_xll.qwMVFactor($A$1,F185)*I185*_xll.qwFXRate($A$1,F185)</f>
        <v>-412781.25000024296</v>
      </c>
      <c r="P185" s="6" cm="1">
        <f t="array" ref="P185">IF(ISNUMBER(_xll.qwDV01($A$1,F185)*I185*_xll.qwMVFactor($A$1,F185)*_xll.qwFXRate($A$1,F185)),_xll.qwDV01($A$1,F185)*I185*_xll.qwMVFactor($A$1,F185)*_xll.qwFXRate($A$1,F185),0)</f>
        <v>-108045.46202791698</v>
      </c>
      <c r="Q185" s="6" cm="1">
        <f t="array" ref="Q185">IF(ISNUMBER(_xll.qwDV01($A$1,F185)*G185*_xll.qwMVFactor($A$1,F185)*_xll.qwFXRate($A$1,F185)),_xll.qwDV01($A$1,F185)*G185*_xll.qwMVFactor($A$1,F185)*_xll.qwFXRate($A$1,F185),0)</f>
        <v>-108045.46202791698</v>
      </c>
      <c r="R185" s="6" cm="1">
        <f t="array" ref="R185">IF(ISNUMBER(_xll.qwDV01($A$1,F185)*J185*_xll.qwMVFactor($A$1,F185)*_xll.qwFXRate($A$1,F185)),_xll.qwDV01($A$1,F185)*J185*_xll.qwMVFactor($A$1,F185)*_xll.qwFXRate($A$1,F185),0)</f>
        <v>0</v>
      </c>
      <c r="S185" s="6" cm="1">
        <f t="array" ref="S185">IF(ISNUMBER(_xll.qwDV01($A$1,F185)*J185*_xll.qwMVFactor($A$1,F185)*_xll.qwFXRate($A$1,F185)),_xll.qwDV01($A$1,F185)*J185*_xll.qwMVFactor($A$1,F185)*_xll.qwFXRate($A$1,F185),0)</f>
        <v>0</v>
      </c>
      <c r="T185" s="6" cm="1">
        <f t="array" ref="T185">_xll.qwFXRate($A$1,F185)*J185*(_xll.qwPrice($A$1,F185)-M185)*_xll.qwMVFactor($A$1,F185)+L185</f>
        <v>0</v>
      </c>
      <c r="U185" s="8" cm="1">
        <f t="array" ref="U185">_xll.qwYield($A$1,F185)</f>
        <v>5.523658204135673E-2</v>
      </c>
      <c r="V185" s="8" cm="1">
        <f t="array" ref="V185">100*(_xll.qwYield($A$4,F185)-U185)</f>
        <v>3.8355584894027295E-2</v>
      </c>
      <c r="W185" s="6">
        <f>IF(ISNA(G185*INDEX(_xll.qwTblData(_xll.qwCurveScenariosPerSecurity($A$1,F185,"Crv210")),2,2)),0,(G185*INDEX(_xll.qwTblData(_xll.qwCurveScenariosPerSecurity($A$1,F185,"Crv210")),2,2)))</f>
        <v>326710.50075539475</v>
      </c>
      <c r="X185" s="6" cm="1">
        <f t="array" ref="X185">ABS(Q185/_xll.qwMV01($A$1,"CT10"))</f>
        <v>145.44983281833959</v>
      </c>
      <c r="Y185" s="6" cm="1">
        <f t="array" ref="Y185">IF(N185="BondFuture",-(_xll.qwCurveYield($A$1,_xll.qwSecVal($A$1,AA185,"CreditCurveName()"),AA185)-_xll.qwCurveYield($A$4,_xll.qwSecVal($A$4,AA185,"CreditCurveName()"),AA185))*P185*10000,IF(N185="Bond",-(_xll.qwCurveYield($A$1,_xll.qwSecVal($A$1,F185,"CreditCurveName()"),F185)-_xll.qwCurveYield($A$4,_xll.qwSecVal($A$4,F185,"CreditCurveName()"),F185))*P185*10000,O185))</f>
        <v>-419900.8263330161</v>
      </c>
      <c r="Z185" s="6" cm="1">
        <f t="array" ref="Z185">IF(OR(N185="BondFuture",N185="Bond"),P185*(_xll.qwCurveZSpread($A$4,_xll.qwSecVal($A$1,AA185,"CreditCurveName()"),AA185)-_xll.qwCurveZSpread($A$1,_xll.qwSecVal($A$1,AA185,"CreditCurveName()"),AA185)),0)</f>
        <v>5486.1372103989397</v>
      </c>
      <c r="AA185" s="9" t="str" cm="1">
        <f t="array" ref="AA185">IF(_xll.qwSecType(F185)="Bond",F185,IF(_xll.qwSecType(F185)="BondFuture",_xll.qwFutCTD($A$1,F185),0))</f>
        <v>912810UW6</v>
      </c>
      <c r="AB185" s="6" cm="1">
        <f t="array" ref="AB185">IF(_xll.qwSecType(F185)="BondFuture",-(I185*_xll.qwDelta($A$4,F185)*_xll.qwMVFactor($A$1,F185)/_xll.qwMVFactor($A$1,_xll.qwFutCTD($A$1,F185)))*(_xll.qwFXRate($A$1,F185)*_xll.qwMVFactor($A$1,_xll.qwFutCTD($A$1,F185))*(_xll.qwIncome($A$4,_xll.qwFutCTD($A$4,F185),_xll.qwBondSettle($A$4,_xll.qwFutCTD($A$4,F185)),_xll.qwBondSettle($A$1,_xll.qwFutCTD($A$1,F185)))+(_xll.qwSecVal($A$1,AA185,"Price")-_xll.qwSecVal($A$4,AA185,"Price"))-_xll.qwBondRepoFromTo($A$1,AA185,_xll.qwBondSettle($A$4,AA185),_xll.qwBondSettle($A$1,AA185))*_xll.qwSecVal($A$1,AA185,"Price")*(_xll.qwBondSettle($A$1,AA185)-_xll.qwBondSettle($A$4,AA185))/360))+O185,0)</f>
        <v>0</v>
      </c>
      <c r="AC185" s="9" cm="1">
        <f t="array" ref="AC185">O185+T185+IF(ISNUMBER(_xll.qwIncome($A$1,F185,_xll.qwSettle($A$4,F185),_xll.qwSettle($A$1,F185))*_xll.qwMVFactor($A$1,F185)*_xll.qwFXRate($A$1,F185)*I185),_xll.qwIncome($A$1,F185,_xll.qwSettle($A$4,F185),_xll.qwSettle($A$1,F185))*_xll.qwMVFactor($A$1,F185)*_xll.qwFXRate($A$1,F185)*I185,0)+IF(ISNUMBER(-(_xll.qwBondRepoFromTo($A$1,F185,_xll.qwSettle($A$4,F185),_xll.qwSettle($A$1,F185))*_xll.qwSecVal($A$1,F185,"Price")*(_xll.qwSettle($A$1,F185)-_xll.qwSettle($A$4,F185))/360)*_xll.qwMVFactor($A$1,F185)*_xll.qwFXRate($A$1,F185)*I185),-(_xll.qwBondRepoFromTo($A$1,F185,_xll.qwSettle($A$4,F185),_xll.qwSettle($A$1,F185))*_xll.qwSecVal($A$1,F185,"Price")*(_xll.qwSettle($A$1,F185)-_xll.qwSettle($A$4,F185))/360)*_xll.qwMVFactor($A$1,F185)*_xll.qwFXRate($A$1,F185)*I185,0)</f>
        <v>-415663.78412978491</v>
      </c>
      <c r="AD185" s="6"/>
    </row>
    <row r="186" spans="2:30" s="7" customFormat="1" x14ac:dyDescent="0.35">
      <c r="B186" s="7" t="str">
        <v>jcleary</v>
      </c>
      <c r="C186" s="7" t="str">
        <v>PPA</v>
      </c>
      <c r="D186" s="7" t="str">
        <v>jcleary|PPA|RV_US_20Y_Spread|912810UX4</v>
      </c>
      <c r="E186" s="7" t="str">
        <v>RV_US_20Y_Spread</v>
      </c>
      <c r="F186" s="7" t="str">
        <v>912810UX4</v>
      </c>
      <c r="G186" s="7">
        <v>94.9</v>
      </c>
      <c r="H186" s="7">
        <v>0</v>
      </c>
      <c r="I186" s="7">
        <v>94.9</v>
      </c>
      <c r="J186" s="7">
        <v>0</v>
      </c>
      <c r="K186" s="7">
        <v>0</v>
      </c>
      <c r="L186" s="7">
        <v>0</v>
      </c>
      <c r="M186" s="7">
        <v>0</v>
      </c>
      <c r="N186" s="7" t="str">
        <v>Bond</v>
      </c>
      <c r="O186" s="6" cm="1">
        <f t="array" ref="O186">(_xll.qwPrice($A$1,F186)-_xll.qwPrice($A$4,F186))*_xll.qwMVFactor($A$1,F186)*I186*_xll.qwFXRate($A$1,F186)</f>
        <v>355874.99999951455</v>
      </c>
      <c r="P186" s="6" cm="1">
        <f t="array" ref="P186">IF(ISNUMBER(_xll.qwDV01($A$1,F186)*I186*_xll.qwMVFactor($A$1,F186)*_xll.qwFXRate($A$1,F186)),_xll.qwDV01($A$1,F186)*I186*_xll.qwMVFactor($A$1,F186)*_xll.qwFXRate($A$1,F186),0)</f>
        <v>108921.27792772044</v>
      </c>
      <c r="Q186" s="6" cm="1">
        <f t="array" ref="Q186">IF(ISNUMBER(_xll.qwDV01($A$1,F186)*G186*_xll.qwMVFactor($A$1,F186)*_xll.qwFXRate($A$1,F186)),_xll.qwDV01($A$1,F186)*G186*_xll.qwMVFactor($A$1,F186)*_xll.qwFXRate($A$1,F186),0)</f>
        <v>108921.27792772044</v>
      </c>
      <c r="R186" s="6" cm="1">
        <f t="array" ref="R186">IF(ISNUMBER(_xll.qwDV01($A$1,F186)*J186*_xll.qwMVFactor($A$1,F186)*_xll.qwFXRate($A$1,F186)),_xll.qwDV01($A$1,F186)*J186*_xll.qwMVFactor($A$1,F186)*_xll.qwFXRate($A$1,F186),0)</f>
        <v>0</v>
      </c>
      <c r="S186" s="6" cm="1">
        <f t="array" ref="S186">IF(ISNUMBER(_xll.qwDV01($A$1,F186)*J186*_xll.qwMVFactor($A$1,F186)*_xll.qwFXRate($A$1,F186)),_xll.qwDV01($A$1,F186)*J186*_xll.qwMVFactor($A$1,F186)*_xll.qwFXRate($A$1,F186),0)</f>
        <v>0</v>
      </c>
      <c r="T186" s="6" cm="1">
        <f t="array" ref="T186">_xll.qwFXRate($A$1,F186)*J186*(_xll.qwPrice($A$1,F186)-M186)*_xll.qwMVFactor($A$1,F186)+L186</f>
        <v>0</v>
      </c>
      <c r="U186" s="8" cm="1">
        <f t="array" ref="U186">_xll.qwYield($A$1,F186)</f>
        <v>5.5729398215671688E-2</v>
      </c>
      <c r="V186" s="8" cm="1">
        <f t="array" ref="V186">100*(_xll.qwYield($A$4,F186)-U186)</f>
        <v>3.2729164654660831E-2</v>
      </c>
      <c r="W186" s="6">
        <f>IF(ISNA(G186*INDEX(_xll.qwTblData(_xll.qwCurveScenariosPerSecurity($A$1,F186,"Crv210")),2,2)),0,(G186*INDEX(_xll.qwTblData(_xll.qwCurveScenariosPerSecurity($A$1,F186,"Crv210")),2,2)))</f>
        <v>-191461.51735453217</v>
      </c>
      <c r="X186" s="6" cm="1">
        <f t="array" ref="X186">ABS(Q186/_xll.qwMV01($A$1,"CT10"))</f>
        <v>146.62884833472603</v>
      </c>
      <c r="Y186" s="6" cm="1">
        <f t="array" ref="Y186">IF(N186="BondFuture",-(_xll.qwCurveYield($A$1,_xll.qwSecVal($A$1,AA186,"CreditCurveName()"),AA186)-_xll.qwCurveYield($A$4,_xll.qwSecVal($A$4,AA186,"CreditCurveName()"),AA186))*P186*10000,IF(N186="Bond",-(_xll.qwCurveYield($A$1,_xll.qwSecVal($A$1,F186,"CreditCurveName()"),F186)-_xll.qwCurveYield($A$4,_xll.qwSecVal($A$4,F186,"CreditCurveName()"),F186))*P186*10000,O186))</f>
        <v>353703.8276179129</v>
      </c>
      <c r="Z186" s="6" cm="1">
        <f t="array" ref="Z186">IF(OR(N186="BondFuture",N186="Bond"),P186*(_xll.qwCurveZSpread($A$4,_xll.qwSecVal($A$1,AA186,"CreditCurveName()"),AA186)-_xll.qwCurveZSpread($A$1,_xll.qwSecVal($A$1,AA186,"CreditCurveName()"),AA186)),0)</f>
        <v>2786.4163513307353</v>
      </c>
      <c r="AA186" s="9" t="str" cm="1">
        <f t="array" ref="AA186">IF(_xll.qwSecType(F186)="Bond",F186,IF(_xll.qwSecType(F186)="BondFuture",_xll.qwFutCTD($A$1,F186),0))</f>
        <v>912810UX4</v>
      </c>
      <c r="AB186" s="6" cm="1">
        <f t="array" ref="AB186">IF(_xll.qwSecType(F186)="BondFuture",-(I186*_xll.qwDelta($A$4,F186)*_xll.qwMVFactor($A$1,F186)/_xll.qwMVFactor($A$1,_xll.qwFutCTD($A$1,F186)))*(_xll.qwFXRate($A$1,F186)*_xll.qwMVFactor($A$1,_xll.qwFutCTD($A$1,F186))*(_xll.qwIncome($A$4,_xll.qwFutCTD($A$4,F186),_xll.qwBondSettle($A$4,_xll.qwFutCTD($A$4,F186)),_xll.qwBondSettle($A$1,_xll.qwFutCTD($A$1,F186)))+(_xll.qwSecVal($A$1,AA186,"Price")-_xll.qwSecVal($A$4,AA186,"Price"))-_xll.qwBondRepoFromTo($A$1,AA186,_xll.qwBondSettle($A$4,AA186),_xll.qwBondSettle($A$1,AA186))*_xll.qwSecVal($A$1,AA186,"Price")*(_xll.qwBondSettle($A$1,AA186)-_xll.qwBondSettle($A$4,AA186))/360))+O186,0)</f>
        <v>0</v>
      </c>
      <c r="AC186" s="9" cm="1">
        <f t="array" ref="AC186">O186+T186+IF(ISNUMBER(_xll.qwIncome($A$1,F186,_xll.qwSettle($A$4,F186),_xll.qwSettle($A$1,F186))*_xll.qwMVFactor($A$1,F186)*_xll.qwFXRate($A$1,F186)*I186),_xll.qwIncome($A$1,F186,_xll.qwSettle($A$4,F186),_xll.qwSettle($A$1,F186))*_xll.qwMVFactor($A$1,F186)*_xll.qwFXRate($A$1,F186)*I186,0)+IF(ISNUMBER(-(_xll.qwBondRepoFromTo($A$1,F186,_xll.qwSettle($A$4,F186),_xll.qwSettle($A$1,F186))*_xll.qwSecVal($A$1,F186,"Price")*(_xll.qwSettle($A$1,F186)-_xll.qwSettle($A$4,F186))/360)*_xll.qwMVFactor($A$1,F186)*_xll.qwFXRate($A$1,F186)*I186),-(_xll.qwBondRepoFromTo($A$1,F186,_xll.qwSettle($A$4,F186),_xll.qwSettle($A$1,F186))*_xll.qwSecVal($A$1,F186,"Price")*(_xll.qwSettle($A$1,F186)-_xll.qwSettle($A$4,F186))/360)*_xll.qwMVFactor($A$1,F186)*_xll.qwFXRate($A$1,F186)*I186,0)</f>
        <v>359597.70304806402</v>
      </c>
      <c r="AD186" s="6"/>
    </row>
    <row r="187" spans="2:30" s="7" customFormat="1" x14ac:dyDescent="0.35">
      <c r="B187" s="7" t="str">
        <v>jcleary</v>
      </c>
      <c r="C187" s="7" t="str">
        <v>PPA</v>
      </c>
      <c r="D187" s="7" t="str">
        <v>jcleary|PPA|RV_US_FV_Spread|221582879</v>
      </c>
      <c r="E187" s="7" t="str">
        <v>RV_US_FV_Spread</v>
      </c>
      <c r="F187" s="7" t="str">
        <v>221582879</v>
      </c>
      <c r="G187" s="7">
        <v>359</v>
      </c>
      <c r="H187" s="7">
        <v>0</v>
      </c>
      <c r="I187" s="7">
        <v>359</v>
      </c>
      <c r="J187" s="7">
        <v>0</v>
      </c>
      <c r="K187" s="7">
        <v>0</v>
      </c>
      <c r="L187" s="7">
        <v>0</v>
      </c>
      <c r="M187" s="7">
        <v>0</v>
      </c>
      <c r="N187" s="7" t="str">
        <v>SwapTrade</v>
      </c>
      <c r="O187" s="6" cm="1">
        <f t="array" ref="O187">(_xll.qwPrice($A$1,F187)-_xll.qwPrice($A$4,F187))*_xll.qwMVFactor($A$1,F187)*I187*_xll.qwFXRate($A$1,F187)</f>
        <v>-37627.005135429339</v>
      </c>
      <c r="P187" s="6" cm="1">
        <f t="array" ref="P187">IF(ISNUMBER(_xll.qwDV01($A$1,F187)*I187*_xll.qwMVFactor($A$1,F187)*_xll.qwFXRate($A$1,F187)),_xll.qwDV01($A$1,F187)*I187*_xll.qwMVFactor($A$1,F187)*_xll.qwFXRate($A$1,F187),0)</f>
        <v>-94355.605999223553</v>
      </c>
      <c r="Q187" s="6" cm="1">
        <f t="array" ref="Q187">IF(ISNUMBER(_xll.qwDV01($A$1,F187)*G187*_xll.qwMVFactor($A$1,F187)*_xll.qwFXRate($A$1,F187)),_xll.qwDV01($A$1,F187)*G187*_xll.qwMVFactor($A$1,F187)*_xll.qwFXRate($A$1,F187),0)</f>
        <v>-94355.605999223553</v>
      </c>
      <c r="R187" s="6" cm="1">
        <f t="array" ref="R187">IF(ISNUMBER(_xll.qwDV01($A$1,F187)*J187*_xll.qwMVFactor($A$1,F187)*_xll.qwFXRate($A$1,F187)),_xll.qwDV01($A$1,F187)*J187*_xll.qwMVFactor($A$1,F187)*_xll.qwFXRate($A$1,F187),0)</f>
        <v>0</v>
      </c>
      <c r="S187" s="6" cm="1">
        <f t="array" ref="S187">IF(ISNUMBER(_xll.qwDV01($A$1,F187)*J187*_xll.qwMVFactor($A$1,F187)*_xll.qwFXRate($A$1,F187)),_xll.qwDV01($A$1,F187)*J187*_xll.qwMVFactor($A$1,F187)*_xll.qwFXRate($A$1,F187),0)</f>
        <v>0</v>
      </c>
      <c r="T187" s="6" cm="1">
        <f t="array" ref="T187">_xll.qwFXRate($A$1,F187)*J187*(_xll.qwPrice($A$1,F187)-M187)*_xll.qwMVFactor($A$1,F187)+L187</f>
        <v>0</v>
      </c>
      <c r="U187" s="8" cm="1">
        <f t="array" ref="U187">_xll.qwYield($A$1,F187)</f>
        <v>4.6945489118217436E-2</v>
      </c>
      <c r="V187" s="8" cm="1">
        <f t="array" ref="V187">100*(_xll.qwYield($A$4,F187)-U187)</f>
        <v>3.3817583327627743E-3</v>
      </c>
      <c r="W187" s="6">
        <f>IF(ISNA(G187*INDEX(_xll.qwTblData(_xll.qwCurveScenariosPerSecurity($A$1,F187,"Crv210")),2,2)),0,(G187*INDEX(_xll.qwTblData(_xll.qwCurveScenariosPerSecurity($A$1,F187,"Crv210")),2,2)))</f>
        <v>-36858.883842213494</v>
      </c>
      <c r="X187" s="6" cm="1">
        <f t="array" ref="X187">ABS(Q187/_xll.qwMV01($A$1,"CT10"))</f>
        <v>127.02067130329038</v>
      </c>
      <c r="Y187" s="6" cm="1">
        <f t="array" ref="Y187">IF(N187="BondFuture",-(_xll.qwCurveYield($A$1,_xll.qwSecVal($A$1,AA187,"CreditCurveName()"),AA187)-_xll.qwCurveYield($A$4,_xll.qwSecVal($A$4,AA187,"CreditCurveName()"),AA187))*P187*10000,IF(N187="Bond",-(_xll.qwCurveYield($A$1,_xll.qwSecVal($A$1,F187,"CreditCurveName()"),F187)-_xll.qwCurveYield($A$4,_xll.qwSecVal($A$4,F187,"CreditCurveName()"),F187))*P187*10000,O187))</f>
        <v>-37627.005135429339</v>
      </c>
      <c r="Z187" s="6" cm="1">
        <f t="array" ref="Z187">IF(OR(N187="BondFuture",N187="Bond"),P187*(_xll.qwCurveZSpread($A$4,_xll.qwSecVal($A$1,AA187,"CreditCurveName()"),AA187)-_xll.qwCurveZSpread($A$1,_xll.qwSecVal($A$1,AA187,"CreditCurveName()"),AA187)),0)</f>
        <v>0</v>
      </c>
      <c r="AA187" s="9" cm="1">
        <f t="array" ref="AA187">IF(_xll.qwSecType(F187)="Bond",F187,IF(_xll.qwSecType(F187)="BondFuture",_xll.qwFutCTD($A$1,F187),0))</f>
        <v>0</v>
      </c>
      <c r="AB187" s="6" cm="1">
        <f t="array" ref="AB187">IF(_xll.qwSecType(F187)="BondFuture",-(I187*_xll.qwDelta($A$4,F187)*_xll.qwMVFactor($A$1,F187)/_xll.qwMVFactor($A$1,_xll.qwFutCTD($A$1,F187)))*(_xll.qwFXRate($A$1,F187)*_xll.qwMVFactor($A$1,_xll.qwFutCTD($A$1,F187))*(_xll.qwIncome($A$4,_xll.qwFutCTD($A$4,F187),_xll.qwBondSettle($A$4,_xll.qwFutCTD($A$4,F187)),_xll.qwBondSettle($A$1,_xll.qwFutCTD($A$1,F187)))+(_xll.qwSecVal($A$1,AA187,"Price")-_xll.qwSecVal($A$4,AA187,"Price"))-_xll.qwBondRepoFromTo($A$1,AA187,_xll.qwBondSettle($A$4,AA187),_xll.qwBondSettle($A$1,AA187))*_xll.qwSecVal($A$1,AA187,"Price")*(_xll.qwBondSettle($A$1,AA187)-_xll.qwBondSettle($A$4,AA187))/360))+O187,0)</f>
        <v>0</v>
      </c>
      <c r="AC187" s="9" cm="1">
        <f t="array" ref="AC187">O187+T187+IF(ISNUMBER(_xll.qwIncome($A$1,F187,_xll.qwSettle($A$4,F187),_xll.qwSettle($A$1,F187))*_xll.qwMVFactor($A$1,F187)*_xll.qwFXRate($A$1,F187)*I187),_xll.qwIncome($A$1,F187,_xll.qwSettle($A$4,F187),_xll.qwSettle($A$1,F187))*_xll.qwMVFactor($A$1,F187)*_xll.qwFXRate($A$1,F187)*I187,0)+IF(ISNUMBER(-(_xll.qwBondRepoFromTo($A$1,F187,_xll.qwSettle($A$4,F187),_xll.qwSettle($A$1,F187))*_xll.qwSecVal($A$1,F187,"Price")*(_xll.qwSettle($A$1,F187)-_xll.qwSettle($A$4,F187))/360)*_xll.qwMVFactor($A$1,F187)*_xll.qwFXRate($A$1,F187)*I187),-(_xll.qwBondRepoFromTo($A$1,F187,_xll.qwSettle($A$4,F187),_xll.qwSettle($A$1,F187))*_xll.qwSecVal($A$1,F187,"Price")*(_xll.qwSettle($A$1,F187)-_xll.qwSettle($A$4,F187))/360)*_xll.qwMVFactor($A$1,F187)*_xll.qwFXRate($A$1,F187)*I187,0)</f>
        <v>-37627.005135429339</v>
      </c>
      <c r="AD187" s="6"/>
    </row>
    <row r="188" spans="2:30" s="7" customFormat="1" x14ac:dyDescent="0.35">
      <c r="B188" s="7" t="str">
        <v>jcleary</v>
      </c>
      <c r="C188" s="18" t="str">
        <v>PPA</v>
      </c>
      <c r="D188" s="18" t="str">
        <v>jcleary|PPA|RV_US_FV_Spread|231403590</v>
      </c>
      <c r="E188" s="18" t="str">
        <v>RV_US_FV_Spread</v>
      </c>
      <c r="F188" s="18" t="str">
        <v>231403590</v>
      </c>
      <c r="G188" s="18">
        <v>108.6</v>
      </c>
      <c r="H188" s="7">
        <v>0</v>
      </c>
      <c r="I188" s="7">
        <v>108.6</v>
      </c>
      <c r="J188" s="7">
        <v>0</v>
      </c>
      <c r="K188" s="7">
        <v>0</v>
      </c>
      <c r="L188" s="7">
        <v>0</v>
      </c>
      <c r="M188" s="7">
        <v>0</v>
      </c>
      <c r="N188" s="7" t="str">
        <v>SwapTrade</v>
      </c>
      <c r="O188" s="6" cm="1">
        <f t="array" ref="O188">(_xll.qwPrice($A$1,F188)-_xll.qwPrice($A$4,F188))*_xll.qwMVFactor($A$1,F188)*I188*_xll.qwFXRate($A$1,F188)</f>
        <v>-30971.172572800875</v>
      </c>
      <c r="P188" s="6" cm="1">
        <f t="array" ref="P188">IF(ISNUMBER(_xll.qwDV01($A$1,F188)*I188*_xll.qwMVFactor($A$1,F188)*_xll.qwFXRate($A$1,F188)),_xll.qwDV01($A$1,F188)*I188*_xll.qwMVFactor($A$1,F188)*_xll.qwFXRate($A$1,F188),0)</f>
        <v>-38466.004388400259</v>
      </c>
      <c r="Q188" s="6" cm="1">
        <f t="array" ref="Q188">IF(ISNUMBER(_xll.qwDV01($A$1,F188)*G188*_xll.qwMVFactor($A$1,F188)*_xll.qwFXRate($A$1,F188)),_xll.qwDV01($A$1,F188)*G188*_xll.qwMVFactor($A$1,F188)*_xll.qwFXRate($A$1,F188),0)</f>
        <v>-38466.004388400259</v>
      </c>
      <c r="R188" s="6" cm="1">
        <f t="array" ref="R188">IF(ISNUMBER(_xll.qwDV01($A$1,F188)*J188*_xll.qwMVFactor($A$1,F188)*_xll.qwFXRate($A$1,F188)),_xll.qwDV01($A$1,F188)*J188*_xll.qwMVFactor($A$1,F188)*_xll.qwFXRate($A$1,F188),0)</f>
        <v>0</v>
      </c>
      <c r="S188" s="6" cm="1">
        <f t="array" ref="S188">IF(ISNUMBER(_xll.qwDV01($A$1,F188)*J188*_xll.qwMVFactor($A$1,F188)*_xll.qwFXRate($A$1,F188)),_xll.qwDV01($A$1,F188)*J188*_xll.qwMVFactor($A$1,F188)*_xll.qwFXRate($A$1,F188),0)</f>
        <v>0</v>
      </c>
      <c r="T188" s="6" cm="1">
        <f t="array" ref="T188">_xll.qwFXRate($A$1,F188)*J188*(_xll.qwPrice($A$1,F188)-M188)*_xll.qwMVFactor($A$1,F188)+L188</f>
        <v>0</v>
      </c>
      <c r="U188" s="8" cm="1">
        <f t="array" ref="U188">_xll.qwYield($A$1,F188)</f>
        <v>4.7068378995592207E-2</v>
      </c>
      <c r="V188" s="8" cm="1">
        <f t="array" ref="V188">100*(_xll.qwYield($A$4,F188)-U188)</f>
        <v>7.4191169068905938E-3</v>
      </c>
      <c r="W188" s="6">
        <f>IF(ISNA(G188*INDEX(_xll.qwTblData(_xll.qwCurveScenariosPerSecurity($A$1,F188,"Crv210")),2,2)),0,(G188*INDEX(_xll.qwTblData(_xll.qwCurveScenariosPerSecurity($A$1,F188,"Crv210")),2,2)))</f>
        <v>-9301.0056374862634</v>
      </c>
      <c r="X188" s="6" cm="1">
        <f t="array" ref="X188">ABS(Q188/_xll.qwMV01($A$1,"CT10"))</f>
        <v>51.782590425100139</v>
      </c>
      <c r="Y188" s="6" cm="1">
        <f t="array" ref="Y188">IF(N188="BondFuture",-(_xll.qwCurveYield($A$1,_xll.qwSecVal($A$1,AA188,"CreditCurveName()"),AA188)-_xll.qwCurveYield($A$4,_xll.qwSecVal($A$4,AA188,"CreditCurveName()"),AA188))*P188*10000,IF(N188="Bond",-(_xll.qwCurveYield($A$1,_xll.qwSecVal($A$1,F188,"CreditCurveName()"),F188)-_xll.qwCurveYield($A$4,_xll.qwSecVal($A$4,F188,"CreditCurveName()"),F188))*P188*10000,O188))</f>
        <v>-30971.172572800875</v>
      </c>
      <c r="Z188" s="6" cm="1">
        <f t="array" ref="Z188">IF(OR(N188="BondFuture",N188="Bond"),P188*(_xll.qwCurveZSpread($A$4,_xll.qwSecVal($A$1,AA188,"CreditCurveName()"),AA188)-_xll.qwCurveZSpread($A$1,_xll.qwSecVal($A$1,AA188,"CreditCurveName()"),AA188)),0)</f>
        <v>0</v>
      </c>
      <c r="AA188" s="9" cm="1">
        <f t="array" ref="AA188">IF(_xll.qwSecType(F188)="Bond",F188,IF(_xll.qwSecType(F188)="BondFuture",_xll.qwFutCTD($A$1,F188),0))</f>
        <v>0</v>
      </c>
      <c r="AB188" s="6" cm="1">
        <f t="array" ref="AB188">IF(_xll.qwSecType(F188)="BondFuture",-(I188*_xll.qwDelta($A$4,F188)*_xll.qwMVFactor($A$1,F188)/_xll.qwMVFactor($A$1,_xll.qwFutCTD($A$1,F188)))*(_xll.qwFXRate($A$1,F188)*_xll.qwMVFactor($A$1,_xll.qwFutCTD($A$1,F188))*(_xll.qwIncome($A$4,_xll.qwFutCTD($A$4,F188),_xll.qwBondSettle($A$4,_xll.qwFutCTD($A$4,F188)),_xll.qwBondSettle($A$1,_xll.qwFutCTD($A$1,F188)))+(_xll.qwSecVal($A$1,AA188,"Price")-_xll.qwSecVal($A$4,AA188,"Price"))-_xll.qwBondRepoFromTo($A$1,AA188,_xll.qwBondSettle($A$4,AA188),_xll.qwBondSettle($A$1,AA188))*_xll.qwSecVal($A$1,AA188,"Price")*(_xll.qwBondSettle($A$1,AA188)-_xll.qwBondSettle($A$4,AA188))/360))+O188,0)</f>
        <v>0</v>
      </c>
      <c r="AC188" s="9" cm="1">
        <f t="array" ref="AC188">O188+T188+IF(ISNUMBER(_xll.qwIncome($A$1,F188,_xll.qwSettle($A$4,F188),_xll.qwSettle($A$1,F188))*_xll.qwMVFactor($A$1,F188)*_xll.qwFXRate($A$1,F188)*I188),_xll.qwIncome($A$1,F188,_xll.qwSettle($A$4,F188),_xll.qwSettle($A$1,F188))*_xll.qwMVFactor($A$1,F188)*_xll.qwFXRate($A$1,F188)*I188,0)+IF(ISNUMBER(-(_xll.qwBondRepoFromTo($A$1,F188,_xll.qwSettle($A$4,F188),_xll.qwSettle($A$1,F188))*_xll.qwSecVal($A$1,F188,"Price")*(_xll.qwSettle($A$1,F188)-_xll.qwSettle($A$4,F188))/360)*_xll.qwMVFactor($A$1,F188)*_xll.qwFXRate($A$1,F188)*I188),-(_xll.qwBondRepoFromTo($A$1,F188,_xll.qwSettle($A$4,F188),_xll.qwSettle($A$1,F188))*_xll.qwSecVal($A$1,F188,"Price")*(_xll.qwSettle($A$1,F188)-_xll.qwSettle($A$4,F188))/360)*_xll.qwMVFactor($A$1,F188)*_xll.qwFXRate($A$1,F188)*I188,0)</f>
        <v>-30971.172572800875</v>
      </c>
      <c r="AD188" s="6"/>
    </row>
    <row r="189" spans="2:30" s="7" customFormat="1" x14ac:dyDescent="0.35">
      <c r="B189" s="7" t="str">
        <v>jcleary</v>
      </c>
      <c r="C189" s="7" t="str">
        <v>PPA</v>
      </c>
      <c r="D189" s="7" t="str">
        <v>jcleary|PPA|RV_US_FV_Spread|232322772</v>
      </c>
      <c r="E189" s="7" t="str">
        <v>RV_US_FV_Spread</v>
      </c>
      <c r="F189" s="7" t="str">
        <v>232322772</v>
      </c>
      <c r="G189" s="7">
        <v>280.8</v>
      </c>
      <c r="H189" s="7">
        <v>0</v>
      </c>
      <c r="I189" s="7">
        <v>280.8</v>
      </c>
      <c r="J189" s="7">
        <v>0</v>
      </c>
      <c r="K189" s="7">
        <v>0</v>
      </c>
      <c r="L189" s="7">
        <v>0</v>
      </c>
      <c r="M189" s="7">
        <v>0</v>
      </c>
      <c r="N189" s="7" t="str">
        <v>SwapTrade</v>
      </c>
      <c r="O189" s="6" cm="1">
        <f t="array" ref="O189">(_xll.qwPrice($A$1,F189)-_xll.qwPrice($A$4,F189))*_xll.qwMVFactor($A$1,F189)*I189*_xll.qwFXRate($A$1,F189)</f>
        <v>-52664.151405177297</v>
      </c>
      <c r="P189" s="6" cm="1">
        <f t="array" ref="P189">IF(ISNUMBER(_xll.qwDV01($A$1,F189)*I189*_xll.qwMVFactor($A$1,F189)*_xll.qwFXRate($A$1,F189)),_xll.qwDV01($A$1,F189)*I189*_xll.qwMVFactor($A$1,F189)*_xll.qwFXRate($A$1,F189),0)</f>
        <v>-84723.459430877192</v>
      </c>
      <c r="Q189" s="6" cm="1">
        <f t="array" ref="Q189">IF(ISNUMBER(_xll.qwDV01($A$1,F189)*G189*_xll.qwMVFactor($A$1,F189)*_xll.qwFXRate($A$1,F189)),_xll.qwDV01($A$1,F189)*G189*_xll.qwMVFactor($A$1,F189)*_xll.qwFXRate($A$1,F189),0)</f>
        <v>-84723.459430877192</v>
      </c>
      <c r="R189" s="6" cm="1">
        <f t="array" ref="R189">IF(ISNUMBER(_xll.qwDV01($A$1,F189)*J189*_xll.qwMVFactor($A$1,F189)*_xll.qwFXRate($A$1,F189)),_xll.qwDV01($A$1,F189)*J189*_xll.qwMVFactor($A$1,F189)*_xll.qwFXRate($A$1,F189),0)</f>
        <v>0</v>
      </c>
      <c r="S189" s="6" cm="1">
        <f t="array" ref="S189">IF(ISNUMBER(_xll.qwDV01($A$1,F189)*J189*_xll.qwMVFactor($A$1,F189)*_xll.qwFXRate($A$1,F189)),_xll.qwDV01($A$1,F189)*J189*_xll.qwMVFactor($A$1,F189)*_xll.qwFXRate($A$1,F189),0)</f>
        <v>0</v>
      </c>
      <c r="T189" s="6" cm="1">
        <f t="array" ref="T189">_xll.qwFXRate($A$1,F189)*J189*(_xll.qwPrice($A$1,F189)-M189)*_xll.qwMVFactor($A$1,F189)+L189</f>
        <v>0</v>
      </c>
      <c r="U189" s="8" cm="1">
        <f t="array" ref="U189">_xll.qwYield($A$1,F189)</f>
        <v>4.6964694366957667E-2</v>
      </c>
      <c r="V189" s="8" cm="1">
        <f t="array" ref="V189">100*(_xll.qwYield($A$4,F189)-U189)</f>
        <v>5.630368941402647E-3</v>
      </c>
      <c r="W189" s="6">
        <f>IF(ISNA(G189*INDEX(_xll.qwTblData(_xll.qwCurveScenariosPerSecurity($A$1,F189,"Crv210")),2,2)),0,(G189*INDEX(_xll.qwTblData(_xll.qwCurveScenariosPerSecurity($A$1,F189,"Crv210")),2,2)))</f>
        <v>-27715.167672193475</v>
      </c>
      <c r="X189" s="6" cm="1">
        <f t="array" ref="X189">ABS(Q189/_xll.qwMV01($A$1,"CT10"))</f>
        <v>114.05396190381806</v>
      </c>
      <c r="Y189" s="6" cm="1">
        <f t="array" ref="Y189">IF(N189="BondFuture",-(_xll.qwCurveYield($A$1,_xll.qwSecVal($A$1,AA189,"CreditCurveName()"),AA189)-_xll.qwCurveYield($A$4,_xll.qwSecVal($A$4,AA189,"CreditCurveName()"),AA189))*P189*10000,IF(N189="Bond",-(_xll.qwCurveYield($A$1,_xll.qwSecVal($A$1,F189,"CreditCurveName()"),F189)-_xll.qwCurveYield($A$4,_xll.qwSecVal($A$4,F189,"CreditCurveName()"),F189))*P189*10000,O189))</f>
        <v>-52664.151405177297</v>
      </c>
      <c r="Z189" s="6" cm="1">
        <f t="array" ref="Z189">IF(OR(N189="BondFuture",N189="Bond"),P189*(_xll.qwCurveZSpread($A$4,_xll.qwSecVal($A$1,AA189,"CreditCurveName()"),AA189)-_xll.qwCurveZSpread($A$1,_xll.qwSecVal($A$1,AA189,"CreditCurveName()"),AA189)),0)</f>
        <v>0</v>
      </c>
      <c r="AA189" s="9" cm="1">
        <f t="array" ref="AA189">IF(_xll.qwSecType(F189)="Bond",F189,IF(_xll.qwSecType(F189)="BondFuture",_xll.qwFutCTD($A$1,F189),0))</f>
        <v>0</v>
      </c>
      <c r="AB189" s="6" cm="1">
        <f t="array" ref="AB189">IF(_xll.qwSecType(F189)="BondFuture",-(I189*_xll.qwDelta($A$4,F189)*_xll.qwMVFactor($A$1,F189)/_xll.qwMVFactor($A$1,_xll.qwFutCTD($A$1,F189)))*(_xll.qwFXRate($A$1,F189)*_xll.qwMVFactor($A$1,_xll.qwFutCTD($A$1,F189))*(_xll.qwIncome($A$4,_xll.qwFutCTD($A$4,F189),_xll.qwBondSettle($A$4,_xll.qwFutCTD($A$4,F189)),_xll.qwBondSettle($A$1,_xll.qwFutCTD($A$1,F189)))+(_xll.qwSecVal($A$1,AA189,"Price")-_xll.qwSecVal($A$4,AA189,"Price"))-_xll.qwBondRepoFromTo($A$1,AA189,_xll.qwBondSettle($A$4,AA189),_xll.qwBondSettle($A$1,AA189))*_xll.qwSecVal($A$1,AA189,"Price")*(_xll.qwBondSettle($A$1,AA189)-_xll.qwBondSettle($A$4,AA189))/360))+O189,0)</f>
        <v>0</v>
      </c>
      <c r="AC189" s="9" cm="1">
        <f t="array" ref="AC189">O189+T189+IF(ISNUMBER(_xll.qwIncome($A$1,F189,_xll.qwSettle($A$4,F189),_xll.qwSettle($A$1,F189))*_xll.qwMVFactor($A$1,F189)*_xll.qwFXRate($A$1,F189)*I189),_xll.qwIncome($A$1,F189,_xll.qwSettle($A$4,F189),_xll.qwSettle($A$1,F189))*_xll.qwMVFactor($A$1,F189)*_xll.qwFXRate($A$1,F189)*I189,0)+IF(ISNUMBER(-(_xll.qwBondRepoFromTo($A$1,F189,_xll.qwSettle($A$4,F189),_xll.qwSettle($A$1,F189))*_xll.qwSecVal($A$1,F189,"Price")*(_xll.qwSettle($A$1,F189)-_xll.qwSettle($A$4,F189))/360)*_xll.qwMVFactor($A$1,F189)*_xll.qwFXRate($A$1,F189)*I189),-(_xll.qwBondRepoFromTo($A$1,F189,_xll.qwSettle($A$4,F189),_xll.qwSettle($A$1,F189))*_xll.qwSecVal($A$1,F189,"Price")*(_xll.qwSettle($A$1,F189)-_xll.qwSettle($A$4,F189))/360)*_xll.qwMVFactor($A$1,F189)*_xll.qwFXRate($A$1,F189)*I189,0)</f>
        <v>-52664.151405177297</v>
      </c>
      <c r="AD189" s="6"/>
    </row>
    <row r="190" spans="2:30" s="19" customFormat="1" x14ac:dyDescent="0.35">
      <c r="B190" s="19" t="str">
        <v>jcleary</v>
      </c>
      <c r="C190" s="19" t="str">
        <v>PPA</v>
      </c>
      <c r="D190" s="19" t="str">
        <v>jcleary|PPA|RV_US_FV_Spread|232348967</v>
      </c>
      <c r="E190" s="19" t="str">
        <v>RV_US_FV_Spread</v>
      </c>
      <c r="F190" s="19" t="str">
        <v>232348967</v>
      </c>
      <c r="G190" s="19">
        <v>345.7</v>
      </c>
      <c r="H190" s="19">
        <v>0</v>
      </c>
      <c r="I190" s="19">
        <v>345.7</v>
      </c>
      <c r="J190" s="19">
        <v>0</v>
      </c>
      <c r="K190" s="19">
        <v>0</v>
      </c>
      <c r="L190" s="19">
        <v>0</v>
      </c>
      <c r="M190" s="19">
        <v>0</v>
      </c>
      <c r="N190" s="19" t="str">
        <v>SwapTrade</v>
      </c>
      <c r="O190" s="6" cm="1">
        <f t="array" ref="O190">(_xll.qwPrice($A$1,F190)-_xll.qwPrice($A$4,F190))*_xll.qwMVFactor($A$1,F190)*I190*_xll.qwFXRate($A$1,F190)</f>
        <v>-52463.163949943635</v>
      </c>
      <c r="P190" s="6" cm="1">
        <f t="array" ref="P190">IF(ISNUMBER(_xll.qwDV01($A$1,F190)*I190*_xll.qwMVFactor($A$1,F190)*_xll.qwFXRate($A$1,F190)),_xll.qwDV01($A$1,F190)*I190*_xll.qwMVFactor($A$1,F190)*_xll.qwFXRate($A$1,F190),0)</f>
        <v>-97162.557510693936</v>
      </c>
      <c r="Q190" s="6" cm="1">
        <f t="array" ref="Q190">IF(ISNUMBER(_xll.qwDV01($A$1,F190)*G190*_xll.qwMVFactor($A$1,F190)*_xll.qwFXRate($A$1,F190)),_xll.qwDV01($A$1,F190)*G190*_xll.qwMVFactor($A$1,F190)*_xll.qwFXRate($A$1,F190),0)</f>
        <v>-97162.557510693936</v>
      </c>
      <c r="R190" s="6" cm="1">
        <f t="array" ref="R190">IF(ISNUMBER(_xll.qwDV01($A$1,F190)*J190*_xll.qwMVFactor($A$1,F190)*_xll.qwFXRate($A$1,F190)),_xll.qwDV01($A$1,F190)*J190*_xll.qwMVFactor($A$1,F190)*_xll.qwFXRate($A$1,F190),0)</f>
        <v>0</v>
      </c>
      <c r="S190" s="6" cm="1">
        <f t="array" ref="S190">IF(ISNUMBER(_xll.qwDV01($A$1,F190)*J190*_xll.qwMVFactor($A$1,F190)*_xll.qwFXRate($A$1,F190)),_xll.qwDV01($A$1,F190)*J190*_xll.qwMVFactor($A$1,F190)*_xll.qwFXRate($A$1,F190),0)</f>
        <v>0</v>
      </c>
      <c r="T190" s="6" cm="1">
        <f t="array" ref="T190">_xll.qwFXRate($A$1,F190)*J190*(_xll.qwPrice($A$1,F190)-M190)*_xll.qwMVFactor($A$1,F190)+L190</f>
        <v>0</v>
      </c>
      <c r="U190" s="8" cm="1">
        <f t="array" ref="U190">_xll.qwYield($A$1,F190)</f>
        <v>4.6992078161565365E-2</v>
      </c>
      <c r="V190" s="8" cm="1">
        <f t="array" ref="V190">100*(_xll.qwYield($A$4,F190)-U190)</f>
        <v>4.6664378837144027E-3</v>
      </c>
      <c r="W190" s="6">
        <f>IF(ISNA(G190*INDEX(_xll.qwTblData(_xll.qwCurveScenariosPerSecurity($A$1,F190,"Crv210")),2,2)),0,(G190*INDEX(_xll.qwTblData(_xll.qwCurveScenariosPerSecurity($A$1,F190,"Crv210")),2,2)))</f>
        <v>-34833.72857612295</v>
      </c>
      <c r="X190" s="6" cm="1">
        <f t="array" ref="X190">ABS(Q190/_xll.qwMV01($A$1,"CT10"))</f>
        <v>130.79936427576399</v>
      </c>
      <c r="Y190" s="6" cm="1">
        <f t="array" ref="Y190">IF(N190="BondFuture",-(_xll.qwCurveYield($A$1,_xll.qwSecVal($A$1,AA190,"CreditCurveName()"),AA190)-_xll.qwCurveYield($A$4,_xll.qwSecVal($A$4,AA190,"CreditCurveName()"),AA190))*P190*10000,IF(N190="Bond",-(_xll.qwCurveYield($A$1,_xll.qwSecVal($A$1,F190,"CreditCurveName()"),F190)-_xll.qwCurveYield($A$4,_xll.qwSecVal($A$4,F190,"CreditCurveName()"),F190))*P190*10000,O190))</f>
        <v>-52463.163949943635</v>
      </c>
      <c r="Z190" s="6" cm="1">
        <f t="array" ref="Z190">IF(OR(N190="BondFuture",N190="Bond"),P190*(_xll.qwCurveZSpread($A$4,_xll.qwSecVal($A$1,AA190,"CreditCurveName()"),AA190)-_xll.qwCurveZSpread($A$1,_xll.qwSecVal($A$1,AA190,"CreditCurveName()"),AA190)),0)</f>
        <v>0</v>
      </c>
      <c r="AA190" s="9" cm="1">
        <f t="array" ref="AA190">IF(_xll.qwSecType(F190)="Bond",F190,IF(_xll.qwSecType(F190)="BondFuture",_xll.qwFutCTD($A$1,F190),0))</f>
        <v>0</v>
      </c>
      <c r="AB190" s="6" cm="1">
        <f t="array" ref="AB190">IF(_xll.qwSecType(F190)="BondFuture",-(I190*_xll.qwDelta($A$4,F190)*_xll.qwMVFactor($A$1,F190)/_xll.qwMVFactor($A$1,_xll.qwFutCTD($A$1,F190)))*(_xll.qwFXRate($A$1,F190)*_xll.qwMVFactor($A$1,_xll.qwFutCTD($A$1,F190))*(_xll.qwIncome($A$4,_xll.qwFutCTD($A$4,F190),_xll.qwBondSettle($A$4,_xll.qwFutCTD($A$4,F190)),_xll.qwBondSettle($A$1,_xll.qwFutCTD($A$1,F190)))+(_xll.qwSecVal($A$1,AA190,"Price")-_xll.qwSecVal($A$4,AA190,"Price"))-_xll.qwBondRepoFromTo($A$1,AA190,_xll.qwBondSettle($A$4,AA190),_xll.qwBondSettle($A$1,AA190))*_xll.qwSecVal($A$1,AA190,"Price")*(_xll.qwBondSettle($A$1,AA190)-_xll.qwBondSettle($A$4,AA190))/360))+O190,0)</f>
        <v>0</v>
      </c>
      <c r="AC190" s="9" cm="1">
        <f t="array" ref="AC190">O190+T190+IF(ISNUMBER(_xll.qwIncome($A$1,F190,_xll.qwSettle($A$4,F190),_xll.qwSettle($A$1,F190))*_xll.qwMVFactor($A$1,F190)*_xll.qwFXRate($A$1,F190)*I190),_xll.qwIncome($A$1,F190,_xll.qwSettle($A$4,F190),_xll.qwSettle($A$1,F190))*_xll.qwMVFactor($A$1,F190)*_xll.qwFXRate($A$1,F190)*I190,0)+IF(ISNUMBER(-(_xll.qwBondRepoFromTo($A$1,F190,_xll.qwSettle($A$4,F190),_xll.qwSettle($A$1,F190))*_xll.qwSecVal($A$1,F190,"Price")*(_xll.qwSettle($A$1,F190)-_xll.qwSettle($A$4,F190))/360)*_xll.qwMVFactor($A$1,F190)*_xll.qwFXRate($A$1,F190)*I190),-(_xll.qwBondRepoFromTo($A$1,F190,_xll.qwSettle($A$4,F190),_xll.qwSettle($A$1,F190))*_xll.qwSecVal($A$1,F190,"Price")*(_xll.qwSettle($A$1,F190)-_xll.qwSettle($A$4,F190))/360)*_xll.qwMVFactor($A$1,F190)*_xll.qwFXRate($A$1,F190)*I190,0)</f>
        <v>-52463.163949943635</v>
      </c>
      <c r="AD190" s="6"/>
    </row>
    <row r="191" spans="2:30" s="19" customFormat="1" x14ac:dyDescent="0.35">
      <c r="B191" s="19" t="str">
        <v>jcleary</v>
      </c>
      <c r="C191" s="19" t="str">
        <v>PPA</v>
      </c>
      <c r="D191" s="19" t="str">
        <v>jcleary|PPA|RV_US_FV_Spread|232740238</v>
      </c>
      <c r="E191" s="19" t="str">
        <v>RV_US_FV_Spread</v>
      </c>
      <c r="F191" s="19" t="str">
        <v>232740238</v>
      </c>
      <c r="G191" s="19">
        <v>122.9</v>
      </c>
      <c r="H191" s="19">
        <v>0</v>
      </c>
      <c r="I191" s="19">
        <v>122.9</v>
      </c>
      <c r="J191" s="19">
        <v>0</v>
      </c>
      <c r="K191" s="19">
        <v>0</v>
      </c>
      <c r="L191" s="19">
        <v>0</v>
      </c>
      <c r="M191" s="19">
        <v>0</v>
      </c>
      <c r="N191" s="19" t="str">
        <v>SwapTrade</v>
      </c>
      <c r="O191" s="6" cm="1">
        <f t="array" ref="O191">(_xll.qwPrice($A$1,F191)-_xll.qwPrice($A$4,F191))*_xll.qwMVFactor($A$1,F191)*I191*_xll.qwFXRate($A$1,F191)</f>
        <v>-35021.730863935474</v>
      </c>
      <c r="P191" s="6" cm="1">
        <f t="array" ref="P191">IF(ISNUMBER(_xll.qwDV01($A$1,F191)*I191*_xll.qwMVFactor($A$1,F191)*_xll.qwFXRate($A$1,F191)),_xll.qwDV01($A$1,F191)*I191*_xll.qwMVFactor($A$1,F191)*_xll.qwFXRate($A$1,F191),0)</f>
        <v>-43480.409586652444</v>
      </c>
      <c r="Q191" s="6" cm="1">
        <f t="array" ref="Q191">IF(ISNUMBER(_xll.qwDV01($A$1,F191)*G191*_xll.qwMVFactor($A$1,F191)*_xll.qwFXRate($A$1,F191)),_xll.qwDV01($A$1,F191)*G191*_xll.qwMVFactor($A$1,F191)*_xll.qwFXRate($A$1,F191),0)</f>
        <v>-43480.409586652444</v>
      </c>
      <c r="R191" s="6" cm="1">
        <f t="array" ref="R191">IF(ISNUMBER(_xll.qwDV01($A$1,F191)*J191*_xll.qwMVFactor($A$1,F191)*_xll.qwFXRate($A$1,F191)),_xll.qwDV01($A$1,F191)*J191*_xll.qwMVFactor($A$1,F191)*_xll.qwFXRate($A$1,F191),0)</f>
        <v>0</v>
      </c>
      <c r="S191" s="6" cm="1">
        <f t="array" ref="S191">IF(ISNUMBER(_xll.qwDV01($A$1,F191)*J191*_xll.qwMVFactor($A$1,F191)*_xll.qwFXRate($A$1,F191)),_xll.qwDV01($A$1,F191)*J191*_xll.qwMVFactor($A$1,F191)*_xll.qwFXRate($A$1,F191),0)</f>
        <v>0</v>
      </c>
      <c r="T191" s="6" cm="1">
        <f t="array" ref="T191">_xll.qwFXRate($A$1,F191)*J191*(_xll.qwPrice($A$1,F191)-M191)*_xll.qwMVFactor($A$1,F191)+L191</f>
        <v>0</v>
      </c>
      <c r="U191" s="8" cm="1">
        <f t="array" ref="U191">_xll.qwYield($A$1,F191)</f>
        <v>4.7068378995592207E-2</v>
      </c>
      <c r="V191" s="8" cm="1">
        <f t="array" ref="V191">100*(_xll.qwYield($A$4,F191)-U191)</f>
        <v>7.4191169068905938E-3</v>
      </c>
      <c r="W191" s="6">
        <f>IF(ISNA(G191*INDEX(_xll.qwTblData(_xll.qwCurveScenariosPerSecurity($A$1,F191,"Crv210")),2,2)),0,(G191*INDEX(_xll.qwTblData(_xll.qwCurveScenariosPerSecurity($A$1,F191,"Crv210")),2,2)))</f>
        <v>-10506.462512847995</v>
      </c>
      <c r="X191" s="6" cm="1">
        <f t="array" ref="X191">ABS(Q191/_xll.qwMV01($A$1,"CT10"))</f>
        <v>58.532937770375447</v>
      </c>
      <c r="Y191" s="6" cm="1">
        <f t="array" ref="Y191">IF(N191="BondFuture",-(_xll.qwCurveYield($A$1,_xll.qwSecVal($A$1,AA191,"CreditCurveName()"),AA191)-_xll.qwCurveYield($A$4,_xll.qwSecVal($A$4,AA191,"CreditCurveName()"),AA191))*P191*10000,IF(N191="Bond",-(_xll.qwCurveYield($A$1,_xll.qwSecVal($A$1,F191,"CreditCurveName()"),F191)-_xll.qwCurveYield($A$4,_xll.qwSecVal($A$4,F191,"CreditCurveName()"),F191))*P191*10000,O191))</f>
        <v>-35021.730863935474</v>
      </c>
      <c r="Z191" s="6" cm="1">
        <f t="array" ref="Z191">IF(OR(N191="BondFuture",N191="Bond"),P191*(_xll.qwCurveZSpread($A$4,_xll.qwSecVal($A$1,AA191,"CreditCurveName()"),AA191)-_xll.qwCurveZSpread($A$1,_xll.qwSecVal($A$1,AA191,"CreditCurveName()"),AA191)),0)</f>
        <v>0</v>
      </c>
      <c r="AA191" s="9" cm="1">
        <f t="array" ref="AA191">IF(_xll.qwSecType(F191)="Bond",F191,IF(_xll.qwSecType(F191)="BondFuture",_xll.qwFutCTD($A$1,F191),0))</f>
        <v>0</v>
      </c>
      <c r="AB191" s="6" cm="1">
        <f t="array" ref="AB191">IF(_xll.qwSecType(F191)="BondFuture",-(I191*_xll.qwDelta($A$4,F191)*_xll.qwMVFactor($A$1,F191)/_xll.qwMVFactor($A$1,_xll.qwFutCTD($A$1,F191)))*(_xll.qwFXRate($A$1,F191)*_xll.qwMVFactor($A$1,_xll.qwFutCTD($A$1,F191))*(_xll.qwIncome($A$4,_xll.qwFutCTD($A$4,F191),_xll.qwBondSettle($A$4,_xll.qwFutCTD($A$4,F191)),_xll.qwBondSettle($A$1,_xll.qwFutCTD($A$1,F191)))+(_xll.qwSecVal($A$1,AA191,"Price")-_xll.qwSecVal($A$4,AA191,"Price"))-_xll.qwBondRepoFromTo($A$1,AA191,_xll.qwBondSettle($A$4,AA191),_xll.qwBondSettle($A$1,AA191))*_xll.qwSecVal($A$1,AA191,"Price")*(_xll.qwBondSettle($A$1,AA191)-_xll.qwBondSettle($A$4,AA191))/360))+O191,0)</f>
        <v>0</v>
      </c>
      <c r="AC191" s="9" cm="1">
        <f t="array" ref="AC191">O191+T191+IF(ISNUMBER(_xll.qwIncome($A$1,F191,_xll.qwSettle($A$4,F191),_xll.qwSettle($A$1,F191))*_xll.qwMVFactor($A$1,F191)*_xll.qwFXRate($A$1,F191)*I191),_xll.qwIncome($A$1,F191,_xll.qwSettle($A$4,F191),_xll.qwSettle($A$1,F191))*_xll.qwMVFactor($A$1,F191)*_xll.qwFXRate($A$1,F191)*I191,0)+IF(ISNUMBER(-(_xll.qwBondRepoFromTo($A$1,F191,_xll.qwSettle($A$4,F191),_xll.qwSettle($A$1,F191))*_xll.qwSecVal($A$1,F191,"Price")*(_xll.qwSettle($A$1,F191)-_xll.qwSettle($A$4,F191))/360)*_xll.qwMVFactor($A$1,F191)*_xll.qwFXRate($A$1,F191)*I191),-(_xll.qwBondRepoFromTo($A$1,F191,_xll.qwSettle($A$4,F191),_xll.qwSettle($A$1,F191))*_xll.qwSecVal($A$1,F191,"Price")*(_xll.qwSettle($A$1,F191)-_xll.qwSettle($A$4,F191))/360)*_xll.qwMVFactor($A$1,F191)*_xll.qwFXRate($A$1,F191)*I191,0)</f>
        <v>-35021.730863935474</v>
      </c>
      <c r="AD191" s="6"/>
    </row>
    <row r="192" spans="2:30" s="19" customFormat="1" x14ac:dyDescent="0.35">
      <c r="B192" s="19" t="str">
        <v>jcleary</v>
      </c>
      <c r="C192" s="19" t="str">
        <v>PPA</v>
      </c>
      <c r="D192" s="19" t="str">
        <v>jcleary|PPA|RV_US_FV_Spread|232743570</v>
      </c>
      <c r="E192" s="19" t="str">
        <v>RV_US_FV_Spread</v>
      </c>
      <c r="F192" s="19" t="str">
        <v>232743570</v>
      </c>
      <c r="G192" s="19">
        <v>82</v>
      </c>
      <c r="H192" s="19">
        <v>0</v>
      </c>
      <c r="I192" s="19">
        <v>82</v>
      </c>
      <c r="J192" s="19">
        <v>0</v>
      </c>
      <c r="K192" s="19">
        <v>0</v>
      </c>
      <c r="L192" s="19">
        <v>0</v>
      </c>
      <c r="M192" s="19">
        <v>0</v>
      </c>
      <c r="N192" s="19" t="str">
        <v>SwapTrade</v>
      </c>
      <c r="O192" s="6" cm="1">
        <f t="array" ref="O192">(_xll.qwPrice($A$1,F192)-_xll.qwPrice($A$4,F192))*_xll.qwMVFactor($A$1,F192)*I192*_xll.qwFXRate($A$1,F192)</f>
        <v>-23374.847675375069</v>
      </c>
      <c r="P192" s="6" cm="1">
        <f t="array" ref="P192">IF(ISNUMBER(_xll.qwDV01($A$1,F192)*I192*_xll.qwMVFactor($A$1,F192)*_xll.qwFXRate($A$1,F192)),_xll.qwDV01($A$1,F192)*I192*_xll.qwMVFactor($A$1,F192)*_xll.qwFXRate($A$1,F192),0)</f>
        <v>-29022.125481472722</v>
      </c>
      <c r="Q192" s="6" cm="1">
        <f t="array" ref="Q192">IF(ISNUMBER(_xll.qwDV01($A$1,F192)*G192*_xll.qwMVFactor($A$1,F192)*_xll.qwFXRate($A$1,F192)),_xll.qwDV01($A$1,F192)*G192*_xll.qwMVFactor($A$1,F192)*_xll.qwFXRate($A$1,F192),0)</f>
        <v>-29022.125481472722</v>
      </c>
      <c r="R192" s="6" cm="1">
        <f t="array" ref="R192">IF(ISNUMBER(_xll.qwDV01($A$1,F192)*J192*_xll.qwMVFactor($A$1,F192)*_xll.qwFXRate($A$1,F192)),_xll.qwDV01($A$1,F192)*J192*_xll.qwMVFactor($A$1,F192)*_xll.qwFXRate($A$1,F192),0)</f>
        <v>0</v>
      </c>
      <c r="S192" s="6" cm="1">
        <f t="array" ref="S192">IF(ISNUMBER(_xll.qwDV01($A$1,F192)*J192*_xll.qwMVFactor($A$1,F192)*_xll.qwFXRate($A$1,F192)),_xll.qwDV01($A$1,F192)*J192*_xll.qwMVFactor($A$1,F192)*_xll.qwFXRate($A$1,F192),0)</f>
        <v>0</v>
      </c>
      <c r="T192" s="6" cm="1">
        <f t="array" ref="T192">_xll.qwFXRate($A$1,F192)*J192*(_xll.qwPrice($A$1,F192)-M192)*_xll.qwMVFactor($A$1,F192)+L192</f>
        <v>0</v>
      </c>
      <c r="U192" s="8" cm="1">
        <f t="array" ref="U192">_xll.qwYield($A$1,F192)</f>
        <v>4.7068378995592207E-2</v>
      </c>
      <c r="V192" s="8" cm="1">
        <f t="array" ref="V192">100*(_xll.qwYield($A$4,F192)-U192)</f>
        <v>7.4191169068905938E-3</v>
      </c>
      <c r="W192" s="6">
        <f>IF(ISNA(G192*INDEX(_xll.qwTblData(_xll.qwCurveScenariosPerSecurity($A$1,F192,"Crv210")),2,2)),0,(G192*INDEX(_xll.qwTblData(_xll.qwCurveScenariosPerSecurity($A$1,F192,"Crv210")),2,2)))</f>
        <v>-7014.3211235046192</v>
      </c>
      <c r="X192" s="6" cm="1">
        <f t="array" ref="X192">ABS(Q192/_xll.qwMV01($A$1,"CT10"))</f>
        <v>39.06932526441863</v>
      </c>
      <c r="Y192" s="6" cm="1">
        <f t="array" ref="Y192">IF(N192="BondFuture",-(_xll.qwCurveYield($A$1,_xll.qwSecVal($A$1,AA192,"CreditCurveName()"),AA192)-_xll.qwCurveYield($A$4,_xll.qwSecVal($A$4,AA192,"CreditCurveName()"),AA192))*P192*10000,IF(N192="Bond",-(_xll.qwCurveYield($A$1,_xll.qwSecVal($A$1,F192,"CreditCurveName()"),F192)-_xll.qwCurveYield($A$4,_xll.qwSecVal($A$4,F192,"CreditCurveName()"),F192))*P192*10000,O192))</f>
        <v>-23374.847675375069</v>
      </c>
      <c r="Z192" s="6" cm="1">
        <f t="array" ref="Z192">IF(OR(N192="BondFuture",N192="Bond"),P192*(_xll.qwCurveZSpread($A$4,_xll.qwSecVal($A$1,AA192,"CreditCurveName()"),AA192)-_xll.qwCurveZSpread($A$1,_xll.qwSecVal($A$1,AA192,"CreditCurveName()"),AA192)),0)</f>
        <v>0</v>
      </c>
      <c r="AA192" s="9" cm="1">
        <f t="array" ref="AA192">IF(_xll.qwSecType(F192)="Bond",F192,IF(_xll.qwSecType(F192)="BondFuture",_xll.qwFutCTD($A$1,F192),0))</f>
        <v>0</v>
      </c>
      <c r="AB192" s="6" cm="1">
        <f t="array" ref="AB192">IF(_xll.qwSecType(F192)="BondFuture",-(I192*_xll.qwDelta($A$4,F192)*_xll.qwMVFactor($A$1,F192)/_xll.qwMVFactor($A$1,_xll.qwFutCTD($A$1,F192)))*(_xll.qwFXRate($A$1,F192)*_xll.qwMVFactor($A$1,_xll.qwFutCTD($A$1,F192))*(_xll.qwIncome($A$4,_xll.qwFutCTD($A$4,F192),_xll.qwBondSettle($A$4,_xll.qwFutCTD($A$4,F192)),_xll.qwBondSettle($A$1,_xll.qwFutCTD($A$1,F192)))+(_xll.qwSecVal($A$1,AA192,"Price")-_xll.qwSecVal($A$4,AA192,"Price"))-_xll.qwBondRepoFromTo($A$1,AA192,_xll.qwBondSettle($A$4,AA192),_xll.qwBondSettle($A$1,AA192))*_xll.qwSecVal($A$1,AA192,"Price")*(_xll.qwBondSettle($A$1,AA192)-_xll.qwBondSettle($A$4,AA192))/360))+O192,0)</f>
        <v>0</v>
      </c>
      <c r="AC192" s="9" cm="1">
        <f t="array" ref="AC192">O192+T192+IF(ISNUMBER(_xll.qwIncome($A$1,F192,_xll.qwSettle($A$4,F192),_xll.qwSettle($A$1,F192))*_xll.qwMVFactor($A$1,F192)*_xll.qwFXRate($A$1,F192)*I192),_xll.qwIncome($A$1,F192,_xll.qwSettle($A$4,F192),_xll.qwSettle($A$1,F192))*_xll.qwMVFactor($A$1,F192)*_xll.qwFXRate($A$1,F192)*I192,0)+IF(ISNUMBER(-(_xll.qwBondRepoFromTo($A$1,F192,_xll.qwSettle($A$4,F192),_xll.qwSettle($A$1,F192))*_xll.qwSecVal($A$1,F192,"Price")*(_xll.qwSettle($A$1,F192)-_xll.qwSettle($A$4,F192))/360)*_xll.qwMVFactor($A$1,F192)*_xll.qwFXRate($A$1,F192)*I192),-(_xll.qwBondRepoFromTo($A$1,F192,_xll.qwSettle($A$4,F192),_xll.qwSettle($A$1,F192))*_xll.qwSecVal($A$1,F192,"Price")*(_xll.qwSettle($A$1,F192)-_xll.qwSettle($A$4,F192))/360)*_xll.qwMVFactor($A$1,F192)*_xll.qwFXRate($A$1,F192)*I192,0)</f>
        <v>-23374.847675375069</v>
      </c>
      <c r="AD192" s="6"/>
    </row>
    <row r="193" spans="2:30" s="19" customFormat="1" x14ac:dyDescent="0.35">
      <c r="B193" s="19" t="str">
        <v>jcleary</v>
      </c>
      <c r="C193" s="19" t="str">
        <v>PPA</v>
      </c>
      <c r="D193" s="19" t="str">
        <v>jcleary|PPA|RV_US_FV_Spread|233111088</v>
      </c>
      <c r="E193" s="19" t="str">
        <v>RV_US_FV_Spread</v>
      </c>
      <c r="F193" s="19" t="str">
        <v>233111088</v>
      </c>
      <c r="G193" s="19">
        <v>165.1</v>
      </c>
      <c r="H193" s="19">
        <v>0</v>
      </c>
      <c r="I193" s="19">
        <v>165.1</v>
      </c>
      <c r="J193" s="19">
        <v>0</v>
      </c>
      <c r="K193" s="19">
        <v>0</v>
      </c>
      <c r="L193" s="19">
        <v>0</v>
      </c>
      <c r="M193" s="19">
        <v>0</v>
      </c>
      <c r="N193" s="19" t="str">
        <v>SwapTrade</v>
      </c>
      <c r="O193" s="6" cm="1">
        <f t="array" ref="O193">(_xll.qwPrice($A$1,F193)-_xll.qwPrice($A$4,F193))*_xll.qwMVFactor($A$1,F193)*I193*_xll.qwFXRate($A$1,F193)</f>
        <v>-47174.070851350487</v>
      </c>
      <c r="P193" s="6" cm="1">
        <f t="array" ref="P193">IF(ISNUMBER(_xll.qwDV01($A$1,F193)*I193*_xll.qwMVFactor($A$1,F193)*_xll.qwFXRate($A$1,F193)),_xll.qwDV01($A$1,F193)*I193*_xll.qwMVFactor($A$1,F193)*_xll.qwFXRate($A$1,F193),0)</f>
        <v>-58589.752685908403</v>
      </c>
      <c r="Q193" s="6" cm="1">
        <f t="array" ref="Q193">IF(ISNUMBER(_xll.qwDV01($A$1,F193)*G193*_xll.qwMVFactor($A$1,F193)*_xll.qwFXRate($A$1,F193)),_xll.qwDV01($A$1,F193)*G193*_xll.qwMVFactor($A$1,F193)*_xll.qwFXRate($A$1,F193),0)</f>
        <v>-58589.752685908403</v>
      </c>
      <c r="R193" s="6" cm="1">
        <f t="array" ref="R193">IF(ISNUMBER(_xll.qwDV01($A$1,F193)*J193*_xll.qwMVFactor($A$1,F193)*_xll.qwFXRate($A$1,F193)),_xll.qwDV01($A$1,F193)*J193*_xll.qwMVFactor($A$1,F193)*_xll.qwFXRate($A$1,F193),0)</f>
        <v>0</v>
      </c>
      <c r="S193" s="6" cm="1">
        <f t="array" ref="S193">IF(ISNUMBER(_xll.qwDV01($A$1,F193)*J193*_xll.qwMVFactor($A$1,F193)*_xll.qwFXRate($A$1,F193)),_xll.qwDV01($A$1,F193)*J193*_xll.qwMVFactor($A$1,F193)*_xll.qwFXRate($A$1,F193),0)</f>
        <v>0</v>
      </c>
      <c r="T193" s="6" cm="1">
        <f t="array" ref="T193">_xll.qwFXRate($A$1,F193)*J193*(_xll.qwPrice($A$1,F193)-M193)*_xll.qwMVFactor($A$1,F193)+L193</f>
        <v>0</v>
      </c>
      <c r="U193" s="8" cm="1">
        <f t="array" ref="U193">_xll.qwYield($A$1,F193)</f>
        <v>4.7068378995592207E-2</v>
      </c>
      <c r="V193" s="8" cm="1">
        <f t="array" ref="V193">100*(_xll.qwYield($A$4,F193)-U193)</f>
        <v>7.4191169068905938E-3</v>
      </c>
      <c r="W193" s="6">
        <f>IF(ISNA(G193*INDEX(_xll.qwTblData(_xll.qwCurveScenariosPerSecurity($A$1,F193,"Crv210")),2,2)),0,(G193*INDEX(_xll.qwTblData(_xll.qwCurveScenariosPerSecurity($A$1,F193,"Crv210")),2,2)))</f>
        <v>-14180.616624269451</v>
      </c>
      <c r="X193" s="6" cm="1">
        <f t="array" ref="X193">ABS(Q193/_xll.qwMV01($A$1,"CT10"))</f>
        <v>78.873000060209321</v>
      </c>
      <c r="Y193" s="6" cm="1">
        <f t="array" ref="Y193">IF(N193="BondFuture",-(_xll.qwCurveYield($A$1,_xll.qwSecVal($A$1,AA193,"CreditCurveName()"),AA193)-_xll.qwCurveYield($A$4,_xll.qwSecVal($A$4,AA193,"CreditCurveName()"),AA193))*P193*10000,IF(N193="Bond",-(_xll.qwCurveYield($A$1,_xll.qwSecVal($A$1,F193,"CreditCurveName()"),F193)-_xll.qwCurveYield($A$4,_xll.qwSecVal($A$4,F193,"CreditCurveName()"),F193))*P193*10000,O193))</f>
        <v>-47174.070851350487</v>
      </c>
      <c r="Z193" s="6" cm="1">
        <f t="array" ref="Z193">IF(OR(N193="BondFuture",N193="Bond"),P193*(_xll.qwCurveZSpread($A$4,_xll.qwSecVal($A$1,AA193,"CreditCurveName()"),AA193)-_xll.qwCurveZSpread($A$1,_xll.qwSecVal($A$1,AA193,"CreditCurveName()"),AA193)),0)</f>
        <v>0</v>
      </c>
      <c r="AA193" s="9" cm="1">
        <f t="array" ref="AA193">IF(_xll.qwSecType(F193)="Bond",F193,IF(_xll.qwSecType(F193)="BondFuture",_xll.qwFutCTD($A$1,F193),0))</f>
        <v>0</v>
      </c>
      <c r="AB193" s="6" cm="1">
        <f t="array" ref="AB193">IF(_xll.qwSecType(F193)="BondFuture",-(I193*_xll.qwDelta($A$4,F193)*_xll.qwMVFactor($A$1,F193)/_xll.qwMVFactor($A$1,_xll.qwFutCTD($A$1,F193)))*(_xll.qwFXRate($A$1,F193)*_xll.qwMVFactor($A$1,_xll.qwFutCTD($A$1,F193))*(_xll.qwIncome($A$4,_xll.qwFutCTD($A$4,F193),_xll.qwBondSettle($A$4,_xll.qwFutCTD($A$4,F193)),_xll.qwBondSettle($A$1,_xll.qwFutCTD($A$1,F193)))+(_xll.qwSecVal($A$1,AA193,"Price")-_xll.qwSecVal($A$4,AA193,"Price"))-_xll.qwBondRepoFromTo($A$1,AA193,_xll.qwBondSettle($A$4,AA193),_xll.qwBondSettle($A$1,AA193))*_xll.qwSecVal($A$1,AA193,"Price")*(_xll.qwBondSettle($A$1,AA193)-_xll.qwBondSettle($A$4,AA193))/360))+O193,0)</f>
        <v>0</v>
      </c>
      <c r="AC193" s="9" cm="1">
        <f t="array" ref="AC193">O193+T193+IF(ISNUMBER(_xll.qwIncome($A$1,F193,_xll.qwSettle($A$4,F193),_xll.qwSettle($A$1,F193))*_xll.qwMVFactor($A$1,F193)*_xll.qwFXRate($A$1,F193)*I193),_xll.qwIncome($A$1,F193,_xll.qwSettle($A$4,F193),_xll.qwSettle($A$1,F193))*_xll.qwMVFactor($A$1,F193)*_xll.qwFXRate($A$1,F193)*I193,0)+IF(ISNUMBER(-(_xll.qwBondRepoFromTo($A$1,F193,_xll.qwSettle($A$4,F193),_xll.qwSettle($A$1,F193))*_xll.qwSecVal($A$1,F193,"Price")*(_xll.qwSettle($A$1,F193)-_xll.qwSettle($A$4,F193))/360)*_xll.qwMVFactor($A$1,F193)*_xll.qwFXRate($A$1,F193)*I193),-(_xll.qwBondRepoFromTo($A$1,F193,_xll.qwSettle($A$4,F193),_xll.qwSettle($A$1,F193))*_xll.qwSecVal($A$1,F193,"Price")*(_xll.qwSettle($A$1,F193)-_xll.qwSettle($A$4,F193))/360)*_xll.qwMVFactor($A$1,F193)*_xll.qwFXRate($A$1,F193)*I193,0)</f>
        <v>-47174.070851350487</v>
      </c>
      <c r="AD193" s="6"/>
    </row>
    <row r="194" spans="2:30" s="19" customFormat="1" x14ac:dyDescent="0.35">
      <c r="B194" s="19" t="str">
        <v>jcleary</v>
      </c>
      <c r="C194" s="19" t="str">
        <v>PPA</v>
      </c>
      <c r="D194" s="19" t="str">
        <v>jcleary|PPA|RV_US_FV_Spread|235872386</v>
      </c>
      <c r="E194" s="19" t="str">
        <v>RV_US_FV_Spread</v>
      </c>
      <c r="F194" s="19" t="str">
        <v>235872386</v>
      </c>
      <c r="G194" s="19">
        <v>75</v>
      </c>
      <c r="H194" s="19">
        <v>0</v>
      </c>
      <c r="I194" s="19">
        <v>75</v>
      </c>
      <c r="J194" s="19">
        <v>0</v>
      </c>
      <c r="K194" s="19">
        <v>0</v>
      </c>
      <c r="L194" s="19">
        <v>0</v>
      </c>
      <c r="M194" s="19">
        <v>0</v>
      </c>
      <c r="N194" s="19" t="str">
        <v>SwapTrade</v>
      </c>
      <c r="O194" s="6" cm="1">
        <f t="array" ref="O194">(_xll.qwPrice($A$1,F194)-_xll.qwPrice($A$4,F194))*_xll.qwMVFactor($A$1,F194)*I194*_xll.qwFXRate($A$1,F194)</f>
        <v>-21485.784658244578</v>
      </c>
      <c r="P194" s="6" cm="1">
        <f t="array" ref="P194">IF(ISNUMBER(_xll.qwDV01($A$1,F194)*I194*_xll.qwMVFactor($A$1,F194)*_xll.qwFXRate($A$1,F194)),_xll.qwDV01($A$1,F194)*I194*_xll.qwMVFactor($A$1,F194)*_xll.qwFXRate($A$1,F194),0)</f>
        <v>-26690.766996837912</v>
      </c>
      <c r="Q194" s="6" cm="1">
        <f t="array" ref="Q194">IF(ISNUMBER(_xll.qwDV01($A$1,F194)*G194*_xll.qwMVFactor($A$1,F194)*_xll.qwFXRate($A$1,F194)),_xll.qwDV01($A$1,F194)*G194*_xll.qwMVFactor($A$1,F194)*_xll.qwFXRate($A$1,F194),0)</f>
        <v>-26690.766996837912</v>
      </c>
      <c r="R194" s="6" cm="1">
        <f t="array" ref="R194">IF(ISNUMBER(_xll.qwDV01($A$1,F194)*J194*_xll.qwMVFactor($A$1,F194)*_xll.qwFXRate($A$1,F194)),_xll.qwDV01($A$1,F194)*J194*_xll.qwMVFactor($A$1,F194)*_xll.qwFXRate($A$1,F194),0)</f>
        <v>0</v>
      </c>
      <c r="S194" s="6" cm="1">
        <f t="array" ref="S194">IF(ISNUMBER(_xll.qwDV01($A$1,F194)*J194*_xll.qwMVFactor($A$1,F194)*_xll.qwFXRate($A$1,F194)),_xll.qwDV01($A$1,F194)*J194*_xll.qwMVFactor($A$1,F194)*_xll.qwFXRate($A$1,F194),0)</f>
        <v>0</v>
      </c>
      <c r="T194" s="6" cm="1">
        <f t="array" ref="T194">_xll.qwFXRate($A$1,F194)*J194*(_xll.qwPrice($A$1,F194)-M194)*_xll.qwMVFactor($A$1,F194)+L194</f>
        <v>0</v>
      </c>
      <c r="U194" s="8" cm="1">
        <f t="array" ref="U194">_xll.qwYield($A$1,F194)</f>
        <v>4.7068378995592207E-2</v>
      </c>
      <c r="V194" s="8" cm="1">
        <f t="array" ref="V194">100*(_xll.qwYield($A$4,F194)-U194)</f>
        <v>7.4191169068905938E-3</v>
      </c>
      <c r="W194" s="6">
        <f>IF(ISNA(G194*INDEX(_xll.qwTblData(_xll.qwCurveScenariosPerSecurity($A$1,F194,"Crv210")),2,2)),0,(G194*INDEX(_xll.qwTblData(_xll.qwCurveScenariosPerSecurity($A$1,F194,"Crv210")),2,2)))</f>
        <v>-6469.227775479425</v>
      </c>
      <c r="X194" s="6" cm="1">
        <f t="array" ref="X194">ABS(Q194/_xll.qwMV01($A$1,"CT10"))</f>
        <v>35.930871363021694</v>
      </c>
      <c r="Y194" s="6" cm="1">
        <f t="array" ref="Y194">IF(N194="BondFuture",-(_xll.qwCurveYield($A$1,_xll.qwSecVal($A$1,AA194,"CreditCurveName()"),AA194)-_xll.qwCurveYield($A$4,_xll.qwSecVal($A$4,AA194,"CreditCurveName()"),AA194))*P194*10000,IF(N194="Bond",-(_xll.qwCurveYield($A$1,_xll.qwSecVal($A$1,F194,"CreditCurveName()"),F194)-_xll.qwCurveYield($A$4,_xll.qwSecVal($A$4,F194,"CreditCurveName()"),F194))*P194*10000,O194))</f>
        <v>-21485.784658244578</v>
      </c>
      <c r="Z194" s="6" cm="1">
        <f t="array" ref="Z194">IF(OR(N194="BondFuture",N194="Bond"),P194*(_xll.qwCurveZSpread($A$4,_xll.qwSecVal($A$1,AA194,"CreditCurveName()"),AA194)-_xll.qwCurveZSpread($A$1,_xll.qwSecVal($A$1,AA194,"CreditCurveName()"),AA194)),0)</f>
        <v>0</v>
      </c>
      <c r="AA194" s="9" cm="1">
        <f t="array" ref="AA194">IF(_xll.qwSecType(F194)="Bond",F194,IF(_xll.qwSecType(F194)="BondFuture",_xll.qwFutCTD($A$1,F194),0))</f>
        <v>0</v>
      </c>
      <c r="AB194" s="6" cm="1">
        <f t="array" ref="AB194">IF(_xll.qwSecType(F194)="BondFuture",-(I194*_xll.qwDelta($A$4,F194)*_xll.qwMVFactor($A$1,F194)/_xll.qwMVFactor($A$1,_xll.qwFutCTD($A$1,F194)))*(_xll.qwFXRate($A$1,F194)*_xll.qwMVFactor($A$1,_xll.qwFutCTD($A$1,F194))*(_xll.qwIncome($A$4,_xll.qwFutCTD($A$4,F194),_xll.qwBondSettle($A$4,_xll.qwFutCTD($A$4,F194)),_xll.qwBondSettle($A$1,_xll.qwFutCTD($A$1,F194)))+(_xll.qwSecVal($A$1,AA194,"Price")-_xll.qwSecVal($A$4,AA194,"Price"))-_xll.qwBondRepoFromTo($A$1,AA194,_xll.qwBondSettle($A$4,AA194),_xll.qwBondSettle($A$1,AA194))*_xll.qwSecVal($A$1,AA194,"Price")*(_xll.qwBondSettle($A$1,AA194)-_xll.qwBondSettle($A$4,AA194))/360))+O194,0)</f>
        <v>0</v>
      </c>
      <c r="AC194" s="9" cm="1">
        <f t="array" ref="AC194">O194+T194+IF(ISNUMBER(_xll.qwIncome($A$1,F194,_xll.qwSettle($A$4,F194),_xll.qwSettle($A$1,F194))*_xll.qwMVFactor($A$1,F194)*_xll.qwFXRate($A$1,F194)*I194),_xll.qwIncome($A$1,F194,_xll.qwSettle($A$4,F194),_xll.qwSettle($A$1,F194))*_xll.qwMVFactor($A$1,F194)*_xll.qwFXRate($A$1,F194)*I194,0)+IF(ISNUMBER(-(_xll.qwBondRepoFromTo($A$1,F194,_xll.qwSettle($A$4,F194),_xll.qwSettle($A$1,F194))*_xll.qwSecVal($A$1,F194,"Price")*(_xll.qwSettle($A$1,F194)-_xll.qwSettle($A$4,F194))/360)*_xll.qwMVFactor($A$1,F194)*_xll.qwFXRate($A$1,F194)*I194),-(_xll.qwBondRepoFromTo($A$1,F194,_xll.qwSettle($A$4,F194),_xll.qwSettle($A$1,F194))*_xll.qwSecVal($A$1,F194,"Price")*(_xll.qwSettle($A$1,F194)-_xll.qwSettle($A$4,F194))/360)*_xll.qwMVFactor($A$1,F194)*_xll.qwFXRate($A$1,F194)*I194,0)</f>
        <v>-21485.784658244578</v>
      </c>
      <c r="AD194" s="6"/>
    </row>
    <row r="195" spans="2:30" s="19" customFormat="1" x14ac:dyDescent="0.35">
      <c r="B195" s="19" t="str">
        <v>jcleary</v>
      </c>
      <c r="C195" s="19" t="str">
        <v>PPA</v>
      </c>
      <c r="D195" s="19" t="str">
        <v>jcleary|PPA|RV_US_FV_Spread|236998516</v>
      </c>
      <c r="E195" s="19" t="str">
        <v>RV_US_FV_Spread</v>
      </c>
      <c r="F195" s="19" t="str">
        <v>236998516</v>
      </c>
      <c r="G195" s="19">
        <v>103.8</v>
      </c>
      <c r="H195" s="19">
        <v>0</v>
      </c>
      <c r="I195" s="19">
        <v>103.8</v>
      </c>
      <c r="J195" s="19">
        <v>0</v>
      </c>
      <c r="K195" s="19">
        <v>0</v>
      </c>
      <c r="L195" s="19">
        <v>0</v>
      </c>
      <c r="M195" s="19">
        <v>0</v>
      </c>
      <c r="N195" s="19" t="str">
        <v>SwapTrade</v>
      </c>
      <c r="O195" s="6" cm="1">
        <f t="array" ref="O195">(_xll.qwPrice($A$1,F195)-_xll.qwPrice($A$4,F195))*_xll.qwMVFactor($A$1,F195)*I195*_xll.qwFXRate($A$1,F195)</f>
        <v>15839.163037996143</v>
      </c>
      <c r="P195" s="6" cm="1">
        <f t="array" ref="P195">IF(ISNUMBER(_xll.qwDV01($A$1,F195)*I195*_xll.qwMVFactor($A$1,F195)*_xll.qwFXRate($A$1,F195)),_xll.qwDV01($A$1,F195)*I195*_xll.qwMVFactor($A$1,F195)*_xll.qwFXRate($A$1,F195),0)</f>
        <v>29309.713188077611</v>
      </c>
      <c r="Q195" s="6" cm="1">
        <f t="array" ref="Q195">IF(ISNUMBER(_xll.qwDV01($A$1,F195)*G195*_xll.qwMVFactor($A$1,F195)*_xll.qwFXRate($A$1,F195)),_xll.qwDV01($A$1,F195)*G195*_xll.qwMVFactor($A$1,F195)*_xll.qwFXRate($A$1,F195),0)</f>
        <v>29309.713188077611</v>
      </c>
      <c r="R195" s="6" cm="1">
        <f t="array" ref="R195">IF(ISNUMBER(_xll.qwDV01($A$1,F195)*J195*_xll.qwMVFactor($A$1,F195)*_xll.qwFXRate($A$1,F195)),_xll.qwDV01($A$1,F195)*J195*_xll.qwMVFactor($A$1,F195)*_xll.qwFXRate($A$1,F195),0)</f>
        <v>0</v>
      </c>
      <c r="S195" s="6" cm="1">
        <f t="array" ref="S195">IF(ISNUMBER(_xll.qwDV01($A$1,F195)*J195*_xll.qwMVFactor($A$1,F195)*_xll.qwFXRate($A$1,F195)),_xll.qwDV01($A$1,F195)*J195*_xll.qwMVFactor($A$1,F195)*_xll.qwFXRate($A$1,F195),0)</f>
        <v>0</v>
      </c>
      <c r="T195" s="6" cm="1">
        <f t="array" ref="T195">_xll.qwFXRate($A$1,F195)*J195*(_xll.qwPrice($A$1,F195)-M195)*_xll.qwMVFactor($A$1,F195)+L195</f>
        <v>0</v>
      </c>
      <c r="U195" s="8" cm="1">
        <f t="array" ref="U195">_xll.qwYield($A$1,F195)</f>
        <v>4.6992078161565365E-2</v>
      </c>
      <c r="V195" s="8" cm="1">
        <f t="array" ref="V195">100*(_xll.qwYield($A$4,F195)-U195)</f>
        <v>4.6664378837144027E-3</v>
      </c>
      <c r="W195" s="6">
        <f>IF(ISNA(G195*INDEX(_xll.qwTblData(_xll.qwCurveScenariosPerSecurity($A$1,F195,"Crv210")),2,2)),0,(G195*INDEX(_xll.qwTblData(_xll.qwCurveScenariosPerSecurity($A$1,F195,"Crv210")),2,2)))</f>
        <v>10518.124323713597</v>
      </c>
      <c r="X195" s="6" cm="1">
        <f t="array" ref="X195">ABS(Q195/_xll.qwMV01($A$1,"CT10"))</f>
        <v>39.456473258061187</v>
      </c>
      <c r="Y195" s="6" cm="1">
        <f t="array" ref="Y195">IF(N195="BondFuture",-(_xll.qwCurveYield($A$1,_xll.qwSecVal($A$1,AA195,"CreditCurveName()"),AA195)-_xll.qwCurveYield($A$4,_xll.qwSecVal($A$4,AA195,"CreditCurveName()"),AA195))*P195*10000,IF(N195="Bond",-(_xll.qwCurveYield($A$1,_xll.qwSecVal($A$1,F195,"CreditCurveName()"),F195)-_xll.qwCurveYield($A$4,_xll.qwSecVal($A$4,F195,"CreditCurveName()"),F195))*P195*10000,O195))</f>
        <v>15839.163037996143</v>
      </c>
      <c r="Z195" s="6" cm="1">
        <f t="array" ref="Z195">IF(OR(N195="BondFuture",N195="Bond"),P195*(_xll.qwCurveZSpread($A$4,_xll.qwSecVal($A$1,AA195,"CreditCurveName()"),AA195)-_xll.qwCurveZSpread($A$1,_xll.qwSecVal($A$1,AA195,"CreditCurveName()"),AA195)),0)</f>
        <v>0</v>
      </c>
      <c r="AA195" s="9" cm="1">
        <f t="array" ref="AA195">IF(_xll.qwSecType(F195)="Bond",F195,IF(_xll.qwSecType(F195)="BondFuture",_xll.qwFutCTD($A$1,F195),0))</f>
        <v>0</v>
      </c>
      <c r="AB195" s="6" cm="1">
        <f t="array" ref="AB195">IF(_xll.qwSecType(F195)="BondFuture",-(I195*_xll.qwDelta($A$4,F195)*_xll.qwMVFactor($A$1,F195)/_xll.qwMVFactor($A$1,_xll.qwFutCTD($A$1,F195)))*(_xll.qwFXRate($A$1,F195)*_xll.qwMVFactor($A$1,_xll.qwFutCTD($A$1,F195))*(_xll.qwIncome($A$4,_xll.qwFutCTD($A$4,F195),_xll.qwBondSettle($A$4,_xll.qwFutCTD($A$4,F195)),_xll.qwBondSettle($A$1,_xll.qwFutCTD($A$1,F195)))+(_xll.qwSecVal($A$1,AA195,"Price")-_xll.qwSecVal($A$4,AA195,"Price"))-_xll.qwBondRepoFromTo($A$1,AA195,_xll.qwBondSettle($A$4,AA195),_xll.qwBondSettle($A$1,AA195))*_xll.qwSecVal($A$1,AA195,"Price")*(_xll.qwBondSettle($A$1,AA195)-_xll.qwBondSettle($A$4,AA195))/360))+O195,0)</f>
        <v>0</v>
      </c>
      <c r="AC195" s="9" cm="1">
        <f t="array" ref="AC195">O195+T195+IF(ISNUMBER(_xll.qwIncome($A$1,F195,_xll.qwSettle($A$4,F195),_xll.qwSettle($A$1,F195))*_xll.qwMVFactor($A$1,F195)*_xll.qwFXRate($A$1,F195)*I195),_xll.qwIncome($A$1,F195,_xll.qwSettle($A$4,F195),_xll.qwSettle($A$1,F195))*_xll.qwMVFactor($A$1,F195)*_xll.qwFXRate($A$1,F195)*I195,0)+IF(ISNUMBER(-(_xll.qwBondRepoFromTo($A$1,F195,_xll.qwSettle($A$4,F195),_xll.qwSettle($A$1,F195))*_xll.qwSecVal($A$1,F195,"Price")*(_xll.qwSettle($A$1,F195)-_xll.qwSettle($A$4,F195))/360)*_xll.qwMVFactor($A$1,F195)*_xll.qwFXRate($A$1,F195)*I195),-(_xll.qwBondRepoFromTo($A$1,F195,_xll.qwSettle($A$4,F195),_xll.qwSettle($A$1,F195))*_xll.qwSecVal($A$1,F195,"Price")*(_xll.qwSettle($A$1,F195)-_xll.qwSettle($A$4,F195))/360)*_xll.qwMVFactor($A$1,F195)*_xll.qwFXRate($A$1,F195)*I195,0)</f>
        <v>15839.163037996143</v>
      </c>
      <c r="AD195" s="6"/>
    </row>
    <row r="196" spans="2:30" s="19" customFormat="1" x14ac:dyDescent="0.35">
      <c r="B196" s="19" t="str">
        <v>jcleary</v>
      </c>
      <c r="C196" s="19" t="str">
        <v>PPA</v>
      </c>
      <c r="D196" s="19" t="str">
        <v>jcleary|PPA|RV_US_FV_Spread|237785640</v>
      </c>
      <c r="E196" s="19" t="str">
        <v>RV_US_FV_Spread</v>
      </c>
      <c r="F196" s="19" t="str">
        <v>237785640</v>
      </c>
      <c r="G196" s="19">
        <v>85.5</v>
      </c>
      <c r="H196" s="19">
        <v>0</v>
      </c>
      <c r="I196" s="19">
        <v>85.5</v>
      </c>
      <c r="J196" s="19">
        <v>0</v>
      </c>
      <c r="K196" s="19">
        <v>0</v>
      </c>
      <c r="L196" s="19">
        <v>0</v>
      </c>
      <c r="M196" s="19">
        <v>0</v>
      </c>
      <c r="N196" s="19" t="str">
        <v>SwapTrade</v>
      </c>
      <c r="O196" s="6" cm="1">
        <f t="array" ref="O196">(_xll.qwPrice($A$1,F196)-_xll.qwPrice($A$4,F196))*_xll.qwMVFactor($A$1,F196)*I196*_xll.qwFXRate($A$1,F196)</f>
        <v>24396.08704259872</v>
      </c>
      <c r="P196" s="6" cm="1">
        <f t="array" ref="P196">IF(ISNUMBER(_xll.qwDV01($A$1,F196)*I196*_xll.qwMVFactor($A$1,F196)*_xll.qwFXRate($A$1,F196)),_xll.qwDV01($A$1,F196)*I196*_xll.qwMVFactor($A$1,F196)*_xll.qwFXRate($A$1,F196),0)</f>
        <v>30276.662250683919</v>
      </c>
      <c r="Q196" s="6" cm="1">
        <f t="array" ref="Q196">IF(ISNUMBER(_xll.qwDV01($A$1,F196)*G196*_xll.qwMVFactor($A$1,F196)*_xll.qwFXRate($A$1,F196)),_xll.qwDV01($A$1,F196)*G196*_xll.qwMVFactor($A$1,F196)*_xll.qwFXRate($A$1,F196),0)</f>
        <v>30276.662250683919</v>
      </c>
      <c r="R196" s="6" cm="1">
        <f t="array" ref="R196">IF(ISNUMBER(_xll.qwDV01($A$1,F196)*J196*_xll.qwMVFactor($A$1,F196)*_xll.qwFXRate($A$1,F196)),_xll.qwDV01($A$1,F196)*J196*_xll.qwMVFactor($A$1,F196)*_xll.qwFXRate($A$1,F196),0)</f>
        <v>0</v>
      </c>
      <c r="S196" s="6" cm="1">
        <f t="array" ref="S196">IF(ISNUMBER(_xll.qwDV01($A$1,F196)*J196*_xll.qwMVFactor($A$1,F196)*_xll.qwFXRate($A$1,F196)),_xll.qwDV01($A$1,F196)*J196*_xll.qwMVFactor($A$1,F196)*_xll.qwFXRate($A$1,F196),0)</f>
        <v>0</v>
      </c>
      <c r="T196" s="6" cm="1">
        <f t="array" ref="T196">_xll.qwFXRate($A$1,F196)*J196*(_xll.qwPrice($A$1,F196)-M196)*_xll.qwMVFactor($A$1,F196)+L196</f>
        <v>0</v>
      </c>
      <c r="U196" s="8" cm="1">
        <f t="array" ref="U196">_xll.qwYield($A$1,F196)</f>
        <v>4.7068378995592207E-2</v>
      </c>
      <c r="V196" s="8" cm="1">
        <f t="array" ref="V196">100*(_xll.qwYield($A$4,F196)-U196)</f>
        <v>7.4191169068905938E-3</v>
      </c>
      <c r="W196" s="6">
        <f>IF(ISNA(G196*INDEX(_xll.qwTblData(_xll.qwCurveScenariosPerSecurity($A$1,F196,"Crv210")),2,2)),0,(G196*INDEX(_xll.qwTblData(_xll.qwCurveScenariosPerSecurity($A$1,F196,"Crv210")),2,2)))</f>
        <v>7318.4820104871842</v>
      </c>
      <c r="X196" s="6" cm="1">
        <f t="array" ref="X196">ABS(Q196/_xll.qwMV01($A$1,"CT10"))</f>
        <v>40.758171421595328</v>
      </c>
      <c r="Y196" s="6" cm="1">
        <f t="array" ref="Y196">IF(N196="BondFuture",-(_xll.qwCurveYield($A$1,_xll.qwSecVal($A$1,AA196,"CreditCurveName()"),AA196)-_xll.qwCurveYield($A$4,_xll.qwSecVal($A$4,AA196,"CreditCurveName()"),AA196))*P196*10000,IF(N196="Bond",-(_xll.qwCurveYield($A$1,_xll.qwSecVal($A$1,F196,"CreditCurveName()"),F196)-_xll.qwCurveYield($A$4,_xll.qwSecVal($A$4,F196,"CreditCurveName()"),F196))*P196*10000,O196))</f>
        <v>24396.08704259872</v>
      </c>
      <c r="Z196" s="6" cm="1">
        <f t="array" ref="Z196">IF(OR(N196="BondFuture",N196="Bond"),P196*(_xll.qwCurveZSpread($A$4,_xll.qwSecVal($A$1,AA196,"CreditCurveName()"),AA196)-_xll.qwCurveZSpread($A$1,_xll.qwSecVal($A$1,AA196,"CreditCurveName()"),AA196)),0)</f>
        <v>0</v>
      </c>
      <c r="AA196" s="9" cm="1">
        <f t="array" ref="AA196">IF(_xll.qwSecType(F196)="Bond",F196,IF(_xll.qwSecType(F196)="BondFuture",_xll.qwFutCTD($A$1,F196),0))</f>
        <v>0</v>
      </c>
      <c r="AB196" s="6" cm="1">
        <f t="array" ref="AB196">IF(_xll.qwSecType(F196)="BondFuture",-(I196*_xll.qwDelta($A$4,F196)*_xll.qwMVFactor($A$1,F196)/_xll.qwMVFactor($A$1,_xll.qwFutCTD($A$1,F196)))*(_xll.qwFXRate($A$1,F196)*_xll.qwMVFactor($A$1,_xll.qwFutCTD($A$1,F196))*(_xll.qwIncome($A$4,_xll.qwFutCTD($A$4,F196),_xll.qwBondSettle($A$4,_xll.qwFutCTD($A$4,F196)),_xll.qwBondSettle($A$1,_xll.qwFutCTD($A$1,F196)))+(_xll.qwSecVal($A$1,AA196,"Price")-_xll.qwSecVal($A$4,AA196,"Price"))-_xll.qwBondRepoFromTo($A$1,AA196,_xll.qwBondSettle($A$4,AA196),_xll.qwBondSettle($A$1,AA196))*_xll.qwSecVal($A$1,AA196,"Price")*(_xll.qwBondSettle($A$1,AA196)-_xll.qwBondSettle($A$4,AA196))/360))+O196,0)</f>
        <v>0</v>
      </c>
      <c r="AC196" s="9" cm="1">
        <f t="array" ref="AC196">O196+T196+IF(ISNUMBER(_xll.qwIncome($A$1,F196,_xll.qwSettle($A$4,F196),_xll.qwSettle($A$1,F196))*_xll.qwMVFactor($A$1,F196)*_xll.qwFXRate($A$1,F196)*I196),_xll.qwIncome($A$1,F196,_xll.qwSettle($A$4,F196),_xll.qwSettle($A$1,F196))*_xll.qwMVFactor($A$1,F196)*_xll.qwFXRate($A$1,F196)*I196,0)+IF(ISNUMBER(-(_xll.qwBondRepoFromTo($A$1,F196,_xll.qwSettle($A$4,F196),_xll.qwSettle($A$1,F196))*_xll.qwSecVal($A$1,F196,"Price")*(_xll.qwSettle($A$1,F196)-_xll.qwSettle($A$4,F196))/360)*_xll.qwMVFactor($A$1,F196)*_xll.qwFXRate($A$1,F196)*I196),-(_xll.qwBondRepoFromTo($A$1,F196,_xll.qwSettle($A$4,F196),_xll.qwSettle($A$1,F196))*_xll.qwSecVal($A$1,F196,"Price")*(_xll.qwSettle($A$1,F196)-_xll.qwSettle($A$4,F196))/360)*_xll.qwMVFactor($A$1,F196)*_xll.qwFXRate($A$1,F196)*I196,0)</f>
        <v>24396.08704259872</v>
      </c>
      <c r="AD196" s="6"/>
    </row>
    <row r="197" spans="2:30" s="19" customFormat="1" x14ac:dyDescent="0.35">
      <c r="B197" s="19" t="str">
        <v>jcleary</v>
      </c>
      <c r="C197" s="19" t="str">
        <v>PPA</v>
      </c>
      <c r="D197" s="19" t="str">
        <v>jcleary|PPA|RV_US_FV_Spread|238007928</v>
      </c>
      <c r="E197" s="19" t="str">
        <v>RV_US_FV_Spread</v>
      </c>
      <c r="F197" s="19" t="str">
        <v>238007928</v>
      </c>
      <c r="G197" s="19">
        <v>85.6</v>
      </c>
      <c r="H197" s="19">
        <v>0</v>
      </c>
      <c r="I197" s="19">
        <v>85.6</v>
      </c>
      <c r="J197" s="19">
        <v>0</v>
      </c>
      <c r="K197" s="19">
        <v>0</v>
      </c>
      <c r="L197" s="19">
        <v>0</v>
      </c>
      <c r="M197" s="19">
        <v>0</v>
      </c>
      <c r="N197" s="19" t="str">
        <v>SwapTrade</v>
      </c>
      <c r="O197" s="6" cm="1">
        <f t="array" ref="O197">(_xll.qwPrice($A$1,F197)-_xll.qwPrice($A$4,F197))*_xll.qwMVFactor($A$1,F197)*I197*_xll.qwFXRate($A$1,F197)</f>
        <v>24419.774122144227</v>
      </c>
      <c r="P197" s="6" cm="1">
        <f t="array" ref="P197">IF(ISNUMBER(_xll.qwDV01($A$1,F197)*I197*_xll.qwMVFactor($A$1,F197)*_xll.qwFXRate($A$1,F197)),_xll.qwDV01($A$1,F197)*I197*_xll.qwMVFactor($A$1,F197)*_xll.qwFXRate($A$1,F197),0)</f>
        <v>30304.118916993455</v>
      </c>
      <c r="Q197" s="6" cm="1">
        <f t="array" ref="Q197">IF(ISNUMBER(_xll.qwDV01($A$1,F197)*G197*_xll.qwMVFactor($A$1,F197)*_xll.qwFXRate($A$1,F197)),_xll.qwDV01($A$1,F197)*G197*_xll.qwMVFactor($A$1,F197)*_xll.qwFXRate($A$1,F197),0)</f>
        <v>30304.118916993455</v>
      </c>
      <c r="R197" s="6" cm="1">
        <f t="array" ref="R197">IF(ISNUMBER(_xll.qwDV01($A$1,F197)*J197*_xll.qwMVFactor($A$1,F197)*_xll.qwFXRate($A$1,F197)),_xll.qwDV01($A$1,F197)*J197*_xll.qwMVFactor($A$1,F197)*_xll.qwFXRate($A$1,F197),0)</f>
        <v>0</v>
      </c>
      <c r="S197" s="6" cm="1">
        <f t="array" ref="S197">IF(ISNUMBER(_xll.qwDV01($A$1,F197)*J197*_xll.qwMVFactor($A$1,F197)*_xll.qwFXRate($A$1,F197)),_xll.qwDV01($A$1,F197)*J197*_xll.qwMVFactor($A$1,F197)*_xll.qwFXRate($A$1,F197),0)</f>
        <v>0</v>
      </c>
      <c r="T197" s="6" cm="1">
        <f t="array" ref="T197">_xll.qwFXRate($A$1,F197)*J197*(_xll.qwPrice($A$1,F197)-M197)*_xll.qwMVFactor($A$1,F197)+L197</f>
        <v>0</v>
      </c>
      <c r="U197" s="8" cm="1">
        <f t="array" ref="U197">_xll.qwYield($A$1,F197)</f>
        <v>4.7068378995592207E-2</v>
      </c>
      <c r="V197" s="8" cm="1">
        <f t="array" ref="V197">100*(_xll.qwYield($A$4,F197)-U197)</f>
        <v>7.4191169068905938E-3</v>
      </c>
      <c r="W197" s="6">
        <f>IF(ISNA(G197*INDEX(_xll.qwTblData(_xll.qwCurveScenariosPerSecurity($A$1,F197,"Crv210")),2,2)),0,(G197*INDEX(_xll.qwTblData(_xll.qwCurveScenariosPerSecurity($A$1,F197,"Crv210")),2,2)))</f>
        <v>7324.0444145427045</v>
      </c>
      <c r="X197" s="6" cm="1">
        <f t="array" ref="X197">ABS(Q197/_xll.qwMV01($A$1,"CT10"))</f>
        <v>40.795133339750109</v>
      </c>
      <c r="Y197" s="6" cm="1">
        <f t="array" ref="Y197">IF(N197="BondFuture",-(_xll.qwCurveYield($A$1,_xll.qwSecVal($A$1,AA197,"CreditCurveName()"),AA197)-_xll.qwCurveYield($A$4,_xll.qwSecVal($A$4,AA197,"CreditCurveName()"),AA197))*P197*10000,IF(N197="Bond",-(_xll.qwCurveYield($A$1,_xll.qwSecVal($A$1,F197,"CreditCurveName()"),F197)-_xll.qwCurveYield($A$4,_xll.qwSecVal($A$4,F197,"CreditCurveName()"),F197))*P197*10000,O197))</f>
        <v>24419.774122144227</v>
      </c>
      <c r="Z197" s="6" cm="1">
        <f t="array" ref="Z197">IF(OR(N197="BondFuture",N197="Bond"),P197*(_xll.qwCurveZSpread($A$4,_xll.qwSecVal($A$1,AA197,"CreditCurveName()"),AA197)-_xll.qwCurveZSpread($A$1,_xll.qwSecVal($A$1,AA197,"CreditCurveName()"),AA197)),0)</f>
        <v>0</v>
      </c>
      <c r="AA197" s="9" cm="1">
        <f t="array" ref="AA197">IF(_xll.qwSecType(F197)="Bond",F197,IF(_xll.qwSecType(F197)="BondFuture",_xll.qwFutCTD($A$1,F197),0))</f>
        <v>0</v>
      </c>
      <c r="AB197" s="6" cm="1">
        <f t="array" ref="AB197">IF(_xll.qwSecType(F197)="BondFuture",-(I197*_xll.qwDelta($A$4,F197)*_xll.qwMVFactor($A$1,F197)/_xll.qwMVFactor($A$1,_xll.qwFutCTD($A$1,F197)))*(_xll.qwFXRate($A$1,F197)*_xll.qwMVFactor($A$1,_xll.qwFutCTD($A$1,F197))*(_xll.qwIncome($A$4,_xll.qwFutCTD($A$4,F197),_xll.qwBondSettle($A$4,_xll.qwFutCTD($A$4,F197)),_xll.qwBondSettle($A$1,_xll.qwFutCTD($A$1,F197)))+(_xll.qwSecVal($A$1,AA197,"Price")-_xll.qwSecVal($A$4,AA197,"Price"))-_xll.qwBondRepoFromTo($A$1,AA197,_xll.qwBondSettle($A$4,AA197),_xll.qwBondSettle($A$1,AA197))*_xll.qwSecVal($A$1,AA197,"Price")*(_xll.qwBondSettle($A$1,AA197)-_xll.qwBondSettle($A$4,AA197))/360))+O197,0)</f>
        <v>0</v>
      </c>
      <c r="AC197" s="9" cm="1">
        <f t="array" ref="AC197">O197+T197+IF(ISNUMBER(_xll.qwIncome($A$1,F197,_xll.qwSettle($A$4,F197),_xll.qwSettle($A$1,F197))*_xll.qwMVFactor($A$1,F197)*_xll.qwFXRate($A$1,F197)*I197),_xll.qwIncome($A$1,F197,_xll.qwSettle($A$4,F197),_xll.qwSettle($A$1,F197))*_xll.qwMVFactor($A$1,F197)*_xll.qwFXRate($A$1,F197)*I197,0)+IF(ISNUMBER(-(_xll.qwBondRepoFromTo($A$1,F197,_xll.qwSettle($A$4,F197),_xll.qwSettle($A$1,F197))*_xll.qwSecVal($A$1,F197,"Price")*(_xll.qwSettle($A$1,F197)-_xll.qwSettle($A$4,F197))/360)*_xll.qwMVFactor($A$1,F197)*_xll.qwFXRate($A$1,F197)*I197),-(_xll.qwBondRepoFromTo($A$1,F197,_xll.qwSettle($A$4,F197),_xll.qwSettle($A$1,F197))*_xll.qwSecVal($A$1,F197,"Price")*(_xll.qwSettle($A$1,F197)-_xll.qwSettle($A$4,F197))/360)*_xll.qwMVFactor($A$1,F197)*_xll.qwFXRate($A$1,F197)*I197,0)</f>
        <v>24419.774122144227</v>
      </c>
      <c r="AD197" s="6"/>
    </row>
    <row r="198" spans="2:30" s="19" customFormat="1" x14ac:dyDescent="0.35">
      <c r="B198" s="19" t="str">
        <v>jcleary</v>
      </c>
      <c r="C198" s="19" t="str">
        <v>PPA</v>
      </c>
      <c r="D198" s="19" t="str">
        <v>jcleary|PPA|RV_US_FV_Spread|238081732</v>
      </c>
      <c r="E198" s="19" t="str">
        <v>RV_US_FV_Spread</v>
      </c>
      <c r="F198" s="19" t="str">
        <v>238081732</v>
      </c>
      <c r="G198" s="19">
        <v>707.6</v>
      </c>
      <c r="H198" s="19">
        <v>0</v>
      </c>
      <c r="I198" s="19">
        <v>707.6</v>
      </c>
      <c r="J198" s="19">
        <v>0</v>
      </c>
      <c r="K198" s="19">
        <v>0</v>
      </c>
      <c r="L198" s="19">
        <v>0</v>
      </c>
      <c r="M198" s="19">
        <v>0</v>
      </c>
      <c r="N198" s="19" t="str">
        <v>SwapTrade</v>
      </c>
      <c r="O198" s="6" cm="1">
        <f t="array" ref="O198">(_xll.qwPrice($A$1,F198)-_xll.qwPrice($A$4,F198))*_xll.qwMVFactor($A$1,F198)*I198*_xll.qwFXRate($A$1,F198)</f>
        <v>185402.05368903367</v>
      </c>
      <c r="P198" s="6" cm="1">
        <f t="array" ref="P198">IF(ISNUMBER(_xll.qwDV01($A$1,F198)*I198*_xll.qwMVFactor($A$1,F198)*_xll.qwFXRate($A$1,F198)),_xll.qwDV01($A$1,F198)*I198*_xll.qwMVFactor($A$1,F198)*_xll.qwFXRate($A$1,F198),0)</f>
        <v>242010.02965818645</v>
      </c>
      <c r="Q198" s="6" cm="1">
        <f t="array" ref="Q198">IF(ISNUMBER(_xll.qwDV01($A$1,F198)*G198*_xll.qwMVFactor($A$1,F198)*_xll.qwFXRate($A$1,F198)),_xll.qwDV01($A$1,F198)*G198*_xll.qwMVFactor($A$1,F198)*_xll.qwFXRate($A$1,F198),0)</f>
        <v>242010.02965818645</v>
      </c>
      <c r="R198" s="6" cm="1">
        <f t="array" ref="R198">IF(ISNUMBER(_xll.qwDV01($A$1,F198)*J198*_xll.qwMVFactor($A$1,F198)*_xll.qwFXRate($A$1,F198)),_xll.qwDV01($A$1,F198)*J198*_xll.qwMVFactor($A$1,F198)*_xll.qwFXRate($A$1,F198),0)</f>
        <v>0</v>
      </c>
      <c r="S198" s="6" cm="1">
        <f t="array" ref="S198">IF(ISNUMBER(_xll.qwDV01($A$1,F198)*J198*_xll.qwMVFactor($A$1,F198)*_xll.qwFXRate($A$1,F198)),_xll.qwDV01($A$1,F198)*J198*_xll.qwMVFactor($A$1,F198)*_xll.qwFXRate($A$1,F198),0)</f>
        <v>0</v>
      </c>
      <c r="T198" s="6" cm="1">
        <f t="array" ref="T198">_xll.qwFXRate($A$1,F198)*J198*(_xll.qwPrice($A$1,F198)-M198)*_xll.qwMVFactor($A$1,F198)+L198</f>
        <v>0</v>
      </c>
      <c r="U198" s="8" cm="1">
        <f t="array" ref="U198">_xll.qwYield($A$1,F198)</f>
        <v>4.7041206694949447E-2</v>
      </c>
      <c r="V198" s="8" cm="1">
        <f t="array" ref="V198">100*(_xll.qwYield($A$4,F198)-U198)</f>
        <v>7.1634495770252216E-3</v>
      </c>
      <c r="W198" s="6">
        <f>IF(ISNA(G198*INDEX(_xll.qwTblData(_xll.qwCurveScenariosPerSecurity($A$1,F198,"Crv210")),2,2)),0,(G198*INDEX(_xll.qwTblData(_xll.qwCurveScenariosPerSecurity($A$1,F198,"Crv210")),2,2)))</f>
        <v>63493.651835185898</v>
      </c>
      <c r="X198" s="6" cm="1">
        <f t="array" ref="X198">ABS(Q198/_xll.qwMV01($A$1,"CT10"))</f>
        <v>325.79173334507567</v>
      </c>
      <c r="Y198" s="6" cm="1">
        <f t="array" ref="Y198">IF(N198="BondFuture",-(_xll.qwCurveYield($A$1,_xll.qwSecVal($A$1,AA198,"CreditCurveName()"),AA198)-_xll.qwCurveYield($A$4,_xll.qwSecVal($A$4,AA198,"CreditCurveName()"),AA198))*P198*10000,IF(N198="Bond",-(_xll.qwCurveYield($A$1,_xll.qwSecVal($A$1,F198,"CreditCurveName()"),F198)-_xll.qwCurveYield($A$4,_xll.qwSecVal($A$4,F198,"CreditCurveName()"),F198))*P198*10000,O198))</f>
        <v>185402.05368903367</v>
      </c>
      <c r="Z198" s="6" cm="1">
        <f t="array" ref="Z198">IF(OR(N198="BondFuture",N198="Bond"),P198*(_xll.qwCurveZSpread($A$4,_xll.qwSecVal($A$1,AA198,"CreditCurveName()"),AA198)-_xll.qwCurveZSpread($A$1,_xll.qwSecVal($A$1,AA198,"CreditCurveName()"),AA198)),0)</f>
        <v>0</v>
      </c>
      <c r="AA198" s="9" cm="1">
        <f t="array" ref="AA198">IF(_xll.qwSecType(F198)="Bond",F198,IF(_xll.qwSecType(F198)="BondFuture",_xll.qwFutCTD($A$1,F198),0))</f>
        <v>0</v>
      </c>
      <c r="AB198" s="6" cm="1">
        <f t="array" ref="AB198">IF(_xll.qwSecType(F198)="BondFuture",-(I198*_xll.qwDelta($A$4,F198)*_xll.qwMVFactor($A$1,F198)/_xll.qwMVFactor($A$1,_xll.qwFutCTD($A$1,F198)))*(_xll.qwFXRate($A$1,F198)*_xll.qwMVFactor($A$1,_xll.qwFutCTD($A$1,F198))*(_xll.qwIncome($A$4,_xll.qwFutCTD($A$4,F198),_xll.qwBondSettle($A$4,_xll.qwFutCTD($A$4,F198)),_xll.qwBondSettle($A$1,_xll.qwFutCTD($A$1,F198)))+(_xll.qwSecVal($A$1,AA198,"Price")-_xll.qwSecVal($A$4,AA198,"Price"))-_xll.qwBondRepoFromTo($A$1,AA198,_xll.qwBondSettle($A$4,AA198),_xll.qwBondSettle($A$1,AA198))*_xll.qwSecVal($A$1,AA198,"Price")*(_xll.qwBondSettle($A$1,AA198)-_xll.qwBondSettle($A$4,AA198))/360))+O198,0)</f>
        <v>0</v>
      </c>
      <c r="AC198" s="9" cm="1">
        <f t="array" ref="AC198">O198+T198+IF(ISNUMBER(_xll.qwIncome($A$1,F198,_xll.qwSettle($A$4,F198),_xll.qwSettle($A$1,F198))*_xll.qwMVFactor($A$1,F198)*_xll.qwFXRate($A$1,F198)*I198),_xll.qwIncome($A$1,F198,_xll.qwSettle($A$4,F198),_xll.qwSettle($A$1,F198))*_xll.qwMVFactor($A$1,F198)*_xll.qwFXRate($A$1,F198)*I198,0)+IF(ISNUMBER(-(_xll.qwBondRepoFromTo($A$1,F198,_xll.qwSettle($A$4,F198),_xll.qwSettle($A$1,F198))*_xll.qwSecVal($A$1,F198,"Price")*(_xll.qwSettle($A$1,F198)-_xll.qwSettle($A$4,F198))/360)*_xll.qwMVFactor($A$1,F198)*_xll.qwFXRate($A$1,F198)*I198),-(_xll.qwBondRepoFromTo($A$1,F198,_xll.qwSettle($A$4,F198),_xll.qwSettle($A$1,F198))*_xll.qwSecVal($A$1,F198,"Price")*(_xll.qwSettle($A$1,F198)-_xll.qwSettle($A$4,F198))/360)*_xll.qwMVFactor($A$1,F198)*_xll.qwFXRate($A$1,F198)*I198,0)</f>
        <v>185402.05368903367</v>
      </c>
      <c r="AD198" s="6"/>
    </row>
    <row r="199" spans="2:30" s="19" customFormat="1" x14ac:dyDescent="0.35">
      <c r="B199" s="19" t="str">
        <v>jcleary</v>
      </c>
      <c r="C199" s="19" t="str">
        <v>PPA</v>
      </c>
      <c r="D199" s="19" t="str">
        <v>jcleary|PPA|RV_US_FV_Spread|238082826</v>
      </c>
      <c r="E199" s="19" t="str">
        <v>RV_US_FV_Spread</v>
      </c>
      <c r="F199" s="19" t="str">
        <v>238082826</v>
      </c>
      <c r="G199" s="19">
        <v>176.9</v>
      </c>
      <c r="H199" s="19">
        <v>0</v>
      </c>
      <c r="I199" s="19">
        <v>176.9</v>
      </c>
      <c r="J199" s="19">
        <v>0</v>
      </c>
      <c r="K199" s="19">
        <v>0</v>
      </c>
      <c r="L199" s="19">
        <v>0</v>
      </c>
      <c r="M199" s="19">
        <v>0</v>
      </c>
      <c r="N199" s="19" t="str">
        <v>SwapTrade</v>
      </c>
      <c r="O199" s="6" cm="1">
        <f t="array" ref="O199">(_xll.qwPrice($A$1,F199)-_xll.qwPrice($A$4,F199))*_xll.qwMVFactor($A$1,F199)*I199*_xll.qwFXRate($A$1,F199)</f>
        <v>46354.115996231987</v>
      </c>
      <c r="P199" s="6" cm="1">
        <f t="array" ref="P199">IF(ISNUMBER(_xll.qwDV01($A$1,F199)*I199*_xll.qwMVFactor($A$1,F199)*_xll.qwFXRate($A$1,F199)),_xll.qwDV01($A$1,F199)*I199*_xll.qwMVFactor($A$1,F199)*_xll.qwFXRate($A$1,F199),0)</f>
        <v>60509.452371205574</v>
      </c>
      <c r="Q199" s="6" cm="1">
        <f t="array" ref="Q199">IF(ISNUMBER(_xll.qwDV01($A$1,F199)*G199*_xll.qwMVFactor($A$1,F199)*_xll.qwFXRate($A$1,F199)),_xll.qwDV01($A$1,F199)*G199*_xll.qwMVFactor($A$1,F199)*_xll.qwFXRate($A$1,F199),0)</f>
        <v>60509.452371205574</v>
      </c>
      <c r="R199" s="6" cm="1">
        <f t="array" ref="R199">IF(ISNUMBER(_xll.qwDV01($A$1,F199)*J199*_xll.qwMVFactor($A$1,F199)*_xll.qwFXRate($A$1,F199)),_xll.qwDV01($A$1,F199)*J199*_xll.qwMVFactor($A$1,F199)*_xll.qwFXRate($A$1,F199),0)</f>
        <v>0</v>
      </c>
      <c r="S199" s="6" cm="1">
        <f t="array" ref="S199">IF(ISNUMBER(_xll.qwDV01($A$1,F199)*J199*_xll.qwMVFactor($A$1,F199)*_xll.qwFXRate($A$1,F199)),_xll.qwDV01($A$1,F199)*J199*_xll.qwMVFactor($A$1,F199)*_xll.qwFXRate($A$1,F199),0)</f>
        <v>0</v>
      </c>
      <c r="T199" s="6" cm="1">
        <f t="array" ref="T199">_xll.qwFXRate($A$1,F199)*J199*(_xll.qwPrice($A$1,F199)-M199)*_xll.qwMVFactor($A$1,F199)+L199</f>
        <v>0</v>
      </c>
      <c r="U199" s="8" cm="1">
        <f t="array" ref="U199">_xll.qwYield($A$1,F199)</f>
        <v>4.7041206694949447E-2</v>
      </c>
      <c r="V199" s="8" cm="1">
        <f t="array" ref="V199">100*(_xll.qwYield($A$4,F199)-U199)</f>
        <v>7.1634495770252216E-3</v>
      </c>
      <c r="W199" s="6">
        <f>IF(ISNA(G199*INDEX(_xll.qwTblData(_xll.qwCurveScenariosPerSecurity($A$1,F199,"Crv210")),2,2)),0,(G199*INDEX(_xll.qwTblData(_xll.qwCurveScenariosPerSecurity($A$1,F199,"Crv210")),2,2)))</f>
        <v>15876.09604735741</v>
      </c>
      <c r="X199" s="6" cm="1">
        <f t="array" ref="X199">ABS(Q199/_xll.qwMV01($A$1,"CT10"))</f>
        <v>81.45728257469149</v>
      </c>
      <c r="Y199" s="6" cm="1">
        <f t="array" ref="Y199">IF(N199="BondFuture",-(_xll.qwCurveYield($A$1,_xll.qwSecVal($A$1,AA199,"CreditCurveName()"),AA199)-_xll.qwCurveYield($A$4,_xll.qwSecVal($A$4,AA199,"CreditCurveName()"),AA199))*P199*10000,IF(N199="Bond",-(_xll.qwCurveYield($A$1,_xll.qwSecVal($A$1,F199,"CreditCurveName()"),F199)-_xll.qwCurveYield($A$4,_xll.qwSecVal($A$4,F199,"CreditCurveName()"),F199))*P199*10000,O199))</f>
        <v>46354.115996231987</v>
      </c>
      <c r="Z199" s="6" cm="1">
        <f t="array" ref="Z199">IF(OR(N199="BondFuture",N199="Bond"),P199*(_xll.qwCurveZSpread($A$4,_xll.qwSecVal($A$1,AA199,"CreditCurveName()"),AA199)-_xll.qwCurveZSpread($A$1,_xll.qwSecVal($A$1,AA199,"CreditCurveName()"),AA199)),0)</f>
        <v>0</v>
      </c>
      <c r="AA199" s="9" cm="1">
        <f t="array" ref="AA199">IF(_xll.qwSecType(F199)="Bond",F199,IF(_xll.qwSecType(F199)="BondFuture",_xll.qwFutCTD($A$1,F199),0))</f>
        <v>0</v>
      </c>
      <c r="AB199" s="6" cm="1">
        <f t="array" ref="AB199">IF(_xll.qwSecType(F199)="BondFuture",-(I199*_xll.qwDelta($A$4,F199)*_xll.qwMVFactor($A$1,F199)/_xll.qwMVFactor($A$1,_xll.qwFutCTD($A$1,F199)))*(_xll.qwFXRate($A$1,F199)*_xll.qwMVFactor($A$1,_xll.qwFutCTD($A$1,F199))*(_xll.qwIncome($A$4,_xll.qwFutCTD($A$4,F199),_xll.qwBondSettle($A$4,_xll.qwFutCTD($A$4,F199)),_xll.qwBondSettle($A$1,_xll.qwFutCTD($A$1,F199)))+(_xll.qwSecVal($A$1,AA199,"Price")-_xll.qwSecVal($A$4,AA199,"Price"))-_xll.qwBondRepoFromTo($A$1,AA199,_xll.qwBondSettle($A$4,AA199),_xll.qwBondSettle($A$1,AA199))*_xll.qwSecVal($A$1,AA199,"Price")*(_xll.qwBondSettle($A$1,AA199)-_xll.qwBondSettle($A$4,AA199))/360))+O199,0)</f>
        <v>0</v>
      </c>
      <c r="AC199" s="9" cm="1">
        <f t="array" ref="AC199">O199+T199+IF(ISNUMBER(_xll.qwIncome($A$1,F199,_xll.qwSettle($A$4,F199),_xll.qwSettle($A$1,F199))*_xll.qwMVFactor($A$1,F199)*_xll.qwFXRate($A$1,F199)*I199),_xll.qwIncome($A$1,F199,_xll.qwSettle($A$4,F199),_xll.qwSettle($A$1,F199))*_xll.qwMVFactor($A$1,F199)*_xll.qwFXRate($A$1,F199)*I199,0)+IF(ISNUMBER(-(_xll.qwBondRepoFromTo($A$1,F199,_xll.qwSettle($A$4,F199),_xll.qwSettle($A$1,F199))*_xll.qwSecVal($A$1,F199,"Price")*(_xll.qwSettle($A$1,F199)-_xll.qwSettle($A$4,F199))/360)*_xll.qwMVFactor($A$1,F199)*_xll.qwFXRate($A$1,F199)*I199),-(_xll.qwBondRepoFromTo($A$1,F199,_xll.qwSettle($A$4,F199),_xll.qwSettle($A$1,F199))*_xll.qwSecVal($A$1,F199,"Price")*(_xll.qwSettle($A$1,F199)-_xll.qwSettle($A$4,F199))/360)*_xll.qwMVFactor($A$1,F199)*_xll.qwFXRate($A$1,F199)*I199,0)</f>
        <v>46354.115996231987</v>
      </c>
      <c r="AD199" s="6"/>
    </row>
    <row r="200" spans="2:30" s="19" customFormat="1" x14ac:dyDescent="0.35">
      <c r="B200" s="19" t="str">
        <v>jcleary</v>
      </c>
      <c r="C200" s="19" t="str">
        <v>PPA</v>
      </c>
      <c r="D200" s="19" t="str">
        <v>jcleary|PPA|RV_US_FV_Spread|238083003</v>
      </c>
      <c r="E200" s="19" t="str">
        <v>RV_US_FV_Spread</v>
      </c>
      <c r="F200" s="19" t="str">
        <v>238083003</v>
      </c>
      <c r="G200" s="19">
        <v>114</v>
      </c>
      <c r="H200" s="19">
        <v>0</v>
      </c>
      <c r="I200" s="19">
        <v>114</v>
      </c>
      <c r="J200" s="19">
        <v>0</v>
      </c>
      <c r="K200" s="19">
        <v>0</v>
      </c>
      <c r="L200" s="19">
        <v>0</v>
      </c>
      <c r="M200" s="19">
        <v>0</v>
      </c>
      <c r="N200" s="19" t="str">
        <v>SwapTrade</v>
      </c>
      <c r="O200" s="6" cm="1">
        <f t="array" ref="O200">(_xll.qwPrice($A$1,F200)-_xll.qwPrice($A$4,F200))*_xll.qwMVFactor($A$1,F200)*I200*_xll.qwFXRate($A$1,F200)</f>
        <v>-24122.505141617465</v>
      </c>
      <c r="P200" s="6" cm="1">
        <f t="array" ref="P200">IF(ISNUMBER(_xll.qwDV01($A$1,F200)*I200*_xll.qwMVFactor($A$1,F200)*_xll.qwFXRate($A$1,F200)),_xll.qwDV01($A$1,F200)*I200*_xll.qwMVFactor($A$1,F200)*_xll.qwFXRate($A$1,F200),0)</f>
        <v>-35987.948686805234</v>
      </c>
      <c r="Q200" s="6" cm="1">
        <f t="array" ref="Q200">IF(ISNUMBER(_xll.qwDV01($A$1,F200)*G200*_xll.qwMVFactor($A$1,F200)*_xll.qwFXRate($A$1,F200)),_xll.qwDV01($A$1,F200)*G200*_xll.qwMVFactor($A$1,F200)*_xll.qwFXRate($A$1,F200),0)</f>
        <v>-35987.948686805234</v>
      </c>
      <c r="R200" s="6" cm="1">
        <f t="array" ref="R200">IF(ISNUMBER(_xll.qwDV01($A$1,F200)*J200*_xll.qwMVFactor($A$1,F200)*_xll.qwFXRate($A$1,F200)),_xll.qwDV01($A$1,F200)*J200*_xll.qwMVFactor($A$1,F200)*_xll.qwFXRate($A$1,F200),0)</f>
        <v>0</v>
      </c>
      <c r="S200" s="6" cm="1">
        <f t="array" ref="S200">IF(ISNUMBER(_xll.qwDV01($A$1,F200)*J200*_xll.qwMVFactor($A$1,F200)*_xll.qwFXRate($A$1,F200)),_xll.qwDV01($A$1,F200)*J200*_xll.qwMVFactor($A$1,F200)*_xll.qwFXRate($A$1,F200),0)</f>
        <v>0</v>
      </c>
      <c r="T200" s="6" cm="1">
        <f t="array" ref="T200">_xll.qwFXRate($A$1,F200)*J200*(_xll.qwPrice($A$1,F200)-M200)*_xll.qwMVFactor($A$1,F200)+L200</f>
        <v>0</v>
      </c>
      <c r="U200" s="8" cm="1">
        <f t="array" ref="U200">_xll.qwYield($A$1,F200)</f>
        <v>4.6972394187335183E-2</v>
      </c>
      <c r="V200" s="8" cm="1">
        <f t="array" ref="V200">100*(_xll.qwYield($A$4,F200)-U200)</f>
        <v>6.1765550682033044E-3</v>
      </c>
      <c r="W200" s="6">
        <f>IF(ISNA(G200*INDEX(_xll.qwTblData(_xll.qwCurveScenariosPerSecurity($A$1,F200,"Crv210")),2,2)),0,(G200*INDEX(_xll.qwTblData(_xll.qwCurveScenariosPerSecurity($A$1,F200,"Crv210")),2,2)))</f>
        <v>-11016.794111001342</v>
      </c>
      <c r="X200" s="6" cm="1">
        <f t="array" ref="X200">ABS(Q200/_xll.qwMV01($A$1,"CT10"))</f>
        <v>48.446654044742026</v>
      </c>
      <c r="Y200" s="6" cm="1">
        <f t="array" ref="Y200">IF(N200="BondFuture",-(_xll.qwCurveYield($A$1,_xll.qwSecVal($A$1,AA200,"CreditCurveName()"),AA200)-_xll.qwCurveYield($A$4,_xll.qwSecVal($A$4,AA200,"CreditCurveName()"),AA200))*P200*10000,IF(N200="Bond",-(_xll.qwCurveYield($A$1,_xll.qwSecVal($A$1,F200,"CreditCurveName()"),F200)-_xll.qwCurveYield($A$4,_xll.qwSecVal($A$4,F200,"CreditCurveName()"),F200))*P200*10000,O200))</f>
        <v>-24122.505141617465</v>
      </c>
      <c r="Z200" s="6" cm="1">
        <f t="array" ref="Z200">IF(OR(N200="BondFuture",N200="Bond"),P200*(_xll.qwCurveZSpread($A$4,_xll.qwSecVal($A$1,AA200,"CreditCurveName()"),AA200)-_xll.qwCurveZSpread($A$1,_xll.qwSecVal($A$1,AA200,"CreditCurveName()"),AA200)),0)</f>
        <v>0</v>
      </c>
      <c r="AA200" s="9" cm="1">
        <f t="array" ref="AA200">IF(_xll.qwSecType(F200)="Bond",F200,IF(_xll.qwSecType(F200)="BondFuture",_xll.qwFutCTD($A$1,F200),0))</f>
        <v>0</v>
      </c>
      <c r="AB200" s="6" cm="1">
        <f t="array" ref="AB200">IF(_xll.qwSecType(F200)="BondFuture",-(I200*_xll.qwDelta($A$4,F200)*_xll.qwMVFactor($A$1,F200)/_xll.qwMVFactor($A$1,_xll.qwFutCTD($A$1,F200)))*(_xll.qwFXRate($A$1,F200)*_xll.qwMVFactor($A$1,_xll.qwFutCTD($A$1,F200))*(_xll.qwIncome($A$4,_xll.qwFutCTD($A$4,F200),_xll.qwBondSettle($A$4,_xll.qwFutCTD($A$4,F200)),_xll.qwBondSettle($A$1,_xll.qwFutCTD($A$1,F200)))+(_xll.qwSecVal($A$1,AA200,"Price")-_xll.qwSecVal($A$4,AA200,"Price"))-_xll.qwBondRepoFromTo($A$1,AA200,_xll.qwBondSettle($A$4,AA200),_xll.qwBondSettle($A$1,AA200))*_xll.qwSecVal($A$1,AA200,"Price")*(_xll.qwBondSettle($A$1,AA200)-_xll.qwBondSettle($A$4,AA200))/360))+O200,0)</f>
        <v>0</v>
      </c>
      <c r="AC200" s="9" cm="1">
        <f t="array" ref="AC200">O200+T200+IF(ISNUMBER(_xll.qwIncome($A$1,F200,_xll.qwSettle($A$4,F200),_xll.qwSettle($A$1,F200))*_xll.qwMVFactor($A$1,F200)*_xll.qwFXRate($A$1,F200)*I200),_xll.qwIncome($A$1,F200,_xll.qwSettle($A$4,F200),_xll.qwSettle($A$1,F200))*_xll.qwMVFactor($A$1,F200)*_xll.qwFXRate($A$1,F200)*I200,0)+IF(ISNUMBER(-(_xll.qwBondRepoFromTo($A$1,F200,_xll.qwSettle($A$4,F200),_xll.qwSettle($A$1,F200))*_xll.qwSecVal($A$1,F200,"Price")*(_xll.qwSettle($A$1,F200)-_xll.qwSettle($A$4,F200))/360)*_xll.qwMVFactor($A$1,F200)*_xll.qwFXRate($A$1,F200)*I200),-(_xll.qwBondRepoFromTo($A$1,F200,_xll.qwSettle($A$4,F200),_xll.qwSettle($A$1,F200))*_xll.qwSecVal($A$1,F200,"Price")*(_xll.qwSettle($A$1,F200)-_xll.qwSettle($A$4,F200))/360)*_xll.qwMVFactor($A$1,F200)*_xll.qwFXRate($A$1,F200)*I200,0)</f>
        <v>-24122.505141617465</v>
      </c>
      <c r="AD200" s="6"/>
    </row>
    <row r="201" spans="2:30" s="19" customFormat="1" x14ac:dyDescent="0.35">
      <c r="B201" s="19" t="str">
        <v>jcleary</v>
      </c>
      <c r="C201" s="19" t="str">
        <v>PPA</v>
      </c>
      <c r="D201" s="19" t="str">
        <v>jcleary|PPA|RV_US_FV_Spread|238084531</v>
      </c>
      <c r="E201" s="19" t="str">
        <v>RV_US_FV_Spread</v>
      </c>
      <c r="F201" s="19" t="str">
        <v>238084531</v>
      </c>
      <c r="G201" s="19">
        <v>176.9</v>
      </c>
      <c r="H201" s="19">
        <v>0</v>
      </c>
      <c r="I201" s="19">
        <v>176.9</v>
      </c>
      <c r="J201" s="19">
        <v>0</v>
      </c>
      <c r="K201" s="19">
        <v>0</v>
      </c>
      <c r="L201" s="19">
        <v>0</v>
      </c>
      <c r="M201" s="19">
        <v>0</v>
      </c>
      <c r="N201" s="19" t="str">
        <v>SwapTrade</v>
      </c>
      <c r="O201" s="6" cm="1">
        <f t="array" ref="O201">(_xll.qwPrice($A$1,F201)-_xll.qwPrice($A$4,F201))*_xll.qwMVFactor($A$1,F201)*I201*_xll.qwFXRate($A$1,F201)</f>
        <v>46352.30717243885</v>
      </c>
      <c r="P201" s="6" cm="1">
        <f t="array" ref="P201">IF(ISNUMBER(_xll.qwDV01($A$1,F201)*I201*_xll.qwMVFactor($A$1,F201)*_xll.qwFXRate($A$1,F201)),_xll.qwDV01($A$1,F201)*I201*_xll.qwMVFactor($A$1,F201)*_xll.qwFXRate($A$1,F201),0)</f>
        <v>60505.965363648647</v>
      </c>
      <c r="Q201" s="6" cm="1">
        <f t="array" ref="Q201">IF(ISNUMBER(_xll.qwDV01($A$1,F201)*G201*_xll.qwMVFactor($A$1,F201)*_xll.qwFXRate($A$1,F201)),_xll.qwDV01($A$1,F201)*G201*_xll.qwMVFactor($A$1,F201)*_xll.qwFXRate($A$1,F201),0)</f>
        <v>60505.965363648647</v>
      </c>
      <c r="R201" s="6" cm="1">
        <f t="array" ref="R201">IF(ISNUMBER(_xll.qwDV01($A$1,F201)*J201*_xll.qwMVFactor($A$1,F201)*_xll.qwFXRate($A$1,F201)),_xll.qwDV01($A$1,F201)*J201*_xll.qwMVFactor($A$1,F201)*_xll.qwFXRate($A$1,F201),0)</f>
        <v>0</v>
      </c>
      <c r="S201" s="6" cm="1">
        <f t="array" ref="S201">IF(ISNUMBER(_xll.qwDV01($A$1,F201)*J201*_xll.qwMVFactor($A$1,F201)*_xll.qwFXRate($A$1,F201)),_xll.qwDV01($A$1,F201)*J201*_xll.qwMVFactor($A$1,F201)*_xll.qwFXRate($A$1,F201),0)</f>
        <v>0</v>
      </c>
      <c r="T201" s="6" cm="1">
        <f t="array" ref="T201">_xll.qwFXRate($A$1,F201)*J201*(_xll.qwPrice($A$1,F201)-M201)*_xll.qwMVFactor($A$1,F201)+L201</f>
        <v>0</v>
      </c>
      <c r="U201" s="8" cm="1">
        <f t="array" ref="U201">_xll.qwYield($A$1,F201)</f>
        <v>4.7041206694949447E-2</v>
      </c>
      <c r="V201" s="8" cm="1">
        <f t="array" ref="V201">100*(_xll.qwYield($A$4,F201)-U201)</f>
        <v>7.1634495770252216E-3</v>
      </c>
      <c r="W201" s="6">
        <f>IF(ISNA(G201*INDEX(_xll.qwTblData(_xll.qwCurveScenariosPerSecurity($A$1,F201,"Crv210")),2,2)),0,(G201*INDEX(_xll.qwTblData(_xll.qwCurveScenariosPerSecurity($A$1,F201,"Crv210")),2,2)))</f>
        <v>15874.749329387059</v>
      </c>
      <c r="X201" s="6" cm="1">
        <f t="array" ref="X201">ABS(Q201/_xll.qwMV01($A$1,"CT10"))</f>
        <v>81.452588396364405</v>
      </c>
      <c r="Y201" s="6" cm="1">
        <f t="array" ref="Y201">IF(N201="BondFuture",-(_xll.qwCurveYield($A$1,_xll.qwSecVal($A$1,AA201,"CreditCurveName()"),AA201)-_xll.qwCurveYield($A$4,_xll.qwSecVal($A$4,AA201,"CreditCurveName()"),AA201))*P201*10000,IF(N201="Bond",-(_xll.qwCurveYield($A$1,_xll.qwSecVal($A$1,F201,"CreditCurveName()"),F201)-_xll.qwCurveYield($A$4,_xll.qwSecVal($A$4,F201,"CreditCurveName()"),F201))*P201*10000,O201))</f>
        <v>46352.30717243885</v>
      </c>
      <c r="Z201" s="6" cm="1">
        <f t="array" ref="Z201">IF(OR(N201="BondFuture",N201="Bond"),P201*(_xll.qwCurveZSpread($A$4,_xll.qwSecVal($A$1,AA201,"CreditCurveName()"),AA201)-_xll.qwCurveZSpread($A$1,_xll.qwSecVal($A$1,AA201,"CreditCurveName()"),AA201)),0)</f>
        <v>0</v>
      </c>
      <c r="AA201" s="9" cm="1">
        <f t="array" ref="AA201">IF(_xll.qwSecType(F201)="Bond",F201,IF(_xll.qwSecType(F201)="BondFuture",_xll.qwFutCTD($A$1,F201),0))</f>
        <v>0</v>
      </c>
      <c r="AB201" s="6" cm="1">
        <f t="array" ref="AB201">IF(_xll.qwSecType(F201)="BondFuture",-(I201*_xll.qwDelta($A$4,F201)*_xll.qwMVFactor($A$1,F201)/_xll.qwMVFactor($A$1,_xll.qwFutCTD($A$1,F201)))*(_xll.qwFXRate($A$1,F201)*_xll.qwMVFactor($A$1,_xll.qwFutCTD($A$1,F201))*(_xll.qwIncome($A$4,_xll.qwFutCTD($A$4,F201),_xll.qwBondSettle($A$4,_xll.qwFutCTD($A$4,F201)),_xll.qwBondSettle($A$1,_xll.qwFutCTD($A$1,F201)))+(_xll.qwSecVal($A$1,AA201,"Price")-_xll.qwSecVal($A$4,AA201,"Price"))-_xll.qwBondRepoFromTo($A$1,AA201,_xll.qwBondSettle($A$4,AA201),_xll.qwBondSettle($A$1,AA201))*_xll.qwSecVal($A$1,AA201,"Price")*(_xll.qwBondSettle($A$1,AA201)-_xll.qwBondSettle($A$4,AA201))/360))+O201,0)</f>
        <v>0</v>
      </c>
      <c r="AC201" s="9" cm="1">
        <f t="array" ref="AC201">O201+T201+IF(ISNUMBER(_xll.qwIncome($A$1,F201,_xll.qwSettle($A$4,F201),_xll.qwSettle($A$1,F201))*_xll.qwMVFactor($A$1,F201)*_xll.qwFXRate($A$1,F201)*I201),_xll.qwIncome($A$1,F201,_xll.qwSettle($A$4,F201),_xll.qwSettle($A$1,F201))*_xll.qwMVFactor($A$1,F201)*_xll.qwFXRate($A$1,F201)*I201,0)+IF(ISNUMBER(-(_xll.qwBondRepoFromTo($A$1,F201,_xll.qwSettle($A$4,F201),_xll.qwSettle($A$1,F201))*_xll.qwSecVal($A$1,F201,"Price")*(_xll.qwSettle($A$1,F201)-_xll.qwSettle($A$4,F201))/360)*_xll.qwMVFactor($A$1,F201)*_xll.qwFXRate($A$1,F201)*I201),-(_xll.qwBondRepoFromTo($A$1,F201,_xll.qwSettle($A$4,F201),_xll.qwSettle($A$1,F201))*_xll.qwSecVal($A$1,F201,"Price")*(_xll.qwSettle($A$1,F201)-_xll.qwSettle($A$4,F201))/360)*_xll.qwMVFactor($A$1,F201)*_xll.qwFXRate($A$1,F201)*I201,0)</f>
        <v>46352.30717243885</v>
      </c>
      <c r="AD201" s="6"/>
    </row>
    <row r="202" spans="2:30" s="19" customFormat="1" x14ac:dyDescent="0.35">
      <c r="B202" s="19" t="str">
        <v>jcleary</v>
      </c>
      <c r="C202" s="19" t="str">
        <v>PPA</v>
      </c>
      <c r="D202" s="19" t="str">
        <v>jcleary|PPA|RV_US_FV_Spread|238286688</v>
      </c>
      <c r="E202" s="19" t="str">
        <v>RV_US_FV_Spread</v>
      </c>
      <c r="F202" s="19" t="str">
        <v>238286688</v>
      </c>
      <c r="G202" s="19">
        <v>662.6</v>
      </c>
      <c r="H202" s="19">
        <v>0</v>
      </c>
      <c r="I202" s="19">
        <v>662.6</v>
      </c>
      <c r="J202" s="19">
        <v>0</v>
      </c>
      <c r="K202" s="19">
        <v>0</v>
      </c>
      <c r="L202" s="19">
        <v>0</v>
      </c>
      <c r="M202" s="19">
        <v>0</v>
      </c>
      <c r="N202" s="19" t="str">
        <v>SwapTrade</v>
      </c>
      <c r="O202" s="6" cm="1">
        <f t="array" ref="O202">(_xll.qwPrice($A$1,F202)-_xll.qwPrice($A$4,F202))*_xll.qwMVFactor($A$1,F202)*I202*_xll.qwFXRate($A$1,F202)</f>
        <v>173415.87171687753</v>
      </c>
      <c r="P202" s="6" cm="1">
        <f t="array" ref="P202">IF(ISNUMBER(_xll.qwDV01($A$1,F202)*I202*_xll.qwMVFactor($A$1,F202)*_xll.qwFXRate($A$1,F202)),_xll.qwDV01($A$1,F202)*I202*_xll.qwMVFactor($A$1,F202)*_xll.qwFXRate($A$1,F202),0)</f>
        <v>226242.47662410745</v>
      </c>
      <c r="Q202" s="6" cm="1">
        <f t="array" ref="Q202">IF(ISNUMBER(_xll.qwDV01($A$1,F202)*G202*_xll.qwMVFactor($A$1,F202)*_xll.qwFXRate($A$1,F202)),_xll.qwDV01($A$1,F202)*G202*_xll.qwMVFactor($A$1,F202)*_xll.qwFXRate($A$1,F202),0)</f>
        <v>226242.47662410745</v>
      </c>
      <c r="R202" s="6" cm="1">
        <f t="array" ref="R202">IF(ISNUMBER(_xll.qwDV01($A$1,F202)*J202*_xll.qwMVFactor($A$1,F202)*_xll.qwFXRate($A$1,F202)),_xll.qwDV01($A$1,F202)*J202*_xll.qwMVFactor($A$1,F202)*_xll.qwFXRate($A$1,F202),0)</f>
        <v>0</v>
      </c>
      <c r="S202" s="6" cm="1">
        <f t="array" ref="S202">IF(ISNUMBER(_xll.qwDV01($A$1,F202)*J202*_xll.qwMVFactor($A$1,F202)*_xll.qwFXRate($A$1,F202)),_xll.qwDV01($A$1,F202)*J202*_xll.qwMVFactor($A$1,F202)*_xll.qwFXRate($A$1,F202),0)</f>
        <v>0</v>
      </c>
      <c r="T202" s="6" cm="1">
        <f t="array" ref="T202">_xll.qwFXRate($A$1,F202)*J202*(_xll.qwPrice($A$1,F202)-M202)*_xll.qwMVFactor($A$1,F202)+L202</f>
        <v>0</v>
      </c>
      <c r="U202" s="8" cm="1">
        <f t="array" ref="U202">_xll.qwYield($A$1,F202)</f>
        <v>4.7041206694949447E-2</v>
      </c>
      <c r="V202" s="8" cm="1">
        <f t="array" ref="V202">100*(_xll.qwYield($A$4,F202)-U202)</f>
        <v>7.1634495770252216E-3</v>
      </c>
      <c r="W202" s="6">
        <f>IF(ISNA(G202*INDEX(_xll.qwTblData(_xll.qwCurveScenariosPerSecurity($A$1,F202,"Crv210")),2,2)),0,(G202*INDEX(_xll.qwTblData(_xll.qwCurveScenariosPerSecurity($A$1,F202,"Crv210")),2,2)))</f>
        <v>59310.208222857633</v>
      </c>
      <c r="X202" s="6" cm="1">
        <f t="array" ref="X202">ABS(Q202/_xll.qwMV01($A$1,"CT10"))</f>
        <v>304.56559473900882</v>
      </c>
      <c r="Y202" s="6" cm="1">
        <f t="array" ref="Y202">IF(N202="BondFuture",-(_xll.qwCurveYield($A$1,_xll.qwSecVal($A$1,AA202,"CreditCurveName()"),AA202)-_xll.qwCurveYield($A$4,_xll.qwSecVal($A$4,AA202,"CreditCurveName()"),AA202))*P202*10000,IF(N202="Bond",-(_xll.qwCurveYield($A$1,_xll.qwSecVal($A$1,F202,"CreditCurveName()"),F202)-_xll.qwCurveYield($A$4,_xll.qwSecVal($A$4,F202,"CreditCurveName()"),F202))*P202*10000,O202))</f>
        <v>173415.87171687753</v>
      </c>
      <c r="Z202" s="6" cm="1">
        <f t="array" ref="Z202">IF(OR(N202="BondFuture",N202="Bond"),P202*(_xll.qwCurveZSpread($A$4,_xll.qwSecVal($A$1,AA202,"CreditCurveName()"),AA202)-_xll.qwCurveZSpread($A$1,_xll.qwSecVal($A$1,AA202,"CreditCurveName()"),AA202)),0)</f>
        <v>0</v>
      </c>
      <c r="AA202" s="9" cm="1">
        <f t="array" ref="AA202">IF(_xll.qwSecType(F202)="Bond",F202,IF(_xll.qwSecType(F202)="BondFuture",_xll.qwFutCTD($A$1,F202),0))</f>
        <v>0</v>
      </c>
      <c r="AB202" s="6" cm="1">
        <f t="array" ref="AB202">IF(_xll.qwSecType(F202)="BondFuture",-(I202*_xll.qwDelta($A$4,F202)*_xll.qwMVFactor($A$1,F202)/_xll.qwMVFactor($A$1,_xll.qwFutCTD($A$1,F202)))*(_xll.qwFXRate($A$1,F202)*_xll.qwMVFactor($A$1,_xll.qwFutCTD($A$1,F202))*(_xll.qwIncome($A$4,_xll.qwFutCTD($A$4,F202),_xll.qwBondSettle($A$4,_xll.qwFutCTD($A$4,F202)),_xll.qwBondSettle($A$1,_xll.qwFutCTD($A$1,F202)))+(_xll.qwSecVal($A$1,AA202,"Price")-_xll.qwSecVal($A$4,AA202,"Price"))-_xll.qwBondRepoFromTo($A$1,AA202,_xll.qwBondSettle($A$4,AA202),_xll.qwBondSettle($A$1,AA202))*_xll.qwSecVal($A$1,AA202,"Price")*(_xll.qwBondSettle($A$1,AA202)-_xll.qwBondSettle($A$4,AA202))/360))+O202,0)</f>
        <v>0</v>
      </c>
      <c r="AC202" s="9" cm="1">
        <f t="array" ref="AC202">O202+T202+IF(ISNUMBER(_xll.qwIncome($A$1,F202,_xll.qwSettle($A$4,F202),_xll.qwSettle($A$1,F202))*_xll.qwMVFactor($A$1,F202)*_xll.qwFXRate($A$1,F202)*I202),_xll.qwIncome($A$1,F202,_xll.qwSettle($A$4,F202),_xll.qwSettle($A$1,F202))*_xll.qwMVFactor($A$1,F202)*_xll.qwFXRate($A$1,F202)*I202,0)+IF(ISNUMBER(-(_xll.qwBondRepoFromTo($A$1,F202,_xll.qwSettle($A$4,F202),_xll.qwSettle($A$1,F202))*_xll.qwSecVal($A$1,F202,"Price")*(_xll.qwSettle($A$1,F202)-_xll.qwSettle($A$4,F202))/360)*_xll.qwMVFactor($A$1,F202)*_xll.qwFXRate($A$1,F202)*I202),-(_xll.qwBondRepoFromTo($A$1,F202,_xll.qwSettle($A$4,F202),_xll.qwSettle($A$1,F202))*_xll.qwSecVal($A$1,F202,"Price")*(_xll.qwSettle($A$1,F202)-_xll.qwSettle($A$4,F202))/360)*_xll.qwMVFactor($A$1,F202)*_xll.qwFXRate($A$1,F202)*I202,0)</f>
        <v>173415.87171687753</v>
      </c>
      <c r="AD202" s="6"/>
    </row>
    <row r="203" spans="2:30" s="19" customFormat="1" x14ac:dyDescent="0.35">
      <c r="B203" s="19" t="str">
        <v>jcleary</v>
      </c>
      <c r="C203" s="19" t="str">
        <v>PPA</v>
      </c>
      <c r="D203" s="19" t="str">
        <v>jcleary|PPA|RV_US_FV_Spread|238396159</v>
      </c>
      <c r="E203" s="19" t="str">
        <v>RV_US_FV_Spread</v>
      </c>
      <c r="F203" s="19" t="str">
        <v>238396159</v>
      </c>
      <c r="G203" s="19">
        <v>709.6</v>
      </c>
      <c r="H203" s="19">
        <v>0</v>
      </c>
      <c r="I203" s="19">
        <v>709.6</v>
      </c>
      <c r="J203" s="19">
        <v>0</v>
      </c>
      <c r="K203" s="19">
        <v>0</v>
      </c>
      <c r="L203" s="19">
        <v>0</v>
      </c>
      <c r="M203" s="19">
        <v>0</v>
      </c>
      <c r="N203" s="19" t="str">
        <v>SwapTrade</v>
      </c>
      <c r="O203" s="6" cm="1">
        <f t="array" ref="O203">(_xll.qwPrice($A$1,F203)-_xll.qwPrice($A$4,F203))*_xll.qwMVFactor($A$1,F203)*I203*_xll.qwFXRate($A$1,F203)</f>
        <v>185776.37415572061</v>
      </c>
      <c r="P203" s="6" cm="1">
        <f t="array" ref="P203">IF(ISNUMBER(_xll.qwDV01($A$1,F203)*I203*_xll.qwMVFactor($A$1,F203)*_xll.qwFXRate($A$1,F203)),_xll.qwDV01($A$1,F203)*I203*_xll.qwMVFactor($A$1,F203)*_xll.qwFXRate($A$1,F203),0)</f>
        <v>242405.45247371742</v>
      </c>
      <c r="Q203" s="6" cm="1">
        <f t="array" ref="Q203">IF(ISNUMBER(_xll.qwDV01($A$1,F203)*G203*_xll.qwMVFactor($A$1,F203)*_xll.qwFXRate($A$1,F203)),_xll.qwDV01($A$1,F203)*G203*_xll.qwMVFactor($A$1,F203)*_xll.qwFXRate($A$1,F203),0)</f>
        <v>242405.45247371742</v>
      </c>
      <c r="R203" s="6" cm="1">
        <f t="array" ref="R203">IF(ISNUMBER(_xll.qwDV01($A$1,F203)*J203*_xll.qwMVFactor($A$1,F203)*_xll.qwFXRate($A$1,F203)),_xll.qwDV01($A$1,F203)*J203*_xll.qwMVFactor($A$1,F203)*_xll.qwFXRate($A$1,F203),0)</f>
        <v>0</v>
      </c>
      <c r="S203" s="6" cm="1">
        <f t="array" ref="S203">IF(ISNUMBER(_xll.qwDV01($A$1,F203)*J203*_xll.qwMVFactor($A$1,F203)*_xll.qwFXRate($A$1,F203)),_xll.qwDV01($A$1,F203)*J203*_xll.qwMVFactor($A$1,F203)*_xll.qwFXRate($A$1,F203),0)</f>
        <v>0</v>
      </c>
      <c r="T203" s="6" cm="1">
        <f t="array" ref="T203">_xll.qwFXRate($A$1,F203)*J203*(_xll.qwPrice($A$1,F203)-M203)*_xll.qwMVFactor($A$1,F203)+L203</f>
        <v>0</v>
      </c>
      <c r="U203" s="8" cm="1">
        <f t="array" ref="U203">_xll.qwYield($A$1,F203)</f>
        <v>4.7041206694949447E-2</v>
      </c>
      <c r="V203" s="8" cm="1">
        <f t="array" ref="V203">100*(_xll.qwYield($A$4,F203)-U203)</f>
        <v>7.1634495770252216E-3</v>
      </c>
      <c r="W203" s="6">
        <f>IF(ISNA(G203*INDEX(_xll.qwTblData(_xll.qwCurveScenariosPerSecurity($A$1,F203,"Crv210")),2,2)),0,(G203*INDEX(_xll.qwTblData(_xll.qwCurveScenariosPerSecurity($A$1,F203,"Crv210")),2,2)))</f>
        <v>63561.650544840384</v>
      </c>
      <c r="X203" s="6" cm="1">
        <f t="array" ref="X203">ABS(Q203/_xll.qwMV01($A$1,"CT10"))</f>
        <v>326.32404799607576</v>
      </c>
      <c r="Y203" s="6" cm="1">
        <f t="array" ref="Y203">IF(N203="BondFuture",-(_xll.qwCurveYield($A$1,_xll.qwSecVal($A$1,AA203,"CreditCurveName()"),AA203)-_xll.qwCurveYield($A$4,_xll.qwSecVal($A$4,AA203,"CreditCurveName()"),AA203))*P203*10000,IF(N203="Bond",-(_xll.qwCurveYield($A$1,_xll.qwSecVal($A$1,F203,"CreditCurveName()"),F203)-_xll.qwCurveYield($A$4,_xll.qwSecVal($A$4,F203,"CreditCurveName()"),F203))*P203*10000,O203))</f>
        <v>185776.37415572061</v>
      </c>
      <c r="Z203" s="6" cm="1">
        <f t="array" ref="Z203">IF(OR(N203="BondFuture",N203="Bond"),P203*(_xll.qwCurveZSpread($A$4,_xll.qwSecVal($A$1,AA203,"CreditCurveName()"),AA203)-_xll.qwCurveZSpread($A$1,_xll.qwSecVal($A$1,AA203,"CreditCurveName()"),AA203)),0)</f>
        <v>0</v>
      </c>
      <c r="AA203" s="9" cm="1">
        <f t="array" ref="AA203">IF(_xll.qwSecType(F203)="Bond",F203,IF(_xll.qwSecType(F203)="BondFuture",_xll.qwFutCTD($A$1,F203),0))</f>
        <v>0</v>
      </c>
      <c r="AB203" s="6" cm="1">
        <f t="array" ref="AB203">IF(_xll.qwSecType(F203)="BondFuture",-(I203*_xll.qwDelta($A$4,F203)*_xll.qwMVFactor($A$1,F203)/_xll.qwMVFactor($A$1,_xll.qwFutCTD($A$1,F203)))*(_xll.qwFXRate($A$1,F203)*_xll.qwMVFactor($A$1,_xll.qwFutCTD($A$1,F203))*(_xll.qwIncome($A$4,_xll.qwFutCTD($A$4,F203),_xll.qwBondSettle($A$4,_xll.qwFutCTD($A$4,F203)),_xll.qwBondSettle($A$1,_xll.qwFutCTD($A$1,F203)))+(_xll.qwSecVal($A$1,AA203,"Price")-_xll.qwSecVal($A$4,AA203,"Price"))-_xll.qwBondRepoFromTo($A$1,AA203,_xll.qwBondSettle($A$4,AA203),_xll.qwBondSettle($A$1,AA203))*_xll.qwSecVal($A$1,AA203,"Price")*(_xll.qwBondSettle($A$1,AA203)-_xll.qwBondSettle($A$4,AA203))/360))+O203,0)</f>
        <v>0</v>
      </c>
      <c r="AC203" s="9" cm="1">
        <f t="array" ref="AC203">O203+T203+IF(ISNUMBER(_xll.qwIncome($A$1,F203,_xll.qwSettle($A$4,F203),_xll.qwSettle($A$1,F203))*_xll.qwMVFactor($A$1,F203)*_xll.qwFXRate($A$1,F203)*I203),_xll.qwIncome($A$1,F203,_xll.qwSettle($A$4,F203),_xll.qwSettle($A$1,F203))*_xll.qwMVFactor($A$1,F203)*_xll.qwFXRate($A$1,F203)*I203,0)+IF(ISNUMBER(-(_xll.qwBondRepoFromTo($A$1,F203,_xll.qwSettle($A$4,F203),_xll.qwSettle($A$1,F203))*_xll.qwSecVal($A$1,F203,"Price")*(_xll.qwSettle($A$1,F203)-_xll.qwSettle($A$4,F203))/360)*_xll.qwMVFactor($A$1,F203)*_xll.qwFXRate($A$1,F203)*I203),-(_xll.qwBondRepoFromTo($A$1,F203,_xll.qwSettle($A$4,F203),_xll.qwSettle($A$1,F203))*_xll.qwSecVal($A$1,F203,"Price")*(_xll.qwSettle($A$1,F203)-_xll.qwSettle($A$4,F203))/360)*_xll.qwMVFactor($A$1,F203)*_xll.qwFXRate($A$1,F203)*I203,0)</f>
        <v>185776.37415572061</v>
      </c>
      <c r="AD203" s="6"/>
    </row>
    <row r="204" spans="2:30" s="19" customFormat="1" x14ac:dyDescent="0.35">
      <c r="B204" s="19" t="str">
        <v>jcleary</v>
      </c>
      <c r="C204" s="19" t="str">
        <v>PPA</v>
      </c>
      <c r="D204" s="19" t="str">
        <v>jcleary|PPA|RV_US_FV_Spread|238569178</v>
      </c>
      <c r="E204" s="19" t="str">
        <v>RV_US_FV_Spread</v>
      </c>
      <c r="F204" s="19" t="str">
        <v>238569178</v>
      </c>
      <c r="G204" s="19">
        <v>102.6</v>
      </c>
      <c r="H204" s="19">
        <v>0</v>
      </c>
      <c r="I204" s="19">
        <v>102.6</v>
      </c>
      <c r="J204" s="19">
        <v>0</v>
      </c>
      <c r="K204" s="19">
        <v>0</v>
      </c>
      <c r="L204" s="19">
        <v>0</v>
      </c>
      <c r="M204" s="19">
        <v>0</v>
      </c>
      <c r="N204" s="19" t="str">
        <v>SwapTrade</v>
      </c>
      <c r="O204" s="6" cm="1">
        <f t="array" ref="O204">(_xll.qwPrice($A$1,F204)-_xll.qwPrice($A$4,F204))*_xll.qwMVFactor($A$1,F204)*I204*_xll.qwFXRate($A$1,F204)</f>
        <v>29235.494679469764</v>
      </c>
      <c r="P204" s="6" cm="1">
        <f t="array" ref="P204">IF(ISNUMBER(_xll.qwDV01($A$1,F204)*I204*_xll.qwMVFactor($A$1,F204)*_xll.qwFXRate($A$1,F204)),_xll.qwDV01($A$1,F204)*I204*_xll.qwMVFactor($A$1,F204)*_xll.qwFXRate($A$1,F204),0)</f>
        <v>36269.255877271302</v>
      </c>
      <c r="Q204" s="6" cm="1">
        <f t="array" ref="Q204">IF(ISNUMBER(_xll.qwDV01($A$1,F204)*G204*_xll.qwMVFactor($A$1,F204)*_xll.qwFXRate($A$1,F204)),_xll.qwDV01($A$1,F204)*G204*_xll.qwMVFactor($A$1,F204)*_xll.qwFXRate($A$1,F204),0)</f>
        <v>36269.255877271302</v>
      </c>
      <c r="R204" s="6" cm="1">
        <f t="array" ref="R204">IF(ISNUMBER(_xll.qwDV01($A$1,F204)*J204*_xll.qwMVFactor($A$1,F204)*_xll.qwFXRate($A$1,F204)),_xll.qwDV01($A$1,F204)*J204*_xll.qwMVFactor($A$1,F204)*_xll.qwFXRate($A$1,F204),0)</f>
        <v>0</v>
      </c>
      <c r="S204" s="6" cm="1">
        <f t="array" ref="S204">IF(ISNUMBER(_xll.qwDV01($A$1,F204)*J204*_xll.qwMVFactor($A$1,F204)*_xll.qwFXRate($A$1,F204)),_xll.qwDV01($A$1,F204)*J204*_xll.qwMVFactor($A$1,F204)*_xll.qwFXRate($A$1,F204),0)</f>
        <v>0</v>
      </c>
      <c r="T204" s="6" cm="1">
        <f t="array" ref="T204">_xll.qwFXRate($A$1,F204)*J204*(_xll.qwPrice($A$1,F204)-M204)*_xll.qwMVFactor($A$1,F204)+L204</f>
        <v>0</v>
      </c>
      <c r="U204" s="8" cm="1">
        <f t="array" ref="U204">_xll.qwYield($A$1,F204)</f>
        <v>4.7068378995592207E-2</v>
      </c>
      <c r="V204" s="8" cm="1">
        <f t="array" ref="V204">100*(_xll.qwYield($A$4,F204)-U204)</f>
        <v>7.4191169068905938E-3</v>
      </c>
      <c r="W204" s="6">
        <f>IF(ISNA(G204*INDEX(_xll.qwTblData(_xll.qwCurveScenariosPerSecurity($A$1,F204,"Crv210")),2,2)),0,(G204*INDEX(_xll.qwTblData(_xll.qwCurveScenariosPerSecurity($A$1,F204,"Crv210")),2,2)))</f>
        <v>8758.7093325146743</v>
      </c>
      <c r="X204" s="6" cm="1">
        <f t="array" ref="X204">ABS(Q204/_xll.qwMV01($A$1,"CT10"))</f>
        <v>48.825347263836356</v>
      </c>
      <c r="Y204" s="6" cm="1">
        <f t="array" ref="Y204">IF(N204="BondFuture",-(_xll.qwCurveYield($A$1,_xll.qwSecVal($A$1,AA204,"CreditCurveName()"),AA204)-_xll.qwCurveYield($A$4,_xll.qwSecVal($A$4,AA204,"CreditCurveName()"),AA204))*P204*10000,IF(N204="Bond",-(_xll.qwCurveYield($A$1,_xll.qwSecVal($A$1,F204,"CreditCurveName()"),F204)-_xll.qwCurveYield($A$4,_xll.qwSecVal($A$4,F204,"CreditCurveName()"),F204))*P204*10000,O204))</f>
        <v>29235.494679469764</v>
      </c>
      <c r="Z204" s="6" cm="1">
        <f t="array" ref="Z204">IF(OR(N204="BondFuture",N204="Bond"),P204*(_xll.qwCurveZSpread($A$4,_xll.qwSecVal($A$1,AA204,"CreditCurveName()"),AA204)-_xll.qwCurveZSpread($A$1,_xll.qwSecVal($A$1,AA204,"CreditCurveName()"),AA204)),0)</f>
        <v>0</v>
      </c>
      <c r="AA204" s="9" cm="1">
        <f t="array" ref="AA204">IF(_xll.qwSecType(F204)="Bond",F204,IF(_xll.qwSecType(F204)="BondFuture",_xll.qwFutCTD($A$1,F204),0))</f>
        <v>0</v>
      </c>
      <c r="AB204" s="6" cm="1">
        <f t="array" ref="AB204">IF(_xll.qwSecType(F204)="BondFuture",-(I204*_xll.qwDelta($A$4,F204)*_xll.qwMVFactor($A$1,F204)/_xll.qwMVFactor($A$1,_xll.qwFutCTD($A$1,F204)))*(_xll.qwFXRate($A$1,F204)*_xll.qwMVFactor($A$1,_xll.qwFutCTD($A$1,F204))*(_xll.qwIncome($A$4,_xll.qwFutCTD($A$4,F204),_xll.qwBondSettle($A$4,_xll.qwFutCTD($A$4,F204)),_xll.qwBondSettle($A$1,_xll.qwFutCTD($A$1,F204)))+(_xll.qwSecVal($A$1,AA204,"Price")-_xll.qwSecVal($A$4,AA204,"Price"))-_xll.qwBondRepoFromTo($A$1,AA204,_xll.qwBondSettle($A$4,AA204),_xll.qwBondSettle($A$1,AA204))*_xll.qwSecVal($A$1,AA204,"Price")*(_xll.qwBondSettle($A$1,AA204)-_xll.qwBondSettle($A$4,AA204))/360))+O204,0)</f>
        <v>0</v>
      </c>
      <c r="AC204" s="9" cm="1">
        <f t="array" ref="AC204">O204+T204+IF(ISNUMBER(_xll.qwIncome($A$1,F204,_xll.qwSettle($A$4,F204),_xll.qwSettle($A$1,F204))*_xll.qwMVFactor($A$1,F204)*_xll.qwFXRate($A$1,F204)*I204),_xll.qwIncome($A$1,F204,_xll.qwSettle($A$4,F204),_xll.qwSettle($A$1,F204))*_xll.qwMVFactor($A$1,F204)*_xll.qwFXRate($A$1,F204)*I204,0)+IF(ISNUMBER(-(_xll.qwBondRepoFromTo($A$1,F204,_xll.qwSettle($A$4,F204),_xll.qwSettle($A$1,F204))*_xll.qwSecVal($A$1,F204,"Price")*(_xll.qwSettle($A$1,F204)-_xll.qwSettle($A$4,F204))/360)*_xll.qwMVFactor($A$1,F204)*_xll.qwFXRate($A$1,F204)*I204),-(_xll.qwBondRepoFromTo($A$1,F204,_xll.qwSettle($A$4,F204),_xll.qwSettle($A$1,F204))*_xll.qwSecVal($A$1,F204,"Price")*(_xll.qwSettle($A$1,F204)-_xll.qwSettle($A$4,F204))/360)*_xll.qwMVFactor($A$1,F204)*_xll.qwFXRate($A$1,F204)*I204,0)</f>
        <v>29235.494679469764</v>
      </c>
      <c r="AD204" s="6"/>
    </row>
    <row r="205" spans="2:30" s="19" customFormat="1" x14ac:dyDescent="0.35">
      <c r="B205" s="19" t="str">
        <v>jcleary</v>
      </c>
      <c r="C205" s="19" t="str">
        <v>PPA</v>
      </c>
      <c r="D205" s="19" t="str">
        <v>jcleary|PPA|RV_US_FV_Spread|239429835</v>
      </c>
      <c r="E205" s="19" t="str">
        <v>RV_US_FV_Spread</v>
      </c>
      <c r="F205" s="19" t="str">
        <v>239429835</v>
      </c>
      <c r="G205" s="19">
        <v>279</v>
      </c>
      <c r="H205" s="19">
        <v>0</v>
      </c>
      <c r="I205" s="19">
        <v>279</v>
      </c>
      <c r="J205" s="19">
        <v>0</v>
      </c>
      <c r="K205" s="19">
        <v>0</v>
      </c>
      <c r="L205" s="19">
        <v>0</v>
      </c>
      <c r="M205" s="19">
        <v>0</v>
      </c>
      <c r="N205" s="19" t="str">
        <v>SwapTrade</v>
      </c>
      <c r="O205" s="6" cm="1">
        <f t="array" ref="O205">(_xll.qwPrice($A$1,F205)-_xll.qwPrice($A$4,F205))*_xll.qwMVFactor($A$1,F205)*I205*_xll.qwFXRate($A$1,F205)</f>
        <v>73239.42827694866</v>
      </c>
      <c r="P205" s="6" cm="1">
        <f t="array" ref="P205">IF(ISNUMBER(_xll.qwDV01($A$1,F205)*I205*_xll.qwMVFactor($A$1,F205)*_xll.qwFXRate($A$1,F205)),_xll.qwDV01($A$1,F205)*I205*_xll.qwMVFactor($A$1,F205)*_xll.qwFXRate($A$1,F205),0)</f>
        <v>95686.66217801052</v>
      </c>
      <c r="Q205" s="6" cm="1">
        <f t="array" ref="Q205">IF(ISNUMBER(_xll.qwDV01($A$1,F205)*G205*_xll.qwMVFactor($A$1,F205)*_xll.qwFXRate($A$1,F205)),_xll.qwDV01($A$1,F205)*G205*_xll.qwMVFactor($A$1,F205)*_xll.qwFXRate($A$1,F205),0)</f>
        <v>95686.66217801052</v>
      </c>
      <c r="R205" s="6" cm="1">
        <f t="array" ref="R205">IF(ISNUMBER(_xll.qwDV01($A$1,F205)*J205*_xll.qwMVFactor($A$1,F205)*_xll.qwFXRate($A$1,F205)),_xll.qwDV01($A$1,F205)*J205*_xll.qwMVFactor($A$1,F205)*_xll.qwFXRate($A$1,F205),0)</f>
        <v>0</v>
      </c>
      <c r="S205" s="6" cm="1">
        <f t="array" ref="S205">IF(ISNUMBER(_xll.qwDV01($A$1,F205)*J205*_xll.qwMVFactor($A$1,F205)*_xll.qwFXRate($A$1,F205)),_xll.qwDV01($A$1,F205)*J205*_xll.qwMVFactor($A$1,F205)*_xll.qwFXRate($A$1,F205),0)</f>
        <v>0</v>
      </c>
      <c r="T205" s="6" cm="1">
        <f t="array" ref="T205">_xll.qwFXRate($A$1,F205)*J205*(_xll.qwPrice($A$1,F205)-M205)*_xll.qwMVFactor($A$1,F205)+L205</f>
        <v>0</v>
      </c>
      <c r="U205" s="8" cm="1">
        <f t="array" ref="U205">_xll.qwYield($A$1,F205)</f>
        <v>4.7041206694949447E-2</v>
      </c>
      <c r="V205" s="8" cm="1">
        <f t="array" ref="V205">100*(_xll.qwYield($A$4,F205)-U205)</f>
        <v>7.1634495770252216E-3</v>
      </c>
      <c r="W205" s="6">
        <f>IF(ISNA(G205*INDEX(_xll.qwTblData(_xll.qwCurveScenariosPerSecurity($A$1,F205,"Crv210")),2,2)),0,(G205*INDEX(_xll.qwTblData(_xll.qwCurveScenariosPerSecurity($A$1,F205,"Crv210")),2,2)))</f>
        <v>25137.059846558837</v>
      </c>
      <c r="X205" s="6" cm="1">
        <f t="array" ref="X205">ABS(Q205/_xll.qwMV01($A$1,"CT10"))</f>
        <v>128.81252720397003</v>
      </c>
      <c r="Y205" s="6" cm="1">
        <f t="array" ref="Y205">IF(N205="BondFuture",-(_xll.qwCurveYield($A$1,_xll.qwSecVal($A$1,AA205,"CreditCurveName()"),AA205)-_xll.qwCurveYield($A$4,_xll.qwSecVal($A$4,AA205,"CreditCurveName()"),AA205))*P205*10000,IF(N205="Bond",-(_xll.qwCurveYield($A$1,_xll.qwSecVal($A$1,F205,"CreditCurveName()"),F205)-_xll.qwCurveYield($A$4,_xll.qwSecVal($A$4,F205,"CreditCurveName()"),F205))*P205*10000,O205))</f>
        <v>73239.42827694866</v>
      </c>
      <c r="Z205" s="6" cm="1">
        <f t="array" ref="Z205">IF(OR(N205="BondFuture",N205="Bond"),P205*(_xll.qwCurveZSpread($A$4,_xll.qwSecVal($A$1,AA205,"CreditCurveName()"),AA205)-_xll.qwCurveZSpread($A$1,_xll.qwSecVal($A$1,AA205,"CreditCurveName()"),AA205)),0)</f>
        <v>0</v>
      </c>
      <c r="AA205" s="9" cm="1">
        <f t="array" ref="AA205">IF(_xll.qwSecType(F205)="Bond",F205,IF(_xll.qwSecType(F205)="BondFuture",_xll.qwFutCTD($A$1,F205),0))</f>
        <v>0</v>
      </c>
      <c r="AB205" s="6" cm="1">
        <f t="array" ref="AB205">IF(_xll.qwSecType(F205)="BondFuture",-(I205*_xll.qwDelta($A$4,F205)*_xll.qwMVFactor($A$1,F205)/_xll.qwMVFactor($A$1,_xll.qwFutCTD($A$1,F205)))*(_xll.qwFXRate($A$1,F205)*_xll.qwMVFactor($A$1,_xll.qwFutCTD($A$1,F205))*(_xll.qwIncome($A$4,_xll.qwFutCTD($A$4,F205),_xll.qwBondSettle($A$4,_xll.qwFutCTD($A$4,F205)),_xll.qwBondSettle($A$1,_xll.qwFutCTD($A$1,F205)))+(_xll.qwSecVal($A$1,AA205,"Price")-_xll.qwSecVal($A$4,AA205,"Price"))-_xll.qwBondRepoFromTo($A$1,AA205,_xll.qwBondSettle($A$4,AA205),_xll.qwBondSettle($A$1,AA205))*_xll.qwSecVal($A$1,AA205,"Price")*(_xll.qwBondSettle($A$1,AA205)-_xll.qwBondSettle($A$4,AA205))/360))+O205,0)</f>
        <v>0</v>
      </c>
      <c r="AC205" s="9" cm="1">
        <f t="array" ref="AC205">O205+T205+IF(ISNUMBER(_xll.qwIncome($A$1,F205,_xll.qwSettle($A$4,F205),_xll.qwSettle($A$1,F205))*_xll.qwMVFactor($A$1,F205)*_xll.qwFXRate($A$1,F205)*I205),_xll.qwIncome($A$1,F205,_xll.qwSettle($A$4,F205),_xll.qwSettle($A$1,F205))*_xll.qwMVFactor($A$1,F205)*_xll.qwFXRate($A$1,F205)*I205,0)+IF(ISNUMBER(-(_xll.qwBondRepoFromTo($A$1,F205,_xll.qwSettle($A$4,F205),_xll.qwSettle($A$1,F205))*_xll.qwSecVal($A$1,F205,"Price")*(_xll.qwSettle($A$1,F205)-_xll.qwSettle($A$4,F205))/360)*_xll.qwMVFactor($A$1,F205)*_xll.qwFXRate($A$1,F205)*I205),-(_xll.qwBondRepoFromTo($A$1,F205,_xll.qwSettle($A$4,F205),_xll.qwSettle($A$1,F205))*_xll.qwSecVal($A$1,F205,"Price")*(_xll.qwSettle($A$1,F205)-_xll.qwSettle($A$4,F205))/360)*_xll.qwMVFactor($A$1,F205)*_xll.qwFXRate($A$1,F205)*I205,0)</f>
        <v>73239.42827694866</v>
      </c>
      <c r="AD205" s="6"/>
    </row>
    <row r="206" spans="2:30" s="19" customFormat="1" x14ac:dyDescent="0.35">
      <c r="B206" s="19" t="str">
        <v>jcleary</v>
      </c>
      <c r="C206" s="19" t="str">
        <v>PPA</v>
      </c>
      <c r="D206" s="19" t="str">
        <v>jcleary|PPA|RV_US_FV_Spread|240582392</v>
      </c>
      <c r="E206" s="19" t="str">
        <v>RV_US_FV_Spread</v>
      </c>
      <c r="F206" s="19" t="str">
        <v>240582392</v>
      </c>
      <c r="G206" s="19">
        <v>100</v>
      </c>
      <c r="H206" s="19">
        <v>0</v>
      </c>
      <c r="I206" s="19">
        <v>100</v>
      </c>
      <c r="J206" s="19">
        <v>0</v>
      </c>
      <c r="K206" s="19">
        <v>0</v>
      </c>
      <c r="L206" s="19">
        <v>0</v>
      </c>
      <c r="M206" s="19">
        <v>0</v>
      </c>
      <c r="N206" s="19" t="str">
        <v>SwapTrade</v>
      </c>
      <c r="O206" s="6" cm="1">
        <f t="array" ref="O206">(_xll.qwPrice($A$1,F206)-_xll.qwPrice($A$4,F206))*_xll.qwMVFactor($A$1,F206)*I206*_xll.qwFXRate($A$1,F206)</f>
        <v>-17820.31271482776</v>
      </c>
      <c r="P206" s="6" cm="1">
        <f t="array" ref="P206">IF(ISNUMBER(_xll.qwDV01($A$1,F206)*I206*_xll.qwMVFactor($A$1,F206)*_xll.qwFXRate($A$1,F206)),_xll.qwDV01($A$1,F206)*I206*_xll.qwMVFactor($A$1,F206)*_xll.qwFXRate($A$1,F206),0)</f>
        <v>-29769.863519630457</v>
      </c>
      <c r="Q206" s="6" cm="1">
        <f t="array" ref="Q206">IF(ISNUMBER(_xll.qwDV01($A$1,F206)*G206*_xll.qwMVFactor($A$1,F206)*_xll.qwFXRate($A$1,F206)),_xll.qwDV01($A$1,F206)*G206*_xll.qwMVFactor($A$1,F206)*_xll.qwFXRate($A$1,F206),0)</f>
        <v>-29769.863519630457</v>
      </c>
      <c r="R206" s="6" cm="1">
        <f t="array" ref="R206">IF(ISNUMBER(_xll.qwDV01($A$1,F206)*J206*_xll.qwMVFactor($A$1,F206)*_xll.qwFXRate($A$1,F206)),_xll.qwDV01($A$1,F206)*J206*_xll.qwMVFactor($A$1,F206)*_xll.qwFXRate($A$1,F206),0)</f>
        <v>0</v>
      </c>
      <c r="S206" s="6" cm="1">
        <f t="array" ref="S206">IF(ISNUMBER(_xll.qwDV01($A$1,F206)*J206*_xll.qwMVFactor($A$1,F206)*_xll.qwFXRate($A$1,F206)),_xll.qwDV01($A$1,F206)*J206*_xll.qwMVFactor($A$1,F206)*_xll.qwFXRate($A$1,F206),0)</f>
        <v>0</v>
      </c>
      <c r="T206" s="6" cm="1">
        <f t="array" ref="T206">_xll.qwFXRate($A$1,F206)*J206*(_xll.qwPrice($A$1,F206)-M206)*_xll.qwMVFactor($A$1,F206)+L206</f>
        <v>0</v>
      </c>
      <c r="U206" s="8" cm="1">
        <f t="array" ref="U206">_xll.qwYield($A$1,F206)</f>
        <v>4.6968041620560771E-2</v>
      </c>
      <c r="V206" s="8" cm="1">
        <f t="array" ref="V206">100*(_xll.qwYield($A$4,F206)-U206)</f>
        <v>5.3575216065228359E-3</v>
      </c>
      <c r="W206" s="6">
        <f>IF(ISNA(G206*INDEX(_xll.qwTblData(_xll.qwCurveScenariosPerSecurity($A$1,F206,"Crv210")),2,2)),0,(G206*INDEX(_xll.qwTblData(_xll.qwCurveScenariosPerSecurity($A$1,F206,"Crv210")),2,2)))</f>
        <v>-10029.870545918307</v>
      </c>
      <c r="X206" s="6" cm="1">
        <f t="array" ref="X206">ABS(Q206/_xll.qwMV01($A$1,"CT10"))</f>
        <v>40.075923511125694</v>
      </c>
      <c r="Y206" s="6" cm="1">
        <f t="array" ref="Y206">IF(N206="BondFuture",-(_xll.qwCurveYield($A$1,_xll.qwSecVal($A$1,AA206,"CreditCurveName()"),AA206)-_xll.qwCurveYield($A$4,_xll.qwSecVal($A$4,AA206,"CreditCurveName()"),AA206))*P206*10000,IF(N206="Bond",-(_xll.qwCurveYield($A$1,_xll.qwSecVal($A$1,F206,"CreditCurveName()"),F206)-_xll.qwCurveYield($A$4,_xll.qwSecVal($A$4,F206,"CreditCurveName()"),F206))*P206*10000,O206))</f>
        <v>-17820.31271482776</v>
      </c>
      <c r="Z206" s="6" cm="1">
        <f t="array" ref="Z206">IF(OR(N206="BondFuture",N206="Bond"),P206*(_xll.qwCurveZSpread($A$4,_xll.qwSecVal($A$1,AA206,"CreditCurveName()"),AA206)-_xll.qwCurveZSpread($A$1,_xll.qwSecVal($A$1,AA206,"CreditCurveName()"),AA206)),0)</f>
        <v>0</v>
      </c>
      <c r="AA206" s="9" cm="1">
        <f t="array" ref="AA206">IF(_xll.qwSecType(F206)="Bond",F206,IF(_xll.qwSecType(F206)="BondFuture",_xll.qwFutCTD($A$1,F206),0))</f>
        <v>0</v>
      </c>
      <c r="AB206" s="6" cm="1">
        <f t="array" ref="AB206">IF(_xll.qwSecType(F206)="BondFuture",-(I206*_xll.qwDelta($A$4,F206)*_xll.qwMVFactor($A$1,F206)/_xll.qwMVFactor($A$1,_xll.qwFutCTD($A$1,F206)))*(_xll.qwFXRate($A$1,F206)*_xll.qwMVFactor($A$1,_xll.qwFutCTD($A$1,F206))*(_xll.qwIncome($A$4,_xll.qwFutCTD($A$4,F206),_xll.qwBondSettle($A$4,_xll.qwFutCTD($A$4,F206)),_xll.qwBondSettle($A$1,_xll.qwFutCTD($A$1,F206)))+(_xll.qwSecVal($A$1,AA206,"Price")-_xll.qwSecVal($A$4,AA206,"Price"))-_xll.qwBondRepoFromTo($A$1,AA206,_xll.qwBondSettle($A$4,AA206),_xll.qwBondSettle($A$1,AA206))*_xll.qwSecVal($A$1,AA206,"Price")*(_xll.qwBondSettle($A$1,AA206)-_xll.qwBondSettle($A$4,AA206))/360))+O206,0)</f>
        <v>0</v>
      </c>
      <c r="AC206" s="9" cm="1">
        <f t="array" ref="AC206">O206+T206+IF(ISNUMBER(_xll.qwIncome($A$1,F206,_xll.qwSettle($A$4,F206),_xll.qwSettle($A$1,F206))*_xll.qwMVFactor($A$1,F206)*_xll.qwFXRate($A$1,F206)*I206),_xll.qwIncome($A$1,F206,_xll.qwSettle($A$4,F206),_xll.qwSettle($A$1,F206))*_xll.qwMVFactor($A$1,F206)*_xll.qwFXRate($A$1,F206)*I206,0)+IF(ISNUMBER(-(_xll.qwBondRepoFromTo($A$1,F206,_xll.qwSettle($A$4,F206),_xll.qwSettle($A$1,F206))*_xll.qwSecVal($A$1,F206,"Price")*(_xll.qwSettle($A$1,F206)-_xll.qwSettle($A$4,F206))/360)*_xll.qwMVFactor($A$1,F206)*_xll.qwFXRate($A$1,F206)*I206),-(_xll.qwBondRepoFromTo($A$1,F206,_xll.qwSettle($A$4,F206),_xll.qwSettle($A$1,F206))*_xll.qwSecVal($A$1,F206,"Price")*(_xll.qwSettle($A$1,F206)-_xll.qwSettle($A$4,F206))/360)*_xll.qwMVFactor($A$1,F206)*_xll.qwFXRate($A$1,F206)*I206,0)</f>
        <v>-17820.31271482776</v>
      </c>
      <c r="AD206" s="6"/>
    </row>
    <row r="207" spans="2:30" s="19" customFormat="1" x14ac:dyDescent="0.35">
      <c r="B207" s="19" t="str">
        <v>jcleary</v>
      </c>
      <c r="C207" s="19" t="str">
        <v>PPA</v>
      </c>
      <c r="D207" s="19" t="str">
        <v>jcleary|PPA|RV_US_FV_Spread|241594922</v>
      </c>
      <c r="E207" s="19" t="str">
        <v>RV_US_FV_Spread</v>
      </c>
      <c r="F207" s="19" t="str">
        <v>241594922</v>
      </c>
      <c r="G207" s="19">
        <v>71.7</v>
      </c>
      <c r="H207" s="19">
        <v>0</v>
      </c>
      <c r="I207" s="19">
        <v>71.7</v>
      </c>
      <c r="J207" s="19">
        <v>0</v>
      </c>
      <c r="K207" s="19">
        <v>0</v>
      </c>
      <c r="L207" s="19">
        <v>0</v>
      </c>
      <c r="M207" s="19">
        <v>0</v>
      </c>
      <c r="N207" s="19" t="str">
        <v>SwapTrade</v>
      </c>
      <c r="O207" s="6" cm="1">
        <f t="array" ref="O207">(_xll.qwPrice($A$1,F207)-_xll.qwPrice($A$4,F207))*_xll.qwMVFactor($A$1,F207)*I207*_xll.qwFXRate($A$1,F207)</f>
        <v>-18868.459770925394</v>
      </c>
      <c r="P207" s="6" cm="1">
        <f t="array" ref="P207">IF(ISNUMBER(_xll.qwDV01($A$1,F207)*I207*_xll.qwMVFactor($A$1,F207)*_xll.qwFXRate($A$1,F207)),_xll.qwDV01($A$1,F207)*I207*_xll.qwMVFactor($A$1,F207)*_xll.qwFXRate($A$1,F207),0)</f>
        <v>-24680.497865070247</v>
      </c>
      <c r="Q207" s="6" cm="1">
        <f t="array" ref="Q207">IF(ISNUMBER(_xll.qwDV01($A$1,F207)*G207*_xll.qwMVFactor($A$1,F207)*_xll.qwFXRate($A$1,F207)),_xll.qwDV01($A$1,F207)*G207*_xll.qwMVFactor($A$1,F207)*_xll.qwFXRate($A$1,F207),0)</f>
        <v>-24680.497865070247</v>
      </c>
      <c r="R207" s="6" cm="1">
        <f t="array" ref="R207">IF(ISNUMBER(_xll.qwDV01($A$1,F207)*J207*_xll.qwMVFactor($A$1,F207)*_xll.qwFXRate($A$1,F207)),_xll.qwDV01($A$1,F207)*J207*_xll.qwMVFactor($A$1,F207)*_xll.qwFXRate($A$1,F207),0)</f>
        <v>0</v>
      </c>
      <c r="S207" s="6" cm="1">
        <f t="array" ref="S207">IF(ISNUMBER(_xll.qwDV01($A$1,F207)*J207*_xll.qwMVFactor($A$1,F207)*_xll.qwFXRate($A$1,F207)),_xll.qwDV01($A$1,F207)*J207*_xll.qwMVFactor($A$1,F207)*_xll.qwFXRate($A$1,F207),0)</f>
        <v>0</v>
      </c>
      <c r="T207" s="6" cm="1">
        <f t="array" ref="T207">_xll.qwFXRate($A$1,F207)*J207*(_xll.qwPrice($A$1,F207)-M207)*_xll.qwMVFactor($A$1,F207)+L207</f>
        <v>0</v>
      </c>
      <c r="U207" s="8" cm="1">
        <f t="array" ref="U207">_xll.qwYield($A$1,F207)</f>
        <v>4.7041206694949447E-2</v>
      </c>
      <c r="V207" s="8" cm="1">
        <f t="array" ref="V207">100*(_xll.qwYield($A$4,F207)-U207)</f>
        <v>7.1634495770252216E-3</v>
      </c>
      <c r="W207" s="6">
        <f>IF(ISNA(G207*INDEX(_xll.qwTblData(_xll.qwCurveScenariosPerSecurity($A$1,F207,"Crv210")),2,2)),0,(G207*INDEX(_xll.qwTblData(_xll.qwCurveScenariosPerSecurity($A$1,F207,"Crv210")),2,2)))</f>
        <v>-6494.7340870636772</v>
      </c>
      <c r="X207" s="6" cm="1">
        <f t="array" ref="X207">ABS(Q207/_xll.qwMV01($A$1,"CT10"))</f>
        <v>33.224665071267154</v>
      </c>
      <c r="Y207" s="6" cm="1">
        <f t="array" ref="Y207">IF(N207="BondFuture",-(_xll.qwCurveYield($A$1,_xll.qwSecVal($A$1,AA207,"CreditCurveName()"),AA207)-_xll.qwCurveYield($A$4,_xll.qwSecVal($A$4,AA207,"CreditCurveName()"),AA207))*P207*10000,IF(N207="Bond",-(_xll.qwCurveYield($A$1,_xll.qwSecVal($A$1,F207,"CreditCurveName()"),F207)-_xll.qwCurveYield($A$4,_xll.qwSecVal($A$4,F207,"CreditCurveName()"),F207))*P207*10000,O207))</f>
        <v>-18868.459770925394</v>
      </c>
      <c r="Z207" s="6" cm="1">
        <f t="array" ref="Z207">IF(OR(N207="BondFuture",N207="Bond"),P207*(_xll.qwCurveZSpread($A$4,_xll.qwSecVal($A$1,AA207,"CreditCurveName()"),AA207)-_xll.qwCurveZSpread($A$1,_xll.qwSecVal($A$1,AA207,"CreditCurveName()"),AA207)),0)</f>
        <v>0</v>
      </c>
      <c r="AA207" s="9" cm="1">
        <f t="array" ref="AA207">IF(_xll.qwSecType(F207)="Bond",F207,IF(_xll.qwSecType(F207)="BondFuture",_xll.qwFutCTD($A$1,F207),0))</f>
        <v>0</v>
      </c>
      <c r="AB207" s="6" cm="1">
        <f t="array" ref="AB207">IF(_xll.qwSecType(F207)="BondFuture",-(I207*_xll.qwDelta($A$4,F207)*_xll.qwMVFactor($A$1,F207)/_xll.qwMVFactor($A$1,_xll.qwFutCTD($A$1,F207)))*(_xll.qwFXRate($A$1,F207)*_xll.qwMVFactor($A$1,_xll.qwFutCTD($A$1,F207))*(_xll.qwIncome($A$4,_xll.qwFutCTD($A$4,F207),_xll.qwBondSettle($A$4,_xll.qwFutCTD($A$4,F207)),_xll.qwBondSettle($A$1,_xll.qwFutCTD($A$1,F207)))+(_xll.qwSecVal($A$1,AA207,"Price")-_xll.qwSecVal($A$4,AA207,"Price"))-_xll.qwBondRepoFromTo($A$1,AA207,_xll.qwBondSettle($A$4,AA207),_xll.qwBondSettle($A$1,AA207))*_xll.qwSecVal($A$1,AA207,"Price")*(_xll.qwBondSettle($A$1,AA207)-_xll.qwBondSettle($A$4,AA207))/360))+O207,0)</f>
        <v>0</v>
      </c>
      <c r="AC207" s="9" cm="1">
        <f t="array" ref="AC207">O207+T207+IF(ISNUMBER(_xll.qwIncome($A$1,F207,_xll.qwSettle($A$4,F207),_xll.qwSettle($A$1,F207))*_xll.qwMVFactor($A$1,F207)*_xll.qwFXRate($A$1,F207)*I207),_xll.qwIncome($A$1,F207,_xll.qwSettle($A$4,F207),_xll.qwSettle($A$1,F207))*_xll.qwMVFactor($A$1,F207)*_xll.qwFXRate($A$1,F207)*I207,0)+IF(ISNUMBER(-(_xll.qwBondRepoFromTo($A$1,F207,_xll.qwSettle($A$4,F207),_xll.qwSettle($A$1,F207))*_xll.qwSecVal($A$1,F207,"Price")*(_xll.qwSettle($A$1,F207)-_xll.qwSettle($A$4,F207))/360)*_xll.qwMVFactor($A$1,F207)*_xll.qwFXRate($A$1,F207)*I207),-(_xll.qwBondRepoFromTo($A$1,F207,_xll.qwSettle($A$4,F207),_xll.qwSettle($A$1,F207))*_xll.qwSecVal($A$1,F207,"Price")*(_xll.qwSettle($A$1,F207)-_xll.qwSettle($A$4,F207))/360)*_xll.qwMVFactor($A$1,F207)*_xll.qwFXRate($A$1,F207)*I207,0)</f>
        <v>-18868.459770925394</v>
      </c>
      <c r="AD207" s="6"/>
    </row>
    <row r="208" spans="2:30" s="19" customFormat="1" x14ac:dyDescent="0.35">
      <c r="B208" s="19" t="str">
        <v>jcleary</v>
      </c>
      <c r="C208" s="19" t="str">
        <v>PPA</v>
      </c>
      <c r="D208" s="19" t="str">
        <v>jcleary|PPA|RV_US_FV_Spread|241758424</v>
      </c>
      <c r="E208" s="19" t="str">
        <v>RV_US_FV_Spread</v>
      </c>
      <c r="F208" s="19" t="str">
        <v>241758424</v>
      </c>
      <c r="G208" s="19">
        <v>91</v>
      </c>
      <c r="H208" s="19">
        <v>0</v>
      </c>
      <c r="I208" s="19">
        <v>91</v>
      </c>
      <c r="J208" s="19">
        <v>0</v>
      </c>
      <c r="K208" s="19">
        <v>0</v>
      </c>
      <c r="L208" s="19">
        <v>0</v>
      </c>
      <c r="M208" s="19">
        <v>0</v>
      </c>
      <c r="N208" s="19" t="str">
        <v>SwapTrade</v>
      </c>
      <c r="O208" s="6" cm="1">
        <f t="array" ref="O208">(_xll.qwPrice($A$1,F208)-_xll.qwPrice($A$4,F208))*_xll.qwMVFactor($A$1,F208)*I208*_xll.qwFXRate($A$1,F208)</f>
        <v>-26088.467216139456</v>
      </c>
      <c r="P208" s="6" cm="1">
        <f t="array" ref="P208">IF(ISNUMBER(_xll.qwDV01($A$1,F208)*I208*_xll.qwMVFactor($A$1,F208)*_xll.qwFXRate($A$1,F208)),_xll.qwDV01($A$1,F208)*I208*_xll.qwMVFactor($A$1,F208)*_xll.qwFXRate($A$1,F208),0)</f>
        <v>-32400.972531919513</v>
      </c>
      <c r="Q208" s="6" cm="1">
        <f t="array" ref="Q208">IF(ISNUMBER(_xll.qwDV01($A$1,F208)*G208*_xll.qwMVFactor($A$1,F208)*_xll.qwFXRate($A$1,F208)),_xll.qwDV01($A$1,F208)*G208*_xll.qwMVFactor($A$1,F208)*_xll.qwFXRate($A$1,F208),0)</f>
        <v>-32400.972531919513</v>
      </c>
      <c r="R208" s="6" cm="1">
        <f t="array" ref="R208">IF(ISNUMBER(_xll.qwDV01($A$1,F208)*J208*_xll.qwMVFactor($A$1,F208)*_xll.qwFXRate($A$1,F208)),_xll.qwDV01($A$1,F208)*J208*_xll.qwMVFactor($A$1,F208)*_xll.qwFXRate($A$1,F208),0)</f>
        <v>0</v>
      </c>
      <c r="S208" s="6" cm="1">
        <f t="array" ref="S208">IF(ISNUMBER(_xll.qwDV01($A$1,F208)*J208*_xll.qwMVFactor($A$1,F208)*_xll.qwFXRate($A$1,F208)),_xll.qwDV01($A$1,F208)*J208*_xll.qwMVFactor($A$1,F208)*_xll.qwFXRate($A$1,F208),0)</f>
        <v>0</v>
      </c>
      <c r="T208" s="6" cm="1">
        <f t="array" ref="T208">_xll.qwFXRate($A$1,F208)*J208*(_xll.qwPrice($A$1,F208)-M208)*_xll.qwMVFactor($A$1,F208)+L208</f>
        <v>0</v>
      </c>
      <c r="U208" s="8" cm="1">
        <f t="array" ref="U208">_xll.qwYield($A$1,F208)</f>
        <v>4.7068378995592207E-2</v>
      </c>
      <c r="V208" s="8" cm="1">
        <f t="array" ref="V208">100*(_xll.qwYield($A$4,F208)-U208)</f>
        <v>7.4191169068905938E-3</v>
      </c>
      <c r="W208" s="6">
        <f>IF(ISNA(G208*INDEX(_xll.qwTblData(_xll.qwCurveScenariosPerSecurity($A$1,F208,"Crv210")),2,2)),0,(G208*INDEX(_xll.qwTblData(_xll.qwCurveScenariosPerSecurity($A$1,F208,"Crv210")),2,2)))</f>
        <v>-7853.9833203643993</v>
      </c>
      <c r="X208" s="6" cm="1">
        <f t="array" ref="X208">ABS(Q208/_xll.qwMV01($A$1,"CT10"))</f>
        <v>43.617898886874364</v>
      </c>
      <c r="Y208" s="6" cm="1">
        <f t="array" ref="Y208">IF(N208="BondFuture",-(_xll.qwCurveYield($A$1,_xll.qwSecVal($A$1,AA208,"CreditCurveName()"),AA208)-_xll.qwCurveYield($A$4,_xll.qwSecVal($A$4,AA208,"CreditCurveName()"),AA208))*P208*10000,IF(N208="Bond",-(_xll.qwCurveYield($A$1,_xll.qwSecVal($A$1,F208,"CreditCurveName()"),F208)-_xll.qwCurveYield($A$4,_xll.qwSecVal($A$4,F208,"CreditCurveName()"),F208))*P208*10000,O208))</f>
        <v>-26088.467216139456</v>
      </c>
      <c r="Z208" s="6" cm="1">
        <f t="array" ref="Z208">IF(OR(N208="BondFuture",N208="Bond"),P208*(_xll.qwCurveZSpread($A$4,_xll.qwSecVal($A$1,AA208,"CreditCurveName()"),AA208)-_xll.qwCurveZSpread($A$1,_xll.qwSecVal($A$1,AA208,"CreditCurveName()"),AA208)),0)</f>
        <v>0</v>
      </c>
      <c r="AA208" s="9" cm="1">
        <f t="array" ref="AA208">IF(_xll.qwSecType(F208)="Bond",F208,IF(_xll.qwSecType(F208)="BondFuture",_xll.qwFutCTD($A$1,F208),0))</f>
        <v>0</v>
      </c>
      <c r="AB208" s="6" cm="1">
        <f t="array" ref="AB208">IF(_xll.qwSecType(F208)="BondFuture",-(I208*_xll.qwDelta($A$4,F208)*_xll.qwMVFactor($A$1,F208)/_xll.qwMVFactor($A$1,_xll.qwFutCTD($A$1,F208)))*(_xll.qwFXRate($A$1,F208)*_xll.qwMVFactor($A$1,_xll.qwFutCTD($A$1,F208))*(_xll.qwIncome($A$4,_xll.qwFutCTD($A$4,F208),_xll.qwBondSettle($A$4,_xll.qwFutCTD($A$4,F208)),_xll.qwBondSettle($A$1,_xll.qwFutCTD($A$1,F208)))+(_xll.qwSecVal($A$1,AA208,"Price")-_xll.qwSecVal($A$4,AA208,"Price"))-_xll.qwBondRepoFromTo($A$1,AA208,_xll.qwBondSettle($A$4,AA208),_xll.qwBondSettle($A$1,AA208))*_xll.qwSecVal($A$1,AA208,"Price")*(_xll.qwBondSettle($A$1,AA208)-_xll.qwBondSettle($A$4,AA208))/360))+O208,0)</f>
        <v>0</v>
      </c>
      <c r="AC208" s="9" cm="1">
        <f t="array" ref="AC208">O208+T208+IF(ISNUMBER(_xll.qwIncome($A$1,F208,_xll.qwSettle($A$4,F208),_xll.qwSettle($A$1,F208))*_xll.qwMVFactor($A$1,F208)*_xll.qwFXRate($A$1,F208)*I208),_xll.qwIncome($A$1,F208,_xll.qwSettle($A$4,F208),_xll.qwSettle($A$1,F208))*_xll.qwMVFactor($A$1,F208)*_xll.qwFXRate($A$1,F208)*I208,0)+IF(ISNUMBER(-(_xll.qwBondRepoFromTo($A$1,F208,_xll.qwSettle($A$4,F208),_xll.qwSettle($A$1,F208))*_xll.qwSecVal($A$1,F208,"Price")*(_xll.qwSettle($A$1,F208)-_xll.qwSettle($A$4,F208))/360)*_xll.qwMVFactor($A$1,F208)*_xll.qwFXRate($A$1,F208)*I208),-(_xll.qwBondRepoFromTo($A$1,F208,_xll.qwSettle($A$4,F208),_xll.qwSettle($A$1,F208))*_xll.qwSecVal($A$1,F208,"Price")*(_xll.qwSettle($A$1,F208)-_xll.qwSettle($A$4,F208))/360)*_xll.qwMVFactor($A$1,F208)*_xll.qwFXRate($A$1,F208)*I208,0)</f>
        <v>-26088.467216139456</v>
      </c>
      <c r="AD208" s="6"/>
    </row>
    <row r="209" spans="2:30" s="19" customFormat="1" x14ac:dyDescent="0.35">
      <c r="B209" s="19" t="str">
        <v>jcleary</v>
      </c>
      <c r="C209" s="19" t="str">
        <v>PPA</v>
      </c>
      <c r="D209" s="19" t="str">
        <v>jcleary|PPA|RV_US_FV_Spread|242795017</v>
      </c>
      <c r="E209" s="19" t="str">
        <v>RV_US_FV_Spread</v>
      </c>
      <c r="F209" s="19" t="str">
        <v>242795017</v>
      </c>
      <c r="G209" s="19">
        <v>135.1</v>
      </c>
      <c r="H209" s="19">
        <v>0</v>
      </c>
      <c r="I209" s="19">
        <v>135.1</v>
      </c>
      <c r="J209" s="19">
        <v>0</v>
      </c>
      <c r="K209" s="19">
        <v>0</v>
      </c>
      <c r="L209" s="19">
        <v>0</v>
      </c>
      <c r="M209" s="19">
        <v>0</v>
      </c>
      <c r="N209" s="19" t="str">
        <v>SwapTrade</v>
      </c>
      <c r="O209" s="6" cm="1">
        <f t="array" ref="O209">(_xll.qwPrice($A$1,F209)-_xll.qwPrice($A$4,F209))*_xll.qwMVFactor($A$1,F209)*I209*_xll.qwFXRate($A$1,F209)</f>
        <v>35579.225950449101</v>
      </c>
      <c r="P209" s="6" cm="1">
        <f t="array" ref="P209">IF(ISNUMBER(_xll.qwDV01($A$1,F209)*I209*_xll.qwMVFactor($A$1,F209)*_xll.qwFXRate($A$1,F209)),_xll.qwDV01($A$1,F209)*I209*_xll.qwMVFactor($A$1,F209)*_xll.qwFXRate($A$1,F209),0)</f>
        <v>46555.105902130308</v>
      </c>
      <c r="Q209" s="6" cm="1">
        <f t="array" ref="Q209">IF(ISNUMBER(_xll.qwDV01($A$1,F209)*G209*_xll.qwMVFactor($A$1,F209)*_xll.qwFXRate($A$1,F209)),_xll.qwDV01($A$1,F209)*G209*_xll.qwMVFactor($A$1,F209)*_xll.qwFXRate($A$1,F209),0)</f>
        <v>46555.105902130308</v>
      </c>
      <c r="R209" s="6" cm="1">
        <f t="array" ref="R209">IF(ISNUMBER(_xll.qwDV01($A$1,F209)*J209*_xll.qwMVFactor($A$1,F209)*_xll.qwFXRate($A$1,F209)),_xll.qwDV01($A$1,F209)*J209*_xll.qwMVFactor($A$1,F209)*_xll.qwFXRate($A$1,F209),0)</f>
        <v>0</v>
      </c>
      <c r="S209" s="6" cm="1">
        <f t="array" ref="S209">IF(ISNUMBER(_xll.qwDV01($A$1,F209)*J209*_xll.qwMVFactor($A$1,F209)*_xll.qwFXRate($A$1,F209)),_xll.qwDV01($A$1,F209)*J209*_xll.qwMVFactor($A$1,F209)*_xll.qwFXRate($A$1,F209),0)</f>
        <v>0</v>
      </c>
      <c r="T209" s="6" cm="1">
        <f t="array" ref="T209">_xll.qwFXRate($A$1,F209)*J209*(_xll.qwPrice($A$1,F209)-M209)*_xll.qwMVFactor($A$1,F209)+L209</f>
        <v>0</v>
      </c>
      <c r="U209" s="8" cm="1">
        <f t="array" ref="U209">_xll.qwYield($A$1,F209)</f>
        <v>4.7041206694949447E-2</v>
      </c>
      <c r="V209" s="8" cm="1">
        <f t="array" ref="V209">100*(_xll.qwYield($A$4,F209)-U209)</f>
        <v>7.1634495770252216E-3</v>
      </c>
      <c r="W209" s="6">
        <f>IF(ISNA(G209*INDEX(_xll.qwTblData(_xll.qwCurveScenariosPerSecurity($A$1,F209,"Crv210")),2,2)),0,(G209*INDEX(_xll.qwTblData(_xll.qwCurveScenariosPerSecurity($A$1,F209,"Crv210")),2,2)))</f>
        <v>12257.382940280615</v>
      </c>
      <c r="X209" s="6" cm="1">
        <f t="array" ref="X209">ABS(Q209/_xll.qwMV01($A$1,"CT10"))</f>
        <v>62.672066398821386</v>
      </c>
      <c r="Y209" s="6" cm="1">
        <f t="array" ref="Y209">IF(N209="BondFuture",-(_xll.qwCurveYield($A$1,_xll.qwSecVal($A$1,AA209,"CreditCurveName()"),AA209)-_xll.qwCurveYield($A$4,_xll.qwSecVal($A$4,AA209,"CreditCurveName()"),AA209))*P209*10000,IF(N209="Bond",-(_xll.qwCurveYield($A$1,_xll.qwSecVal($A$1,F209,"CreditCurveName()"),F209)-_xll.qwCurveYield($A$4,_xll.qwSecVal($A$4,F209,"CreditCurveName()"),F209))*P209*10000,O209))</f>
        <v>35579.225950449101</v>
      </c>
      <c r="Z209" s="6" cm="1">
        <f t="array" ref="Z209">IF(OR(N209="BondFuture",N209="Bond"),P209*(_xll.qwCurveZSpread($A$4,_xll.qwSecVal($A$1,AA209,"CreditCurveName()"),AA209)-_xll.qwCurveZSpread($A$1,_xll.qwSecVal($A$1,AA209,"CreditCurveName()"),AA209)),0)</f>
        <v>0</v>
      </c>
      <c r="AA209" s="9" cm="1">
        <f t="array" ref="AA209">IF(_xll.qwSecType(F209)="Bond",F209,IF(_xll.qwSecType(F209)="BondFuture",_xll.qwFutCTD($A$1,F209),0))</f>
        <v>0</v>
      </c>
      <c r="AB209" s="6" cm="1">
        <f t="array" ref="AB209">IF(_xll.qwSecType(F209)="BondFuture",-(I209*_xll.qwDelta($A$4,F209)*_xll.qwMVFactor($A$1,F209)/_xll.qwMVFactor($A$1,_xll.qwFutCTD($A$1,F209)))*(_xll.qwFXRate($A$1,F209)*_xll.qwMVFactor($A$1,_xll.qwFutCTD($A$1,F209))*(_xll.qwIncome($A$4,_xll.qwFutCTD($A$4,F209),_xll.qwBondSettle($A$4,_xll.qwFutCTD($A$4,F209)),_xll.qwBondSettle($A$1,_xll.qwFutCTD($A$1,F209)))+(_xll.qwSecVal($A$1,AA209,"Price")-_xll.qwSecVal($A$4,AA209,"Price"))-_xll.qwBondRepoFromTo($A$1,AA209,_xll.qwBondSettle($A$4,AA209),_xll.qwBondSettle($A$1,AA209))*_xll.qwSecVal($A$1,AA209,"Price")*(_xll.qwBondSettle($A$1,AA209)-_xll.qwBondSettle($A$4,AA209))/360))+O209,0)</f>
        <v>0</v>
      </c>
      <c r="AC209" s="9" cm="1">
        <f t="array" ref="AC209">O209+T209+IF(ISNUMBER(_xll.qwIncome($A$1,F209,_xll.qwSettle($A$4,F209),_xll.qwSettle($A$1,F209))*_xll.qwMVFactor($A$1,F209)*_xll.qwFXRate($A$1,F209)*I209),_xll.qwIncome($A$1,F209,_xll.qwSettle($A$4,F209),_xll.qwSettle($A$1,F209))*_xll.qwMVFactor($A$1,F209)*_xll.qwFXRate($A$1,F209)*I209,0)+IF(ISNUMBER(-(_xll.qwBondRepoFromTo($A$1,F209,_xll.qwSettle($A$4,F209),_xll.qwSettle($A$1,F209))*_xll.qwSecVal($A$1,F209,"Price")*(_xll.qwSettle($A$1,F209)-_xll.qwSettle($A$4,F209))/360)*_xll.qwMVFactor($A$1,F209)*_xll.qwFXRate($A$1,F209)*I209),-(_xll.qwBondRepoFromTo($A$1,F209,_xll.qwSettle($A$4,F209),_xll.qwSettle($A$1,F209))*_xll.qwSecVal($A$1,F209,"Price")*(_xll.qwSettle($A$1,F209)-_xll.qwSettle($A$4,F209))/360)*_xll.qwMVFactor($A$1,F209)*_xll.qwFXRate($A$1,F209)*I209,0)</f>
        <v>35579.225950449101</v>
      </c>
      <c r="AD209" s="6"/>
    </row>
    <row r="210" spans="2:30" s="19" customFormat="1" x14ac:dyDescent="0.35">
      <c r="B210" s="19" t="str">
        <v>jcleary</v>
      </c>
      <c r="C210" s="19" t="str">
        <v>PPA</v>
      </c>
      <c r="D210" s="19" t="str">
        <v>jcleary|PPA|RV_US_FV_Spread|244044869</v>
      </c>
      <c r="E210" s="19" t="str">
        <v>RV_US_FV_Spread</v>
      </c>
      <c r="F210" s="19" t="str">
        <v>244044869</v>
      </c>
      <c r="G210" s="19">
        <v>55.8</v>
      </c>
      <c r="H210" s="19">
        <v>0</v>
      </c>
      <c r="I210" s="19">
        <v>55.8</v>
      </c>
      <c r="J210" s="19">
        <v>0</v>
      </c>
      <c r="K210" s="19">
        <v>0</v>
      </c>
      <c r="L210" s="19">
        <v>0</v>
      </c>
      <c r="M210" s="19">
        <v>0</v>
      </c>
      <c r="N210" s="19" t="str">
        <v>SwapTrade</v>
      </c>
      <c r="O210" s="6" cm="1">
        <f t="array" ref="O210">(_xll.qwPrice($A$1,F210)-_xll.qwPrice($A$4,F210))*_xll.qwMVFactor($A$1,F210)*I210*_xll.qwFXRate($A$1,F210)</f>
        <v>-19649.108673160707</v>
      </c>
      <c r="P210" s="6" cm="1">
        <f t="array" ref="P210">IF(ISNUMBER(_xll.qwDV01($A$1,F210)*I210*_xll.qwMVFactor($A$1,F210)*_xll.qwFXRate($A$1,F210)),_xll.qwDV01($A$1,F210)*I210*_xll.qwMVFactor($A$1,F210)*_xll.qwFXRate($A$1,F210),0)</f>
        <v>-22213.550340443093</v>
      </c>
      <c r="Q210" s="6" cm="1">
        <f t="array" ref="Q210">IF(ISNUMBER(_xll.qwDV01($A$1,F210)*G210*_xll.qwMVFactor($A$1,F210)*_xll.qwFXRate($A$1,F210)),_xll.qwDV01($A$1,F210)*G210*_xll.qwMVFactor($A$1,F210)*_xll.qwFXRate($A$1,F210),0)</f>
        <v>-22213.550340443093</v>
      </c>
      <c r="R210" s="6" cm="1">
        <f t="array" ref="R210">IF(ISNUMBER(_xll.qwDV01($A$1,F210)*J210*_xll.qwMVFactor($A$1,F210)*_xll.qwFXRate($A$1,F210)),_xll.qwDV01($A$1,F210)*J210*_xll.qwMVFactor($A$1,F210)*_xll.qwFXRate($A$1,F210),0)</f>
        <v>0</v>
      </c>
      <c r="S210" s="6" cm="1">
        <f t="array" ref="S210">IF(ISNUMBER(_xll.qwDV01($A$1,F210)*J210*_xll.qwMVFactor($A$1,F210)*_xll.qwFXRate($A$1,F210)),_xll.qwDV01($A$1,F210)*J210*_xll.qwMVFactor($A$1,F210)*_xll.qwFXRate($A$1,F210),0)</f>
        <v>0</v>
      </c>
      <c r="T210" s="6" cm="1">
        <f t="array" ref="T210">_xll.qwFXRate($A$1,F210)*J210*(_xll.qwPrice($A$1,F210)-M210)*_xll.qwMVFactor($A$1,F210)+L210</f>
        <v>0</v>
      </c>
      <c r="U210" s="8" cm="1">
        <f t="array" ref="U210">_xll.qwYield($A$1,F210)</f>
        <v>4.7049027680660119E-2</v>
      </c>
      <c r="V210" s="8" cm="1">
        <f t="array" ref="V210">100*(_xll.qwYield($A$4,F210)-U210)</f>
        <v>8.434760878627684E-3</v>
      </c>
      <c r="W210" s="6">
        <f>IF(ISNA(G210*INDEX(_xll.qwTblData(_xll.qwCurveScenariosPerSecurity($A$1,F210,"Crv210")),2,2)),0,(G210*INDEX(_xll.qwTblData(_xll.qwCurveScenariosPerSecurity($A$1,F210,"Crv210")),2,2)))</f>
        <v>-4006.921473156332</v>
      </c>
      <c r="X210" s="6" cm="1">
        <f t="array" ref="X210">ABS(Q210/_xll.qwMV01($A$1,"CT10"))</f>
        <v>29.903682419206074</v>
      </c>
      <c r="Y210" s="6" cm="1">
        <f t="array" ref="Y210">IF(N210="BondFuture",-(_xll.qwCurveYield($A$1,_xll.qwSecVal($A$1,AA210,"CreditCurveName()"),AA210)-_xll.qwCurveYield($A$4,_xll.qwSecVal($A$4,AA210,"CreditCurveName()"),AA210))*P210*10000,IF(N210="Bond",-(_xll.qwCurveYield($A$1,_xll.qwSecVal($A$1,F210,"CreditCurveName()"),F210)-_xll.qwCurveYield($A$4,_xll.qwSecVal($A$4,F210,"CreditCurveName()"),F210))*P210*10000,O210))</f>
        <v>-19649.108673160707</v>
      </c>
      <c r="Z210" s="6" cm="1">
        <f t="array" ref="Z210">IF(OR(N210="BondFuture",N210="Bond"),P210*(_xll.qwCurveZSpread($A$4,_xll.qwSecVal($A$1,AA210,"CreditCurveName()"),AA210)-_xll.qwCurveZSpread($A$1,_xll.qwSecVal($A$1,AA210,"CreditCurveName()"),AA210)),0)</f>
        <v>0</v>
      </c>
      <c r="AA210" s="9" cm="1">
        <f t="array" ref="AA210">IF(_xll.qwSecType(F210)="Bond",F210,IF(_xll.qwSecType(F210)="BondFuture",_xll.qwFutCTD($A$1,F210),0))</f>
        <v>0</v>
      </c>
      <c r="AB210" s="6" cm="1">
        <f t="array" ref="AB210">IF(_xll.qwSecType(F210)="BondFuture",-(I210*_xll.qwDelta($A$4,F210)*_xll.qwMVFactor($A$1,F210)/_xll.qwMVFactor($A$1,_xll.qwFutCTD($A$1,F210)))*(_xll.qwFXRate($A$1,F210)*_xll.qwMVFactor($A$1,_xll.qwFutCTD($A$1,F210))*(_xll.qwIncome($A$4,_xll.qwFutCTD($A$4,F210),_xll.qwBondSettle($A$4,_xll.qwFutCTD($A$4,F210)),_xll.qwBondSettle($A$1,_xll.qwFutCTD($A$1,F210)))+(_xll.qwSecVal($A$1,AA210,"Price")-_xll.qwSecVal($A$4,AA210,"Price"))-_xll.qwBondRepoFromTo($A$1,AA210,_xll.qwBondSettle($A$4,AA210),_xll.qwBondSettle($A$1,AA210))*_xll.qwSecVal($A$1,AA210,"Price")*(_xll.qwBondSettle($A$1,AA210)-_xll.qwBondSettle($A$4,AA210))/360))+O210,0)</f>
        <v>0</v>
      </c>
      <c r="AC210" s="9" cm="1">
        <f t="array" ref="AC210">O210+T210+IF(ISNUMBER(_xll.qwIncome($A$1,F210,_xll.qwSettle($A$4,F210),_xll.qwSettle($A$1,F210))*_xll.qwMVFactor($A$1,F210)*_xll.qwFXRate($A$1,F210)*I210),_xll.qwIncome($A$1,F210,_xll.qwSettle($A$4,F210),_xll.qwSettle($A$1,F210))*_xll.qwMVFactor($A$1,F210)*_xll.qwFXRate($A$1,F210)*I210,0)+IF(ISNUMBER(-(_xll.qwBondRepoFromTo($A$1,F210,_xll.qwSettle($A$4,F210),_xll.qwSettle($A$1,F210))*_xll.qwSecVal($A$1,F210,"Price")*(_xll.qwSettle($A$1,F210)-_xll.qwSettle($A$4,F210))/360)*_xll.qwMVFactor($A$1,F210)*_xll.qwFXRate($A$1,F210)*I210),-(_xll.qwBondRepoFromTo($A$1,F210,_xll.qwSettle($A$4,F210),_xll.qwSettle($A$1,F210))*_xll.qwSecVal($A$1,F210,"Price")*(_xll.qwSettle($A$1,F210)-_xll.qwSettle($A$4,F210))/360)*_xll.qwMVFactor($A$1,F210)*_xll.qwFXRate($A$1,F210)*I210,0)</f>
        <v>-19649.108673160707</v>
      </c>
      <c r="AD210" s="6"/>
    </row>
    <row r="211" spans="2:30" s="19" customFormat="1" x14ac:dyDescent="0.35">
      <c r="B211" s="19" t="str">
        <v>jcleary</v>
      </c>
      <c r="C211" s="19" t="str">
        <v>PPA</v>
      </c>
      <c r="D211" s="19" t="str">
        <v>jcleary|PPA|RV_US_FV_Spread|244604439</v>
      </c>
      <c r="E211" s="19" t="str">
        <v>RV_US_FV_Spread</v>
      </c>
      <c r="F211" s="19" t="str">
        <v>244604439</v>
      </c>
      <c r="G211" s="19">
        <v>972.9</v>
      </c>
      <c r="H211" s="19">
        <v>0</v>
      </c>
      <c r="I211" s="19">
        <v>972.9</v>
      </c>
      <c r="J211" s="19">
        <v>0</v>
      </c>
      <c r="K211" s="19">
        <v>0</v>
      </c>
      <c r="L211" s="19">
        <v>0</v>
      </c>
      <c r="M211" s="19">
        <v>0</v>
      </c>
      <c r="N211" s="19" t="str">
        <v>SwapTrade</v>
      </c>
      <c r="O211" s="6" cm="1">
        <f t="array" ref="O211">(_xll.qwPrice($A$1,F211)-_xll.qwPrice($A$4,F211))*_xll.qwMVFactor($A$1,F211)*I211*_xll.qwFXRate($A$1,F211)</f>
        <v>-257421.54104493043</v>
      </c>
      <c r="P211" s="6" cm="1">
        <f t="array" ref="P211">IF(ISNUMBER(_xll.qwDV01($A$1,F211)*I211*_xll.qwMVFactor($A$1,F211)*_xll.qwFXRate($A$1,F211)),_xll.qwDV01($A$1,F211)*I211*_xll.qwMVFactor($A$1,F211)*_xll.qwFXRate($A$1,F211),0)</f>
        <v>-337579.27428632887</v>
      </c>
      <c r="Q211" s="6" cm="1">
        <f t="array" ref="Q211">IF(ISNUMBER(_xll.qwDV01($A$1,F211)*G211*_xll.qwMVFactor($A$1,F211)*_xll.qwFXRate($A$1,F211)),_xll.qwDV01($A$1,F211)*G211*_xll.qwMVFactor($A$1,F211)*_xll.qwFXRate($A$1,F211),0)</f>
        <v>-337579.27428632887</v>
      </c>
      <c r="R211" s="6" cm="1">
        <f t="array" ref="R211">IF(ISNUMBER(_xll.qwDV01($A$1,F211)*J211*_xll.qwMVFactor($A$1,F211)*_xll.qwFXRate($A$1,F211)),_xll.qwDV01($A$1,F211)*J211*_xll.qwMVFactor($A$1,F211)*_xll.qwFXRate($A$1,F211),0)</f>
        <v>0</v>
      </c>
      <c r="S211" s="6" cm="1">
        <f t="array" ref="S211">IF(ISNUMBER(_xll.qwDV01($A$1,F211)*J211*_xll.qwMVFactor($A$1,F211)*_xll.qwFXRate($A$1,F211)),_xll.qwDV01($A$1,F211)*J211*_xll.qwMVFactor($A$1,F211)*_xll.qwFXRate($A$1,F211),0)</f>
        <v>0</v>
      </c>
      <c r="T211" s="6" cm="1">
        <f t="array" ref="T211">_xll.qwFXRate($A$1,F211)*J211*(_xll.qwPrice($A$1,F211)-M211)*_xll.qwMVFactor($A$1,F211)+L211</f>
        <v>0</v>
      </c>
      <c r="U211" s="8" cm="1">
        <f t="array" ref="U211">_xll.qwYield($A$1,F211)</f>
        <v>4.7041206694949447E-2</v>
      </c>
      <c r="V211" s="8" cm="1">
        <f t="array" ref="V211">100*(_xll.qwYield($A$4,F211)-U211)</f>
        <v>7.1634495770252216E-3</v>
      </c>
      <c r="W211" s="6">
        <f>IF(ISNA(G211*INDEX(_xll.qwTblData(_xll.qwCurveScenariosPerSecurity($A$1,F211,"Crv210")),2,2)),0,(G211*INDEX(_xll.qwTblData(_xll.qwCurveScenariosPerSecurity($A$1,F211,"Crv210")),2,2)))</f>
        <v>-89165.678159743242</v>
      </c>
      <c r="X211" s="6" cm="1">
        <f t="array" ref="X211">ABS(Q211/_xll.qwMV01($A$1,"CT10"))</f>
        <v>454.44619409555742</v>
      </c>
      <c r="Y211" s="6" cm="1">
        <f t="array" ref="Y211">IF(N211="BondFuture",-(_xll.qwCurveYield($A$1,_xll.qwSecVal($A$1,AA211,"CreditCurveName()"),AA211)-_xll.qwCurveYield($A$4,_xll.qwSecVal($A$4,AA211,"CreditCurveName()"),AA211))*P211*10000,IF(N211="Bond",-(_xll.qwCurveYield($A$1,_xll.qwSecVal($A$1,F211,"CreditCurveName()"),F211)-_xll.qwCurveYield($A$4,_xll.qwSecVal($A$4,F211,"CreditCurveName()"),F211))*P211*10000,O211))</f>
        <v>-257421.54104493043</v>
      </c>
      <c r="Z211" s="6" cm="1">
        <f t="array" ref="Z211">IF(OR(N211="BondFuture",N211="Bond"),P211*(_xll.qwCurveZSpread($A$4,_xll.qwSecVal($A$1,AA211,"CreditCurveName()"),AA211)-_xll.qwCurveZSpread($A$1,_xll.qwSecVal($A$1,AA211,"CreditCurveName()"),AA211)),0)</f>
        <v>0</v>
      </c>
      <c r="AA211" s="9" cm="1">
        <f t="array" ref="AA211">IF(_xll.qwSecType(F211)="Bond",F211,IF(_xll.qwSecType(F211)="BondFuture",_xll.qwFutCTD($A$1,F211),0))</f>
        <v>0</v>
      </c>
      <c r="AB211" s="6" cm="1">
        <f t="array" ref="AB211">IF(_xll.qwSecType(F211)="BondFuture",-(I211*_xll.qwDelta($A$4,F211)*_xll.qwMVFactor($A$1,F211)/_xll.qwMVFactor($A$1,_xll.qwFutCTD($A$1,F211)))*(_xll.qwFXRate($A$1,F211)*_xll.qwMVFactor($A$1,_xll.qwFutCTD($A$1,F211))*(_xll.qwIncome($A$4,_xll.qwFutCTD($A$4,F211),_xll.qwBondSettle($A$4,_xll.qwFutCTD($A$4,F211)),_xll.qwBondSettle($A$1,_xll.qwFutCTD($A$1,F211)))+(_xll.qwSecVal($A$1,AA211,"Price")-_xll.qwSecVal($A$4,AA211,"Price"))-_xll.qwBondRepoFromTo($A$1,AA211,_xll.qwBondSettle($A$4,AA211),_xll.qwBondSettle($A$1,AA211))*_xll.qwSecVal($A$1,AA211,"Price")*(_xll.qwBondSettle($A$1,AA211)-_xll.qwBondSettle($A$4,AA211))/360))+O211,0)</f>
        <v>0</v>
      </c>
      <c r="AC211" s="9" cm="1">
        <f t="array" ref="AC211">O211+T211+IF(ISNUMBER(_xll.qwIncome($A$1,F211,_xll.qwSettle($A$4,F211),_xll.qwSettle($A$1,F211))*_xll.qwMVFactor($A$1,F211)*_xll.qwFXRate($A$1,F211)*I211),_xll.qwIncome($A$1,F211,_xll.qwSettle($A$4,F211),_xll.qwSettle($A$1,F211))*_xll.qwMVFactor($A$1,F211)*_xll.qwFXRate($A$1,F211)*I211,0)+IF(ISNUMBER(-(_xll.qwBondRepoFromTo($A$1,F211,_xll.qwSettle($A$4,F211),_xll.qwSettle($A$1,F211))*_xll.qwSecVal($A$1,F211,"Price")*(_xll.qwSettle($A$1,F211)-_xll.qwSettle($A$4,F211))/360)*_xll.qwMVFactor($A$1,F211)*_xll.qwFXRate($A$1,F211)*I211),-(_xll.qwBondRepoFromTo($A$1,F211,_xll.qwSettle($A$4,F211),_xll.qwSettle($A$1,F211))*_xll.qwSecVal($A$1,F211,"Price")*(_xll.qwSettle($A$1,F211)-_xll.qwSettle($A$4,F211))/360)*_xll.qwMVFactor($A$1,F211)*_xll.qwFXRate($A$1,F211)*I211,0)</f>
        <v>-257421.54104493043</v>
      </c>
      <c r="AD211" s="6"/>
    </row>
    <row r="212" spans="2:30" s="19" customFormat="1" x14ac:dyDescent="0.35">
      <c r="B212" s="19" t="str">
        <v>jcleary</v>
      </c>
      <c r="C212" s="19" t="str">
        <v>PPA</v>
      </c>
      <c r="D212" s="19" t="str">
        <v>jcleary|PPA|RV_US_FV_Spread|244608633</v>
      </c>
      <c r="E212" s="19" t="str">
        <v>RV_US_FV_Spread</v>
      </c>
      <c r="F212" s="19" t="str">
        <v>244608633</v>
      </c>
      <c r="G212" s="19">
        <v>730.7</v>
      </c>
      <c r="H212" s="19">
        <v>0</v>
      </c>
      <c r="I212" s="19">
        <v>730.7</v>
      </c>
      <c r="J212" s="19">
        <v>0</v>
      </c>
      <c r="K212" s="19">
        <v>0</v>
      </c>
      <c r="L212" s="19">
        <v>0</v>
      </c>
      <c r="M212" s="19">
        <v>0</v>
      </c>
      <c r="N212" s="19" t="str">
        <v>SwapTrade</v>
      </c>
      <c r="O212" s="6" cm="1">
        <f t="array" ref="O212">(_xll.qwPrice($A$1,F212)-_xll.qwPrice($A$4,F212))*_xll.qwMVFactor($A$1,F212)*I212*_xll.qwFXRate($A$1,F212)</f>
        <v>-193451.30287039391</v>
      </c>
      <c r="P212" s="6" cm="1">
        <f t="array" ref="P212">IF(ISNUMBER(_xll.qwDV01($A$1,F212)*I212*_xll.qwMVFactor($A$1,F212)*_xll.qwFXRate($A$1,F212)),_xll.qwDV01($A$1,F212)*I212*_xll.qwMVFactor($A$1,F212)*_xll.qwFXRate($A$1,F212),0)</f>
        <v>-253759.76419208126</v>
      </c>
      <c r="Q212" s="6" cm="1">
        <f t="array" ref="Q212">IF(ISNUMBER(_xll.qwDV01($A$1,F212)*G212*_xll.qwMVFactor($A$1,F212)*_xll.qwFXRate($A$1,F212)),_xll.qwDV01($A$1,F212)*G212*_xll.qwMVFactor($A$1,F212)*_xll.qwFXRate($A$1,F212),0)</f>
        <v>-253759.76419208126</v>
      </c>
      <c r="R212" s="6" cm="1">
        <f t="array" ref="R212">IF(ISNUMBER(_xll.qwDV01($A$1,F212)*J212*_xll.qwMVFactor($A$1,F212)*_xll.qwFXRate($A$1,F212)),_xll.qwDV01($A$1,F212)*J212*_xll.qwMVFactor($A$1,F212)*_xll.qwFXRate($A$1,F212),0)</f>
        <v>0</v>
      </c>
      <c r="S212" s="6" cm="1">
        <f t="array" ref="S212">IF(ISNUMBER(_xll.qwDV01($A$1,F212)*J212*_xll.qwMVFactor($A$1,F212)*_xll.qwFXRate($A$1,F212)),_xll.qwDV01($A$1,F212)*J212*_xll.qwMVFactor($A$1,F212)*_xll.qwFXRate($A$1,F212),0)</f>
        <v>0</v>
      </c>
      <c r="T212" s="6" cm="1">
        <f t="array" ref="T212">_xll.qwFXRate($A$1,F212)*J212*(_xll.qwPrice($A$1,F212)-M212)*_xll.qwMVFactor($A$1,F212)+L212</f>
        <v>0</v>
      </c>
      <c r="U212" s="8" cm="1">
        <f t="array" ref="U212">_xll.qwYield($A$1,F212)</f>
        <v>4.7041206694949447E-2</v>
      </c>
      <c r="V212" s="8" cm="1">
        <f t="array" ref="V212">100*(_xll.qwYield($A$4,F212)-U212)</f>
        <v>7.1634495770252216E-3</v>
      </c>
      <c r="W212" s="6">
        <f>IF(ISNA(G212*INDEX(_xll.qwTblData(_xll.qwCurveScenariosPerSecurity($A$1,F212,"Crv210")),2,2)),0,(G212*INDEX(_xll.qwTblData(_xll.qwCurveScenariosPerSecurity($A$1,F212,"Crv210")),2,2)))</f>
        <v>-67053.034490128091</v>
      </c>
      <c r="X212" s="6" cm="1">
        <f t="array" ref="X212">ABS(Q212/_xll.qwMV01($A$1,"CT10"))</f>
        <v>341.60912068868566</v>
      </c>
      <c r="Y212" s="6" cm="1">
        <f t="array" ref="Y212">IF(N212="BondFuture",-(_xll.qwCurveYield($A$1,_xll.qwSecVal($A$1,AA212,"CreditCurveName()"),AA212)-_xll.qwCurveYield($A$4,_xll.qwSecVal($A$4,AA212,"CreditCurveName()"),AA212))*P212*10000,IF(N212="Bond",-(_xll.qwCurveYield($A$1,_xll.qwSecVal($A$1,F212,"CreditCurveName()"),F212)-_xll.qwCurveYield($A$4,_xll.qwSecVal($A$4,F212,"CreditCurveName()"),F212))*P212*10000,O212))</f>
        <v>-193451.30287039391</v>
      </c>
      <c r="Z212" s="6" cm="1">
        <f t="array" ref="Z212">IF(OR(N212="BondFuture",N212="Bond"),P212*(_xll.qwCurveZSpread($A$4,_xll.qwSecVal($A$1,AA212,"CreditCurveName()"),AA212)-_xll.qwCurveZSpread($A$1,_xll.qwSecVal($A$1,AA212,"CreditCurveName()"),AA212)),0)</f>
        <v>0</v>
      </c>
      <c r="AA212" s="9" cm="1">
        <f t="array" ref="AA212">IF(_xll.qwSecType(F212)="Bond",F212,IF(_xll.qwSecType(F212)="BondFuture",_xll.qwFutCTD($A$1,F212),0))</f>
        <v>0</v>
      </c>
      <c r="AB212" s="6" cm="1">
        <f t="array" ref="AB212">IF(_xll.qwSecType(F212)="BondFuture",-(I212*_xll.qwDelta($A$4,F212)*_xll.qwMVFactor($A$1,F212)/_xll.qwMVFactor($A$1,_xll.qwFutCTD($A$1,F212)))*(_xll.qwFXRate($A$1,F212)*_xll.qwMVFactor($A$1,_xll.qwFutCTD($A$1,F212))*(_xll.qwIncome($A$4,_xll.qwFutCTD($A$4,F212),_xll.qwBondSettle($A$4,_xll.qwFutCTD($A$4,F212)),_xll.qwBondSettle($A$1,_xll.qwFutCTD($A$1,F212)))+(_xll.qwSecVal($A$1,AA212,"Price")-_xll.qwSecVal($A$4,AA212,"Price"))-_xll.qwBondRepoFromTo($A$1,AA212,_xll.qwBondSettle($A$4,AA212),_xll.qwBondSettle($A$1,AA212))*_xll.qwSecVal($A$1,AA212,"Price")*(_xll.qwBondSettle($A$1,AA212)-_xll.qwBondSettle($A$4,AA212))/360))+O212,0)</f>
        <v>0</v>
      </c>
      <c r="AC212" s="9" cm="1">
        <f t="array" ref="AC212">O212+T212+IF(ISNUMBER(_xll.qwIncome($A$1,F212,_xll.qwSettle($A$4,F212),_xll.qwSettle($A$1,F212))*_xll.qwMVFactor($A$1,F212)*_xll.qwFXRate($A$1,F212)*I212),_xll.qwIncome($A$1,F212,_xll.qwSettle($A$4,F212),_xll.qwSettle($A$1,F212))*_xll.qwMVFactor($A$1,F212)*_xll.qwFXRate($A$1,F212)*I212,0)+IF(ISNUMBER(-(_xll.qwBondRepoFromTo($A$1,F212,_xll.qwSettle($A$4,F212),_xll.qwSettle($A$1,F212))*_xll.qwSecVal($A$1,F212,"Price")*(_xll.qwSettle($A$1,F212)-_xll.qwSettle($A$4,F212))/360)*_xll.qwMVFactor($A$1,F212)*_xll.qwFXRate($A$1,F212)*I212),-(_xll.qwBondRepoFromTo($A$1,F212,_xll.qwSettle($A$4,F212),_xll.qwSettle($A$1,F212))*_xll.qwSecVal($A$1,F212,"Price")*(_xll.qwSettle($A$1,F212)-_xll.qwSettle($A$4,F212))/360)*_xll.qwMVFactor($A$1,F212)*_xll.qwFXRate($A$1,F212)*I212,0)</f>
        <v>-193451.30287039391</v>
      </c>
      <c r="AD212" s="6"/>
    </row>
    <row r="213" spans="2:30" s="19" customFormat="1" x14ac:dyDescent="0.35">
      <c r="B213" s="19" t="str">
        <v>jcleary</v>
      </c>
      <c r="C213" s="19" t="str">
        <v>PPA</v>
      </c>
      <c r="D213" s="19" t="str">
        <v>jcleary|PPA|RV_US_FV_Spread|244855170</v>
      </c>
      <c r="E213" s="19" t="str">
        <v>RV_US_FV_Spread</v>
      </c>
      <c r="F213" s="19" t="str">
        <v>244855170</v>
      </c>
      <c r="G213" s="19">
        <v>461.80799999999999</v>
      </c>
      <c r="H213" s="19">
        <v>0</v>
      </c>
      <c r="I213" s="19">
        <v>461.80799999999999</v>
      </c>
      <c r="J213" s="19">
        <v>0</v>
      </c>
      <c r="K213" s="19">
        <v>0</v>
      </c>
      <c r="L213" s="19">
        <v>0</v>
      </c>
      <c r="M213" s="19">
        <v>0</v>
      </c>
      <c r="N213" s="19" t="str">
        <v>SwapTrade</v>
      </c>
      <c r="O213" s="6" cm="1">
        <f t="array" ref="O213">(_xll.qwPrice($A$1,F213)-_xll.qwPrice($A$4,F213))*_xll.qwMVFactor($A$1,F213)*I213*_xll.qwFXRate($A$1,F213)</f>
        <v>-122134.01067491232</v>
      </c>
      <c r="P213" s="6" cm="1">
        <f t="array" ref="P213">IF(ISNUMBER(_xll.qwDV01($A$1,F213)*I213*_xll.qwMVFactor($A$1,F213)*_xll.qwFXRate($A$1,F213)),_xll.qwDV01($A$1,F213)*I213*_xll.qwMVFactor($A$1,F213)*_xll.qwFXRate($A$1,F213),0)</f>
        <v>-160130.01995436291</v>
      </c>
      <c r="Q213" s="6" cm="1">
        <f t="array" ref="Q213">IF(ISNUMBER(_xll.qwDV01($A$1,F213)*G213*_xll.qwMVFactor($A$1,F213)*_xll.qwFXRate($A$1,F213)),_xll.qwDV01($A$1,F213)*G213*_xll.qwMVFactor($A$1,F213)*_xll.qwFXRate($A$1,F213),0)</f>
        <v>-160130.01995436291</v>
      </c>
      <c r="R213" s="6" cm="1">
        <f t="array" ref="R213">IF(ISNUMBER(_xll.qwDV01($A$1,F213)*J213*_xll.qwMVFactor($A$1,F213)*_xll.qwFXRate($A$1,F213)),_xll.qwDV01($A$1,F213)*J213*_xll.qwMVFactor($A$1,F213)*_xll.qwFXRate($A$1,F213),0)</f>
        <v>0</v>
      </c>
      <c r="S213" s="6" cm="1">
        <f t="array" ref="S213">IF(ISNUMBER(_xll.qwDV01($A$1,F213)*J213*_xll.qwMVFactor($A$1,F213)*_xll.qwFXRate($A$1,F213)),_xll.qwDV01($A$1,F213)*J213*_xll.qwMVFactor($A$1,F213)*_xll.qwFXRate($A$1,F213),0)</f>
        <v>0</v>
      </c>
      <c r="T213" s="6" cm="1">
        <f t="array" ref="T213">_xll.qwFXRate($A$1,F213)*J213*(_xll.qwPrice($A$1,F213)-M213)*_xll.qwMVFactor($A$1,F213)+L213</f>
        <v>0</v>
      </c>
      <c r="U213" s="8" cm="1">
        <f t="array" ref="U213">_xll.qwYield($A$1,F213)</f>
        <v>4.7041206694949447E-2</v>
      </c>
      <c r="V213" s="8" cm="1">
        <f t="array" ref="V213">100*(_xll.qwYield($A$4,F213)-U213)</f>
        <v>7.1634495770252216E-3</v>
      </c>
      <c r="W213" s="6">
        <f>IF(ISNA(G213*INDEX(_xll.qwTblData(_xll.qwCurveScenariosPerSecurity($A$1,F213,"Crv210")),2,2)),0,(G213*INDEX(_xll.qwTblData(_xll.qwCurveScenariosPerSecurity($A$1,F213,"Crv210")),2,2)))</f>
        <v>-42282.214549222801</v>
      </c>
      <c r="X213" s="6" cm="1">
        <f t="array" ref="X213">ABS(Q213/_xll.qwMV01($A$1,"CT10"))</f>
        <v>215.56559798449959</v>
      </c>
      <c r="Y213" s="6" cm="1">
        <f t="array" ref="Y213">IF(N213="BondFuture",-(_xll.qwCurveYield($A$1,_xll.qwSecVal($A$1,AA213,"CreditCurveName()"),AA213)-_xll.qwCurveYield($A$4,_xll.qwSecVal($A$4,AA213,"CreditCurveName()"),AA213))*P213*10000,IF(N213="Bond",-(_xll.qwCurveYield($A$1,_xll.qwSecVal($A$1,F213,"CreditCurveName()"),F213)-_xll.qwCurveYield($A$4,_xll.qwSecVal($A$4,F213,"CreditCurveName()"),F213))*P213*10000,O213))</f>
        <v>-122134.01067491232</v>
      </c>
      <c r="Z213" s="6" cm="1">
        <f t="array" ref="Z213">IF(OR(N213="BondFuture",N213="Bond"),P213*(_xll.qwCurveZSpread($A$4,_xll.qwSecVal($A$1,AA213,"CreditCurveName()"),AA213)-_xll.qwCurveZSpread($A$1,_xll.qwSecVal($A$1,AA213,"CreditCurveName()"),AA213)),0)</f>
        <v>0</v>
      </c>
      <c r="AA213" s="9" cm="1">
        <f t="array" ref="AA213">IF(_xll.qwSecType(F213)="Bond",F213,IF(_xll.qwSecType(F213)="BondFuture",_xll.qwFutCTD($A$1,F213),0))</f>
        <v>0</v>
      </c>
      <c r="AB213" s="6" cm="1">
        <f t="array" ref="AB213">IF(_xll.qwSecType(F213)="BondFuture",-(I213*_xll.qwDelta($A$4,F213)*_xll.qwMVFactor($A$1,F213)/_xll.qwMVFactor($A$1,_xll.qwFutCTD($A$1,F213)))*(_xll.qwFXRate($A$1,F213)*_xll.qwMVFactor($A$1,_xll.qwFutCTD($A$1,F213))*(_xll.qwIncome($A$4,_xll.qwFutCTD($A$4,F213),_xll.qwBondSettle($A$4,_xll.qwFutCTD($A$4,F213)),_xll.qwBondSettle($A$1,_xll.qwFutCTD($A$1,F213)))+(_xll.qwSecVal($A$1,AA213,"Price")-_xll.qwSecVal($A$4,AA213,"Price"))-_xll.qwBondRepoFromTo($A$1,AA213,_xll.qwBondSettle($A$4,AA213),_xll.qwBondSettle($A$1,AA213))*_xll.qwSecVal($A$1,AA213,"Price")*(_xll.qwBondSettle($A$1,AA213)-_xll.qwBondSettle($A$4,AA213))/360))+O213,0)</f>
        <v>0</v>
      </c>
      <c r="AC213" s="9" cm="1">
        <f t="array" ref="AC213">O213+T213+IF(ISNUMBER(_xll.qwIncome($A$1,F213,_xll.qwSettle($A$4,F213),_xll.qwSettle($A$1,F213))*_xll.qwMVFactor($A$1,F213)*_xll.qwFXRate($A$1,F213)*I213),_xll.qwIncome($A$1,F213,_xll.qwSettle($A$4,F213),_xll.qwSettle($A$1,F213))*_xll.qwMVFactor($A$1,F213)*_xll.qwFXRate($A$1,F213)*I213,0)+IF(ISNUMBER(-(_xll.qwBondRepoFromTo($A$1,F213,_xll.qwSettle($A$4,F213),_xll.qwSettle($A$1,F213))*_xll.qwSecVal($A$1,F213,"Price")*(_xll.qwSettle($A$1,F213)-_xll.qwSettle($A$4,F213))/360)*_xll.qwMVFactor($A$1,F213)*_xll.qwFXRate($A$1,F213)*I213),-(_xll.qwBondRepoFromTo($A$1,F213,_xll.qwSettle($A$4,F213),_xll.qwSettle($A$1,F213))*_xll.qwSecVal($A$1,F213,"Price")*(_xll.qwSettle($A$1,F213)-_xll.qwSettle($A$4,F213))/360)*_xll.qwMVFactor($A$1,F213)*_xll.qwFXRate($A$1,F213)*I213,0)</f>
        <v>-122134.01067491232</v>
      </c>
      <c r="AD213" s="6"/>
    </row>
    <row r="214" spans="2:30" s="19" customFormat="1" x14ac:dyDescent="0.35">
      <c r="B214" s="19" t="str">
        <v>jcleary</v>
      </c>
      <c r="C214" s="19" t="str">
        <v>PPA</v>
      </c>
      <c r="D214" s="19" t="str">
        <v>jcleary|PPA|RV_US_FV_Spread|244974233</v>
      </c>
      <c r="E214" s="19" t="str">
        <v>RV_US_FV_Spread</v>
      </c>
      <c r="F214" s="19" t="str">
        <v>244974233</v>
      </c>
      <c r="G214" s="19">
        <v>97.5</v>
      </c>
      <c r="H214" s="19">
        <v>0</v>
      </c>
      <c r="I214" s="19">
        <v>97.5</v>
      </c>
      <c r="J214" s="19">
        <v>0</v>
      </c>
      <c r="K214" s="19">
        <v>0</v>
      </c>
      <c r="L214" s="19">
        <v>0</v>
      </c>
      <c r="M214" s="19">
        <v>0</v>
      </c>
      <c r="N214" s="19" t="str">
        <v>SwapTrade</v>
      </c>
      <c r="O214" s="6" cm="1">
        <f t="array" ref="O214">(_xll.qwPrice($A$1,F214)-_xll.qwPrice($A$4,F214))*_xll.qwMVFactor($A$1,F214)*I214*_xll.qwFXRate($A$1,F214)</f>
        <v>-25776.173102356217</v>
      </c>
      <c r="P214" s="6" cm="1">
        <f t="array" ref="P214">IF(ISNUMBER(_xll.qwDV01($A$1,F214)*I214*_xll.qwMVFactor($A$1,F214)*_xll.qwFXRate($A$1,F214)),_xll.qwDV01($A$1,F214)*I214*_xll.qwMVFactor($A$1,F214)*_xll.qwFXRate($A$1,F214),0)</f>
        <v>-33789.259199122491</v>
      </c>
      <c r="Q214" s="6" cm="1">
        <f t="array" ref="Q214">IF(ISNUMBER(_xll.qwDV01($A$1,F214)*G214*_xll.qwMVFactor($A$1,F214)*_xll.qwFXRate($A$1,F214)),_xll.qwDV01($A$1,F214)*G214*_xll.qwMVFactor($A$1,F214)*_xll.qwFXRate($A$1,F214),0)</f>
        <v>-33789.259199122491</v>
      </c>
      <c r="R214" s="6" cm="1">
        <f t="array" ref="R214">IF(ISNUMBER(_xll.qwDV01($A$1,F214)*J214*_xll.qwMVFactor($A$1,F214)*_xll.qwFXRate($A$1,F214)),_xll.qwDV01($A$1,F214)*J214*_xll.qwMVFactor($A$1,F214)*_xll.qwFXRate($A$1,F214),0)</f>
        <v>0</v>
      </c>
      <c r="S214" s="6" cm="1">
        <f t="array" ref="S214">IF(ISNUMBER(_xll.qwDV01($A$1,F214)*J214*_xll.qwMVFactor($A$1,F214)*_xll.qwFXRate($A$1,F214)),_xll.qwDV01($A$1,F214)*J214*_xll.qwMVFactor($A$1,F214)*_xll.qwFXRate($A$1,F214),0)</f>
        <v>0</v>
      </c>
      <c r="T214" s="6" cm="1">
        <f t="array" ref="T214">_xll.qwFXRate($A$1,F214)*J214*(_xll.qwPrice($A$1,F214)-M214)*_xll.qwMVFactor($A$1,F214)+L214</f>
        <v>0</v>
      </c>
      <c r="U214" s="8" cm="1">
        <f t="array" ref="U214">_xll.qwYield($A$1,F214)</f>
        <v>4.7041206694949447E-2</v>
      </c>
      <c r="V214" s="8" cm="1">
        <f t="array" ref="V214">100*(_xll.qwYield($A$4,F214)-U214)</f>
        <v>7.1634495770252216E-3</v>
      </c>
      <c r="W214" s="6">
        <f>IF(ISNA(G214*INDEX(_xll.qwTblData(_xll.qwCurveScenariosPerSecurity($A$1,F214,"Crv210")),2,2)),0,(G214*INDEX(_xll.qwTblData(_xll.qwCurveScenariosPerSecurity($A$1,F214,"Crv210")),2,2)))</f>
        <v>-8919.7736005933948</v>
      </c>
      <c r="X214" s="6" cm="1">
        <f t="array" ref="X214">ABS(Q214/_xll.qwMV01($A$1,"CT10"))</f>
        <v>45.486797958234057</v>
      </c>
      <c r="Y214" s="6" cm="1">
        <f t="array" ref="Y214">IF(N214="BondFuture",-(_xll.qwCurveYield($A$1,_xll.qwSecVal($A$1,AA214,"CreditCurveName()"),AA214)-_xll.qwCurveYield($A$4,_xll.qwSecVal($A$4,AA214,"CreditCurveName()"),AA214))*P214*10000,IF(N214="Bond",-(_xll.qwCurveYield($A$1,_xll.qwSecVal($A$1,F214,"CreditCurveName()"),F214)-_xll.qwCurveYield($A$4,_xll.qwSecVal($A$4,F214,"CreditCurveName()"),F214))*P214*10000,O214))</f>
        <v>-25776.173102356217</v>
      </c>
      <c r="Z214" s="6" cm="1">
        <f t="array" ref="Z214">IF(OR(N214="BondFuture",N214="Bond"),P214*(_xll.qwCurveZSpread($A$4,_xll.qwSecVal($A$1,AA214,"CreditCurveName()"),AA214)-_xll.qwCurveZSpread($A$1,_xll.qwSecVal($A$1,AA214,"CreditCurveName()"),AA214)),0)</f>
        <v>0</v>
      </c>
      <c r="AA214" s="9" cm="1">
        <f t="array" ref="AA214">IF(_xll.qwSecType(F214)="Bond",F214,IF(_xll.qwSecType(F214)="BondFuture",_xll.qwFutCTD($A$1,F214),0))</f>
        <v>0</v>
      </c>
      <c r="AB214" s="6" cm="1">
        <f t="array" ref="AB214">IF(_xll.qwSecType(F214)="BondFuture",-(I214*_xll.qwDelta($A$4,F214)*_xll.qwMVFactor($A$1,F214)/_xll.qwMVFactor($A$1,_xll.qwFutCTD($A$1,F214)))*(_xll.qwFXRate($A$1,F214)*_xll.qwMVFactor($A$1,_xll.qwFutCTD($A$1,F214))*(_xll.qwIncome($A$4,_xll.qwFutCTD($A$4,F214),_xll.qwBondSettle($A$4,_xll.qwFutCTD($A$4,F214)),_xll.qwBondSettle($A$1,_xll.qwFutCTD($A$1,F214)))+(_xll.qwSecVal($A$1,AA214,"Price")-_xll.qwSecVal($A$4,AA214,"Price"))-_xll.qwBondRepoFromTo($A$1,AA214,_xll.qwBondSettle($A$4,AA214),_xll.qwBondSettle($A$1,AA214))*_xll.qwSecVal($A$1,AA214,"Price")*(_xll.qwBondSettle($A$1,AA214)-_xll.qwBondSettle($A$4,AA214))/360))+O214,0)</f>
        <v>0</v>
      </c>
      <c r="AC214" s="9" cm="1">
        <f t="array" ref="AC214">O214+T214+IF(ISNUMBER(_xll.qwIncome($A$1,F214,_xll.qwSettle($A$4,F214),_xll.qwSettle($A$1,F214))*_xll.qwMVFactor($A$1,F214)*_xll.qwFXRate($A$1,F214)*I214),_xll.qwIncome($A$1,F214,_xll.qwSettle($A$4,F214),_xll.qwSettle($A$1,F214))*_xll.qwMVFactor($A$1,F214)*_xll.qwFXRate($A$1,F214)*I214,0)+IF(ISNUMBER(-(_xll.qwBondRepoFromTo($A$1,F214,_xll.qwSettle($A$4,F214),_xll.qwSettle($A$1,F214))*_xll.qwSecVal($A$1,F214,"Price")*(_xll.qwSettle($A$1,F214)-_xll.qwSettle($A$4,F214))/360)*_xll.qwMVFactor($A$1,F214)*_xll.qwFXRate($A$1,F214)*I214),-(_xll.qwBondRepoFromTo($A$1,F214,_xll.qwSettle($A$4,F214),_xll.qwSettle($A$1,F214))*_xll.qwSecVal($A$1,F214,"Price")*(_xll.qwSettle($A$1,F214)-_xll.qwSettle($A$4,F214))/360)*_xll.qwMVFactor($A$1,F214)*_xll.qwFXRate($A$1,F214)*I214,0)</f>
        <v>-25776.173102356217</v>
      </c>
      <c r="AD214" s="6"/>
    </row>
    <row r="215" spans="2:30" s="19" customFormat="1" x14ac:dyDescent="0.35">
      <c r="B215" s="19" t="str">
        <v>jcleary</v>
      </c>
      <c r="C215" s="19" t="str">
        <v>PPA</v>
      </c>
      <c r="D215" s="19" t="str">
        <v>jcleary|PPA|RV_US_FV_Spread|244975732</v>
      </c>
      <c r="E215" s="19" t="str">
        <v>RV_US_FV_Spread</v>
      </c>
      <c r="F215" s="19" t="str">
        <v>244975732</v>
      </c>
      <c r="G215" s="19">
        <v>505.9</v>
      </c>
      <c r="H215" s="19">
        <v>0</v>
      </c>
      <c r="I215" s="19">
        <v>505.9</v>
      </c>
      <c r="J215" s="19">
        <v>0</v>
      </c>
      <c r="K215" s="19">
        <v>0</v>
      </c>
      <c r="L215" s="19">
        <v>0</v>
      </c>
      <c r="M215" s="19">
        <v>0</v>
      </c>
      <c r="N215" s="19" t="str">
        <v>SwapTrade</v>
      </c>
      <c r="O215" s="6" cm="1">
        <f t="array" ref="O215">(_xll.qwPrice($A$1,F215)-_xll.qwPrice($A$4,F215))*_xll.qwMVFactor($A$1,F215)*I215*_xll.qwFXRate($A$1,F215)</f>
        <v>-133735.52173277354</v>
      </c>
      <c r="P215" s="6" cm="1">
        <f t="array" ref="P215">IF(ISNUMBER(_xll.qwDV01($A$1,F215)*I215*_xll.qwMVFactor($A$1,F215)*_xll.qwFXRate($A$1,F215)),_xll.qwDV01($A$1,F215)*I215*_xll.qwMVFactor($A$1,F215)*_xll.qwFXRate($A$1,F215),0)</f>
        <v>-175304.10074180033</v>
      </c>
      <c r="Q215" s="6" cm="1">
        <f t="array" ref="Q215">IF(ISNUMBER(_xll.qwDV01($A$1,F215)*G215*_xll.qwMVFactor($A$1,F215)*_xll.qwFXRate($A$1,F215)),_xll.qwDV01($A$1,F215)*G215*_xll.qwMVFactor($A$1,F215)*_xll.qwFXRate($A$1,F215),0)</f>
        <v>-175304.10074180033</v>
      </c>
      <c r="R215" s="6" cm="1">
        <f t="array" ref="R215">IF(ISNUMBER(_xll.qwDV01($A$1,F215)*J215*_xll.qwMVFactor($A$1,F215)*_xll.qwFXRate($A$1,F215)),_xll.qwDV01($A$1,F215)*J215*_xll.qwMVFactor($A$1,F215)*_xll.qwFXRate($A$1,F215),0)</f>
        <v>0</v>
      </c>
      <c r="S215" s="6" cm="1">
        <f t="array" ref="S215">IF(ISNUMBER(_xll.qwDV01($A$1,F215)*J215*_xll.qwMVFactor($A$1,F215)*_xll.qwFXRate($A$1,F215)),_xll.qwDV01($A$1,F215)*J215*_xll.qwMVFactor($A$1,F215)*_xll.qwFXRate($A$1,F215),0)</f>
        <v>0</v>
      </c>
      <c r="T215" s="6" cm="1">
        <f t="array" ref="T215">_xll.qwFXRate($A$1,F215)*J215*(_xll.qwPrice($A$1,F215)-M215)*_xll.qwMVFactor($A$1,F215)+L215</f>
        <v>0</v>
      </c>
      <c r="U215" s="8" cm="1">
        <f t="array" ref="U215">_xll.qwYield($A$1,F215)</f>
        <v>4.7041206694949447E-2</v>
      </c>
      <c r="V215" s="8" cm="1">
        <f t="array" ref="V215">100*(_xll.qwYield($A$4,F215)-U215)</f>
        <v>7.1634495770252216E-3</v>
      </c>
      <c r="W215" s="6">
        <f>IF(ISNA(G215*INDEX(_xll.qwTblData(_xll.qwCurveScenariosPerSecurity($A$1,F215,"Crv210")),2,2)),0,(G215*INDEX(_xll.qwTblData(_xll.qwCurveScenariosPerSecurity($A$1,F215,"Crv210")),2,2)))</f>
        <v>-46274.915134007075</v>
      </c>
      <c r="X215" s="6" cm="1">
        <f t="array" ref="X215">ABS(Q215/_xll.qwMV01($A$1,"CT10"))</f>
        <v>235.99280957006795</v>
      </c>
      <c r="Y215" s="6" cm="1">
        <f t="array" ref="Y215">IF(N215="BondFuture",-(_xll.qwCurveYield($A$1,_xll.qwSecVal($A$1,AA215,"CreditCurveName()"),AA215)-_xll.qwCurveYield($A$4,_xll.qwSecVal($A$4,AA215,"CreditCurveName()"),AA215))*P215*10000,IF(N215="Bond",-(_xll.qwCurveYield($A$1,_xll.qwSecVal($A$1,F215,"CreditCurveName()"),F215)-_xll.qwCurveYield($A$4,_xll.qwSecVal($A$4,F215,"CreditCurveName()"),F215))*P215*10000,O215))</f>
        <v>-133735.52173277354</v>
      </c>
      <c r="Z215" s="6" cm="1">
        <f t="array" ref="Z215">IF(OR(N215="BondFuture",N215="Bond"),P215*(_xll.qwCurveZSpread($A$4,_xll.qwSecVal($A$1,AA215,"CreditCurveName()"),AA215)-_xll.qwCurveZSpread($A$1,_xll.qwSecVal($A$1,AA215,"CreditCurveName()"),AA215)),0)</f>
        <v>0</v>
      </c>
      <c r="AA215" s="9" cm="1">
        <f t="array" ref="AA215">IF(_xll.qwSecType(F215)="Bond",F215,IF(_xll.qwSecType(F215)="BondFuture",_xll.qwFutCTD($A$1,F215),0))</f>
        <v>0</v>
      </c>
      <c r="AB215" s="6" cm="1">
        <f t="array" ref="AB215">IF(_xll.qwSecType(F215)="BondFuture",-(I215*_xll.qwDelta($A$4,F215)*_xll.qwMVFactor($A$1,F215)/_xll.qwMVFactor($A$1,_xll.qwFutCTD($A$1,F215)))*(_xll.qwFXRate($A$1,F215)*_xll.qwMVFactor($A$1,_xll.qwFutCTD($A$1,F215))*(_xll.qwIncome($A$4,_xll.qwFutCTD($A$4,F215),_xll.qwBondSettle($A$4,_xll.qwFutCTD($A$4,F215)),_xll.qwBondSettle($A$1,_xll.qwFutCTD($A$1,F215)))+(_xll.qwSecVal($A$1,AA215,"Price")-_xll.qwSecVal($A$4,AA215,"Price"))-_xll.qwBondRepoFromTo($A$1,AA215,_xll.qwBondSettle($A$4,AA215),_xll.qwBondSettle($A$1,AA215))*_xll.qwSecVal($A$1,AA215,"Price")*(_xll.qwBondSettle($A$1,AA215)-_xll.qwBondSettle($A$4,AA215))/360))+O215,0)</f>
        <v>0</v>
      </c>
      <c r="AC215" s="9" cm="1">
        <f t="array" ref="AC215">O215+T215+IF(ISNUMBER(_xll.qwIncome($A$1,F215,_xll.qwSettle($A$4,F215),_xll.qwSettle($A$1,F215))*_xll.qwMVFactor($A$1,F215)*_xll.qwFXRate($A$1,F215)*I215),_xll.qwIncome($A$1,F215,_xll.qwSettle($A$4,F215),_xll.qwSettle($A$1,F215))*_xll.qwMVFactor($A$1,F215)*_xll.qwFXRate($A$1,F215)*I215,0)+IF(ISNUMBER(-(_xll.qwBondRepoFromTo($A$1,F215,_xll.qwSettle($A$4,F215),_xll.qwSettle($A$1,F215))*_xll.qwSecVal($A$1,F215,"Price")*(_xll.qwSettle($A$1,F215)-_xll.qwSettle($A$4,F215))/360)*_xll.qwMVFactor($A$1,F215)*_xll.qwFXRate($A$1,F215)*I215),-(_xll.qwBondRepoFromTo($A$1,F215,_xll.qwSettle($A$4,F215),_xll.qwSettle($A$1,F215))*_xll.qwSecVal($A$1,F215,"Price")*(_xll.qwSettle($A$1,F215)-_xll.qwSettle($A$4,F215))/360)*_xll.qwMVFactor($A$1,F215)*_xll.qwFXRate($A$1,F215)*I215,0)</f>
        <v>-133735.52173277354</v>
      </c>
      <c r="AD215" s="6"/>
    </row>
    <row r="216" spans="2:30" s="19" customFormat="1" x14ac:dyDescent="0.35">
      <c r="B216" s="19" t="str">
        <v>jcleary</v>
      </c>
      <c r="C216" s="19" t="str">
        <v>PPA</v>
      </c>
      <c r="D216" s="19" t="str">
        <v>jcleary|PPA|RV_US_FV_Spread|249795190</v>
      </c>
      <c r="E216" s="19" t="str">
        <v>RV_US_FV_Spread</v>
      </c>
      <c r="F216" s="19" t="str">
        <v>249795190</v>
      </c>
      <c r="G216" s="19">
        <v>419.8</v>
      </c>
      <c r="H216" s="19">
        <v>0</v>
      </c>
      <c r="I216" s="19">
        <v>419.8</v>
      </c>
      <c r="J216" s="19">
        <v>0</v>
      </c>
      <c r="K216" s="19">
        <v>0</v>
      </c>
      <c r="L216" s="19">
        <v>0</v>
      </c>
      <c r="M216" s="19">
        <v>0</v>
      </c>
      <c r="N216" s="19" t="str">
        <v>SwapTrade</v>
      </c>
      <c r="O216" s="6" cm="1">
        <f t="array" ref="O216">(_xll.qwPrice($A$1,F216)-_xll.qwPrice($A$4,F216))*_xll.qwMVFactor($A$1,F216)*I216*_xll.qwFXRate($A$1,F216)</f>
        <v>-44102.118283528434</v>
      </c>
      <c r="P216" s="6" cm="1">
        <f t="array" ref="P216">IF(ISNUMBER(_xll.qwDV01($A$1,F216)*I216*_xll.qwMVFactor($A$1,F216)*_xll.qwFXRate($A$1,F216)),_xll.qwDV01($A$1,F216)*I216*_xll.qwMVFactor($A$1,F216)*_xll.qwFXRate($A$1,F216),0)</f>
        <v>-111183.02251701022</v>
      </c>
      <c r="Q216" s="6" cm="1">
        <f t="array" ref="Q216">IF(ISNUMBER(_xll.qwDV01($A$1,F216)*G216*_xll.qwMVFactor($A$1,F216)*_xll.qwFXRate($A$1,F216)),_xll.qwDV01($A$1,F216)*G216*_xll.qwMVFactor($A$1,F216)*_xll.qwFXRate($A$1,F216),0)</f>
        <v>-111183.02251701022</v>
      </c>
      <c r="R216" s="6" cm="1">
        <f t="array" ref="R216">IF(ISNUMBER(_xll.qwDV01($A$1,F216)*J216*_xll.qwMVFactor($A$1,F216)*_xll.qwFXRate($A$1,F216)),_xll.qwDV01($A$1,F216)*J216*_xll.qwMVFactor($A$1,F216)*_xll.qwFXRate($A$1,F216),0)</f>
        <v>0</v>
      </c>
      <c r="S216" s="6" cm="1">
        <f t="array" ref="S216">IF(ISNUMBER(_xll.qwDV01($A$1,F216)*J216*_xll.qwMVFactor($A$1,F216)*_xll.qwFXRate($A$1,F216)),_xll.qwDV01($A$1,F216)*J216*_xll.qwMVFactor($A$1,F216)*_xll.qwFXRate($A$1,F216),0)</f>
        <v>0</v>
      </c>
      <c r="T216" s="6" cm="1">
        <f t="array" ref="T216">_xll.qwFXRate($A$1,F216)*J216*(_xll.qwPrice($A$1,F216)-M216)*_xll.qwMVFactor($A$1,F216)+L216</f>
        <v>0</v>
      </c>
      <c r="U216" s="8" cm="1">
        <f t="array" ref="U216">_xll.qwYield($A$1,F216)</f>
        <v>4.6945489118217436E-2</v>
      </c>
      <c r="V216" s="8" cm="1">
        <f t="array" ref="V216">100*(_xll.qwYield($A$4,F216)-U216)</f>
        <v>3.3817583327627743E-3</v>
      </c>
      <c r="W216" s="6">
        <f>IF(ISNA(G216*INDEX(_xll.qwTblData(_xll.qwCurveScenariosPerSecurity($A$1,F216,"Crv210")),2,2)),0,(G216*INDEX(_xll.qwTblData(_xll.qwCurveScenariosPerSecurity($A$1,F216,"Crv210")),2,2)))</f>
        <v>-43501.503590129709</v>
      </c>
      <c r="X216" s="6" cm="1">
        <f t="array" ref="X216">ABS(Q216/_xll.qwMV01($A$1,"CT10"))</f>
        <v>149.67358863399915</v>
      </c>
      <c r="Y216" s="6" cm="1">
        <f t="array" ref="Y216">IF(N216="BondFuture",-(_xll.qwCurveYield($A$1,_xll.qwSecVal($A$1,AA216,"CreditCurveName()"),AA216)-_xll.qwCurveYield($A$4,_xll.qwSecVal($A$4,AA216,"CreditCurveName()"),AA216))*P216*10000,IF(N216="Bond",-(_xll.qwCurveYield($A$1,_xll.qwSecVal($A$1,F216,"CreditCurveName()"),F216)-_xll.qwCurveYield($A$4,_xll.qwSecVal($A$4,F216,"CreditCurveName()"),F216))*P216*10000,O216))</f>
        <v>-44102.118283528434</v>
      </c>
      <c r="Z216" s="6" cm="1">
        <f t="array" ref="Z216">IF(OR(N216="BondFuture",N216="Bond"),P216*(_xll.qwCurveZSpread($A$4,_xll.qwSecVal($A$1,AA216,"CreditCurveName()"),AA216)-_xll.qwCurveZSpread($A$1,_xll.qwSecVal($A$1,AA216,"CreditCurveName()"),AA216)),0)</f>
        <v>0</v>
      </c>
      <c r="AA216" s="9" cm="1">
        <f t="array" ref="AA216">IF(_xll.qwSecType(F216)="Bond",F216,IF(_xll.qwSecType(F216)="BondFuture",_xll.qwFutCTD($A$1,F216),0))</f>
        <v>0</v>
      </c>
      <c r="AB216" s="6" cm="1">
        <f t="array" ref="AB216">IF(_xll.qwSecType(F216)="BondFuture",-(I216*_xll.qwDelta($A$4,F216)*_xll.qwMVFactor($A$1,F216)/_xll.qwMVFactor($A$1,_xll.qwFutCTD($A$1,F216)))*(_xll.qwFXRate($A$1,F216)*_xll.qwMVFactor($A$1,_xll.qwFutCTD($A$1,F216))*(_xll.qwIncome($A$4,_xll.qwFutCTD($A$4,F216),_xll.qwBondSettle($A$4,_xll.qwFutCTD($A$4,F216)),_xll.qwBondSettle($A$1,_xll.qwFutCTD($A$1,F216)))+(_xll.qwSecVal($A$1,AA216,"Price")-_xll.qwSecVal($A$4,AA216,"Price"))-_xll.qwBondRepoFromTo($A$1,AA216,_xll.qwBondSettle($A$4,AA216),_xll.qwBondSettle($A$1,AA216))*_xll.qwSecVal($A$1,AA216,"Price")*(_xll.qwBondSettle($A$1,AA216)-_xll.qwBondSettle($A$4,AA216))/360))+O216,0)</f>
        <v>0</v>
      </c>
      <c r="AC216" s="9" cm="1">
        <f t="array" ref="AC216">O216+T216+IF(ISNUMBER(_xll.qwIncome($A$1,F216,_xll.qwSettle($A$4,F216),_xll.qwSettle($A$1,F216))*_xll.qwMVFactor($A$1,F216)*_xll.qwFXRate($A$1,F216)*I216),_xll.qwIncome($A$1,F216,_xll.qwSettle($A$4,F216),_xll.qwSettle($A$1,F216))*_xll.qwMVFactor($A$1,F216)*_xll.qwFXRate($A$1,F216)*I216,0)+IF(ISNUMBER(-(_xll.qwBondRepoFromTo($A$1,F216,_xll.qwSettle($A$4,F216),_xll.qwSettle($A$1,F216))*_xll.qwSecVal($A$1,F216,"Price")*(_xll.qwSettle($A$1,F216)-_xll.qwSettle($A$4,F216))/360)*_xll.qwMVFactor($A$1,F216)*_xll.qwFXRate($A$1,F216)*I216),-(_xll.qwBondRepoFromTo($A$1,F216,_xll.qwSettle($A$4,F216),_xll.qwSettle($A$1,F216))*_xll.qwSecVal($A$1,F216,"Price")*(_xll.qwSettle($A$1,F216)-_xll.qwSettle($A$4,F216))/360)*_xll.qwMVFactor($A$1,F216)*_xll.qwFXRate($A$1,F216)*I216,0)</f>
        <v>-44102.118283528434</v>
      </c>
      <c r="AD216" s="6"/>
    </row>
    <row r="217" spans="2:30" s="19" customFormat="1" x14ac:dyDescent="0.35">
      <c r="B217" s="19" t="str">
        <v>jcleary</v>
      </c>
      <c r="C217" s="19" t="str">
        <v>PPA</v>
      </c>
      <c r="D217" s="19" t="str">
        <v>jcleary|PPA|RV_US_FV_Spread|249800651</v>
      </c>
      <c r="E217" s="19" t="str">
        <v>RV_US_FV_Spread</v>
      </c>
      <c r="F217" s="19" t="str">
        <v>249800651</v>
      </c>
      <c r="G217" s="19">
        <v>108</v>
      </c>
      <c r="H217" s="19">
        <v>0</v>
      </c>
      <c r="I217" s="19">
        <v>108</v>
      </c>
      <c r="J217" s="19">
        <v>0</v>
      </c>
      <c r="K217" s="19">
        <v>0</v>
      </c>
      <c r="L217" s="19">
        <v>0</v>
      </c>
      <c r="M217" s="19">
        <v>0</v>
      </c>
      <c r="N217" s="19" t="str">
        <v>SwapTrade</v>
      </c>
      <c r="O217" s="6" cm="1">
        <f t="array" ref="O217">(_xll.qwPrice($A$1,F217)-_xll.qwPrice($A$4,F217))*_xll.qwMVFactor($A$1,F217)*I217*_xll.qwFXRate($A$1,F217)</f>
        <v>-24560.561523153643</v>
      </c>
      <c r="P217" s="6" cm="1">
        <f t="array" ref="P217">IF(ISNUMBER(_xll.qwDV01($A$1,F217)*I217*_xll.qwMVFactor($A$1,F217)*_xll.qwFXRate($A$1,F217)),_xll.qwDV01($A$1,F217)*I217*_xll.qwMVFactor($A$1,F217)*_xll.qwFXRate($A$1,F217),0)</f>
        <v>-35335.630527960879</v>
      </c>
      <c r="Q217" s="6" cm="1">
        <f t="array" ref="Q217">IF(ISNUMBER(_xll.qwDV01($A$1,F217)*G217*_xll.qwMVFactor($A$1,F217)*_xll.qwFXRate($A$1,F217)),_xll.qwDV01($A$1,F217)*G217*_xll.qwMVFactor($A$1,F217)*_xll.qwFXRate($A$1,F217),0)</f>
        <v>-35335.630527960879</v>
      </c>
      <c r="R217" s="6" cm="1">
        <f t="array" ref="R217">IF(ISNUMBER(_xll.qwDV01($A$1,F217)*J217*_xll.qwMVFactor($A$1,F217)*_xll.qwFXRate($A$1,F217)),_xll.qwDV01($A$1,F217)*J217*_xll.qwMVFactor($A$1,F217)*_xll.qwFXRate($A$1,F217),0)</f>
        <v>0</v>
      </c>
      <c r="S217" s="6" cm="1">
        <f t="array" ref="S217">IF(ISNUMBER(_xll.qwDV01($A$1,F217)*J217*_xll.qwMVFactor($A$1,F217)*_xll.qwFXRate($A$1,F217)),_xll.qwDV01($A$1,F217)*J217*_xll.qwMVFactor($A$1,F217)*_xll.qwFXRate($A$1,F217),0)</f>
        <v>0</v>
      </c>
      <c r="T217" s="6" cm="1">
        <f t="array" ref="T217">_xll.qwFXRate($A$1,F217)*J217*(_xll.qwPrice($A$1,F217)-M217)*_xll.qwMVFactor($A$1,F217)+L217</f>
        <v>0</v>
      </c>
      <c r="U217" s="8" cm="1">
        <f t="array" ref="U217">_xll.qwYield($A$1,F217)</f>
        <v>4.6981852235261815E-2</v>
      </c>
      <c r="V217" s="8" cm="1">
        <f t="array" ref="V217">100*(_xll.qwYield($A$4,F217)-U217)</f>
        <v>6.4370592505004487E-3</v>
      </c>
      <c r="W217" s="6">
        <f>IF(ISNA(G217*INDEX(_xll.qwTblData(_xll.qwCurveScenariosPerSecurity($A$1,F217,"Crv210")),2,2)),0,(G217*INDEX(_xll.qwTblData(_xll.qwCurveScenariosPerSecurity($A$1,F217,"Crv210")),2,2)))</f>
        <v>-10471.629317735296</v>
      </c>
      <c r="X217" s="6" cm="1">
        <f t="array" ref="X217">ABS(Q217/_xll.qwMV01($A$1,"CT10"))</f>
        <v>47.568509184537128</v>
      </c>
      <c r="Y217" s="6" cm="1">
        <f t="array" ref="Y217">IF(N217="BondFuture",-(_xll.qwCurveYield($A$1,_xll.qwSecVal($A$1,AA217,"CreditCurveName()"),AA217)-_xll.qwCurveYield($A$4,_xll.qwSecVal($A$4,AA217,"CreditCurveName()"),AA217))*P217*10000,IF(N217="Bond",-(_xll.qwCurveYield($A$1,_xll.qwSecVal($A$1,F217,"CreditCurveName()"),F217)-_xll.qwCurveYield($A$4,_xll.qwSecVal($A$4,F217,"CreditCurveName()"),F217))*P217*10000,O217))</f>
        <v>-24560.561523153643</v>
      </c>
      <c r="Z217" s="6" cm="1">
        <f t="array" ref="Z217">IF(OR(N217="BondFuture",N217="Bond"),P217*(_xll.qwCurveZSpread($A$4,_xll.qwSecVal($A$1,AA217,"CreditCurveName()"),AA217)-_xll.qwCurveZSpread($A$1,_xll.qwSecVal($A$1,AA217,"CreditCurveName()"),AA217)),0)</f>
        <v>0</v>
      </c>
      <c r="AA217" s="9" cm="1">
        <f t="array" ref="AA217">IF(_xll.qwSecType(F217)="Bond",F217,IF(_xll.qwSecType(F217)="BondFuture",_xll.qwFutCTD($A$1,F217),0))</f>
        <v>0</v>
      </c>
      <c r="AB217" s="6" cm="1">
        <f t="array" ref="AB217">IF(_xll.qwSecType(F217)="BondFuture",-(I217*_xll.qwDelta($A$4,F217)*_xll.qwMVFactor($A$1,F217)/_xll.qwMVFactor($A$1,_xll.qwFutCTD($A$1,F217)))*(_xll.qwFXRate($A$1,F217)*_xll.qwMVFactor($A$1,_xll.qwFutCTD($A$1,F217))*(_xll.qwIncome($A$4,_xll.qwFutCTD($A$4,F217),_xll.qwBondSettle($A$4,_xll.qwFutCTD($A$4,F217)),_xll.qwBondSettle($A$1,_xll.qwFutCTD($A$1,F217)))+(_xll.qwSecVal($A$1,AA217,"Price")-_xll.qwSecVal($A$4,AA217,"Price"))-_xll.qwBondRepoFromTo($A$1,AA217,_xll.qwBondSettle($A$4,AA217),_xll.qwBondSettle($A$1,AA217))*_xll.qwSecVal($A$1,AA217,"Price")*(_xll.qwBondSettle($A$1,AA217)-_xll.qwBondSettle($A$4,AA217))/360))+O217,0)</f>
        <v>0</v>
      </c>
      <c r="AC217" s="9" cm="1">
        <f t="array" ref="AC217">O217+T217+IF(ISNUMBER(_xll.qwIncome($A$1,F217,_xll.qwSettle($A$4,F217),_xll.qwSettle($A$1,F217))*_xll.qwMVFactor($A$1,F217)*_xll.qwFXRate($A$1,F217)*I217),_xll.qwIncome($A$1,F217,_xll.qwSettle($A$4,F217),_xll.qwSettle($A$1,F217))*_xll.qwMVFactor($A$1,F217)*_xll.qwFXRate($A$1,F217)*I217,0)+IF(ISNUMBER(-(_xll.qwBondRepoFromTo($A$1,F217,_xll.qwSettle($A$4,F217),_xll.qwSettle($A$1,F217))*_xll.qwSecVal($A$1,F217,"Price")*(_xll.qwSettle($A$1,F217)-_xll.qwSettle($A$4,F217))/360)*_xll.qwMVFactor($A$1,F217)*_xll.qwFXRate($A$1,F217)*I217),-(_xll.qwBondRepoFromTo($A$1,F217,_xll.qwSettle($A$4,F217),_xll.qwSettle($A$1,F217))*_xll.qwSecVal($A$1,F217,"Price")*(_xll.qwSettle($A$1,F217)-_xll.qwSettle($A$4,F217))/360)*_xll.qwMVFactor($A$1,F217)*_xll.qwFXRate($A$1,F217)*I217,0)</f>
        <v>-24560.561523153643</v>
      </c>
      <c r="AD217" s="6"/>
    </row>
    <row r="218" spans="2:30" s="19" customFormat="1" x14ac:dyDescent="0.35">
      <c r="B218" s="19" t="str">
        <v>jcleary</v>
      </c>
      <c r="C218" s="19" t="str">
        <v>PPA</v>
      </c>
      <c r="D218" s="19" t="str">
        <v>jcleary|PPA|RV_US_FV_Spread|249800652</v>
      </c>
      <c r="E218" s="19" t="str">
        <v>RV_US_FV_Spread</v>
      </c>
      <c r="F218" s="19" t="str">
        <v>249800652</v>
      </c>
      <c r="G218" s="19">
        <v>130</v>
      </c>
      <c r="H218" s="19">
        <v>0</v>
      </c>
      <c r="I218" s="19">
        <v>130</v>
      </c>
      <c r="J218" s="19">
        <v>0</v>
      </c>
      <c r="K218" s="19">
        <v>0</v>
      </c>
      <c r="L218" s="19">
        <v>0</v>
      </c>
      <c r="M218" s="19">
        <v>0</v>
      </c>
      <c r="N218" s="19" t="str">
        <v>SwapTrade</v>
      </c>
      <c r="O218" s="6" cm="1">
        <f t="array" ref="O218">(_xll.qwPrice($A$1,F218)-_xll.qwPrice($A$4,F218))*_xll.qwMVFactor($A$1,F218)*I218*_xll.qwFXRate($A$1,F218)</f>
        <v>-32669.585637404496</v>
      </c>
      <c r="P218" s="6" cm="1">
        <f t="array" ref="P218">IF(ISNUMBER(_xll.qwDV01($A$1,F218)*I218*_xll.qwMVFactor($A$1,F218)*_xll.qwFXRate($A$1,F218)),_xll.qwDV01($A$1,F218)*I218*_xll.qwMVFactor($A$1,F218)*_xll.qwFXRate($A$1,F218),0)</f>
        <v>-44289.505639484858</v>
      </c>
      <c r="Q218" s="6" cm="1">
        <f t="array" ref="Q218">IF(ISNUMBER(_xll.qwDV01($A$1,F218)*G218*_xll.qwMVFactor($A$1,F218)*_xll.qwFXRate($A$1,F218)),_xll.qwDV01($A$1,F218)*G218*_xll.qwMVFactor($A$1,F218)*_xll.qwFXRate($A$1,F218),0)</f>
        <v>-44289.505639484858</v>
      </c>
      <c r="R218" s="6" cm="1">
        <f t="array" ref="R218">IF(ISNUMBER(_xll.qwDV01($A$1,F218)*J218*_xll.qwMVFactor($A$1,F218)*_xll.qwFXRate($A$1,F218)),_xll.qwDV01($A$1,F218)*J218*_xll.qwMVFactor($A$1,F218)*_xll.qwFXRate($A$1,F218),0)</f>
        <v>0</v>
      </c>
      <c r="S218" s="6" cm="1">
        <f t="array" ref="S218">IF(ISNUMBER(_xll.qwDV01($A$1,F218)*J218*_xll.qwMVFactor($A$1,F218)*_xll.qwFXRate($A$1,F218)),_xll.qwDV01($A$1,F218)*J218*_xll.qwMVFactor($A$1,F218)*_xll.qwFXRate($A$1,F218),0)</f>
        <v>0</v>
      </c>
      <c r="T218" s="6" cm="1">
        <f t="array" ref="T218">_xll.qwFXRate($A$1,F218)*J218*(_xll.qwPrice($A$1,F218)-M218)*_xll.qwMVFactor($A$1,F218)+L218</f>
        <v>0</v>
      </c>
      <c r="U218" s="8" cm="1">
        <f t="array" ref="U218">_xll.qwYield($A$1,F218)</f>
        <v>4.7015063131400602E-2</v>
      </c>
      <c r="V218" s="8" cm="1">
        <f t="array" ref="V218">100*(_xll.qwYield($A$4,F218)-U218)</f>
        <v>6.9190954513340119E-3</v>
      </c>
      <c r="W218" s="6">
        <f>IF(ISNA(G218*INDEX(_xll.qwTblData(_xll.qwCurveScenariosPerSecurity($A$1,F218,"Crv210")),2,2)),0,(G218*INDEX(_xll.qwTblData(_xll.qwCurveScenariosPerSecurity($A$1,F218,"Crv210")),2,2)))</f>
        <v>-12214.410602166259</v>
      </c>
      <c r="X218" s="6" cm="1">
        <f t="array" ref="X218">ABS(Q218/_xll.qwMV01($A$1,"CT10"))</f>
        <v>59.622135626626417</v>
      </c>
      <c r="Y218" s="6" cm="1">
        <f t="array" ref="Y218">IF(N218="BondFuture",-(_xll.qwCurveYield($A$1,_xll.qwSecVal($A$1,AA218,"CreditCurveName()"),AA218)-_xll.qwCurveYield($A$4,_xll.qwSecVal($A$4,AA218,"CreditCurveName()"),AA218))*P218*10000,IF(N218="Bond",-(_xll.qwCurveYield($A$1,_xll.qwSecVal($A$1,F218,"CreditCurveName()"),F218)-_xll.qwCurveYield($A$4,_xll.qwSecVal($A$4,F218,"CreditCurveName()"),F218))*P218*10000,O218))</f>
        <v>-32669.585637404496</v>
      </c>
      <c r="Z218" s="6" cm="1">
        <f t="array" ref="Z218">IF(OR(N218="BondFuture",N218="Bond"),P218*(_xll.qwCurveZSpread($A$4,_xll.qwSecVal($A$1,AA218,"CreditCurveName()"),AA218)-_xll.qwCurveZSpread($A$1,_xll.qwSecVal($A$1,AA218,"CreditCurveName()"),AA218)),0)</f>
        <v>0</v>
      </c>
      <c r="AA218" s="9" cm="1">
        <f t="array" ref="AA218">IF(_xll.qwSecType(F218)="Bond",F218,IF(_xll.qwSecType(F218)="BondFuture",_xll.qwFutCTD($A$1,F218),0))</f>
        <v>0</v>
      </c>
      <c r="AB218" s="6" cm="1">
        <f t="array" ref="AB218">IF(_xll.qwSecType(F218)="BondFuture",-(I218*_xll.qwDelta($A$4,F218)*_xll.qwMVFactor($A$1,F218)/_xll.qwMVFactor($A$1,_xll.qwFutCTD($A$1,F218)))*(_xll.qwFXRate($A$1,F218)*_xll.qwMVFactor($A$1,_xll.qwFutCTD($A$1,F218))*(_xll.qwIncome($A$4,_xll.qwFutCTD($A$4,F218),_xll.qwBondSettle($A$4,_xll.qwFutCTD($A$4,F218)),_xll.qwBondSettle($A$1,_xll.qwFutCTD($A$1,F218)))+(_xll.qwSecVal($A$1,AA218,"Price")-_xll.qwSecVal($A$4,AA218,"Price"))-_xll.qwBondRepoFromTo($A$1,AA218,_xll.qwBondSettle($A$4,AA218),_xll.qwBondSettle($A$1,AA218))*_xll.qwSecVal($A$1,AA218,"Price")*(_xll.qwBondSettle($A$1,AA218)-_xll.qwBondSettle($A$4,AA218))/360))+O218,0)</f>
        <v>0</v>
      </c>
      <c r="AC218" s="9" cm="1">
        <f t="array" ref="AC218">O218+T218+IF(ISNUMBER(_xll.qwIncome($A$1,F218,_xll.qwSettle($A$4,F218),_xll.qwSettle($A$1,F218))*_xll.qwMVFactor($A$1,F218)*_xll.qwFXRate($A$1,F218)*I218),_xll.qwIncome($A$1,F218,_xll.qwSettle($A$4,F218),_xll.qwSettle($A$1,F218))*_xll.qwMVFactor($A$1,F218)*_xll.qwFXRate($A$1,F218)*I218,0)+IF(ISNUMBER(-(_xll.qwBondRepoFromTo($A$1,F218,_xll.qwSettle($A$4,F218),_xll.qwSettle($A$1,F218))*_xll.qwSecVal($A$1,F218,"Price")*(_xll.qwSettle($A$1,F218)-_xll.qwSettle($A$4,F218))/360)*_xll.qwMVFactor($A$1,F218)*_xll.qwFXRate($A$1,F218)*I218),-(_xll.qwBondRepoFromTo($A$1,F218,_xll.qwSettle($A$4,F218),_xll.qwSettle($A$1,F218))*_xll.qwSecVal($A$1,F218,"Price")*(_xll.qwSettle($A$1,F218)-_xll.qwSettle($A$4,F218))/360)*_xll.qwMVFactor($A$1,F218)*_xll.qwFXRate($A$1,F218)*I218,0)</f>
        <v>-32669.585637404496</v>
      </c>
      <c r="AD218" s="6"/>
    </row>
    <row r="219" spans="2:30" s="19" customFormat="1" x14ac:dyDescent="0.35">
      <c r="B219" s="19" t="str">
        <v>jcleary</v>
      </c>
      <c r="C219" s="19" t="str">
        <v>PPA</v>
      </c>
      <c r="D219" s="19" t="str">
        <v>jcleary|PPA|RV_US_FV_Spread|249801055</v>
      </c>
      <c r="E219" s="19" t="str">
        <v>RV_US_FV_Spread</v>
      </c>
      <c r="F219" s="19" t="str">
        <v>249801055</v>
      </c>
      <c r="G219" s="19">
        <v>269</v>
      </c>
      <c r="H219" s="19">
        <v>0</v>
      </c>
      <c r="I219" s="19">
        <v>269</v>
      </c>
      <c r="J219" s="19">
        <v>0</v>
      </c>
      <c r="K219" s="19">
        <v>0</v>
      </c>
      <c r="L219" s="19">
        <v>0</v>
      </c>
      <c r="M219" s="19">
        <v>0</v>
      </c>
      <c r="N219" s="19" t="str">
        <v>SwapTrade</v>
      </c>
      <c r="O219" s="6" cm="1">
        <f t="array" ref="O219">(_xll.qwPrice($A$1,F219)-_xll.qwPrice($A$4,F219))*_xll.qwMVFactor($A$1,F219)*I219*_xll.qwFXRate($A$1,F219)</f>
        <v>-107304.97766889616</v>
      </c>
      <c r="P219" s="6" cm="1">
        <f t="array" ref="P219">IF(ISNUMBER(_xll.qwDV01($A$1,F219)*I219*_xll.qwMVFactor($A$1,F219)*_xll.qwFXRate($A$1,F219)),_xll.qwDV01($A$1,F219)*I219*_xll.qwMVFactor($A$1,F219)*_xll.qwFXRate($A$1,F219),0)</f>
        <v>-114586.6950147505</v>
      </c>
      <c r="Q219" s="6" cm="1">
        <f t="array" ref="Q219">IF(ISNUMBER(_xll.qwDV01($A$1,F219)*G219*_xll.qwMVFactor($A$1,F219)*_xll.qwFXRate($A$1,F219)),_xll.qwDV01($A$1,F219)*G219*_xll.qwMVFactor($A$1,F219)*_xll.qwFXRate($A$1,F219),0)</f>
        <v>-114586.6950147505</v>
      </c>
      <c r="R219" s="6" cm="1">
        <f t="array" ref="R219">IF(ISNUMBER(_xll.qwDV01($A$1,F219)*J219*_xll.qwMVFactor($A$1,F219)*_xll.qwFXRate($A$1,F219)),_xll.qwDV01($A$1,F219)*J219*_xll.qwMVFactor($A$1,F219)*_xll.qwFXRate($A$1,F219),0)</f>
        <v>0</v>
      </c>
      <c r="S219" s="6" cm="1">
        <f t="array" ref="S219">IF(ISNUMBER(_xll.qwDV01($A$1,F219)*J219*_xll.qwMVFactor($A$1,F219)*_xll.qwFXRate($A$1,F219)),_xll.qwDV01($A$1,F219)*J219*_xll.qwMVFactor($A$1,F219)*_xll.qwFXRate($A$1,F219),0)</f>
        <v>0</v>
      </c>
      <c r="T219" s="6" cm="1">
        <f t="array" ref="T219">_xll.qwFXRate($A$1,F219)*J219*(_xll.qwPrice($A$1,F219)-M219)*_xll.qwMVFactor($A$1,F219)+L219</f>
        <v>0</v>
      </c>
      <c r="U219" s="8" cm="1">
        <f t="array" ref="U219">_xll.qwYield($A$1,F219)</f>
        <v>4.710832052552244E-2</v>
      </c>
      <c r="V219" s="8" cm="1">
        <f t="array" ref="V219">100*(_xll.qwYield($A$4,F219)-U219)</f>
        <v>8.990898775992906E-3</v>
      </c>
      <c r="W219" s="6">
        <f>IF(ISNA(G219*INDEX(_xll.qwTblData(_xll.qwCurveScenariosPerSecurity($A$1,F219,"Crv210")),2,2)),0,(G219*INDEX(_xll.qwTblData(_xll.qwCurveScenariosPerSecurity($A$1,F219,"Crv210")),2,2)))</f>
        <v>-15816.004018633985</v>
      </c>
      <c r="X219" s="6" cm="1">
        <f t="array" ref="X219">ABS(Q219/_xll.qwMV01($A$1,"CT10"))</f>
        <v>154.25558205114785</v>
      </c>
      <c r="Y219" s="6" cm="1">
        <f t="array" ref="Y219">IF(N219="BondFuture",-(_xll.qwCurveYield($A$1,_xll.qwSecVal($A$1,AA219,"CreditCurveName()"),AA219)-_xll.qwCurveYield($A$4,_xll.qwSecVal($A$4,AA219,"CreditCurveName()"),AA219))*P219*10000,IF(N219="Bond",-(_xll.qwCurveYield($A$1,_xll.qwSecVal($A$1,F219,"CreditCurveName()"),F219)-_xll.qwCurveYield($A$4,_xll.qwSecVal($A$4,F219,"CreditCurveName()"),F219))*P219*10000,O219))</f>
        <v>-107304.97766889616</v>
      </c>
      <c r="Z219" s="6" cm="1">
        <f t="array" ref="Z219">IF(OR(N219="BondFuture",N219="Bond"),P219*(_xll.qwCurveZSpread($A$4,_xll.qwSecVal($A$1,AA219,"CreditCurveName()"),AA219)-_xll.qwCurveZSpread($A$1,_xll.qwSecVal($A$1,AA219,"CreditCurveName()"),AA219)),0)</f>
        <v>0</v>
      </c>
      <c r="AA219" s="9" cm="1">
        <f t="array" ref="AA219">IF(_xll.qwSecType(F219)="Bond",F219,IF(_xll.qwSecType(F219)="BondFuture",_xll.qwFutCTD($A$1,F219),0))</f>
        <v>0</v>
      </c>
      <c r="AB219" s="6" cm="1">
        <f t="array" ref="AB219">IF(_xll.qwSecType(F219)="BondFuture",-(I219*_xll.qwDelta($A$4,F219)*_xll.qwMVFactor($A$1,F219)/_xll.qwMVFactor($A$1,_xll.qwFutCTD($A$1,F219)))*(_xll.qwFXRate($A$1,F219)*_xll.qwMVFactor($A$1,_xll.qwFutCTD($A$1,F219))*(_xll.qwIncome($A$4,_xll.qwFutCTD($A$4,F219),_xll.qwBondSettle($A$4,_xll.qwFutCTD($A$4,F219)),_xll.qwBondSettle($A$1,_xll.qwFutCTD($A$1,F219)))+(_xll.qwSecVal($A$1,AA219,"Price")-_xll.qwSecVal($A$4,AA219,"Price"))-_xll.qwBondRepoFromTo($A$1,AA219,_xll.qwBondSettle($A$4,AA219),_xll.qwBondSettle($A$1,AA219))*_xll.qwSecVal($A$1,AA219,"Price")*(_xll.qwBondSettle($A$1,AA219)-_xll.qwBondSettle($A$4,AA219))/360))+O219,0)</f>
        <v>0</v>
      </c>
      <c r="AC219" s="9" cm="1">
        <f t="array" ref="AC219">O219+T219+IF(ISNUMBER(_xll.qwIncome($A$1,F219,_xll.qwSettle($A$4,F219),_xll.qwSettle($A$1,F219))*_xll.qwMVFactor($A$1,F219)*_xll.qwFXRate($A$1,F219)*I219),_xll.qwIncome($A$1,F219,_xll.qwSettle($A$4,F219),_xll.qwSettle($A$1,F219))*_xll.qwMVFactor($A$1,F219)*_xll.qwFXRate($A$1,F219)*I219,0)+IF(ISNUMBER(-(_xll.qwBondRepoFromTo($A$1,F219,_xll.qwSettle($A$4,F219),_xll.qwSettle($A$1,F219))*_xll.qwSecVal($A$1,F219,"Price")*(_xll.qwSettle($A$1,F219)-_xll.qwSettle($A$4,F219))/360)*_xll.qwMVFactor($A$1,F219)*_xll.qwFXRate($A$1,F219)*I219),-(_xll.qwBondRepoFromTo($A$1,F219,_xll.qwSettle($A$4,F219),_xll.qwSettle($A$1,F219))*_xll.qwSecVal($A$1,F219,"Price")*(_xll.qwSettle($A$1,F219)-_xll.qwSettle($A$4,F219))/360)*_xll.qwMVFactor($A$1,F219)*_xll.qwFXRate($A$1,F219)*I219,0)</f>
        <v>-107304.97766889616</v>
      </c>
      <c r="AD219" s="6"/>
    </row>
    <row r="220" spans="2:30" s="19" customFormat="1" x14ac:dyDescent="0.35">
      <c r="B220" s="19" t="str">
        <v>jcleary</v>
      </c>
      <c r="C220" s="19" t="str">
        <v>PPA</v>
      </c>
      <c r="D220" s="19" t="str">
        <v>jcleary|PPA|RV_US_FV_Spread|250656579</v>
      </c>
      <c r="E220" s="19" t="str">
        <v>RV_US_FV_Spread</v>
      </c>
      <c r="F220" s="19" t="str">
        <v>250656579</v>
      </c>
      <c r="G220" s="19">
        <v>184.6</v>
      </c>
      <c r="H220" s="19">
        <v>0</v>
      </c>
      <c r="I220" s="19">
        <v>184.6</v>
      </c>
      <c r="J220" s="19">
        <v>0</v>
      </c>
      <c r="K220" s="19">
        <v>0</v>
      </c>
      <c r="L220" s="19">
        <v>0</v>
      </c>
      <c r="M220" s="19">
        <v>0</v>
      </c>
      <c r="N220" s="19" t="str">
        <v>SwapTrade</v>
      </c>
      <c r="O220" s="6" cm="1">
        <f t="array" ref="O220">(_xll.qwPrice($A$1,F220)-_xll.qwPrice($A$4,F220))*_xll.qwMVFactor($A$1,F220)*I220*_xll.qwFXRate($A$1,F220)</f>
        <v>61695.929872484441</v>
      </c>
      <c r="P220" s="6" cm="1">
        <f t="array" ref="P220">IF(ISNUMBER(_xll.qwDV01($A$1,F220)*I220*_xll.qwMVFactor($A$1,F220)*_xll.qwFXRate($A$1,F220)),_xll.qwDV01($A$1,F220)*I220*_xll.qwMVFactor($A$1,F220)*_xll.qwFXRate($A$1,F220),0)</f>
        <v>71467.166691730221</v>
      </c>
      <c r="Q220" s="6" cm="1">
        <f t="array" ref="Q220">IF(ISNUMBER(_xll.qwDV01($A$1,F220)*G220*_xll.qwMVFactor($A$1,F220)*_xll.qwFXRate($A$1,F220)),_xll.qwDV01($A$1,F220)*G220*_xll.qwMVFactor($A$1,F220)*_xll.qwFXRate($A$1,F220),0)</f>
        <v>71467.166691730221</v>
      </c>
      <c r="R220" s="6" cm="1">
        <f t="array" ref="R220">IF(ISNUMBER(_xll.qwDV01($A$1,F220)*J220*_xll.qwMVFactor($A$1,F220)*_xll.qwFXRate($A$1,F220)),_xll.qwDV01($A$1,F220)*J220*_xll.qwMVFactor($A$1,F220)*_xll.qwFXRate($A$1,F220),0)</f>
        <v>0</v>
      </c>
      <c r="S220" s="6" cm="1">
        <f t="array" ref="S220">IF(ISNUMBER(_xll.qwDV01($A$1,F220)*J220*_xll.qwMVFactor($A$1,F220)*_xll.qwFXRate($A$1,F220)),_xll.qwDV01($A$1,F220)*J220*_xll.qwMVFactor($A$1,F220)*_xll.qwFXRate($A$1,F220),0)</f>
        <v>0</v>
      </c>
      <c r="T220" s="6" cm="1">
        <f t="array" ref="T220">_xll.qwFXRate($A$1,F220)*J220*(_xll.qwPrice($A$1,F220)-M220)*_xll.qwMVFactor($A$1,F220)+L220</f>
        <v>0</v>
      </c>
      <c r="U220" s="8" cm="1">
        <f t="array" ref="U220">_xll.qwYield($A$1,F220)</f>
        <v>4.7040746613169065E-2</v>
      </c>
      <c r="V220" s="8" cm="1">
        <f t="array" ref="V220">100*(_xll.qwYield($A$4,F220)-U220)</f>
        <v>8.1369158680115461E-3</v>
      </c>
      <c r="W220" s="6">
        <f>IF(ISNA(G220*INDEX(_xll.qwTblData(_xll.qwCurveScenariosPerSecurity($A$1,F220,"Crv210")),2,2)),0,(G220*INDEX(_xll.qwTblData(_xll.qwCurveScenariosPerSecurity($A$1,F220,"Crv210")),2,2)))</f>
        <v>14418.102184822197</v>
      </c>
      <c r="X220" s="6" cm="1">
        <f t="array" ref="X220">ABS(Q220/_xll.qwMV01($A$1,"CT10"))</f>
        <v>96.208459404123033</v>
      </c>
      <c r="Y220" s="6" cm="1">
        <f t="array" ref="Y220">IF(N220="BondFuture",-(_xll.qwCurveYield($A$1,_xll.qwSecVal($A$1,AA220,"CreditCurveName()"),AA220)-_xll.qwCurveYield($A$4,_xll.qwSecVal($A$4,AA220,"CreditCurveName()"),AA220))*P220*10000,IF(N220="Bond",-(_xll.qwCurveYield($A$1,_xll.qwSecVal($A$1,F220,"CreditCurveName()"),F220)-_xll.qwCurveYield($A$4,_xll.qwSecVal($A$4,F220,"CreditCurveName()"),F220))*P220*10000,O220))</f>
        <v>61695.929872484441</v>
      </c>
      <c r="Z220" s="6" cm="1">
        <f t="array" ref="Z220">IF(OR(N220="BondFuture",N220="Bond"),P220*(_xll.qwCurveZSpread($A$4,_xll.qwSecVal($A$1,AA220,"CreditCurveName()"),AA220)-_xll.qwCurveZSpread($A$1,_xll.qwSecVal($A$1,AA220,"CreditCurveName()"),AA220)),0)</f>
        <v>0</v>
      </c>
      <c r="AA220" s="9" cm="1">
        <f t="array" ref="AA220">IF(_xll.qwSecType(F220)="Bond",F220,IF(_xll.qwSecType(F220)="BondFuture",_xll.qwFutCTD($A$1,F220),0))</f>
        <v>0</v>
      </c>
      <c r="AB220" s="6" cm="1">
        <f t="array" ref="AB220">IF(_xll.qwSecType(F220)="BondFuture",-(I220*_xll.qwDelta($A$4,F220)*_xll.qwMVFactor($A$1,F220)/_xll.qwMVFactor($A$1,_xll.qwFutCTD($A$1,F220)))*(_xll.qwFXRate($A$1,F220)*_xll.qwMVFactor($A$1,_xll.qwFutCTD($A$1,F220))*(_xll.qwIncome($A$4,_xll.qwFutCTD($A$4,F220),_xll.qwBondSettle($A$4,_xll.qwFutCTD($A$4,F220)),_xll.qwBondSettle($A$1,_xll.qwFutCTD($A$1,F220)))+(_xll.qwSecVal($A$1,AA220,"Price")-_xll.qwSecVal($A$4,AA220,"Price"))-_xll.qwBondRepoFromTo($A$1,AA220,_xll.qwBondSettle($A$4,AA220),_xll.qwBondSettle($A$1,AA220))*_xll.qwSecVal($A$1,AA220,"Price")*(_xll.qwBondSettle($A$1,AA220)-_xll.qwBondSettle($A$4,AA220))/360))+O220,0)</f>
        <v>0</v>
      </c>
      <c r="AC220" s="9" cm="1">
        <f t="array" ref="AC220">O220+T220+IF(ISNUMBER(_xll.qwIncome($A$1,F220,_xll.qwSettle($A$4,F220),_xll.qwSettle($A$1,F220))*_xll.qwMVFactor($A$1,F220)*_xll.qwFXRate($A$1,F220)*I220),_xll.qwIncome($A$1,F220,_xll.qwSettle($A$4,F220),_xll.qwSettle($A$1,F220))*_xll.qwMVFactor($A$1,F220)*_xll.qwFXRate($A$1,F220)*I220,0)+IF(ISNUMBER(-(_xll.qwBondRepoFromTo($A$1,F220,_xll.qwSettle($A$4,F220),_xll.qwSettle($A$1,F220))*_xll.qwSecVal($A$1,F220,"Price")*(_xll.qwSettle($A$1,F220)-_xll.qwSettle($A$4,F220))/360)*_xll.qwMVFactor($A$1,F220)*_xll.qwFXRate($A$1,F220)*I220),-(_xll.qwBondRepoFromTo($A$1,F220,_xll.qwSettle($A$4,F220),_xll.qwSettle($A$1,F220))*_xll.qwSecVal($A$1,F220,"Price")*(_xll.qwSettle($A$1,F220)-_xll.qwSettle($A$4,F220))/360)*_xll.qwMVFactor($A$1,F220)*_xll.qwFXRate($A$1,F220)*I220,0)</f>
        <v>61695.929872484441</v>
      </c>
      <c r="AD220" s="6"/>
    </row>
    <row r="221" spans="2:30" s="19" customFormat="1" x14ac:dyDescent="0.35">
      <c r="B221" s="19" t="str">
        <v>jcleary</v>
      </c>
      <c r="C221" s="19" t="str">
        <v>PPA</v>
      </c>
      <c r="D221" s="19" t="str">
        <v>jcleary|PPA|RV_US_FV_Spread|250657548</v>
      </c>
      <c r="E221" s="19" t="str">
        <v>RV_US_FV_Spread</v>
      </c>
      <c r="F221" s="19" t="str">
        <v>250657548</v>
      </c>
      <c r="G221" s="19">
        <v>168.2</v>
      </c>
      <c r="H221" s="19">
        <v>0</v>
      </c>
      <c r="I221" s="19">
        <v>168.2</v>
      </c>
      <c r="J221" s="19">
        <v>0</v>
      </c>
      <c r="K221" s="19">
        <v>0</v>
      </c>
      <c r="L221" s="19">
        <v>0</v>
      </c>
      <c r="M221" s="19">
        <v>0</v>
      </c>
      <c r="N221" s="19" t="str">
        <v>SwapTrade</v>
      </c>
      <c r="O221" s="6" cm="1">
        <f t="array" ref="O221">(_xll.qwPrice($A$1,F221)-_xll.qwPrice($A$4,F221))*_xll.qwMVFactor($A$1,F221)*I221*_xll.qwFXRate($A$1,F221)</f>
        <v>-67178.328182555313</v>
      </c>
      <c r="P221" s="6" cm="1">
        <f t="array" ref="P221">IF(ISNUMBER(_xll.qwDV01($A$1,F221)*I221*_xll.qwMVFactor($A$1,F221)*_xll.qwFXRate($A$1,F221)),_xll.qwDV01($A$1,F221)*I221*_xll.qwMVFactor($A$1,F221)*_xll.qwFXRate($A$1,F221),0)</f>
        <v>-71758.837523212409</v>
      </c>
      <c r="Q221" s="6" cm="1">
        <f t="array" ref="Q221">IF(ISNUMBER(_xll.qwDV01($A$1,F221)*G221*_xll.qwMVFactor($A$1,F221)*_xll.qwFXRate($A$1,F221)),_xll.qwDV01($A$1,F221)*G221*_xll.qwMVFactor($A$1,F221)*_xll.qwFXRate($A$1,F221),0)</f>
        <v>-71758.837523212409</v>
      </c>
      <c r="R221" s="6" cm="1">
        <f t="array" ref="R221">IF(ISNUMBER(_xll.qwDV01($A$1,F221)*J221*_xll.qwMVFactor($A$1,F221)*_xll.qwFXRate($A$1,F221)),_xll.qwDV01($A$1,F221)*J221*_xll.qwMVFactor($A$1,F221)*_xll.qwFXRate($A$1,F221),0)</f>
        <v>0</v>
      </c>
      <c r="S221" s="6" cm="1">
        <f t="array" ref="S221">IF(ISNUMBER(_xll.qwDV01($A$1,F221)*J221*_xll.qwMVFactor($A$1,F221)*_xll.qwFXRate($A$1,F221)),_xll.qwDV01($A$1,F221)*J221*_xll.qwMVFactor($A$1,F221)*_xll.qwFXRate($A$1,F221),0)</f>
        <v>0</v>
      </c>
      <c r="T221" s="6" cm="1">
        <f t="array" ref="T221">_xll.qwFXRate($A$1,F221)*J221*(_xll.qwPrice($A$1,F221)-M221)*_xll.qwMVFactor($A$1,F221)+L221</f>
        <v>0</v>
      </c>
      <c r="U221" s="8" cm="1">
        <f t="array" ref="U221">_xll.qwYield($A$1,F221)</f>
        <v>4.710832052552244E-2</v>
      </c>
      <c r="V221" s="8" cm="1">
        <f t="array" ref="V221">100*(_xll.qwYield($A$4,F221)-U221)</f>
        <v>8.990898775992906E-3</v>
      </c>
      <c r="W221" s="6">
        <f>IF(ISNA(G221*INDEX(_xll.qwTblData(_xll.qwCurveScenariosPerSecurity($A$1,F221,"Crv210")),2,2)),0,(G221*INDEX(_xll.qwTblData(_xll.qwCurveScenariosPerSecurity($A$1,F221,"Crv210")),2,2)))</f>
        <v>-9922.5793044675866</v>
      </c>
      <c r="X221" s="6" cm="1">
        <f t="array" ref="X221">ABS(Q221/_xll.qwMV01($A$1,"CT10"))</f>
        <v>96.601104063887732</v>
      </c>
      <c r="Y221" s="6" cm="1">
        <f t="array" ref="Y221">IF(N221="BondFuture",-(_xll.qwCurveYield($A$1,_xll.qwSecVal($A$1,AA221,"CreditCurveName()"),AA221)-_xll.qwCurveYield($A$4,_xll.qwSecVal($A$4,AA221,"CreditCurveName()"),AA221))*P221*10000,IF(N221="Bond",-(_xll.qwCurveYield($A$1,_xll.qwSecVal($A$1,F221,"CreditCurveName()"),F221)-_xll.qwCurveYield($A$4,_xll.qwSecVal($A$4,F221,"CreditCurveName()"),F221))*P221*10000,O221))</f>
        <v>-67178.328182555313</v>
      </c>
      <c r="Z221" s="6" cm="1">
        <f t="array" ref="Z221">IF(OR(N221="BondFuture",N221="Bond"),P221*(_xll.qwCurveZSpread($A$4,_xll.qwSecVal($A$1,AA221,"CreditCurveName()"),AA221)-_xll.qwCurveZSpread($A$1,_xll.qwSecVal($A$1,AA221,"CreditCurveName()"),AA221)),0)</f>
        <v>0</v>
      </c>
      <c r="AA221" s="9" cm="1">
        <f t="array" ref="AA221">IF(_xll.qwSecType(F221)="Bond",F221,IF(_xll.qwSecType(F221)="BondFuture",_xll.qwFutCTD($A$1,F221),0))</f>
        <v>0</v>
      </c>
      <c r="AB221" s="6" cm="1">
        <f t="array" ref="AB221">IF(_xll.qwSecType(F221)="BondFuture",-(I221*_xll.qwDelta($A$4,F221)*_xll.qwMVFactor($A$1,F221)/_xll.qwMVFactor($A$1,_xll.qwFutCTD($A$1,F221)))*(_xll.qwFXRate($A$1,F221)*_xll.qwMVFactor($A$1,_xll.qwFutCTD($A$1,F221))*(_xll.qwIncome($A$4,_xll.qwFutCTD($A$4,F221),_xll.qwBondSettle($A$4,_xll.qwFutCTD($A$4,F221)),_xll.qwBondSettle($A$1,_xll.qwFutCTD($A$1,F221)))+(_xll.qwSecVal($A$1,AA221,"Price")-_xll.qwSecVal($A$4,AA221,"Price"))-_xll.qwBondRepoFromTo($A$1,AA221,_xll.qwBondSettle($A$4,AA221),_xll.qwBondSettle($A$1,AA221))*_xll.qwSecVal($A$1,AA221,"Price")*(_xll.qwBondSettle($A$1,AA221)-_xll.qwBondSettle($A$4,AA221))/360))+O221,0)</f>
        <v>0</v>
      </c>
      <c r="AC221" s="9" cm="1">
        <f t="array" ref="AC221">O221+T221+IF(ISNUMBER(_xll.qwIncome($A$1,F221,_xll.qwSettle($A$4,F221),_xll.qwSettle($A$1,F221))*_xll.qwMVFactor($A$1,F221)*_xll.qwFXRate($A$1,F221)*I221),_xll.qwIncome($A$1,F221,_xll.qwSettle($A$4,F221),_xll.qwSettle($A$1,F221))*_xll.qwMVFactor($A$1,F221)*_xll.qwFXRate($A$1,F221)*I221,0)+IF(ISNUMBER(-(_xll.qwBondRepoFromTo($A$1,F221,_xll.qwSettle($A$4,F221),_xll.qwSettle($A$1,F221))*_xll.qwSecVal($A$1,F221,"Price")*(_xll.qwSettle($A$1,F221)-_xll.qwSettle($A$4,F221))/360)*_xll.qwMVFactor($A$1,F221)*_xll.qwFXRate($A$1,F221)*I221),-(_xll.qwBondRepoFromTo($A$1,F221,_xll.qwSettle($A$4,F221),_xll.qwSettle($A$1,F221))*_xll.qwSecVal($A$1,F221,"Price")*(_xll.qwSettle($A$1,F221)-_xll.qwSettle($A$4,F221))/360)*_xll.qwMVFactor($A$1,F221)*_xll.qwFXRate($A$1,F221)*I221,0)</f>
        <v>-67178.328182555313</v>
      </c>
      <c r="AD221" s="6"/>
    </row>
    <row r="222" spans="2:30" s="19" customFormat="1" x14ac:dyDescent="0.35">
      <c r="B222" s="19" t="str">
        <v>jcleary</v>
      </c>
      <c r="C222" s="19" t="str">
        <v>PPA</v>
      </c>
      <c r="D222" s="19" t="str">
        <v>jcleary|PPA|RV_US_FV_Spread|251360193</v>
      </c>
      <c r="E222" s="19" t="str">
        <v>RV_US_FV_Spread</v>
      </c>
      <c r="F222" s="19" t="str">
        <v>251360193</v>
      </c>
      <c r="G222" s="19">
        <v>880.7</v>
      </c>
      <c r="H222" s="19">
        <v>0</v>
      </c>
      <c r="I222" s="19">
        <v>880.7</v>
      </c>
      <c r="J222" s="19">
        <v>0</v>
      </c>
      <c r="K222" s="19">
        <v>0</v>
      </c>
      <c r="L222" s="19">
        <v>0</v>
      </c>
      <c r="M222" s="19">
        <v>0</v>
      </c>
      <c r="N222" s="19" t="str">
        <v>SwapTrade</v>
      </c>
      <c r="O222" s="6" cm="1">
        <f t="array" ref="O222">(_xll.qwPrice($A$1,F222)-_xll.qwPrice($A$4,F222))*_xll.qwMVFactor($A$1,F222)*I222*_xll.qwFXRate($A$1,F222)</f>
        <v>294398.26439229288</v>
      </c>
      <c r="P222" s="6" cm="1">
        <f t="array" ref="P222">IF(ISNUMBER(_xll.qwDV01($A$1,F222)*I222*_xll.qwMVFactor($A$1,F222)*_xll.qwFXRate($A$1,F222)),_xll.qwDV01($A$1,F222)*I222*_xll.qwMVFactor($A$1,F222)*_xll.qwFXRate($A$1,F222),0)</f>
        <v>340925.67902685417</v>
      </c>
      <c r="Q222" s="6" cm="1">
        <f t="array" ref="Q222">IF(ISNUMBER(_xll.qwDV01($A$1,F222)*G222*_xll.qwMVFactor($A$1,F222)*_xll.qwFXRate($A$1,F222)),_xll.qwDV01($A$1,F222)*G222*_xll.qwMVFactor($A$1,F222)*_xll.qwFXRate($A$1,F222),0)</f>
        <v>340925.67902685417</v>
      </c>
      <c r="R222" s="6" cm="1">
        <f t="array" ref="R222">IF(ISNUMBER(_xll.qwDV01($A$1,F222)*J222*_xll.qwMVFactor($A$1,F222)*_xll.qwFXRate($A$1,F222)),_xll.qwDV01($A$1,F222)*J222*_xll.qwMVFactor($A$1,F222)*_xll.qwFXRate($A$1,F222),0)</f>
        <v>0</v>
      </c>
      <c r="S222" s="6" cm="1">
        <f t="array" ref="S222">IF(ISNUMBER(_xll.qwDV01($A$1,F222)*J222*_xll.qwMVFactor($A$1,F222)*_xll.qwFXRate($A$1,F222)),_xll.qwDV01($A$1,F222)*J222*_xll.qwMVFactor($A$1,F222)*_xll.qwFXRate($A$1,F222),0)</f>
        <v>0</v>
      </c>
      <c r="T222" s="6" cm="1">
        <f t="array" ref="T222">_xll.qwFXRate($A$1,F222)*J222*(_xll.qwPrice($A$1,F222)-M222)*_xll.qwMVFactor($A$1,F222)+L222</f>
        <v>0</v>
      </c>
      <c r="U222" s="8" cm="1">
        <f t="array" ref="U222">_xll.qwYield($A$1,F222)</f>
        <v>4.7040746613169065E-2</v>
      </c>
      <c r="V222" s="8" cm="1">
        <f t="array" ref="V222">100*(_xll.qwYield($A$4,F222)-U222)</f>
        <v>8.1369158680115461E-3</v>
      </c>
      <c r="W222" s="6">
        <f>IF(ISNA(G222*INDEX(_xll.qwTblData(_xll.qwCurveScenariosPerSecurity($A$1,F222,"Crv210")),2,2)),0,(G222*INDEX(_xll.qwTblData(_xll.qwCurveScenariosPerSecurity($A$1,F222,"Crv210")),2,2)))</f>
        <v>68765.774602111036</v>
      </c>
      <c r="X222" s="6" cm="1">
        <f t="array" ref="X222">ABS(Q222/_xll.qwMV01($A$1,"CT10"))</f>
        <v>458.95109417110285</v>
      </c>
      <c r="Y222" s="6" cm="1">
        <f t="array" ref="Y222">IF(N222="BondFuture",-(_xll.qwCurveYield($A$1,_xll.qwSecVal($A$1,AA222,"CreditCurveName()"),AA222)-_xll.qwCurveYield($A$4,_xll.qwSecVal($A$4,AA222,"CreditCurveName()"),AA222))*P222*10000,IF(N222="Bond",-(_xll.qwCurveYield($A$1,_xll.qwSecVal($A$1,F222,"CreditCurveName()"),F222)-_xll.qwCurveYield($A$4,_xll.qwSecVal($A$4,F222,"CreditCurveName()"),F222))*P222*10000,O222))</f>
        <v>294398.26439229288</v>
      </c>
      <c r="Z222" s="6" cm="1">
        <f t="array" ref="Z222">IF(OR(N222="BondFuture",N222="Bond"),P222*(_xll.qwCurveZSpread($A$4,_xll.qwSecVal($A$1,AA222,"CreditCurveName()"),AA222)-_xll.qwCurveZSpread($A$1,_xll.qwSecVal($A$1,AA222,"CreditCurveName()"),AA222)),0)</f>
        <v>0</v>
      </c>
      <c r="AA222" s="9" cm="1">
        <f t="array" ref="AA222">IF(_xll.qwSecType(F222)="Bond",F222,IF(_xll.qwSecType(F222)="BondFuture",_xll.qwFutCTD($A$1,F222),0))</f>
        <v>0</v>
      </c>
      <c r="AB222" s="6" cm="1">
        <f t="array" ref="AB222">IF(_xll.qwSecType(F222)="BondFuture",-(I222*_xll.qwDelta($A$4,F222)*_xll.qwMVFactor($A$1,F222)/_xll.qwMVFactor($A$1,_xll.qwFutCTD($A$1,F222)))*(_xll.qwFXRate($A$1,F222)*_xll.qwMVFactor($A$1,_xll.qwFutCTD($A$1,F222))*(_xll.qwIncome($A$4,_xll.qwFutCTD($A$4,F222),_xll.qwBondSettle($A$4,_xll.qwFutCTD($A$4,F222)),_xll.qwBondSettle($A$1,_xll.qwFutCTD($A$1,F222)))+(_xll.qwSecVal($A$1,AA222,"Price")-_xll.qwSecVal($A$4,AA222,"Price"))-_xll.qwBondRepoFromTo($A$1,AA222,_xll.qwBondSettle($A$4,AA222),_xll.qwBondSettle($A$1,AA222))*_xll.qwSecVal($A$1,AA222,"Price")*(_xll.qwBondSettle($A$1,AA222)-_xll.qwBondSettle($A$4,AA222))/360))+O222,0)</f>
        <v>0</v>
      </c>
      <c r="AC222" s="9" cm="1">
        <f t="array" ref="AC222">O222+T222+IF(ISNUMBER(_xll.qwIncome($A$1,F222,_xll.qwSettle($A$4,F222),_xll.qwSettle($A$1,F222))*_xll.qwMVFactor($A$1,F222)*_xll.qwFXRate($A$1,F222)*I222),_xll.qwIncome($A$1,F222,_xll.qwSettle($A$4,F222),_xll.qwSettle($A$1,F222))*_xll.qwMVFactor($A$1,F222)*_xll.qwFXRate($A$1,F222)*I222,0)+IF(ISNUMBER(-(_xll.qwBondRepoFromTo($A$1,F222,_xll.qwSettle($A$4,F222),_xll.qwSettle($A$1,F222))*_xll.qwSecVal($A$1,F222,"Price")*(_xll.qwSettle($A$1,F222)-_xll.qwSettle($A$4,F222))/360)*_xll.qwMVFactor($A$1,F222)*_xll.qwFXRate($A$1,F222)*I222),-(_xll.qwBondRepoFromTo($A$1,F222,_xll.qwSettle($A$4,F222),_xll.qwSettle($A$1,F222))*_xll.qwSecVal($A$1,F222,"Price")*(_xll.qwSettle($A$1,F222)-_xll.qwSettle($A$4,F222))/360)*_xll.qwMVFactor($A$1,F222)*_xll.qwFXRate($A$1,F222)*I222,0)</f>
        <v>294398.26439229288</v>
      </c>
      <c r="AD222" s="6"/>
    </row>
    <row r="223" spans="2:30" s="19" customFormat="1" x14ac:dyDescent="0.35">
      <c r="B223" s="19" t="str">
        <v>jcleary</v>
      </c>
      <c r="C223" s="19" t="str">
        <v>PPA</v>
      </c>
      <c r="D223" s="19" t="str">
        <v>jcleary|PPA|RV_US_FV_Spread|251365860</v>
      </c>
      <c r="E223" s="19" t="str">
        <v>RV_US_FV_Spread</v>
      </c>
      <c r="F223" s="19" t="str">
        <v>251365860</v>
      </c>
      <c r="G223" s="19">
        <v>695.3</v>
      </c>
      <c r="H223" s="19">
        <v>0</v>
      </c>
      <c r="I223" s="19">
        <v>695.3</v>
      </c>
      <c r="J223" s="19">
        <v>0</v>
      </c>
      <c r="K223" s="19">
        <v>0</v>
      </c>
      <c r="L223" s="19">
        <v>0</v>
      </c>
      <c r="M223" s="19">
        <v>0</v>
      </c>
      <c r="N223" s="19" t="str">
        <v>SwapTrade</v>
      </c>
      <c r="O223" s="6" cm="1">
        <f t="array" ref="O223">(_xll.qwPrice($A$1,F223)-_xll.qwPrice($A$4,F223))*_xll.qwMVFactor($A$1,F223)*I223*_xll.qwFXRate($A$1,F223)</f>
        <v>232343.45128768386</v>
      </c>
      <c r="P223" s="6" cm="1">
        <f t="array" ref="P223">IF(ISNUMBER(_xll.qwDV01($A$1,F223)*I223*_xll.qwMVFactor($A$1,F223)*_xll.qwFXRate($A$1,F223)),_xll.qwDV01($A$1,F223)*I223*_xll.qwMVFactor($A$1,F223)*_xll.qwFXRate($A$1,F223),0)</f>
        <v>269042.30386307067</v>
      </c>
      <c r="Q223" s="6" cm="1">
        <f t="array" ref="Q223">IF(ISNUMBER(_xll.qwDV01($A$1,F223)*G223*_xll.qwMVFactor($A$1,F223)*_xll.qwFXRate($A$1,F223)),_xll.qwDV01($A$1,F223)*G223*_xll.qwMVFactor($A$1,F223)*_xll.qwFXRate($A$1,F223),0)</f>
        <v>269042.30386307067</v>
      </c>
      <c r="R223" s="6" cm="1">
        <f t="array" ref="R223">IF(ISNUMBER(_xll.qwDV01($A$1,F223)*J223*_xll.qwMVFactor($A$1,F223)*_xll.qwFXRate($A$1,F223)),_xll.qwDV01($A$1,F223)*J223*_xll.qwMVFactor($A$1,F223)*_xll.qwFXRate($A$1,F223),0)</f>
        <v>0</v>
      </c>
      <c r="S223" s="6" cm="1">
        <f t="array" ref="S223">IF(ISNUMBER(_xll.qwDV01($A$1,F223)*J223*_xll.qwMVFactor($A$1,F223)*_xll.qwFXRate($A$1,F223)),_xll.qwDV01($A$1,F223)*J223*_xll.qwMVFactor($A$1,F223)*_xll.qwFXRate($A$1,F223),0)</f>
        <v>0</v>
      </c>
      <c r="T223" s="6" cm="1">
        <f t="array" ref="T223">_xll.qwFXRate($A$1,F223)*J223*(_xll.qwPrice($A$1,F223)-M223)*_xll.qwMVFactor($A$1,F223)+L223</f>
        <v>0</v>
      </c>
      <c r="U223" s="8" cm="1">
        <f t="array" ref="U223">_xll.qwYield($A$1,F223)</f>
        <v>4.7040746613169065E-2</v>
      </c>
      <c r="V223" s="8" cm="1">
        <f t="array" ref="V223">100*(_xll.qwYield($A$4,F223)-U223)</f>
        <v>8.1369158680115461E-3</v>
      </c>
      <c r="W223" s="6">
        <f>IF(ISNA(G223*INDEX(_xll.qwTblData(_xll.qwCurveScenariosPerSecurity($A$1,F223,"Crv210")),2,2)),0,(G223*INDEX(_xll.qwTblData(_xll.qwCurveScenariosPerSecurity($A$1,F223,"Crv210")),2,2)))</f>
        <v>54250.854497363296</v>
      </c>
      <c r="X223" s="6" cm="1">
        <f t="array" ref="X223">ABS(Q223/_xll.qwMV01($A$1,"CT10"))</f>
        <v>362.18233865142355</v>
      </c>
      <c r="Y223" s="6" cm="1">
        <f t="array" ref="Y223">IF(N223="BondFuture",-(_xll.qwCurveYield($A$1,_xll.qwSecVal($A$1,AA223,"CreditCurveName()"),AA223)-_xll.qwCurveYield($A$4,_xll.qwSecVal($A$4,AA223,"CreditCurveName()"),AA223))*P223*10000,IF(N223="Bond",-(_xll.qwCurveYield($A$1,_xll.qwSecVal($A$1,F223,"CreditCurveName()"),F223)-_xll.qwCurveYield($A$4,_xll.qwSecVal($A$4,F223,"CreditCurveName()"),F223))*P223*10000,O223))</f>
        <v>232343.45128768386</v>
      </c>
      <c r="Z223" s="6" cm="1">
        <f t="array" ref="Z223">IF(OR(N223="BondFuture",N223="Bond"),P223*(_xll.qwCurveZSpread($A$4,_xll.qwSecVal($A$1,AA223,"CreditCurveName()"),AA223)-_xll.qwCurveZSpread($A$1,_xll.qwSecVal($A$1,AA223,"CreditCurveName()"),AA223)),0)</f>
        <v>0</v>
      </c>
      <c r="AA223" s="9" cm="1">
        <f t="array" ref="AA223">IF(_xll.qwSecType(F223)="Bond",F223,IF(_xll.qwSecType(F223)="BondFuture",_xll.qwFutCTD($A$1,F223),0))</f>
        <v>0</v>
      </c>
      <c r="AB223" s="6" cm="1">
        <f t="array" ref="AB223">IF(_xll.qwSecType(F223)="BondFuture",-(I223*_xll.qwDelta($A$4,F223)*_xll.qwMVFactor($A$1,F223)/_xll.qwMVFactor($A$1,_xll.qwFutCTD($A$1,F223)))*(_xll.qwFXRate($A$1,F223)*_xll.qwMVFactor($A$1,_xll.qwFutCTD($A$1,F223))*(_xll.qwIncome($A$4,_xll.qwFutCTD($A$4,F223),_xll.qwBondSettle($A$4,_xll.qwFutCTD($A$4,F223)),_xll.qwBondSettle($A$1,_xll.qwFutCTD($A$1,F223)))+(_xll.qwSecVal($A$1,AA223,"Price")-_xll.qwSecVal($A$4,AA223,"Price"))-_xll.qwBondRepoFromTo($A$1,AA223,_xll.qwBondSettle($A$4,AA223),_xll.qwBondSettle($A$1,AA223))*_xll.qwSecVal($A$1,AA223,"Price")*(_xll.qwBondSettle($A$1,AA223)-_xll.qwBondSettle($A$4,AA223))/360))+O223,0)</f>
        <v>0</v>
      </c>
      <c r="AC223" s="9" cm="1">
        <f t="array" ref="AC223">O223+T223+IF(ISNUMBER(_xll.qwIncome($A$1,F223,_xll.qwSettle($A$4,F223),_xll.qwSettle($A$1,F223))*_xll.qwMVFactor($A$1,F223)*_xll.qwFXRate($A$1,F223)*I223),_xll.qwIncome($A$1,F223,_xll.qwSettle($A$4,F223),_xll.qwSettle($A$1,F223))*_xll.qwMVFactor($A$1,F223)*_xll.qwFXRate($A$1,F223)*I223,0)+IF(ISNUMBER(-(_xll.qwBondRepoFromTo($A$1,F223,_xll.qwSettle($A$4,F223),_xll.qwSettle($A$1,F223))*_xll.qwSecVal($A$1,F223,"Price")*(_xll.qwSettle($A$1,F223)-_xll.qwSettle($A$4,F223))/360)*_xll.qwMVFactor($A$1,F223)*_xll.qwFXRate($A$1,F223)*I223),-(_xll.qwBondRepoFromTo($A$1,F223,_xll.qwSettle($A$4,F223),_xll.qwSettle($A$1,F223))*_xll.qwSecVal($A$1,F223,"Price")*(_xll.qwSettle($A$1,F223)-_xll.qwSettle($A$4,F223))/360)*_xll.qwMVFactor($A$1,F223)*_xll.qwFXRate($A$1,F223)*I223,0)</f>
        <v>232343.45128768386</v>
      </c>
      <c r="AD223" s="6"/>
    </row>
    <row r="224" spans="2:30" s="19" customFormat="1" x14ac:dyDescent="0.35">
      <c r="B224" s="19" t="str">
        <v>jcleary</v>
      </c>
      <c r="C224" s="19" t="str">
        <v>PPA</v>
      </c>
      <c r="D224" s="19" t="str">
        <v>jcleary|PPA|RV_US_FV_Spread|251443899</v>
      </c>
      <c r="E224" s="19" t="str">
        <v>RV_US_FV_Spread</v>
      </c>
      <c r="F224" s="19" t="str">
        <v>251443899</v>
      </c>
      <c r="G224" s="19">
        <v>711.5</v>
      </c>
      <c r="H224" s="19">
        <v>0</v>
      </c>
      <c r="I224" s="19">
        <v>711.5</v>
      </c>
      <c r="J224" s="19">
        <v>0</v>
      </c>
      <c r="K224" s="19">
        <v>0</v>
      </c>
      <c r="L224" s="19">
        <v>0</v>
      </c>
      <c r="M224" s="19">
        <v>0</v>
      </c>
      <c r="N224" s="19" t="str">
        <v>SwapTrade</v>
      </c>
      <c r="O224" s="6" cm="1">
        <f t="array" ref="O224">(_xll.qwPrice($A$1,F224)-_xll.qwPrice($A$4,F224))*_xll.qwMVFactor($A$1,F224)*I224*_xll.qwFXRate($A$1,F224)</f>
        <v>237859.4736286563</v>
      </c>
      <c r="P224" s="6" cm="1">
        <f t="array" ref="P224">IF(ISNUMBER(_xll.qwDV01($A$1,F224)*I224*_xll.qwMVFactor($A$1,F224)*_xll.qwFXRate($A$1,F224)),_xll.qwDV01($A$1,F224)*I224*_xll.qwMVFactor($A$1,F224)*_xll.qwFXRate($A$1,F224),0)</f>
        <v>275443.88407744188</v>
      </c>
      <c r="Q224" s="6" cm="1">
        <f t="array" ref="Q224">IF(ISNUMBER(_xll.qwDV01($A$1,F224)*G224*_xll.qwMVFactor($A$1,F224)*_xll.qwFXRate($A$1,F224)),_xll.qwDV01($A$1,F224)*G224*_xll.qwMVFactor($A$1,F224)*_xll.qwFXRate($A$1,F224),0)</f>
        <v>275443.88407744188</v>
      </c>
      <c r="R224" s="6" cm="1">
        <f t="array" ref="R224">IF(ISNUMBER(_xll.qwDV01($A$1,F224)*J224*_xll.qwMVFactor($A$1,F224)*_xll.qwFXRate($A$1,F224)),_xll.qwDV01($A$1,F224)*J224*_xll.qwMVFactor($A$1,F224)*_xll.qwFXRate($A$1,F224),0)</f>
        <v>0</v>
      </c>
      <c r="S224" s="6" cm="1">
        <f t="array" ref="S224">IF(ISNUMBER(_xll.qwDV01($A$1,F224)*J224*_xll.qwMVFactor($A$1,F224)*_xll.qwFXRate($A$1,F224)),_xll.qwDV01($A$1,F224)*J224*_xll.qwMVFactor($A$1,F224)*_xll.qwFXRate($A$1,F224),0)</f>
        <v>0</v>
      </c>
      <c r="T224" s="6" cm="1">
        <f t="array" ref="T224">_xll.qwFXRate($A$1,F224)*J224*(_xll.qwPrice($A$1,F224)-M224)*_xll.qwMVFactor($A$1,F224)+L224</f>
        <v>0</v>
      </c>
      <c r="U224" s="8" cm="1">
        <f t="array" ref="U224">_xll.qwYield($A$1,F224)</f>
        <v>4.7040746613169065E-2</v>
      </c>
      <c r="V224" s="8" cm="1">
        <f t="array" ref="V224">100*(_xll.qwYield($A$4,F224)-U224)</f>
        <v>8.1369158680115461E-3</v>
      </c>
      <c r="W224" s="6">
        <f>IF(ISNA(G224*INDEX(_xll.qwTblData(_xll.qwCurveScenariosPerSecurity($A$1,F224,"Crv210")),2,2)),0,(G224*INDEX(_xll.qwTblData(_xll.qwCurveScenariosPerSecurity($A$1,F224,"Crv210")),2,2)))</f>
        <v>55559.151485247829</v>
      </c>
      <c r="X224" s="6" cm="1">
        <f t="array" ref="X224">ABS(Q224/_xll.qwMV01($A$1,"CT10"))</f>
        <v>370.80008857333047</v>
      </c>
      <c r="Y224" s="6" cm="1">
        <f t="array" ref="Y224">IF(N224="BondFuture",-(_xll.qwCurveYield($A$1,_xll.qwSecVal($A$1,AA224,"CreditCurveName()"),AA224)-_xll.qwCurveYield($A$4,_xll.qwSecVal($A$4,AA224,"CreditCurveName()"),AA224))*P224*10000,IF(N224="Bond",-(_xll.qwCurveYield($A$1,_xll.qwSecVal($A$1,F224,"CreditCurveName()"),F224)-_xll.qwCurveYield($A$4,_xll.qwSecVal($A$4,F224,"CreditCurveName()"),F224))*P224*10000,O224))</f>
        <v>237859.4736286563</v>
      </c>
      <c r="Z224" s="6" cm="1">
        <f t="array" ref="Z224">IF(OR(N224="BondFuture",N224="Bond"),P224*(_xll.qwCurveZSpread($A$4,_xll.qwSecVal($A$1,AA224,"CreditCurveName()"),AA224)-_xll.qwCurveZSpread($A$1,_xll.qwSecVal($A$1,AA224,"CreditCurveName()"),AA224)),0)</f>
        <v>0</v>
      </c>
      <c r="AA224" s="9" cm="1">
        <f t="array" ref="AA224">IF(_xll.qwSecType(F224)="Bond",F224,IF(_xll.qwSecType(F224)="BondFuture",_xll.qwFutCTD($A$1,F224),0))</f>
        <v>0</v>
      </c>
      <c r="AB224" s="6" cm="1">
        <f t="array" ref="AB224">IF(_xll.qwSecType(F224)="BondFuture",-(I224*_xll.qwDelta($A$4,F224)*_xll.qwMVFactor($A$1,F224)/_xll.qwMVFactor($A$1,_xll.qwFutCTD($A$1,F224)))*(_xll.qwFXRate($A$1,F224)*_xll.qwMVFactor($A$1,_xll.qwFutCTD($A$1,F224))*(_xll.qwIncome($A$4,_xll.qwFutCTD($A$4,F224),_xll.qwBondSettle($A$4,_xll.qwFutCTD($A$4,F224)),_xll.qwBondSettle($A$1,_xll.qwFutCTD($A$1,F224)))+(_xll.qwSecVal($A$1,AA224,"Price")-_xll.qwSecVal($A$4,AA224,"Price"))-_xll.qwBondRepoFromTo($A$1,AA224,_xll.qwBondSettle($A$4,AA224),_xll.qwBondSettle($A$1,AA224))*_xll.qwSecVal($A$1,AA224,"Price")*(_xll.qwBondSettle($A$1,AA224)-_xll.qwBondSettle($A$4,AA224))/360))+O224,0)</f>
        <v>0</v>
      </c>
      <c r="AC224" s="9" cm="1">
        <f t="array" ref="AC224">O224+T224+IF(ISNUMBER(_xll.qwIncome($A$1,F224,_xll.qwSettle($A$4,F224),_xll.qwSettle($A$1,F224))*_xll.qwMVFactor($A$1,F224)*_xll.qwFXRate($A$1,F224)*I224),_xll.qwIncome($A$1,F224,_xll.qwSettle($A$4,F224),_xll.qwSettle($A$1,F224))*_xll.qwMVFactor($A$1,F224)*_xll.qwFXRate($A$1,F224)*I224,0)+IF(ISNUMBER(-(_xll.qwBondRepoFromTo($A$1,F224,_xll.qwSettle($A$4,F224),_xll.qwSettle($A$1,F224))*_xll.qwSecVal($A$1,F224,"Price")*(_xll.qwSettle($A$1,F224)-_xll.qwSettle($A$4,F224))/360)*_xll.qwMVFactor($A$1,F224)*_xll.qwFXRate($A$1,F224)*I224),-(_xll.qwBondRepoFromTo($A$1,F224,_xll.qwSettle($A$4,F224),_xll.qwSettle($A$1,F224))*_xll.qwSecVal($A$1,F224,"Price")*(_xll.qwSettle($A$1,F224)-_xll.qwSettle($A$4,F224))/360)*_xll.qwMVFactor($A$1,F224)*_xll.qwFXRate($A$1,F224)*I224,0)</f>
        <v>237859.4736286563</v>
      </c>
      <c r="AD224" s="6"/>
    </row>
    <row r="225" spans="2:30" s="19" customFormat="1" x14ac:dyDescent="0.35">
      <c r="B225" s="19" t="str">
        <v>jcleary</v>
      </c>
      <c r="C225" s="19" t="str">
        <v>PPA</v>
      </c>
      <c r="D225" s="19" t="str">
        <v>jcleary|PPA|RV_US_FV_Spread|252372485</v>
      </c>
      <c r="E225" s="19" t="str">
        <v>RV_US_FV_Spread</v>
      </c>
      <c r="F225" s="19" t="str">
        <v>252372485</v>
      </c>
      <c r="G225" s="19">
        <v>203.5</v>
      </c>
      <c r="H225" s="19">
        <v>0</v>
      </c>
      <c r="I225" s="19">
        <v>203.5</v>
      </c>
      <c r="J225" s="19">
        <v>0</v>
      </c>
      <c r="K225" s="19">
        <v>0</v>
      </c>
      <c r="L225" s="19">
        <v>0</v>
      </c>
      <c r="M225" s="19">
        <v>0</v>
      </c>
      <c r="N225" s="19" t="str">
        <v>SwapTrade</v>
      </c>
      <c r="O225" s="6" cm="1">
        <f t="array" ref="O225">(_xll.qwPrice($A$1,F225)-_xll.qwPrice($A$4,F225))*_xll.qwMVFactor($A$1,F225)*I225*_xll.qwFXRate($A$1,F225)</f>
        <v>23752.33452131068</v>
      </c>
      <c r="P225" s="6" cm="1">
        <f t="array" ref="P225">IF(ISNUMBER(_xll.qwDV01($A$1,F225)*I225*_xll.qwMVFactor($A$1,F225)*_xll.qwFXRate($A$1,F225)),_xll.qwDV01($A$1,F225)*I225*_xll.qwMVFactor($A$1,F225)*_xll.qwFXRate($A$1,F225),0)</f>
        <v>55031.299893845098</v>
      </c>
      <c r="Q225" s="6" cm="1">
        <f t="array" ref="Q225">IF(ISNUMBER(_xll.qwDV01($A$1,F225)*G225*_xll.qwMVFactor($A$1,F225)*_xll.qwFXRate($A$1,F225)),_xll.qwDV01($A$1,F225)*G225*_xll.qwMVFactor($A$1,F225)*_xll.qwFXRate($A$1,F225),0)</f>
        <v>55031.299893845098</v>
      </c>
      <c r="R225" s="6" cm="1">
        <f t="array" ref="R225">IF(ISNUMBER(_xll.qwDV01($A$1,F225)*J225*_xll.qwMVFactor($A$1,F225)*_xll.qwFXRate($A$1,F225)),_xll.qwDV01($A$1,F225)*J225*_xll.qwMVFactor($A$1,F225)*_xll.qwFXRate($A$1,F225),0)</f>
        <v>0</v>
      </c>
      <c r="S225" s="6" cm="1">
        <f t="array" ref="S225">IF(ISNUMBER(_xll.qwDV01($A$1,F225)*J225*_xll.qwMVFactor($A$1,F225)*_xll.qwFXRate($A$1,F225)),_xll.qwDV01($A$1,F225)*J225*_xll.qwMVFactor($A$1,F225)*_xll.qwFXRate($A$1,F225),0)</f>
        <v>0</v>
      </c>
      <c r="T225" s="6" cm="1">
        <f t="array" ref="T225">_xll.qwFXRate($A$1,F225)*J225*(_xll.qwPrice($A$1,F225)-M225)*_xll.qwMVFactor($A$1,F225)+L225</f>
        <v>0</v>
      </c>
      <c r="U225" s="8" cm="1">
        <f t="array" ref="U225">_xll.qwYield($A$1,F225)</f>
        <v>4.6972980020397445E-2</v>
      </c>
      <c r="V225" s="8" cm="1">
        <f t="array" ref="V225">100*(_xll.qwYield($A$4,F225)-U225)</f>
        <v>3.7479365912557183E-3</v>
      </c>
      <c r="W225" s="6">
        <f>IF(ISNA(G225*INDEX(_xll.qwTblData(_xll.qwCurveScenariosPerSecurity($A$1,F225,"Crv210")),2,2)),0,(G225*INDEX(_xll.qwTblData(_xll.qwCurveScenariosPerSecurity($A$1,F225,"Crv210")),2,2)))</f>
        <v>21250.640346566106</v>
      </c>
      <c r="X225" s="6" cm="1">
        <f t="array" ref="X225">ABS(Q225/_xll.qwMV01($A$1,"CT10"))</f>
        <v>74.08264279778372</v>
      </c>
      <c r="Y225" s="6" cm="1">
        <f t="array" ref="Y225">IF(N225="BondFuture",-(_xll.qwCurveYield($A$1,_xll.qwSecVal($A$1,AA225,"CreditCurveName()"),AA225)-_xll.qwCurveYield($A$4,_xll.qwSecVal($A$4,AA225,"CreditCurveName()"),AA225))*P225*10000,IF(N225="Bond",-(_xll.qwCurveYield($A$1,_xll.qwSecVal($A$1,F225,"CreditCurveName()"),F225)-_xll.qwCurveYield($A$4,_xll.qwSecVal($A$4,F225,"CreditCurveName()"),F225))*P225*10000,O225))</f>
        <v>23752.33452131068</v>
      </c>
      <c r="Z225" s="6" cm="1">
        <f t="array" ref="Z225">IF(OR(N225="BondFuture",N225="Bond"),P225*(_xll.qwCurveZSpread($A$4,_xll.qwSecVal($A$1,AA225,"CreditCurveName()"),AA225)-_xll.qwCurveZSpread($A$1,_xll.qwSecVal($A$1,AA225,"CreditCurveName()"),AA225)),0)</f>
        <v>0</v>
      </c>
      <c r="AA225" s="9" cm="1">
        <f t="array" ref="AA225">IF(_xll.qwSecType(F225)="Bond",F225,IF(_xll.qwSecType(F225)="BondFuture",_xll.qwFutCTD($A$1,F225),0))</f>
        <v>0</v>
      </c>
      <c r="AB225" s="6" cm="1">
        <f t="array" ref="AB225">IF(_xll.qwSecType(F225)="BondFuture",-(I225*_xll.qwDelta($A$4,F225)*_xll.qwMVFactor($A$1,F225)/_xll.qwMVFactor($A$1,_xll.qwFutCTD($A$1,F225)))*(_xll.qwFXRate($A$1,F225)*_xll.qwMVFactor($A$1,_xll.qwFutCTD($A$1,F225))*(_xll.qwIncome($A$4,_xll.qwFutCTD($A$4,F225),_xll.qwBondSettle($A$4,_xll.qwFutCTD($A$4,F225)),_xll.qwBondSettle($A$1,_xll.qwFutCTD($A$1,F225)))+(_xll.qwSecVal($A$1,AA225,"Price")-_xll.qwSecVal($A$4,AA225,"Price"))-_xll.qwBondRepoFromTo($A$1,AA225,_xll.qwBondSettle($A$4,AA225),_xll.qwBondSettle($A$1,AA225))*_xll.qwSecVal($A$1,AA225,"Price")*(_xll.qwBondSettle($A$1,AA225)-_xll.qwBondSettle($A$4,AA225))/360))+O225,0)</f>
        <v>0</v>
      </c>
      <c r="AC225" s="9" cm="1">
        <f t="array" ref="AC225">O225+T225+IF(ISNUMBER(_xll.qwIncome($A$1,F225,_xll.qwSettle($A$4,F225),_xll.qwSettle($A$1,F225))*_xll.qwMVFactor($A$1,F225)*_xll.qwFXRate($A$1,F225)*I225),_xll.qwIncome($A$1,F225,_xll.qwSettle($A$4,F225),_xll.qwSettle($A$1,F225))*_xll.qwMVFactor($A$1,F225)*_xll.qwFXRate($A$1,F225)*I225,0)+IF(ISNUMBER(-(_xll.qwBondRepoFromTo($A$1,F225,_xll.qwSettle($A$4,F225),_xll.qwSettle($A$1,F225))*_xll.qwSecVal($A$1,F225,"Price")*(_xll.qwSettle($A$1,F225)-_xll.qwSettle($A$4,F225))/360)*_xll.qwMVFactor($A$1,F225)*_xll.qwFXRate($A$1,F225)*I225),-(_xll.qwBondRepoFromTo($A$1,F225,_xll.qwSettle($A$4,F225),_xll.qwSettle($A$1,F225))*_xll.qwSecVal($A$1,F225,"Price")*(_xll.qwSettle($A$1,F225)-_xll.qwSettle($A$4,F225))/360)*_xll.qwMVFactor($A$1,F225)*_xll.qwFXRate($A$1,F225)*I225,0)</f>
        <v>23752.33452131068</v>
      </c>
      <c r="AD225" s="6"/>
    </row>
    <row r="226" spans="2:30" s="19" customFormat="1" x14ac:dyDescent="0.35">
      <c r="B226" s="19" t="str">
        <v>jcleary</v>
      </c>
      <c r="C226" s="19" t="str">
        <v>PPA</v>
      </c>
      <c r="D226" s="19" t="str">
        <v>jcleary|PPA|RV_US_FV_Spread|252372486</v>
      </c>
      <c r="E226" s="19" t="str">
        <v>RV_US_FV_Spread</v>
      </c>
      <c r="F226" s="19" t="str">
        <v>252372486</v>
      </c>
      <c r="G226" s="19">
        <v>149.6</v>
      </c>
      <c r="H226" s="19">
        <v>0</v>
      </c>
      <c r="I226" s="19">
        <v>149.6</v>
      </c>
      <c r="J226" s="19">
        <v>0</v>
      </c>
      <c r="K226" s="19">
        <v>0</v>
      </c>
      <c r="L226" s="19">
        <v>0</v>
      </c>
      <c r="M226" s="19">
        <v>0</v>
      </c>
      <c r="N226" s="19" t="str">
        <v>SwapTrade</v>
      </c>
      <c r="O226" s="6" cm="1">
        <f t="array" ref="O226">(_xll.qwPrice($A$1,F226)-_xll.qwPrice($A$4,F226))*_xll.qwMVFactor($A$1,F226)*I226*_xll.qwFXRate($A$1,F226)</f>
        <v>-54663.430931871953</v>
      </c>
      <c r="P226" s="6" cm="1">
        <f t="array" ref="P226">IF(ISNUMBER(_xll.qwDV01($A$1,F226)*I226*_xll.qwMVFactor($A$1,F226)*_xll.qwFXRate($A$1,F226)),_xll.qwDV01($A$1,F226)*I226*_xll.qwMVFactor($A$1,F226)*_xll.qwFXRate($A$1,F226),0)</f>
        <v>-56472.903111772714</v>
      </c>
      <c r="Q226" s="6" cm="1">
        <f t="array" ref="Q226">IF(ISNUMBER(_xll.qwDV01($A$1,F226)*G226*_xll.qwMVFactor($A$1,F226)*_xll.qwFXRate($A$1,F226)),_xll.qwDV01($A$1,F226)*G226*_xll.qwMVFactor($A$1,F226)*_xll.qwFXRate($A$1,F226),0)</f>
        <v>-56472.903111772714</v>
      </c>
      <c r="R226" s="6" cm="1">
        <f t="array" ref="R226">IF(ISNUMBER(_xll.qwDV01($A$1,F226)*J226*_xll.qwMVFactor($A$1,F226)*_xll.qwFXRate($A$1,F226)),_xll.qwDV01($A$1,F226)*J226*_xll.qwMVFactor($A$1,F226)*_xll.qwFXRate($A$1,F226),0)</f>
        <v>0</v>
      </c>
      <c r="S226" s="6" cm="1">
        <f t="array" ref="S226">IF(ISNUMBER(_xll.qwDV01($A$1,F226)*J226*_xll.qwMVFactor($A$1,F226)*_xll.qwFXRate($A$1,F226)),_xll.qwDV01($A$1,F226)*J226*_xll.qwMVFactor($A$1,F226)*_xll.qwFXRate($A$1,F226),0)</f>
        <v>0</v>
      </c>
      <c r="T226" s="6" cm="1">
        <f t="array" ref="T226">_xll.qwFXRate($A$1,F226)*J226*(_xll.qwPrice($A$1,F226)-M226)*_xll.qwMVFactor($A$1,F226)+L226</f>
        <v>0</v>
      </c>
      <c r="U226" s="8" cm="1">
        <f t="array" ref="U226">_xll.qwYield($A$1,F226)</f>
        <v>4.7267568926535303E-2</v>
      </c>
      <c r="V226" s="8" cm="1">
        <f t="array" ref="V226">100*(_xll.qwYield($A$4,F226)-U226)</f>
        <v>9.6672840081100941E-3</v>
      </c>
      <c r="W226" s="6">
        <f>IF(ISNA(G226*INDEX(_xll.qwTblData(_xll.qwCurveScenariosPerSecurity($A$1,F226,"Crv210")),2,2)),0,(G226*INDEX(_xll.qwTblData(_xll.qwCurveScenariosPerSecurity($A$1,F226,"Crv210")),2,2)))</f>
        <v>-10427.473410247714</v>
      </c>
      <c r="X226" s="6" cm="1">
        <f t="array" ref="X226">ABS(Q226/_xll.qwMV01($A$1,"CT10"))</f>
        <v>76.02331613197498</v>
      </c>
      <c r="Y226" s="6" cm="1">
        <f t="array" ref="Y226">IF(N226="BondFuture",-(_xll.qwCurveYield($A$1,_xll.qwSecVal($A$1,AA226,"CreditCurveName()"),AA226)-_xll.qwCurveYield($A$4,_xll.qwSecVal($A$4,AA226,"CreditCurveName()"),AA226))*P226*10000,IF(N226="Bond",-(_xll.qwCurveYield($A$1,_xll.qwSecVal($A$1,F226,"CreditCurveName()"),F226)-_xll.qwCurveYield($A$4,_xll.qwSecVal($A$4,F226,"CreditCurveName()"),F226))*P226*10000,O226))</f>
        <v>-54663.430931871953</v>
      </c>
      <c r="Z226" s="6" cm="1">
        <f t="array" ref="Z226">IF(OR(N226="BondFuture",N226="Bond"),P226*(_xll.qwCurveZSpread($A$4,_xll.qwSecVal($A$1,AA226,"CreditCurveName()"),AA226)-_xll.qwCurveZSpread($A$1,_xll.qwSecVal($A$1,AA226,"CreditCurveName()"),AA226)),0)</f>
        <v>0</v>
      </c>
      <c r="AA226" s="9" cm="1">
        <f t="array" ref="AA226">IF(_xll.qwSecType(F226)="Bond",F226,IF(_xll.qwSecType(F226)="BondFuture",_xll.qwFutCTD($A$1,F226),0))</f>
        <v>0</v>
      </c>
      <c r="AB226" s="6" cm="1">
        <f t="array" ref="AB226">IF(_xll.qwSecType(F226)="BondFuture",-(I226*_xll.qwDelta($A$4,F226)*_xll.qwMVFactor($A$1,F226)/_xll.qwMVFactor($A$1,_xll.qwFutCTD($A$1,F226)))*(_xll.qwFXRate($A$1,F226)*_xll.qwMVFactor($A$1,_xll.qwFutCTD($A$1,F226))*(_xll.qwIncome($A$4,_xll.qwFutCTD($A$4,F226),_xll.qwBondSettle($A$4,_xll.qwFutCTD($A$4,F226)),_xll.qwBondSettle($A$1,_xll.qwFutCTD($A$1,F226)))+(_xll.qwSecVal($A$1,AA226,"Price")-_xll.qwSecVal($A$4,AA226,"Price"))-_xll.qwBondRepoFromTo($A$1,AA226,_xll.qwBondSettle($A$4,AA226),_xll.qwBondSettle($A$1,AA226))*_xll.qwSecVal($A$1,AA226,"Price")*(_xll.qwBondSettle($A$1,AA226)-_xll.qwBondSettle($A$4,AA226))/360))+O226,0)</f>
        <v>0</v>
      </c>
      <c r="AC226" s="9" cm="1">
        <f t="array" ref="AC226">O226+T226+IF(ISNUMBER(_xll.qwIncome($A$1,F226,_xll.qwSettle($A$4,F226),_xll.qwSettle($A$1,F226))*_xll.qwMVFactor($A$1,F226)*_xll.qwFXRate($A$1,F226)*I226),_xll.qwIncome($A$1,F226,_xll.qwSettle($A$4,F226),_xll.qwSettle($A$1,F226))*_xll.qwMVFactor($A$1,F226)*_xll.qwFXRate($A$1,F226)*I226,0)+IF(ISNUMBER(-(_xll.qwBondRepoFromTo($A$1,F226,_xll.qwSettle($A$4,F226),_xll.qwSettle($A$1,F226))*_xll.qwSecVal($A$1,F226,"Price")*(_xll.qwSettle($A$1,F226)-_xll.qwSettle($A$4,F226))/360)*_xll.qwMVFactor($A$1,F226)*_xll.qwFXRate($A$1,F226)*I226),-(_xll.qwBondRepoFromTo($A$1,F226,_xll.qwSettle($A$4,F226),_xll.qwSettle($A$1,F226))*_xll.qwSecVal($A$1,F226,"Price")*(_xll.qwSettle($A$1,F226)-_xll.qwSettle($A$4,F226))/360)*_xll.qwMVFactor($A$1,F226)*_xll.qwFXRate($A$1,F226)*I226,0)</f>
        <v>-54663.430931871953</v>
      </c>
      <c r="AD226" s="6"/>
    </row>
    <row r="227" spans="2:30" s="19" customFormat="1" x14ac:dyDescent="0.35">
      <c r="B227" s="19" t="str">
        <v>jcleary</v>
      </c>
      <c r="C227" s="19" t="str">
        <v>PPA</v>
      </c>
      <c r="D227" s="19" t="str">
        <v>jcleary|PPA|RV_US_FV_Spread|252981101</v>
      </c>
      <c r="E227" s="19" t="str">
        <v>RV_US_FV_Spread</v>
      </c>
      <c r="F227" s="19" t="str">
        <v>252981101</v>
      </c>
      <c r="G227" s="19">
        <v>205.6</v>
      </c>
      <c r="H227" s="19">
        <v>0</v>
      </c>
      <c r="I227" s="19">
        <v>205.6</v>
      </c>
      <c r="J227" s="19">
        <v>0</v>
      </c>
      <c r="K227" s="19">
        <v>0</v>
      </c>
      <c r="L227" s="19">
        <v>0</v>
      </c>
      <c r="M227" s="19">
        <v>0</v>
      </c>
      <c r="N227" s="19" t="str">
        <v>SwapTrade</v>
      </c>
      <c r="O227" s="6" cm="1">
        <f t="array" ref="O227">(_xll.qwPrice($A$1,F227)-_xll.qwPrice($A$4,F227))*_xll.qwMVFactor($A$1,F227)*I227*_xll.qwFXRate($A$1,F227)</f>
        <v>24052.939283187938</v>
      </c>
      <c r="P227" s="6" cm="1">
        <f t="array" ref="P227">IF(ISNUMBER(_xll.qwDV01($A$1,F227)*I227*_xll.qwMVFactor($A$1,F227)*_xll.qwFXRate($A$1,F227)),_xll.qwDV01($A$1,F227)*I227*_xll.qwMVFactor($A$1,F227)*_xll.qwFXRate($A$1,F227),0)</f>
        <v>55724.776837919511</v>
      </c>
      <c r="Q227" s="6" cm="1">
        <f t="array" ref="Q227">IF(ISNUMBER(_xll.qwDV01($A$1,F227)*G227*_xll.qwMVFactor($A$1,F227)*_xll.qwFXRate($A$1,F227)),_xll.qwDV01($A$1,F227)*G227*_xll.qwMVFactor($A$1,F227)*_xll.qwFXRate($A$1,F227),0)</f>
        <v>55724.776837919511</v>
      </c>
      <c r="R227" s="6" cm="1">
        <f t="array" ref="R227">IF(ISNUMBER(_xll.qwDV01($A$1,F227)*J227*_xll.qwMVFactor($A$1,F227)*_xll.qwFXRate($A$1,F227)),_xll.qwDV01($A$1,F227)*J227*_xll.qwMVFactor($A$1,F227)*_xll.qwFXRate($A$1,F227),0)</f>
        <v>0</v>
      </c>
      <c r="S227" s="6" cm="1">
        <f t="array" ref="S227">IF(ISNUMBER(_xll.qwDV01($A$1,F227)*J227*_xll.qwMVFactor($A$1,F227)*_xll.qwFXRate($A$1,F227)),_xll.qwDV01($A$1,F227)*J227*_xll.qwMVFactor($A$1,F227)*_xll.qwFXRate($A$1,F227),0)</f>
        <v>0</v>
      </c>
      <c r="T227" s="6" cm="1">
        <f t="array" ref="T227">_xll.qwFXRate($A$1,F227)*J227*(_xll.qwPrice($A$1,F227)-M227)*_xll.qwMVFactor($A$1,F227)+L227</f>
        <v>0</v>
      </c>
      <c r="U227" s="8" cm="1">
        <f t="array" ref="U227">_xll.qwYield($A$1,F227)</f>
        <v>4.6972980020397445E-2</v>
      </c>
      <c r="V227" s="8" cm="1">
        <f t="array" ref="V227">100*(_xll.qwYield($A$4,F227)-U227)</f>
        <v>3.7479365912557183E-3</v>
      </c>
      <c r="W227" s="6">
        <f>IF(ISNA(G227*INDEX(_xll.qwTblData(_xll.qwCurveScenariosPerSecurity($A$1,F227,"Crv210")),2,2)),0,(G227*INDEX(_xll.qwTblData(_xll.qwCurveScenariosPerSecurity($A$1,F227,"Crv210")),2,2)))</f>
        <v>21526.355947050655</v>
      </c>
      <c r="X227" s="6" cm="1">
        <f t="array" ref="X227">ABS(Q227/_xll.qwMV01($A$1,"CT10"))</f>
        <v>75.016195245853538</v>
      </c>
      <c r="Y227" s="6" cm="1">
        <f t="array" ref="Y227">IF(N227="BondFuture",-(_xll.qwCurveYield($A$1,_xll.qwSecVal($A$1,AA227,"CreditCurveName()"),AA227)-_xll.qwCurveYield($A$4,_xll.qwSecVal($A$4,AA227,"CreditCurveName()"),AA227))*P227*10000,IF(N227="Bond",-(_xll.qwCurveYield($A$1,_xll.qwSecVal($A$1,F227,"CreditCurveName()"),F227)-_xll.qwCurveYield($A$4,_xll.qwSecVal($A$4,F227,"CreditCurveName()"),F227))*P227*10000,O227))</f>
        <v>24052.939283187938</v>
      </c>
      <c r="Z227" s="6" cm="1">
        <f t="array" ref="Z227">IF(OR(N227="BondFuture",N227="Bond"),P227*(_xll.qwCurveZSpread($A$4,_xll.qwSecVal($A$1,AA227,"CreditCurveName()"),AA227)-_xll.qwCurveZSpread($A$1,_xll.qwSecVal($A$1,AA227,"CreditCurveName()"),AA227)),0)</f>
        <v>0</v>
      </c>
      <c r="AA227" s="9" cm="1">
        <f t="array" ref="AA227">IF(_xll.qwSecType(F227)="Bond",F227,IF(_xll.qwSecType(F227)="BondFuture",_xll.qwFutCTD($A$1,F227),0))</f>
        <v>0</v>
      </c>
      <c r="AB227" s="6" cm="1">
        <f t="array" ref="AB227">IF(_xll.qwSecType(F227)="BondFuture",-(I227*_xll.qwDelta($A$4,F227)*_xll.qwMVFactor($A$1,F227)/_xll.qwMVFactor($A$1,_xll.qwFutCTD($A$1,F227)))*(_xll.qwFXRate($A$1,F227)*_xll.qwMVFactor($A$1,_xll.qwFutCTD($A$1,F227))*(_xll.qwIncome($A$4,_xll.qwFutCTD($A$4,F227),_xll.qwBondSettle($A$4,_xll.qwFutCTD($A$4,F227)),_xll.qwBondSettle($A$1,_xll.qwFutCTD($A$1,F227)))+(_xll.qwSecVal($A$1,AA227,"Price")-_xll.qwSecVal($A$4,AA227,"Price"))-_xll.qwBondRepoFromTo($A$1,AA227,_xll.qwBondSettle($A$4,AA227),_xll.qwBondSettle($A$1,AA227))*_xll.qwSecVal($A$1,AA227,"Price")*(_xll.qwBondSettle($A$1,AA227)-_xll.qwBondSettle($A$4,AA227))/360))+O227,0)</f>
        <v>0</v>
      </c>
      <c r="AC227" s="9" cm="1">
        <f t="array" ref="AC227">O227+T227+IF(ISNUMBER(_xll.qwIncome($A$1,F227,_xll.qwSettle($A$4,F227),_xll.qwSettle($A$1,F227))*_xll.qwMVFactor($A$1,F227)*_xll.qwFXRate($A$1,F227)*I227),_xll.qwIncome($A$1,F227,_xll.qwSettle($A$4,F227),_xll.qwSettle($A$1,F227))*_xll.qwMVFactor($A$1,F227)*_xll.qwFXRate($A$1,F227)*I227,0)+IF(ISNUMBER(-(_xll.qwBondRepoFromTo($A$1,F227,_xll.qwSettle($A$4,F227),_xll.qwSettle($A$1,F227))*_xll.qwSecVal($A$1,F227,"Price")*(_xll.qwSettle($A$1,F227)-_xll.qwSettle($A$4,F227))/360)*_xll.qwMVFactor($A$1,F227)*_xll.qwFXRate($A$1,F227)*I227),-(_xll.qwBondRepoFromTo($A$1,F227,_xll.qwSettle($A$4,F227),_xll.qwSettle($A$1,F227))*_xll.qwSecVal($A$1,F227,"Price")*(_xll.qwSettle($A$1,F227)-_xll.qwSettle($A$4,F227))/360)*_xll.qwMVFactor($A$1,F227)*_xll.qwFXRate($A$1,F227)*I227,0)</f>
        <v>24052.939283187938</v>
      </c>
      <c r="AD227" s="6"/>
    </row>
    <row r="228" spans="2:30" s="19" customFormat="1" x14ac:dyDescent="0.35">
      <c r="B228" s="19" t="str">
        <v>jcleary</v>
      </c>
      <c r="C228" s="19" t="str">
        <v>PPA</v>
      </c>
      <c r="D228" s="19" t="str">
        <v>jcleary|PPA|RV_US_FV_Spread|252981116</v>
      </c>
      <c r="E228" s="19" t="str">
        <v>RV_US_FV_Spread</v>
      </c>
      <c r="F228" s="19" t="str">
        <v>252981116</v>
      </c>
      <c r="G228" s="19">
        <v>129.9</v>
      </c>
      <c r="H228" s="19">
        <v>0</v>
      </c>
      <c r="I228" s="19">
        <v>129.9</v>
      </c>
      <c r="J228" s="19">
        <v>0</v>
      </c>
      <c r="K228" s="19">
        <v>0</v>
      </c>
      <c r="L228" s="19">
        <v>0</v>
      </c>
      <c r="M228" s="19">
        <v>0</v>
      </c>
      <c r="N228" s="19" t="str">
        <v>SwapTrade</v>
      </c>
      <c r="O228" s="6" cm="1">
        <f t="array" ref="O228">(_xll.qwPrice($A$1,F228)-_xll.qwPrice($A$4,F228))*_xll.qwMVFactor($A$1,F228)*I228*_xll.qwFXRate($A$1,F228)</f>
        <v>-52450.338929278289</v>
      </c>
      <c r="P228" s="6" cm="1">
        <f t="array" ref="P228">IF(ISNUMBER(_xll.qwDV01($A$1,F228)*I228*_xll.qwMVFactor($A$1,F228)*_xll.qwFXRate($A$1,F228)),_xll.qwDV01($A$1,F228)*I228*_xll.qwMVFactor($A$1,F228)*_xll.qwFXRate($A$1,F228),0)</f>
        <v>-56049.245527289997</v>
      </c>
      <c r="Q228" s="6" cm="1">
        <f t="array" ref="Q228">IF(ISNUMBER(_xll.qwDV01($A$1,F228)*G228*_xll.qwMVFactor($A$1,F228)*_xll.qwFXRate($A$1,F228)),_xll.qwDV01($A$1,F228)*G228*_xll.qwMVFactor($A$1,F228)*_xll.qwFXRate($A$1,F228),0)</f>
        <v>-56049.245527289997</v>
      </c>
      <c r="R228" s="6" cm="1">
        <f t="array" ref="R228">IF(ISNUMBER(_xll.qwDV01($A$1,F228)*J228*_xll.qwMVFactor($A$1,F228)*_xll.qwFXRate($A$1,F228)),_xll.qwDV01($A$1,F228)*J228*_xll.qwMVFactor($A$1,F228)*_xll.qwFXRate($A$1,F228),0)</f>
        <v>0</v>
      </c>
      <c r="S228" s="6" cm="1">
        <f t="array" ref="S228">IF(ISNUMBER(_xll.qwDV01($A$1,F228)*J228*_xll.qwMVFactor($A$1,F228)*_xll.qwFXRate($A$1,F228)),_xll.qwDV01($A$1,F228)*J228*_xll.qwMVFactor($A$1,F228)*_xll.qwFXRate($A$1,F228),0)</f>
        <v>0</v>
      </c>
      <c r="T228" s="6" cm="1">
        <f t="array" ref="T228">_xll.qwFXRate($A$1,F228)*J228*(_xll.qwPrice($A$1,F228)-M228)*_xll.qwMVFactor($A$1,F228)+L228</f>
        <v>0</v>
      </c>
      <c r="U228" s="8" cm="1">
        <f t="array" ref="U228">_xll.qwYield($A$1,F228)</f>
        <v>4.710832052552244E-2</v>
      </c>
      <c r="V228" s="8" cm="1">
        <f t="array" ref="V228">100*(_xll.qwYield($A$4,F228)-U228)</f>
        <v>8.990898775992906E-3</v>
      </c>
      <c r="W228" s="6">
        <f>IF(ISNA(G228*INDEX(_xll.qwTblData(_xll.qwCurveScenariosPerSecurity($A$1,F228,"Crv210")),2,2)),0,(G228*INDEX(_xll.qwTblData(_xll.qwCurveScenariosPerSecurity($A$1,F228,"Crv210")),2,2)))</f>
        <v>-7843.1875756836771</v>
      </c>
      <c r="X228" s="6" cm="1">
        <f t="array" ref="X228">ABS(Q228/_xll.qwMV01($A$1,"CT10"))</f>
        <v>75.452992088015492</v>
      </c>
      <c r="Y228" s="6" cm="1">
        <f t="array" ref="Y228">IF(N228="BondFuture",-(_xll.qwCurveYield($A$1,_xll.qwSecVal($A$1,AA228,"CreditCurveName()"),AA228)-_xll.qwCurveYield($A$4,_xll.qwSecVal($A$4,AA228,"CreditCurveName()"),AA228))*P228*10000,IF(N228="Bond",-(_xll.qwCurveYield($A$1,_xll.qwSecVal($A$1,F228,"CreditCurveName()"),F228)-_xll.qwCurveYield($A$4,_xll.qwSecVal($A$4,F228,"CreditCurveName()"),F228))*P228*10000,O228))</f>
        <v>-52450.338929278289</v>
      </c>
      <c r="Z228" s="6" cm="1">
        <f t="array" ref="Z228">IF(OR(N228="BondFuture",N228="Bond"),P228*(_xll.qwCurveZSpread($A$4,_xll.qwSecVal($A$1,AA228,"CreditCurveName()"),AA228)-_xll.qwCurveZSpread($A$1,_xll.qwSecVal($A$1,AA228,"CreditCurveName()"),AA228)),0)</f>
        <v>0</v>
      </c>
      <c r="AA228" s="9" cm="1">
        <f t="array" ref="AA228">IF(_xll.qwSecType(F228)="Bond",F228,IF(_xll.qwSecType(F228)="BondFuture",_xll.qwFutCTD($A$1,F228),0))</f>
        <v>0</v>
      </c>
      <c r="AB228" s="6" cm="1">
        <f t="array" ref="AB228">IF(_xll.qwSecType(F228)="BondFuture",-(I228*_xll.qwDelta($A$4,F228)*_xll.qwMVFactor($A$1,F228)/_xll.qwMVFactor($A$1,_xll.qwFutCTD($A$1,F228)))*(_xll.qwFXRate($A$1,F228)*_xll.qwMVFactor($A$1,_xll.qwFutCTD($A$1,F228))*(_xll.qwIncome($A$4,_xll.qwFutCTD($A$4,F228),_xll.qwBondSettle($A$4,_xll.qwFutCTD($A$4,F228)),_xll.qwBondSettle($A$1,_xll.qwFutCTD($A$1,F228)))+(_xll.qwSecVal($A$1,AA228,"Price")-_xll.qwSecVal($A$4,AA228,"Price"))-_xll.qwBondRepoFromTo($A$1,AA228,_xll.qwBondSettle($A$4,AA228),_xll.qwBondSettle($A$1,AA228))*_xll.qwSecVal($A$1,AA228,"Price")*(_xll.qwBondSettle($A$1,AA228)-_xll.qwBondSettle($A$4,AA228))/360))+O228,0)</f>
        <v>0</v>
      </c>
      <c r="AC228" s="9" cm="1">
        <f t="array" ref="AC228">O228+T228+IF(ISNUMBER(_xll.qwIncome($A$1,F228,_xll.qwSettle($A$4,F228),_xll.qwSettle($A$1,F228))*_xll.qwMVFactor($A$1,F228)*_xll.qwFXRate($A$1,F228)*I228),_xll.qwIncome($A$1,F228,_xll.qwSettle($A$4,F228),_xll.qwSettle($A$1,F228))*_xll.qwMVFactor($A$1,F228)*_xll.qwFXRate($A$1,F228)*I228,0)+IF(ISNUMBER(-(_xll.qwBondRepoFromTo($A$1,F228,_xll.qwSettle($A$4,F228),_xll.qwSettle($A$1,F228))*_xll.qwSecVal($A$1,F228,"Price")*(_xll.qwSettle($A$1,F228)-_xll.qwSettle($A$4,F228))/360)*_xll.qwMVFactor($A$1,F228)*_xll.qwFXRate($A$1,F228)*I228),-(_xll.qwBondRepoFromTo($A$1,F228,_xll.qwSettle($A$4,F228),_xll.qwSettle($A$1,F228))*_xll.qwSecVal($A$1,F228,"Price")*(_xll.qwSettle($A$1,F228)-_xll.qwSettle($A$4,F228))/360)*_xll.qwMVFactor($A$1,F228)*_xll.qwFXRate($A$1,F228)*I228,0)</f>
        <v>-52450.338929278289</v>
      </c>
      <c r="AD228" s="6"/>
    </row>
    <row r="229" spans="2:30" s="19" customFormat="1" x14ac:dyDescent="0.35">
      <c r="B229" s="19" t="str">
        <v>jcleary</v>
      </c>
      <c r="C229" s="19" t="str">
        <v>PPA</v>
      </c>
      <c r="D229" s="19" t="str">
        <v>jcleary|PPA|RV_US_FV_Spread|253071448</v>
      </c>
      <c r="E229" s="19" t="str">
        <v>RV_US_FV_Spread</v>
      </c>
      <c r="F229" s="19" t="str">
        <v>253071448</v>
      </c>
      <c r="G229" s="19">
        <v>248</v>
      </c>
      <c r="H229" s="19">
        <v>0</v>
      </c>
      <c r="I229" s="19">
        <v>248</v>
      </c>
      <c r="J229" s="19">
        <v>0</v>
      </c>
      <c r="K229" s="19">
        <v>0</v>
      </c>
      <c r="L229" s="19">
        <v>0</v>
      </c>
      <c r="M229" s="19">
        <v>0</v>
      </c>
      <c r="N229" s="19" t="str">
        <v>SwapTrade</v>
      </c>
      <c r="O229" s="6" cm="1">
        <f t="array" ref="O229">(_xll.qwPrice($A$1,F229)-_xll.qwPrice($A$4,F229))*_xll.qwMVFactor($A$1,F229)*I229*_xll.qwFXRate($A$1,F229)</f>
        <v>-83828.263899144426</v>
      </c>
      <c r="P229" s="6" cm="1">
        <f t="array" ref="P229">IF(ISNUMBER(_xll.qwDV01($A$1,F229)*I229*_xll.qwMVFactor($A$1,F229)*_xll.qwFXRate($A$1,F229)),_xll.qwDV01($A$1,F229)*I229*_xll.qwMVFactor($A$1,F229)*_xll.qwFXRate($A$1,F229),0)</f>
        <v>-97202.492908927976</v>
      </c>
      <c r="Q229" s="6" cm="1">
        <f t="array" ref="Q229">IF(ISNUMBER(_xll.qwDV01($A$1,F229)*G229*_xll.qwMVFactor($A$1,F229)*_xll.qwFXRate($A$1,F229)),_xll.qwDV01($A$1,F229)*G229*_xll.qwMVFactor($A$1,F229)*_xll.qwFXRate($A$1,F229),0)</f>
        <v>-97202.492908927976</v>
      </c>
      <c r="R229" s="6" cm="1">
        <f t="array" ref="R229">IF(ISNUMBER(_xll.qwDV01($A$1,F229)*J229*_xll.qwMVFactor($A$1,F229)*_xll.qwFXRate($A$1,F229)),_xll.qwDV01($A$1,F229)*J229*_xll.qwMVFactor($A$1,F229)*_xll.qwFXRate($A$1,F229),0)</f>
        <v>0</v>
      </c>
      <c r="S229" s="6" cm="1">
        <f t="array" ref="S229">IF(ISNUMBER(_xll.qwDV01($A$1,F229)*J229*_xll.qwMVFactor($A$1,F229)*_xll.qwFXRate($A$1,F229)),_xll.qwDV01($A$1,F229)*J229*_xll.qwMVFactor($A$1,F229)*_xll.qwFXRate($A$1,F229),0)</f>
        <v>0</v>
      </c>
      <c r="T229" s="6" cm="1">
        <f t="array" ref="T229">_xll.qwFXRate($A$1,F229)*J229*(_xll.qwPrice($A$1,F229)-M229)*_xll.qwMVFactor($A$1,F229)+L229</f>
        <v>0</v>
      </c>
      <c r="U229" s="8" cm="1">
        <f t="array" ref="U229">_xll.qwYield($A$1,F229)</f>
        <v>4.7040746613169065E-2</v>
      </c>
      <c r="V229" s="8" cm="1">
        <f t="array" ref="V229">100*(_xll.qwYield($A$4,F229)-U229)</f>
        <v>8.1369158680115461E-3</v>
      </c>
      <c r="W229" s="6">
        <f>IF(ISNA(G229*INDEX(_xll.qwTblData(_xll.qwCurveScenariosPerSecurity($A$1,F229,"Crv210")),2,2)),0,(G229*INDEX(_xll.qwTblData(_xll.qwCurveScenariosPerSecurity($A$1,F229,"Crv210")),2,2)))</f>
        <v>-19762.086027594418</v>
      </c>
      <c r="X229" s="6" cm="1">
        <f t="array" ref="X229">ABS(Q229/_xll.qwMV01($A$1,"CT10"))</f>
        <v>130.85312495101729</v>
      </c>
      <c r="Y229" s="6" cm="1">
        <f t="array" ref="Y229">IF(N229="BondFuture",-(_xll.qwCurveYield($A$1,_xll.qwSecVal($A$1,AA229,"CreditCurveName()"),AA229)-_xll.qwCurveYield($A$4,_xll.qwSecVal($A$4,AA229,"CreditCurveName()"),AA229))*P229*10000,IF(N229="Bond",-(_xll.qwCurveYield($A$1,_xll.qwSecVal($A$1,F229,"CreditCurveName()"),F229)-_xll.qwCurveYield($A$4,_xll.qwSecVal($A$4,F229,"CreditCurveName()"),F229))*P229*10000,O229))</f>
        <v>-83828.263899144426</v>
      </c>
      <c r="Z229" s="6" cm="1">
        <f t="array" ref="Z229">IF(OR(N229="BondFuture",N229="Bond"),P229*(_xll.qwCurveZSpread($A$4,_xll.qwSecVal($A$1,AA229,"CreditCurveName()"),AA229)-_xll.qwCurveZSpread($A$1,_xll.qwSecVal($A$1,AA229,"CreditCurveName()"),AA229)),0)</f>
        <v>0</v>
      </c>
      <c r="AA229" s="9" cm="1">
        <f t="array" ref="AA229">IF(_xll.qwSecType(F229)="Bond",F229,IF(_xll.qwSecType(F229)="BondFuture",_xll.qwFutCTD($A$1,F229),0))</f>
        <v>0</v>
      </c>
      <c r="AB229" s="6" cm="1">
        <f t="array" ref="AB229">IF(_xll.qwSecType(F229)="BondFuture",-(I229*_xll.qwDelta($A$4,F229)*_xll.qwMVFactor($A$1,F229)/_xll.qwMVFactor($A$1,_xll.qwFutCTD($A$1,F229)))*(_xll.qwFXRate($A$1,F229)*_xll.qwMVFactor($A$1,_xll.qwFutCTD($A$1,F229))*(_xll.qwIncome($A$4,_xll.qwFutCTD($A$4,F229),_xll.qwBondSettle($A$4,_xll.qwFutCTD($A$4,F229)),_xll.qwBondSettle($A$1,_xll.qwFutCTD($A$1,F229)))+(_xll.qwSecVal($A$1,AA229,"Price")-_xll.qwSecVal($A$4,AA229,"Price"))-_xll.qwBondRepoFromTo($A$1,AA229,_xll.qwBondSettle($A$4,AA229),_xll.qwBondSettle($A$1,AA229))*_xll.qwSecVal($A$1,AA229,"Price")*(_xll.qwBondSettle($A$1,AA229)-_xll.qwBondSettle($A$4,AA229))/360))+O229,0)</f>
        <v>0</v>
      </c>
      <c r="AC229" s="9" cm="1">
        <f t="array" ref="AC229">O229+T229+IF(ISNUMBER(_xll.qwIncome($A$1,F229,_xll.qwSettle($A$4,F229),_xll.qwSettle($A$1,F229))*_xll.qwMVFactor($A$1,F229)*_xll.qwFXRate($A$1,F229)*I229),_xll.qwIncome($A$1,F229,_xll.qwSettle($A$4,F229),_xll.qwSettle($A$1,F229))*_xll.qwMVFactor($A$1,F229)*_xll.qwFXRate($A$1,F229)*I229,0)+IF(ISNUMBER(-(_xll.qwBondRepoFromTo($A$1,F229,_xll.qwSettle($A$4,F229),_xll.qwSettle($A$1,F229))*_xll.qwSecVal($A$1,F229,"Price")*(_xll.qwSettle($A$1,F229)-_xll.qwSettle($A$4,F229))/360)*_xll.qwMVFactor($A$1,F229)*_xll.qwFXRate($A$1,F229)*I229),-(_xll.qwBondRepoFromTo($A$1,F229,_xll.qwSettle($A$4,F229),_xll.qwSettle($A$1,F229))*_xll.qwSecVal($A$1,F229,"Price")*(_xll.qwSettle($A$1,F229)-_xll.qwSettle($A$4,F229))/360)*_xll.qwMVFactor($A$1,F229)*_xll.qwFXRate($A$1,F229)*I229,0)</f>
        <v>-83828.263899144426</v>
      </c>
      <c r="AD229" s="6"/>
    </row>
    <row r="230" spans="2:30" s="19" customFormat="1" x14ac:dyDescent="0.35">
      <c r="B230" s="19" t="str">
        <v>jcleary</v>
      </c>
      <c r="C230" s="19" t="str">
        <v>PPA</v>
      </c>
      <c r="D230" s="19" t="str">
        <v>jcleary|PPA|RV_US_FV_Spread|253368726</v>
      </c>
      <c r="E230" s="19" t="str">
        <v>RV_US_FV_Spread</v>
      </c>
      <c r="F230" s="19" t="str">
        <v>253368726</v>
      </c>
      <c r="G230" s="19">
        <v>286.39999999999998</v>
      </c>
      <c r="H230" s="19">
        <v>0</v>
      </c>
      <c r="I230" s="19">
        <v>286.39999999999998</v>
      </c>
      <c r="J230" s="19">
        <v>0</v>
      </c>
      <c r="K230" s="19">
        <v>0</v>
      </c>
      <c r="L230" s="19">
        <v>0</v>
      </c>
      <c r="M230" s="19">
        <v>0</v>
      </c>
      <c r="N230" s="19" t="str">
        <v>SwapTrade</v>
      </c>
      <c r="O230" s="6" cm="1">
        <f t="array" ref="O230">(_xll.qwPrice($A$1,F230)-_xll.qwPrice($A$4,F230))*_xll.qwMVFactor($A$1,F230)*I230*_xll.qwFXRate($A$1,F230)</f>
        <v>-96814.177542393722</v>
      </c>
      <c r="P230" s="6" cm="1">
        <f t="array" ref="P230">IF(ISNUMBER(_xll.qwDV01($A$1,F230)*I230*_xll.qwMVFactor($A$1,F230)*_xll.qwFXRate($A$1,F230)),_xll.qwDV01($A$1,F230)*I230*_xll.qwMVFactor($A$1,F230)*_xll.qwFXRate($A$1,F230),0)</f>
        <v>-112250.57936011929</v>
      </c>
      <c r="Q230" s="6" cm="1">
        <f t="array" ref="Q230">IF(ISNUMBER(_xll.qwDV01($A$1,F230)*G230*_xll.qwMVFactor($A$1,F230)*_xll.qwFXRate($A$1,F230)),_xll.qwDV01($A$1,F230)*G230*_xll.qwMVFactor($A$1,F230)*_xll.qwFXRate($A$1,F230),0)</f>
        <v>-112250.57936011929</v>
      </c>
      <c r="R230" s="6" cm="1">
        <f t="array" ref="R230">IF(ISNUMBER(_xll.qwDV01($A$1,F230)*J230*_xll.qwMVFactor($A$1,F230)*_xll.qwFXRate($A$1,F230)),_xll.qwDV01($A$1,F230)*J230*_xll.qwMVFactor($A$1,F230)*_xll.qwFXRate($A$1,F230),0)</f>
        <v>0</v>
      </c>
      <c r="S230" s="6" cm="1">
        <f t="array" ref="S230">IF(ISNUMBER(_xll.qwDV01($A$1,F230)*J230*_xll.qwMVFactor($A$1,F230)*_xll.qwFXRate($A$1,F230)),_xll.qwDV01($A$1,F230)*J230*_xll.qwMVFactor($A$1,F230)*_xll.qwFXRate($A$1,F230),0)</f>
        <v>0</v>
      </c>
      <c r="T230" s="6" cm="1">
        <f t="array" ref="T230">_xll.qwFXRate($A$1,F230)*J230*(_xll.qwPrice($A$1,F230)-M230)*_xll.qwMVFactor($A$1,F230)+L230</f>
        <v>0</v>
      </c>
      <c r="U230" s="8" cm="1">
        <f t="array" ref="U230">_xll.qwYield($A$1,F230)</f>
        <v>4.7040746613169065E-2</v>
      </c>
      <c r="V230" s="8" cm="1">
        <f t="array" ref="V230">100*(_xll.qwYield($A$4,F230)-U230)</f>
        <v>8.1369158680115461E-3</v>
      </c>
      <c r="W230" s="6">
        <f>IF(ISNA(G230*INDEX(_xll.qwTblData(_xll.qwCurveScenariosPerSecurity($A$1,F230,"Crv210")),2,2)),0,(G230*INDEX(_xll.qwTblData(_xll.qwCurveScenariosPerSecurity($A$1,F230,"Crv210")),2,2)))</f>
        <v>-22820.151192541849</v>
      </c>
      <c r="X230" s="6" cm="1">
        <f t="array" ref="X230">ABS(Q230/_xll.qwMV01($A$1,"CT10"))</f>
        <v>151.11072409012934</v>
      </c>
      <c r="Y230" s="6" cm="1">
        <f t="array" ref="Y230">IF(N230="BondFuture",-(_xll.qwCurveYield($A$1,_xll.qwSecVal($A$1,AA230,"CreditCurveName()"),AA230)-_xll.qwCurveYield($A$4,_xll.qwSecVal($A$4,AA230,"CreditCurveName()"),AA230))*P230*10000,IF(N230="Bond",-(_xll.qwCurveYield($A$1,_xll.qwSecVal($A$1,F230,"CreditCurveName()"),F230)-_xll.qwCurveYield($A$4,_xll.qwSecVal($A$4,F230,"CreditCurveName()"),F230))*P230*10000,O230))</f>
        <v>-96814.177542393722</v>
      </c>
      <c r="Z230" s="6" cm="1">
        <f t="array" ref="Z230">IF(OR(N230="BondFuture",N230="Bond"),P230*(_xll.qwCurveZSpread($A$4,_xll.qwSecVal($A$1,AA230,"CreditCurveName()"),AA230)-_xll.qwCurveZSpread($A$1,_xll.qwSecVal($A$1,AA230,"CreditCurveName()"),AA230)),0)</f>
        <v>0</v>
      </c>
      <c r="AA230" s="9" cm="1">
        <f t="array" ref="AA230">IF(_xll.qwSecType(F230)="Bond",F230,IF(_xll.qwSecType(F230)="BondFuture",_xll.qwFutCTD($A$1,F230),0))</f>
        <v>0</v>
      </c>
      <c r="AB230" s="6" cm="1">
        <f t="array" ref="AB230">IF(_xll.qwSecType(F230)="BondFuture",-(I230*_xll.qwDelta($A$4,F230)*_xll.qwMVFactor($A$1,F230)/_xll.qwMVFactor($A$1,_xll.qwFutCTD($A$1,F230)))*(_xll.qwFXRate($A$1,F230)*_xll.qwMVFactor($A$1,_xll.qwFutCTD($A$1,F230))*(_xll.qwIncome($A$4,_xll.qwFutCTD($A$4,F230),_xll.qwBondSettle($A$4,_xll.qwFutCTD($A$4,F230)),_xll.qwBondSettle($A$1,_xll.qwFutCTD($A$1,F230)))+(_xll.qwSecVal($A$1,AA230,"Price")-_xll.qwSecVal($A$4,AA230,"Price"))-_xll.qwBondRepoFromTo($A$1,AA230,_xll.qwBondSettle($A$4,AA230),_xll.qwBondSettle($A$1,AA230))*_xll.qwSecVal($A$1,AA230,"Price")*(_xll.qwBondSettle($A$1,AA230)-_xll.qwBondSettle($A$4,AA230))/360))+O230,0)</f>
        <v>0</v>
      </c>
      <c r="AC230" s="9" cm="1">
        <f t="array" ref="AC230">O230+T230+IF(ISNUMBER(_xll.qwIncome($A$1,F230,_xll.qwSettle($A$4,F230),_xll.qwSettle($A$1,F230))*_xll.qwMVFactor($A$1,F230)*_xll.qwFXRate($A$1,F230)*I230),_xll.qwIncome($A$1,F230,_xll.qwSettle($A$4,F230),_xll.qwSettle($A$1,F230))*_xll.qwMVFactor($A$1,F230)*_xll.qwFXRate($A$1,F230)*I230,0)+IF(ISNUMBER(-(_xll.qwBondRepoFromTo($A$1,F230,_xll.qwSettle($A$4,F230),_xll.qwSettle($A$1,F230))*_xll.qwSecVal($A$1,F230,"Price")*(_xll.qwSettle($A$1,F230)-_xll.qwSettle($A$4,F230))/360)*_xll.qwMVFactor($A$1,F230)*_xll.qwFXRate($A$1,F230)*I230),-(_xll.qwBondRepoFromTo($A$1,F230,_xll.qwSettle($A$4,F230),_xll.qwSettle($A$1,F230))*_xll.qwSecVal($A$1,F230,"Price")*(_xll.qwSettle($A$1,F230)-_xll.qwSettle($A$4,F230))/360)*_xll.qwMVFactor($A$1,F230)*_xll.qwFXRate($A$1,F230)*I230,0)</f>
        <v>-96814.177542393722</v>
      </c>
      <c r="AD230" s="6"/>
    </row>
    <row r="231" spans="2:30" s="19" customFormat="1" x14ac:dyDescent="0.35">
      <c r="B231" s="19" t="str">
        <v>jcleary</v>
      </c>
      <c r="C231" s="19" t="str">
        <v>PPA</v>
      </c>
      <c r="D231" s="19" t="str">
        <v>jcleary|PPA|RV_US_FV_Spread|253368727</v>
      </c>
      <c r="E231" s="19" t="str">
        <v>RV_US_FV_Spread</v>
      </c>
      <c r="F231" s="19" t="str">
        <v>253368727</v>
      </c>
      <c r="G231" s="19">
        <v>260.60000000000002</v>
      </c>
      <c r="H231" s="19">
        <v>0</v>
      </c>
      <c r="I231" s="19">
        <v>260.60000000000002</v>
      </c>
      <c r="J231" s="19">
        <v>0</v>
      </c>
      <c r="K231" s="19">
        <v>0</v>
      </c>
      <c r="L231" s="19">
        <v>0</v>
      </c>
      <c r="M231" s="19">
        <v>0</v>
      </c>
      <c r="N231" s="19" t="str">
        <v>SwapTrade</v>
      </c>
      <c r="O231" s="6" cm="1">
        <f t="array" ref="O231">(_xll.qwPrice($A$1,F231)-_xll.qwPrice($A$4,F231))*_xll.qwMVFactor($A$1,F231)*I231*_xll.qwFXRate($A$1,F231)</f>
        <v>105368.77194854559</v>
      </c>
      <c r="P231" s="6" cm="1">
        <f t="array" ref="P231">IF(ISNUMBER(_xll.qwDV01($A$1,F231)*I231*_xll.qwMVFactor($A$1,F231)*_xll.qwFXRate($A$1,F231)),_xll.qwDV01($A$1,F231)*I231*_xll.qwMVFactor($A$1,F231)*_xll.qwFXRate($A$1,F231),0)</f>
        <v>112597.58178862785</v>
      </c>
      <c r="Q231" s="6" cm="1">
        <f t="array" ref="Q231">IF(ISNUMBER(_xll.qwDV01($A$1,F231)*G231*_xll.qwMVFactor($A$1,F231)*_xll.qwFXRate($A$1,F231)),_xll.qwDV01($A$1,F231)*G231*_xll.qwMVFactor($A$1,F231)*_xll.qwFXRate($A$1,F231),0)</f>
        <v>112597.58178862785</v>
      </c>
      <c r="R231" s="6" cm="1">
        <f t="array" ref="R231">IF(ISNUMBER(_xll.qwDV01($A$1,F231)*J231*_xll.qwMVFactor($A$1,F231)*_xll.qwFXRate($A$1,F231)),_xll.qwDV01($A$1,F231)*J231*_xll.qwMVFactor($A$1,F231)*_xll.qwFXRate($A$1,F231),0)</f>
        <v>0</v>
      </c>
      <c r="S231" s="6" cm="1">
        <f t="array" ref="S231">IF(ISNUMBER(_xll.qwDV01($A$1,F231)*J231*_xll.qwMVFactor($A$1,F231)*_xll.qwFXRate($A$1,F231)),_xll.qwDV01($A$1,F231)*J231*_xll.qwMVFactor($A$1,F231)*_xll.qwFXRate($A$1,F231),0)</f>
        <v>0</v>
      </c>
      <c r="T231" s="6" cm="1">
        <f t="array" ref="T231">_xll.qwFXRate($A$1,F231)*J231*(_xll.qwPrice($A$1,F231)-M231)*_xll.qwMVFactor($A$1,F231)+L231</f>
        <v>0</v>
      </c>
      <c r="U231" s="8" cm="1">
        <f t="array" ref="U231">_xll.qwYield($A$1,F231)</f>
        <v>4.710832052552244E-2</v>
      </c>
      <c r="V231" s="8" cm="1">
        <f t="array" ref="V231">100*(_xll.qwYield($A$4,F231)-U231)</f>
        <v>8.990898775992906E-3</v>
      </c>
      <c r="W231" s="6">
        <f>IF(ISNA(G231*INDEX(_xll.qwTblData(_xll.qwCurveScenariosPerSecurity($A$1,F231,"Crv210")),2,2)),0,(G231*INDEX(_xll.qwTblData(_xll.qwCurveScenariosPerSecurity($A$1,F231,"Crv210")),2,2)))</f>
        <v>15777.977448698168</v>
      </c>
      <c r="X231" s="6" cm="1">
        <f t="array" ref="X231">ABS(Q231/_xll.qwMV01($A$1,"CT10"))</f>
        <v>151.57785565000077</v>
      </c>
      <c r="Y231" s="6" cm="1">
        <f t="array" ref="Y231">IF(N231="BondFuture",-(_xll.qwCurveYield($A$1,_xll.qwSecVal($A$1,AA231,"CreditCurveName()"),AA231)-_xll.qwCurveYield($A$4,_xll.qwSecVal($A$4,AA231,"CreditCurveName()"),AA231))*P231*10000,IF(N231="Bond",-(_xll.qwCurveYield($A$1,_xll.qwSecVal($A$1,F231,"CreditCurveName()"),F231)-_xll.qwCurveYield($A$4,_xll.qwSecVal($A$4,F231,"CreditCurveName()"),F231))*P231*10000,O231))</f>
        <v>105368.77194854559</v>
      </c>
      <c r="Z231" s="6" cm="1">
        <f t="array" ref="Z231">IF(OR(N231="BondFuture",N231="Bond"),P231*(_xll.qwCurveZSpread($A$4,_xll.qwSecVal($A$1,AA231,"CreditCurveName()"),AA231)-_xll.qwCurveZSpread($A$1,_xll.qwSecVal($A$1,AA231,"CreditCurveName()"),AA231)),0)</f>
        <v>0</v>
      </c>
      <c r="AA231" s="9" cm="1">
        <f t="array" ref="AA231">IF(_xll.qwSecType(F231)="Bond",F231,IF(_xll.qwSecType(F231)="BondFuture",_xll.qwFutCTD($A$1,F231),0))</f>
        <v>0</v>
      </c>
      <c r="AB231" s="6" cm="1">
        <f t="array" ref="AB231">IF(_xll.qwSecType(F231)="BondFuture",-(I231*_xll.qwDelta($A$4,F231)*_xll.qwMVFactor($A$1,F231)/_xll.qwMVFactor($A$1,_xll.qwFutCTD($A$1,F231)))*(_xll.qwFXRate($A$1,F231)*_xll.qwMVFactor($A$1,_xll.qwFutCTD($A$1,F231))*(_xll.qwIncome($A$4,_xll.qwFutCTD($A$4,F231),_xll.qwBondSettle($A$4,_xll.qwFutCTD($A$4,F231)),_xll.qwBondSettle($A$1,_xll.qwFutCTD($A$1,F231)))+(_xll.qwSecVal($A$1,AA231,"Price")-_xll.qwSecVal($A$4,AA231,"Price"))-_xll.qwBondRepoFromTo($A$1,AA231,_xll.qwBondSettle($A$4,AA231),_xll.qwBondSettle($A$1,AA231))*_xll.qwSecVal($A$1,AA231,"Price")*(_xll.qwBondSettle($A$1,AA231)-_xll.qwBondSettle($A$4,AA231))/360))+O231,0)</f>
        <v>0</v>
      </c>
      <c r="AC231" s="9" cm="1">
        <f t="array" ref="AC231">O231+T231+IF(ISNUMBER(_xll.qwIncome($A$1,F231,_xll.qwSettle($A$4,F231),_xll.qwSettle($A$1,F231))*_xll.qwMVFactor($A$1,F231)*_xll.qwFXRate($A$1,F231)*I231),_xll.qwIncome($A$1,F231,_xll.qwSettle($A$4,F231),_xll.qwSettle($A$1,F231))*_xll.qwMVFactor($A$1,F231)*_xll.qwFXRate($A$1,F231)*I231,0)+IF(ISNUMBER(-(_xll.qwBondRepoFromTo($A$1,F231,_xll.qwSettle($A$4,F231),_xll.qwSettle($A$1,F231))*_xll.qwSecVal($A$1,F231,"Price")*(_xll.qwSettle($A$1,F231)-_xll.qwSettle($A$4,F231))/360)*_xll.qwMVFactor($A$1,F231)*_xll.qwFXRate($A$1,F231)*I231),-(_xll.qwBondRepoFromTo($A$1,F231,_xll.qwSettle($A$4,F231),_xll.qwSettle($A$1,F231))*_xll.qwSecVal($A$1,F231,"Price")*(_xll.qwSettle($A$1,F231)-_xll.qwSettle($A$4,F231))/360)*_xll.qwMVFactor($A$1,F231)*_xll.qwFXRate($A$1,F231)*I231,0)</f>
        <v>105368.77194854559</v>
      </c>
      <c r="AD231" s="6"/>
    </row>
    <row r="232" spans="2:30" s="19" customFormat="1" x14ac:dyDescent="0.35">
      <c r="B232" s="19" t="str">
        <v>jcleary</v>
      </c>
      <c r="C232" s="19" t="str">
        <v>PPA</v>
      </c>
      <c r="D232" s="19" t="str">
        <v>jcleary|PPA|RV_US_FV_Spread|255065189</v>
      </c>
      <c r="E232" s="19" t="str">
        <v>RV_US_FV_Spread</v>
      </c>
      <c r="F232" s="19" t="str">
        <v>255065189</v>
      </c>
      <c r="G232" s="19">
        <v>265.5</v>
      </c>
      <c r="H232" s="19">
        <v>0</v>
      </c>
      <c r="I232" s="19">
        <v>0</v>
      </c>
      <c r="J232" s="19">
        <v>265.5</v>
      </c>
      <c r="K232" s="19">
        <v>0</v>
      </c>
      <c r="L232" s="19">
        <v>0</v>
      </c>
      <c r="M232" s="19">
        <v>0</v>
      </c>
      <c r="N232" s="19" t="str">
        <v>SwapTrade</v>
      </c>
      <c r="O232" s="6" cm="1">
        <f t="array" ref="O232">(_xll.qwPrice($A$1,F232)-_xll.qwPrice($A$4,F232))*_xll.qwMVFactor($A$1,F232)*I232*_xll.qwFXRate($A$1,F232)</f>
        <v>0</v>
      </c>
      <c r="P232" s="6" cm="1">
        <f t="array" ref="P232">IF(ISNUMBER(_xll.qwDV01($A$1,F232)*I232*_xll.qwMVFactor($A$1,F232)*_xll.qwFXRate($A$1,F232)),_xll.qwDV01($A$1,F232)*I232*_xll.qwMVFactor($A$1,F232)*_xll.qwFXRate($A$1,F232),0)</f>
        <v>0</v>
      </c>
      <c r="Q232" s="6" cm="1">
        <f t="array" ref="Q232">IF(ISNUMBER(_xll.qwDV01($A$1,F232)*G232*_xll.qwMVFactor($A$1,F232)*_xll.qwFXRate($A$1,F232)),_xll.qwDV01($A$1,F232)*G232*_xll.qwMVFactor($A$1,F232)*_xll.qwFXRate($A$1,F232),0)</f>
        <v>82389.781373703794</v>
      </c>
      <c r="R232" s="6" cm="1">
        <f t="array" ref="R232">IF(ISNUMBER(_xll.qwDV01($A$1,F232)*J232*_xll.qwMVFactor($A$1,F232)*_xll.qwFXRate($A$1,F232)),_xll.qwDV01($A$1,F232)*J232*_xll.qwMVFactor($A$1,F232)*_xll.qwFXRate($A$1,F232),0)</f>
        <v>82389.781373703794</v>
      </c>
      <c r="S232" s="6" cm="1">
        <f t="array" ref="S232">IF(ISNUMBER(_xll.qwDV01($A$1,F232)*J232*_xll.qwMVFactor($A$1,F232)*_xll.qwFXRate($A$1,F232)),_xll.qwDV01($A$1,F232)*J232*_xll.qwMVFactor($A$1,F232)*_xll.qwFXRate($A$1,F232),0)</f>
        <v>82389.781373703794</v>
      </c>
      <c r="T232" s="6" cm="1">
        <f t="array" ref="T232">_xll.qwFXRate($A$1,F232)*J232*(_xll.qwPrice($A$1,F232)-M232)*_xll.qwMVFactor($A$1,F232)+L232</f>
        <v>441224.34829125472</v>
      </c>
      <c r="U232" s="8" cm="1">
        <f t="array" ref="U232">_xll.qwYield($A$1,F232)</f>
        <v>4.6964694366957667E-2</v>
      </c>
      <c r="V232" s="8" cm="1">
        <f t="array" ref="V232">100*(_xll.qwYield($A$4,F232)-U232)</f>
        <v>6.295694037512789E-3</v>
      </c>
      <c r="W232" s="6">
        <f>IF(ISNA(G232*INDEX(_xll.qwTblData(_xll.qwCurveScenariosPerSecurity($A$1,F232,"Crv210")),2,2)),0,(G232*INDEX(_xll.qwTblData(_xll.qwCurveScenariosPerSecurity($A$1,F232,"Crv210")),2,2)))</f>
        <v>27092.893439484767</v>
      </c>
      <c r="X232" s="6" cm="1">
        <f t="array" ref="X232">ABS(Q232/_xll.qwMV01($A$1,"CT10"))</f>
        <v>110.91238541465468</v>
      </c>
      <c r="Y232" s="6" cm="1">
        <f t="array" ref="Y232">IF(N232="BondFuture",-(_xll.qwCurveYield($A$1,_xll.qwSecVal($A$1,AA232,"CreditCurveName()"),AA232)-_xll.qwCurveYield($A$4,_xll.qwSecVal($A$4,AA232,"CreditCurveName()"),AA232))*P232*10000,IF(N232="Bond",-(_xll.qwCurveYield($A$1,_xll.qwSecVal($A$1,F232,"CreditCurveName()"),F232)-_xll.qwCurveYield($A$4,_xll.qwSecVal($A$4,F232,"CreditCurveName()"),F232))*P232*10000,O232))</f>
        <v>0</v>
      </c>
      <c r="Z232" s="6" cm="1">
        <f t="array" ref="Z232">IF(OR(N232="BondFuture",N232="Bond"),P232*(_xll.qwCurveZSpread($A$4,_xll.qwSecVal($A$1,AA232,"CreditCurveName()"),AA232)-_xll.qwCurveZSpread($A$1,_xll.qwSecVal($A$1,AA232,"CreditCurveName()"),AA232)),0)</f>
        <v>0</v>
      </c>
      <c r="AA232" s="9" cm="1">
        <f t="array" ref="AA232">IF(_xll.qwSecType(F232)="Bond",F232,IF(_xll.qwSecType(F232)="BondFuture",_xll.qwFutCTD($A$1,F232),0))</f>
        <v>0</v>
      </c>
      <c r="AB232" s="6" cm="1">
        <f t="array" ref="AB232">IF(_xll.qwSecType(F232)="BondFuture",-(I232*_xll.qwDelta($A$4,F232)*_xll.qwMVFactor($A$1,F232)/_xll.qwMVFactor($A$1,_xll.qwFutCTD($A$1,F232)))*(_xll.qwFXRate($A$1,F232)*_xll.qwMVFactor($A$1,_xll.qwFutCTD($A$1,F232))*(_xll.qwIncome($A$4,_xll.qwFutCTD($A$4,F232),_xll.qwBondSettle($A$4,_xll.qwFutCTD($A$4,F232)),_xll.qwBondSettle($A$1,_xll.qwFutCTD($A$1,F232)))+(_xll.qwSecVal($A$1,AA232,"Price")-_xll.qwSecVal($A$4,AA232,"Price"))-_xll.qwBondRepoFromTo($A$1,AA232,_xll.qwBondSettle($A$4,AA232),_xll.qwBondSettle($A$1,AA232))*_xll.qwSecVal($A$1,AA232,"Price")*(_xll.qwBondSettle($A$1,AA232)-_xll.qwBondSettle($A$4,AA232))/360))+O232,0)</f>
        <v>0</v>
      </c>
      <c r="AC232" s="9" cm="1">
        <f t="array" ref="AC232">O232+T232+IF(ISNUMBER(_xll.qwIncome($A$1,F232,_xll.qwSettle($A$4,F232),_xll.qwSettle($A$1,F232))*_xll.qwMVFactor($A$1,F232)*_xll.qwFXRate($A$1,F232)*I232),_xll.qwIncome($A$1,F232,_xll.qwSettle($A$4,F232),_xll.qwSettle($A$1,F232))*_xll.qwMVFactor($A$1,F232)*_xll.qwFXRate($A$1,F232)*I232,0)+IF(ISNUMBER(-(_xll.qwBondRepoFromTo($A$1,F232,_xll.qwSettle($A$4,F232),_xll.qwSettle($A$1,F232))*_xll.qwSecVal($A$1,F232,"Price")*(_xll.qwSettle($A$1,F232)-_xll.qwSettle($A$4,F232))/360)*_xll.qwMVFactor($A$1,F232)*_xll.qwFXRate($A$1,F232)*I232),-(_xll.qwBondRepoFromTo($A$1,F232,_xll.qwSettle($A$4,F232),_xll.qwSettle($A$1,F232))*_xll.qwSecVal($A$1,F232,"Price")*(_xll.qwSettle($A$1,F232)-_xll.qwSettle($A$4,F232))/360)*_xll.qwMVFactor($A$1,F232)*_xll.qwFXRate($A$1,F232)*I232,0)</f>
        <v>441224.34829125472</v>
      </c>
      <c r="AD232" s="6"/>
    </row>
    <row r="233" spans="2:30" s="19" customFormat="1" x14ac:dyDescent="0.35">
      <c r="B233" s="19" t="str">
        <v>jcleary</v>
      </c>
      <c r="C233" s="19" t="str">
        <v>PPA</v>
      </c>
      <c r="D233" s="19" t="str">
        <v>jcleary|PPA|RV_US_FV_Spread|255065193</v>
      </c>
      <c r="E233" s="19" t="str">
        <v>RV_US_FV_Spread</v>
      </c>
      <c r="F233" s="19" t="str">
        <v>255065193</v>
      </c>
      <c r="G233" s="19">
        <v>216.6</v>
      </c>
      <c r="H233" s="19">
        <v>0</v>
      </c>
      <c r="I233" s="19">
        <v>0</v>
      </c>
      <c r="J233" s="19">
        <v>216.6</v>
      </c>
      <c r="K233" s="19">
        <v>0</v>
      </c>
      <c r="L233" s="19">
        <v>0</v>
      </c>
      <c r="M233" s="19">
        <v>0</v>
      </c>
      <c r="N233" s="19" t="str">
        <v>SwapTrade</v>
      </c>
      <c r="O233" s="6" cm="1">
        <f t="array" ref="O233">(_xll.qwPrice($A$1,F233)-_xll.qwPrice($A$4,F233))*_xll.qwMVFactor($A$1,F233)*I233*_xll.qwFXRate($A$1,F233)</f>
        <v>0</v>
      </c>
      <c r="P233" s="6" cm="1">
        <f t="array" ref="P233">IF(ISNUMBER(_xll.qwDV01($A$1,F233)*I233*_xll.qwMVFactor($A$1,F233)*_xll.qwFXRate($A$1,F233)),_xll.qwDV01($A$1,F233)*I233*_xll.qwMVFactor($A$1,F233)*_xll.qwFXRate($A$1,F233),0)</f>
        <v>0</v>
      </c>
      <c r="Q233" s="6" cm="1">
        <f t="array" ref="Q233">IF(ISNUMBER(_xll.qwDV01($A$1,F233)*G233*_xll.qwMVFactor($A$1,F233)*_xll.qwFXRate($A$1,F233)),_xll.qwDV01($A$1,F233)*G233*_xll.qwMVFactor($A$1,F233)*_xll.qwFXRate($A$1,F233),0)</f>
        <v>-85170.122814209084</v>
      </c>
      <c r="R233" s="6" cm="1">
        <f t="array" ref="R233">IF(ISNUMBER(_xll.qwDV01($A$1,F233)*J233*_xll.qwMVFactor($A$1,F233)*_xll.qwFXRate($A$1,F233)),_xll.qwDV01($A$1,F233)*J233*_xll.qwMVFactor($A$1,F233)*_xll.qwFXRate($A$1,F233),0)</f>
        <v>-85170.122814209084</v>
      </c>
      <c r="S233" s="6" cm="1">
        <f t="array" ref="S233">IF(ISNUMBER(_xll.qwDV01($A$1,F233)*J233*_xll.qwMVFactor($A$1,F233)*_xll.qwFXRate($A$1,F233)),_xll.qwDV01($A$1,F233)*J233*_xll.qwMVFactor($A$1,F233)*_xll.qwFXRate($A$1,F233),0)</f>
        <v>-85170.122814209084</v>
      </c>
      <c r="T233" s="6" cm="1">
        <f t="array" ref="T233">_xll.qwFXRate($A$1,F233)*J233*(_xll.qwPrice($A$1,F233)-M233)*_xll.qwMVFactor($A$1,F233)+L233</f>
        <v>-449992.42470462847</v>
      </c>
      <c r="U233" s="8" cm="1">
        <f t="array" ref="U233">_xll.qwYield($A$1,F233)</f>
        <v>4.7040746613169065E-2</v>
      </c>
      <c r="V233" s="8" cm="1">
        <f t="array" ref="V233">100*(_xll.qwYield($A$4,F233)-U233)</f>
        <v>8.6692189960033139E-3</v>
      </c>
      <c r="W233" s="6">
        <f>IF(ISNA(G233*INDEX(_xll.qwTblData(_xll.qwCurveScenariosPerSecurity($A$1,F233,"Crv210")),2,2)),0,(G233*INDEX(_xll.qwTblData(_xll.qwCurveScenariosPerSecurity($A$1,F233,"Crv210")),2,2)))</f>
        <v>-17320.522734959217</v>
      </c>
      <c r="X233" s="6" cm="1">
        <f t="array" ref="X233">ABS(Q233/_xll.qwMV01($A$1,"CT10"))</f>
        <v>114.65525614804011</v>
      </c>
      <c r="Y233" s="6" cm="1">
        <f t="array" ref="Y233">IF(N233="BondFuture",-(_xll.qwCurveYield($A$1,_xll.qwSecVal($A$1,AA233,"CreditCurveName()"),AA233)-_xll.qwCurveYield($A$4,_xll.qwSecVal($A$4,AA233,"CreditCurveName()"),AA233))*P233*10000,IF(N233="Bond",-(_xll.qwCurveYield($A$1,_xll.qwSecVal($A$1,F233,"CreditCurveName()"),F233)-_xll.qwCurveYield($A$4,_xll.qwSecVal($A$4,F233,"CreditCurveName()"),F233))*P233*10000,O233))</f>
        <v>0</v>
      </c>
      <c r="Z233" s="6" cm="1">
        <f t="array" ref="Z233">IF(OR(N233="BondFuture",N233="Bond"),P233*(_xll.qwCurveZSpread($A$4,_xll.qwSecVal($A$1,AA233,"CreditCurveName()"),AA233)-_xll.qwCurveZSpread($A$1,_xll.qwSecVal($A$1,AA233,"CreditCurveName()"),AA233)),0)</f>
        <v>0</v>
      </c>
      <c r="AA233" s="9" cm="1">
        <f t="array" ref="AA233">IF(_xll.qwSecType(F233)="Bond",F233,IF(_xll.qwSecType(F233)="BondFuture",_xll.qwFutCTD($A$1,F233),0))</f>
        <v>0</v>
      </c>
      <c r="AB233" s="6" cm="1">
        <f t="array" ref="AB233">IF(_xll.qwSecType(F233)="BondFuture",-(I233*_xll.qwDelta($A$4,F233)*_xll.qwMVFactor($A$1,F233)/_xll.qwMVFactor($A$1,_xll.qwFutCTD($A$1,F233)))*(_xll.qwFXRate($A$1,F233)*_xll.qwMVFactor($A$1,_xll.qwFutCTD($A$1,F233))*(_xll.qwIncome($A$4,_xll.qwFutCTD($A$4,F233),_xll.qwBondSettle($A$4,_xll.qwFutCTD($A$4,F233)),_xll.qwBondSettle($A$1,_xll.qwFutCTD($A$1,F233)))+(_xll.qwSecVal($A$1,AA233,"Price")-_xll.qwSecVal($A$4,AA233,"Price"))-_xll.qwBondRepoFromTo($A$1,AA233,_xll.qwBondSettle($A$4,AA233),_xll.qwBondSettle($A$1,AA233))*_xll.qwSecVal($A$1,AA233,"Price")*(_xll.qwBondSettle($A$1,AA233)-_xll.qwBondSettle($A$4,AA233))/360))+O233,0)</f>
        <v>0</v>
      </c>
      <c r="AC233" s="9" cm="1">
        <f t="array" ref="AC233">O233+T233+IF(ISNUMBER(_xll.qwIncome($A$1,F233,_xll.qwSettle($A$4,F233),_xll.qwSettle($A$1,F233))*_xll.qwMVFactor($A$1,F233)*_xll.qwFXRate($A$1,F233)*I233),_xll.qwIncome($A$1,F233,_xll.qwSettle($A$4,F233),_xll.qwSettle($A$1,F233))*_xll.qwMVFactor($A$1,F233)*_xll.qwFXRate($A$1,F233)*I233,0)+IF(ISNUMBER(-(_xll.qwBondRepoFromTo($A$1,F233,_xll.qwSettle($A$4,F233),_xll.qwSettle($A$1,F233))*_xll.qwSecVal($A$1,F233,"Price")*(_xll.qwSettle($A$1,F233)-_xll.qwSettle($A$4,F233))/360)*_xll.qwMVFactor($A$1,F233)*_xll.qwFXRate($A$1,F233)*I233),-(_xll.qwBondRepoFromTo($A$1,F233,_xll.qwSettle($A$4,F233),_xll.qwSettle($A$1,F233))*_xll.qwSecVal($A$1,F233,"Price")*(_xll.qwSettle($A$1,F233)-_xll.qwSettle($A$4,F233))/360)*_xll.qwMVFactor($A$1,F233)*_xll.qwFXRate($A$1,F233)*I233,0)</f>
        <v>-449992.42470462847</v>
      </c>
      <c r="AD233" s="6"/>
    </row>
    <row r="234" spans="2:30" s="19" customFormat="1" x14ac:dyDescent="0.35">
      <c r="B234" s="19" t="str">
        <v>jcleary</v>
      </c>
      <c r="C234" s="19" t="str">
        <v>PPA</v>
      </c>
      <c r="D234" s="19" t="str">
        <v>jcleary|PPA|RV_US_FV_Spread|91282CGQ8</v>
      </c>
      <c r="E234" s="19" t="str">
        <v>RV_US_FV_Spread</v>
      </c>
      <c r="F234" s="19" t="str">
        <v>91282CGQ8</v>
      </c>
      <c r="G234" s="19">
        <v>0</v>
      </c>
      <c r="H234" s="19">
        <v>0</v>
      </c>
      <c r="I234" s="19">
        <v>146</v>
      </c>
      <c r="J234" s="19">
        <v>-146</v>
      </c>
      <c r="K234" s="19">
        <v>97.08984375</v>
      </c>
      <c r="L234" s="19">
        <v>0</v>
      </c>
      <c r="M234" s="19">
        <v>97.08984375</v>
      </c>
      <c r="N234" s="19" t="str">
        <v>Bond</v>
      </c>
      <c r="O234" s="6" cm="1">
        <f t="array" ref="O234">(_xll.qwPrice($A$1,F234)-_xll.qwPrice($A$4,F234))*_xll.qwMVFactor($A$1,F234)*I234*_xll.qwFXRate($A$1,F234)</f>
        <v>39921.875097950593</v>
      </c>
      <c r="P234" s="6" cm="1">
        <f t="array" ref="P234">IF(ISNUMBER(_xll.qwDV01($A$1,F234)*I234*_xll.qwMVFactor($A$1,F234)*_xll.qwFXRate($A$1,F234)),_xll.qwDV01($A$1,F234)*I234*_xll.qwMVFactor($A$1,F234)*_xll.qwFXRate($A$1,F234),0)</f>
        <v>44123.680424945633</v>
      </c>
      <c r="Q234" s="6" cm="1">
        <f t="array" ref="Q234">IF(ISNUMBER(_xll.qwDV01($A$1,F234)*G234*_xll.qwMVFactor($A$1,F234)*_xll.qwFXRate($A$1,F234)),_xll.qwDV01($A$1,F234)*G234*_xll.qwMVFactor($A$1,F234)*_xll.qwFXRate($A$1,F234),0)</f>
        <v>0</v>
      </c>
      <c r="R234" s="6" cm="1">
        <f t="array" ref="R234">IF(ISNUMBER(_xll.qwDV01($A$1,F234)*J234*_xll.qwMVFactor($A$1,F234)*_xll.qwFXRate($A$1,F234)),_xll.qwDV01($A$1,F234)*J234*_xll.qwMVFactor($A$1,F234)*_xll.qwFXRate($A$1,F234),0)</f>
        <v>-44123.680424945633</v>
      </c>
      <c r="S234" s="6" cm="1">
        <f t="array" ref="S234">IF(ISNUMBER(_xll.qwDV01($A$1,F234)*J234*_xll.qwMVFactor($A$1,F234)*_xll.qwFXRate($A$1,F234)),_xll.qwDV01($A$1,F234)*J234*_xll.qwMVFactor($A$1,F234)*_xll.qwFXRate($A$1,F234),0)</f>
        <v>-44123.680424945633</v>
      </c>
      <c r="T234" s="6" cm="1">
        <f t="array" ref="T234">_xll.qwFXRate($A$1,F234)*J234*(_xll.qwPrice($A$1,F234)-M234)*_xll.qwMVFactor($A$1,F234)+L234</f>
        <v>-28515.625100046123</v>
      </c>
      <c r="U234" s="8" cm="1">
        <f t="array" ref="U234">_xll.qwYield($A$1,F234)</f>
        <v>4.9386947187098656E-2</v>
      </c>
      <c r="V234" s="8" cm="1">
        <f t="array" ref="V234">100*(_xll.qwYield($A$4,F234)-U234)</f>
        <v>8.3467186792945958E-3</v>
      </c>
      <c r="W234" s="6">
        <f>IF(ISNA(G234*INDEX(_xll.qwTblData(_xll.qwCurveScenariosPerSecurity($A$1,F234,"Crv210")),2,2)),0,(G234*INDEX(_xll.qwTblData(_xll.qwCurveScenariosPerSecurity($A$1,F234,"Crv210")),2,2)))</f>
        <v>0</v>
      </c>
      <c r="X234" s="6" cm="1">
        <f t="array" ref="X234">ABS(Q234/_xll.qwMV01($A$1,"CT10"))</f>
        <v>0</v>
      </c>
      <c r="Y234" s="6" cm="1">
        <f t="array" ref="Y234">IF(N234="BondFuture",-(_xll.qwCurveYield($A$1,_xll.qwSecVal($A$1,AA234,"CreditCurveName()"),AA234)-_xll.qwCurveYield($A$4,_xll.qwSecVal($A$4,AA234,"CreditCurveName()"),AA234))*P234*10000,IF(N234="Bond",-(_xll.qwCurveYield($A$1,_xll.qwSecVal($A$1,F234,"CreditCurveName()"),F234)-_xll.qwCurveYield($A$4,_xll.qwSecVal($A$4,F234,"CreditCurveName()"),F234))*P234*10000,O234))</f>
        <v>33560.34483067879</v>
      </c>
      <c r="Z234" s="6" cm="1">
        <f t="array" ref="Z234">IF(OR(N234="BondFuture",N234="Bond"),P234*(_xll.qwCurveZSpread($A$4,_xll.qwSecVal($A$1,AA234,"CreditCurveName()"),AA234)-_xll.qwCurveZSpread($A$1,_xll.qwSecVal($A$1,AA234,"CreditCurveName()"),AA234)),0)</f>
        <v>3268.4499378027567</v>
      </c>
      <c r="AA234" s="9" t="str" cm="1">
        <f t="array" ref="AA234">IF(_xll.qwSecType(F234)="Bond",F234,IF(_xll.qwSecType(F234)="BondFuture",_xll.qwFutCTD($A$1,F234),0))</f>
        <v>91282CGQ8</v>
      </c>
      <c r="AB234" s="6" cm="1">
        <f t="array" ref="AB234">IF(_xll.qwSecType(F234)="BondFuture",-(I234*_xll.qwDelta($A$4,F234)*_xll.qwMVFactor($A$1,F234)/_xll.qwMVFactor($A$1,_xll.qwFutCTD($A$1,F234)))*(_xll.qwFXRate($A$1,F234)*_xll.qwMVFactor($A$1,_xll.qwFutCTD($A$1,F234))*(_xll.qwIncome($A$4,_xll.qwFutCTD($A$4,F234),_xll.qwBondSettle($A$4,_xll.qwFutCTD($A$4,F234)),_xll.qwBondSettle($A$1,_xll.qwFutCTD($A$1,F234)))+(_xll.qwSecVal($A$1,AA234,"Price")-_xll.qwSecVal($A$4,AA234,"Price"))-_xll.qwBondRepoFromTo($A$1,AA234,_xll.qwBondSettle($A$4,AA234),_xll.qwBondSettle($A$1,AA234))*_xll.qwSecVal($A$1,AA234,"Price")*(_xll.qwBondSettle($A$1,AA234)-_xll.qwBondSettle($A$4,AA234))/360))+O234,0)</f>
        <v>0</v>
      </c>
      <c r="AC234" s="9" cm="1">
        <f t="array" ref="AC234">O234+T234+IF(ISNUMBER(_xll.qwIncome($A$1,F234,_xll.qwSettle($A$4,F234),_xll.qwSettle($A$1,F234))*_xll.qwMVFactor($A$1,F234)*_xll.qwFXRate($A$1,F234)*I234),_xll.qwIncome($A$1,F234,_xll.qwSettle($A$4,F234),_xll.qwSettle($A$1,F234))*_xll.qwMVFactor($A$1,F234)*_xll.qwFXRate($A$1,F234)*I234,0)+IF(ISNUMBER(-(_xll.qwBondRepoFromTo($A$1,F234,_xll.qwSettle($A$4,F234),_xll.qwSettle($A$1,F234))*_xll.qwSecVal($A$1,F234,"Price")*(_xll.qwSettle($A$1,F234)-_xll.qwSettle($A$4,F234))/360)*_xll.qwMVFactor($A$1,F234)*_xll.qwFXRate($A$1,F234)*I234),-(_xll.qwBondRepoFromTo($A$1,F234,_xll.qwSettle($A$4,F234),_xll.qwSettle($A$1,F234))*_xll.qwSecVal($A$1,F234,"Price")*(_xll.qwSettle($A$1,F234)-_xll.qwSettle($A$4,F234))/360)*_xll.qwMVFactor($A$1,F234)*_xll.qwFXRate($A$1,F234)*I234,0)</f>
        <v>12160.847244661536</v>
      </c>
      <c r="AD234" s="6"/>
    </row>
    <row r="235" spans="2:30" s="19" customFormat="1" x14ac:dyDescent="0.35">
      <c r="B235" s="19" t="str">
        <v>jcleary</v>
      </c>
      <c r="C235" s="19" t="str">
        <v>PPA</v>
      </c>
      <c r="D235" s="19" t="str">
        <v>jcleary|PPA|RV_US_FV_Spread|91282CMA6</v>
      </c>
      <c r="E235" s="19" t="str">
        <v>RV_US_FV_Spread</v>
      </c>
      <c r="F235" s="19" t="str">
        <v>91282CMA6</v>
      </c>
      <c r="G235" s="19">
        <v>110.6</v>
      </c>
      <c r="H235" s="19">
        <v>0</v>
      </c>
      <c r="I235" s="19">
        <v>110.6</v>
      </c>
      <c r="J235" s="19">
        <v>0</v>
      </c>
      <c r="K235" s="19">
        <v>0</v>
      </c>
      <c r="L235" s="19">
        <v>0</v>
      </c>
      <c r="M235" s="19">
        <v>0</v>
      </c>
      <c r="N235" s="19" t="str">
        <v>Bond</v>
      </c>
      <c r="O235" s="6" cm="1">
        <f t="array" ref="O235">(_xll.qwPrice($A$1,F235)-_xll.qwPrice($A$4,F235))*_xll.qwMVFactor($A$1,F235)*I235*_xll.qwFXRate($A$1,F235)</f>
        <v>21601.562511992226</v>
      </c>
      <c r="P235" s="6" cm="1">
        <f t="array" ref="P235">IF(ISNUMBER(_xll.qwDV01($A$1,F235)*I235*_xll.qwMVFactor($A$1,F235)*_xll.qwFXRate($A$1,F235)),_xll.qwDV01($A$1,F235)*I235*_xll.qwMVFactor($A$1,F235)*_xll.qwFXRate($A$1,F235),0)</f>
        <v>31251.179450464406</v>
      </c>
      <c r="Q235" s="6" cm="1">
        <f t="array" ref="Q235">IF(ISNUMBER(_xll.qwDV01($A$1,F235)*G235*_xll.qwMVFactor($A$1,F235)*_xll.qwFXRate($A$1,F235)),_xll.qwDV01($A$1,F235)*G235*_xll.qwMVFactor($A$1,F235)*_xll.qwFXRate($A$1,F235),0)</f>
        <v>31251.179450464406</v>
      </c>
      <c r="R235" s="6" cm="1">
        <f t="array" ref="R235">IF(ISNUMBER(_xll.qwDV01($A$1,F235)*J235*_xll.qwMVFactor($A$1,F235)*_xll.qwFXRate($A$1,F235)),_xll.qwDV01($A$1,F235)*J235*_xll.qwMVFactor($A$1,F235)*_xll.qwFXRate($A$1,F235),0)</f>
        <v>0</v>
      </c>
      <c r="S235" s="6" cm="1">
        <f t="array" ref="S235">IF(ISNUMBER(_xll.qwDV01($A$1,F235)*J235*_xll.qwMVFactor($A$1,F235)*_xll.qwFXRate($A$1,F235)),_xll.qwDV01($A$1,F235)*J235*_xll.qwMVFactor($A$1,F235)*_xll.qwFXRate($A$1,F235),0)</f>
        <v>0</v>
      </c>
      <c r="T235" s="6" cm="1">
        <f t="array" ref="T235">_xll.qwFXRate($A$1,F235)*J235*(_xll.qwPrice($A$1,F235)-M235)*_xll.qwMVFactor($A$1,F235)+L235</f>
        <v>0</v>
      </c>
      <c r="U235" s="8" cm="1">
        <f t="array" ref="U235">_xll.qwYield($A$1,F235)</f>
        <v>4.9265776520481377E-2</v>
      </c>
      <c r="V235" s="8" cm="1">
        <f t="array" ref="V235">100*(_xll.qwYield($A$4,F235)-U235)</f>
        <v>6.2264645675123853E-3</v>
      </c>
      <c r="W235" s="6">
        <f>IF(ISNA(G235*INDEX(_xll.qwTblData(_xll.qwCurveScenariosPerSecurity($A$1,F235,"Crv210")),2,2)),0,(G235*INDEX(_xll.qwTblData(_xll.qwCurveScenariosPerSecurity($A$1,F235,"Crv210")),2,2)))</f>
        <v>11172.566631167314</v>
      </c>
      <c r="X235" s="6" cm="1">
        <f t="array" ref="X235">ABS(Q235/_xll.qwMV01($A$1,"CT10"))</f>
        <v>42.0700577435775</v>
      </c>
      <c r="Y235" s="6" cm="1">
        <f t="array" ref="Y235">IF(N235="BondFuture",-(_xll.qwCurveYield($A$1,_xll.qwSecVal($A$1,AA235,"CreditCurveName()"),AA235)-_xll.qwCurveYield($A$4,_xll.qwSecVal($A$4,AA235,"CreditCurveName()"),AA235))*P235*10000,IF(N235="Bond",-(_xll.qwCurveYield($A$1,_xll.qwSecVal($A$1,F235,"CreditCurveName()"),F235)-_xll.qwCurveYield($A$4,_xll.qwSecVal($A$4,F235,"CreditCurveName()"),F235))*P235*10000,O235))</f>
        <v>18564.202635837235</v>
      </c>
      <c r="Z235" s="6" cm="1">
        <f t="array" ref="Z235">IF(OR(N235="BondFuture",N235="Bond"),P235*(_xll.qwCurveZSpread($A$4,_xll.qwSecVal($A$1,AA235,"CreditCurveName()"),AA235)-_xll.qwCurveZSpread($A$1,_xll.qwSecVal($A$1,AA235,"CreditCurveName()"),AA235)),0)</f>
        <v>894.23351906786422</v>
      </c>
      <c r="AA235" s="9" t="str" cm="1">
        <f t="array" ref="AA235">IF(_xll.qwSecType(F235)="Bond",F235,IF(_xll.qwSecType(F235)="BondFuture",_xll.qwFutCTD($A$1,F235),0))</f>
        <v>91282CMA6</v>
      </c>
      <c r="AB235" s="6" cm="1">
        <f t="array" ref="AB235">IF(_xll.qwSecType(F235)="BondFuture",-(I235*_xll.qwDelta($A$4,F235)*_xll.qwMVFactor($A$1,F235)/_xll.qwMVFactor($A$1,_xll.qwFutCTD($A$1,F235)))*(_xll.qwFXRate($A$1,F235)*_xll.qwMVFactor($A$1,_xll.qwFutCTD($A$1,F235))*(_xll.qwIncome($A$4,_xll.qwFutCTD($A$4,F235),_xll.qwBondSettle($A$4,_xll.qwFutCTD($A$4,F235)),_xll.qwBondSettle($A$1,_xll.qwFutCTD($A$1,F235)))+(_xll.qwSecVal($A$1,AA235,"Price")-_xll.qwSecVal($A$4,AA235,"Price"))-_xll.qwBondRepoFromTo($A$1,AA235,_xll.qwBondSettle($A$4,AA235),_xll.qwBondSettle($A$1,AA235))*_xll.qwSecVal($A$1,AA235,"Price")*(_xll.qwBondSettle($A$1,AA235)-_xll.qwBondSettle($A$4,AA235))/360))+O235,0)</f>
        <v>0</v>
      </c>
      <c r="AC235" s="9" cm="1">
        <f t="array" ref="AC235">O235+T235+IF(ISNUMBER(_xll.qwIncome($A$1,F235,_xll.qwSettle($A$4,F235),_xll.qwSettle($A$1,F235))*_xll.qwMVFactor($A$1,F235)*_xll.qwFXRate($A$1,F235)*I235),_xll.qwIncome($A$1,F235,_xll.qwSettle($A$4,F235),_xll.qwSettle($A$1,F235))*_xll.qwMVFactor($A$1,F235)*_xll.qwFXRate($A$1,F235)*I235,0)+IF(ISNUMBER(-(_xll.qwBondRepoFromTo($A$1,F235,_xll.qwSettle($A$4,F235),_xll.qwSettle($A$1,F235))*_xll.qwSecVal($A$1,F235,"Price")*(_xll.qwSettle($A$1,F235)-_xll.qwSettle($A$4,F235))/360)*_xll.qwMVFactor($A$1,F235)*_xll.qwFXRate($A$1,F235)*I235),-(_xll.qwBondRepoFromTo($A$1,F235,_xll.qwSettle($A$4,F235),_xll.qwSettle($A$1,F235))*_xll.qwSecVal($A$1,F235,"Price")*(_xll.qwSettle($A$1,F235)-_xll.qwSettle($A$4,F235))/360)*_xll.qwMVFactor($A$1,F235)*_xll.qwFXRate($A$1,F235)*I235,0)</f>
        <v>22346.606839360422</v>
      </c>
      <c r="AD235" s="6"/>
    </row>
    <row r="236" spans="2:30" s="19" customFormat="1" x14ac:dyDescent="0.35">
      <c r="B236" s="19" t="str">
        <v>jcleary</v>
      </c>
      <c r="C236" s="19" t="str">
        <v>PPA</v>
      </c>
      <c r="D236" s="19" t="str">
        <v>jcleary|PPA|RV_US_FV_Spread|91282CMZ1</v>
      </c>
      <c r="E236" s="19" t="str">
        <v>RV_US_FV_Spread</v>
      </c>
      <c r="F236" s="19" t="str">
        <v>91282CMZ1</v>
      </c>
      <c r="G236" s="19">
        <v>224.7</v>
      </c>
      <c r="H236" s="19">
        <v>0</v>
      </c>
      <c r="I236" s="19">
        <v>224.7</v>
      </c>
      <c r="J236" s="19">
        <v>0</v>
      </c>
      <c r="K236" s="19">
        <v>0</v>
      </c>
      <c r="L236" s="19">
        <v>0</v>
      </c>
      <c r="M236" s="19">
        <v>0</v>
      </c>
      <c r="N236" s="19" t="str">
        <v>Bond</v>
      </c>
      <c r="O236" s="6" cm="1">
        <f t="array" ref="O236">(_xll.qwPrice($A$1,F236)-_xll.qwPrice($A$4,F236))*_xll.qwMVFactor($A$1,F236)*I236*_xll.qwFXRate($A$1,F236)</f>
        <v>52664.063098465616</v>
      </c>
      <c r="P236" s="6" cm="1">
        <f t="array" ref="P236">IF(ISNUMBER(_xll.qwDV01($A$1,F236)*I236*_xll.qwMVFactor($A$1,F236)*_xll.qwFXRate($A$1,F236)),_xll.qwDV01($A$1,F236)*I236*_xll.qwMVFactor($A$1,F236)*_xll.qwFXRate($A$1,F236),0)</f>
        <v>70733.833553049408</v>
      </c>
      <c r="Q236" s="6" cm="1">
        <f t="array" ref="Q236">IF(ISNUMBER(_xll.qwDV01($A$1,F236)*G236*_xll.qwMVFactor($A$1,F236)*_xll.qwFXRate($A$1,F236)),_xll.qwDV01($A$1,F236)*G236*_xll.qwMVFactor($A$1,F236)*_xll.qwFXRate($A$1,F236),0)</f>
        <v>70733.833553049408</v>
      </c>
      <c r="R236" s="6" cm="1">
        <f t="array" ref="R236">IF(ISNUMBER(_xll.qwDV01($A$1,F236)*J236*_xll.qwMVFactor($A$1,F236)*_xll.qwFXRate($A$1,F236)),_xll.qwDV01($A$1,F236)*J236*_xll.qwMVFactor($A$1,F236)*_xll.qwFXRate($A$1,F236),0)</f>
        <v>0</v>
      </c>
      <c r="S236" s="6" cm="1">
        <f t="array" ref="S236">IF(ISNUMBER(_xll.qwDV01($A$1,F236)*J236*_xll.qwMVFactor($A$1,F236)*_xll.qwFXRate($A$1,F236)),_xll.qwDV01($A$1,F236)*J236*_xll.qwMVFactor($A$1,F236)*_xll.qwFXRate($A$1,F236),0)</f>
        <v>0</v>
      </c>
      <c r="T236" s="6" cm="1">
        <f t="array" ref="T236">_xll.qwFXRate($A$1,F236)*J236*(_xll.qwPrice($A$1,F236)-M236)*_xll.qwMVFactor($A$1,F236)+L236</f>
        <v>0</v>
      </c>
      <c r="U236" s="8" cm="1">
        <f t="array" ref="U236">_xll.qwYield($A$1,F236)</f>
        <v>4.9488324411070719E-2</v>
      </c>
      <c r="V236" s="8" cm="1">
        <f t="array" ref="V236">100*(_xll.qwYield($A$4,F236)-U236)</f>
        <v>6.638003319388297E-3</v>
      </c>
      <c r="W236" s="6">
        <f>IF(ISNA(G236*INDEX(_xll.qwTblData(_xll.qwCurveScenariosPerSecurity($A$1,F236,"Crv210")),2,2)),0,(G236*INDEX(_xll.qwTblData(_xll.qwCurveScenariosPerSecurity($A$1,F236,"Crv210")),2,2)))</f>
        <v>21554.922332477374</v>
      </c>
      <c r="X236" s="6" cm="1">
        <f t="array" ref="X236">ABS(Q236/_xll.qwMV01($A$1,"CT10"))</f>
        <v>95.221252904013738</v>
      </c>
      <c r="Y236" s="6" cm="1">
        <f t="array" ref="Y236">IF(N236="BondFuture",-(_xll.qwCurveYield($A$1,_xll.qwSecVal($A$1,AA236,"CreditCurveName()"),AA236)-_xll.qwCurveYield($A$4,_xll.qwSecVal($A$4,AA236,"CreditCurveName()"),AA236))*P236*10000,IF(N236="Bond",-(_xll.qwCurveYield($A$1,_xll.qwSecVal($A$1,F236,"CreditCurveName()"),F236)-_xll.qwCurveYield($A$4,_xll.qwSecVal($A$4,F236,"CreditCurveName()"),F236))*P236*10000,O236))</f>
        <v>61606.967048645238</v>
      </c>
      <c r="Z236" s="6" cm="1">
        <f t="array" ref="Z236">IF(OR(N236="BondFuture",N236="Bond"),P236*(_xll.qwCurveZSpread($A$4,_xll.qwSecVal($A$1,AA236,"CreditCurveName()"),AA236)-_xll.qwCurveZSpread($A$1,_xll.qwSecVal($A$1,AA236,"CreditCurveName()"),AA236)),0)</f>
        <v>-14653.82480657061</v>
      </c>
      <c r="AA236" s="9" t="str" cm="1">
        <f t="array" ref="AA236">IF(_xll.qwSecType(F236)="Bond",F236,IF(_xll.qwSecType(F236)="BondFuture",_xll.qwFutCTD($A$1,F236),0))</f>
        <v>91282CMZ1</v>
      </c>
      <c r="AB236" s="6" cm="1">
        <f t="array" ref="AB236">IF(_xll.qwSecType(F236)="BondFuture",-(I236*_xll.qwDelta($A$4,F236)*_xll.qwMVFactor($A$1,F236)/_xll.qwMVFactor($A$1,_xll.qwFutCTD($A$1,F236)))*(_xll.qwFXRate($A$1,F236)*_xll.qwMVFactor($A$1,_xll.qwFutCTD($A$1,F236))*(_xll.qwIncome($A$4,_xll.qwFutCTD($A$4,F236),_xll.qwBondSettle($A$4,_xll.qwFutCTD($A$4,F236)),_xll.qwBondSettle($A$1,_xll.qwFutCTD($A$1,F236)))+(_xll.qwSecVal($A$1,AA236,"Price")-_xll.qwSecVal($A$4,AA236,"Price"))-_xll.qwBondRepoFromTo($A$1,AA236,_xll.qwBondSettle($A$4,AA236),_xll.qwBondSettle($A$1,AA236))*_xll.qwSecVal($A$1,AA236,"Price")*(_xll.qwBondSettle($A$1,AA236)-_xll.qwBondSettle($A$4,AA236))/360))+O236,0)</f>
        <v>0</v>
      </c>
      <c r="AC236" s="9" cm="1">
        <f t="array" ref="AC236">O236+T236+IF(ISNUMBER(_xll.qwIncome($A$1,F236,_xll.qwSettle($A$4,F236),_xll.qwSettle($A$1,F236))*_xll.qwMVFactor($A$1,F236)*_xll.qwFXRate($A$1,F236)*I236),_xll.qwIncome($A$1,F236,_xll.qwSettle($A$4,F236),_xll.qwSettle($A$1,F236))*_xll.qwMVFactor($A$1,F236)*_xll.qwFXRate($A$1,F236)*I236,0)+IF(ISNUMBER(-(_xll.qwBondRepoFromTo($A$1,F236,_xll.qwSettle($A$4,F236),_xll.qwSettle($A$1,F236))*_xll.qwSecVal($A$1,F236,"Price")*(_xll.qwSettle($A$1,F236)-_xll.qwSettle($A$4,F236))/360)*_xll.qwMVFactor($A$1,F236)*_xll.qwFXRate($A$1,F236)*I236),-(_xll.qwBondRepoFromTo($A$1,F236,_xll.qwSettle($A$4,F236),_xll.qwSettle($A$1,F236))*_xll.qwSecVal($A$1,F236,"Price")*(_xll.qwSettle($A$1,F236)-_xll.qwSettle($A$4,F236))/360)*_xll.qwMVFactor($A$1,F236)*_xll.qwFXRate($A$1,F236)*I236,0)</f>
        <v>52794.447534220773</v>
      </c>
      <c r="AD236" s="6"/>
    </row>
    <row r="237" spans="2:30" s="19" customFormat="1" x14ac:dyDescent="0.35">
      <c r="B237" s="19" t="str">
        <v>jcleary</v>
      </c>
      <c r="C237" s="19" t="str">
        <v>PPA</v>
      </c>
      <c r="D237" s="19" t="str">
        <v>jcleary|PPA|RV_US_FV_Spread|91282CNG2</v>
      </c>
      <c r="E237" s="19" t="str">
        <v>RV_US_FV_Spread</v>
      </c>
      <c r="F237" s="19" t="str">
        <v>91282CNG2</v>
      </c>
      <c r="G237" s="19">
        <v>107</v>
      </c>
      <c r="H237" s="19">
        <v>0</v>
      </c>
      <c r="I237" s="19">
        <v>107</v>
      </c>
      <c r="J237" s="19">
        <v>0</v>
      </c>
      <c r="K237" s="19">
        <v>0</v>
      </c>
      <c r="L237" s="19">
        <v>0</v>
      </c>
      <c r="M237" s="19">
        <v>0</v>
      </c>
      <c r="N237" s="19" t="str">
        <v>Bond</v>
      </c>
      <c r="O237" s="6" cm="1">
        <f t="array" ref="O237">(_xll.qwPrice($A$1,F237)-_xll.qwPrice($A$4,F237))*_xll.qwMVFactor($A$1,F237)*I237*_xll.qwFXRate($A$1,F237)</f>
        <v>33437.500132015142</v>
      </c>
      <c r="P237" s="6" cm="1">
        <f t="array" ref="P237">IF(ISNUMBER(_xll.qwDV01($A$1,F237)*I237*_xll.qwMVFactor($A$1,F237)*_xll.qwFXRate($A$1,F237)),_xll.qwDV01($A$1,F237)*I237*_xll.qwMVFactor($A$1,F237)*_xll.qwFXRate($A$1,F237),0)</f>
        <v>34465.380451820238</v>
      </c>
      <c r="Q237" s="6" cm="1">
        <f t="array" ref="Q237">IF(ISNUMBER(_xll.qwDV01($A$1,F237)*G237*_xll.qwMVFactor($A$1,F237)*_xll.qwFXRate($A$1,F237)),_xll.qwDV01($A$1,F237)*G237*_xll.qwMVFactor($A$1,F237)*_xll.qwFXRate($A$1,F237),0)</f>
        <v>34465.380451820238</v>
      </c>
      <c r="R237" s="6" cm="1">
        <f t="array" ref="R237">IF(ISNUMBER(_xll.qwDV01($A$1,F237)*J237*_xll.qwMVFactor($A$1,F237)*_xll.qwFXRate($A$1,F237)),_xll.qwDV01($A$1,F237)*J237*_xll.qwMVFactor($A$1,F237)*_xll.qwFXRate($A$1,F237),0)</f>
        <v>0</v>
      </c>
      <c r="S237" s="6" cm="1">
        <f t="array" ref="S237">IF(ISNUMBER(_xll.qwDV01($A$1,F237)*J237*_xll.qwMVFactor($A$1,F237)*_xll.qwFXRate($A$1,F237)),_xll.qwDV01($A$1,F237)*J237*_xll.qwMVFactor($A$1,F237)*_xll.qwFXRate($A$1,F237),0)</f>
        <v>0</v>
      </c>
      <c r="T237" s="6" cm="1">
        <f t="array" ref="T237">_xll.qwFXRate($A$1,F237)*J237*(_xll.qwPrice($A$1,F237)-M237)*_xll.qwMVFactor($A$1,F237)+L237</f>
        <v>0</v>
      </c>
      <c r="U237" s="8" cm="1">
        <f t="array" ref="U237">_xll.qwYield($A$1,F237)</f>
        <v>4.9556169323728354E-2</v>
      </c>
      <c r="V237" s="8" cm="1">
        <f t="array" ref="V237">100*(_xll.qwYield($A$4,F237)-U237)</f>
        <v>9.00638663748482E-3</v>
      </c>
      <c r="W237" s="6">
        <f>IF(ISNA(G237*INDEX(_xll.qwTblData(_xll.qwCurveScenariosPerSecurity($A$1,F237,"Crv210")),2,2)),0,(G237*INDEX(_xll.qwTblData(_xll.qwCurveScenariosPerSecurity($A$1,F237,"Crv210")),2,2)))</f>
        <v>10142.84222193055</v>
      </c>
      <c r="X237" s="6" cm="1">
        <f t="array" ref="X237">ABS(Q237/_xll.qwMV01($A$1,"CT10"))</f>
        <v>46.396986330091856</v>
      </c>
      <c r="Y237" s="6" cm="1">
        <f t="array" ref="Y237">IF(N237="BondFuture",-(_xll.qwCurveYield($A$1,_xll.qwSecVal($A$1,AA237,"CreditCurveName()"),AA237)-_xll.qwCurveYield($A$4,_xll.qwSecVal($A$4,AA237,"CreditCurveName()"),AA237))*P237*10000,IF(N237="Bond",-(_xll.qwCurveYield($A$1,_xll.qwSecVal($A$1,F237,"CreditCurveName()"),F237)-_xll.qwCurveYield($A$4,_xll.qwSecVal($A$4,F237,"CreditCurveName()"),F237))*P237*10000,O237))</f>
        <v>31496.140728556158</v>
      </c>
      <c r="Z237" s="6" cm="1">
        <f t="array" ref="Z237">IF(OR(N237="BondFuture",N237="Bond"),P237*(_xll.qwCurveZSpread($A$4,_xll.qwSecVal($A$1,AA237,"CreditCurveName()"),AA237)-_xll.qwCurveZSpread($A$1,_xll.qwSecVal($A$1,AA237,"CreditCurveName()"),AA237)),0)</f>
        <v>-455.28652186149526</v>
      </c>
      <c r="AA237" s="9" t="str" cm="1">
        <f t="array" ref="AA237">IF(_xll.qwSecType(F237)="Bond",F237,IF(_xll.qwSecType(F237)="BondFuture",_xll.qwFutCTD($A$1,F237),0))</f>
        <v>91282CNG2</v>
      </c>
      <c r="AB237" s="6" cm="1">
        <f t="array" ref="AB237">IF(_xll.qwSecType(F237)="BondFuture",-(I237*_xll.qwDelta($A$4,F237)*_xll.qwMVFactor($A$1,F237)/_xll.qwMVFactor($A$1,_xll.qwFutCTD($A$1,F237)))*(_xll.qwFXRate($A$1,F237)*_xll.qwMVFactor($A$1,_xll.qwFutCTD($A$1,F237))*(_xll.qwIncome($A$4,_xll.qwFutCTD($A$4,F237),_xll.qwBondSettle($A$4,_xll.qwFutCTD($A$4,F237)),_xll.qwBondSettle($A$1,_xll.qwFutCTD($A$1,F237)))+(_xll.qwSecVal($A$1,AA237,"Price")-_xll.qwSecVal($A$4,AA237,"Price"))-_xll.qwBondRepoFromTo($A$1,AA237,_xll.qwBondSettle($A$4,AA237),_xll.qwBondSettle($A$1,AA237))*_xll.qwSecVal($A$1,AA237,"Price")*(_xll.qwBondSettle($A$1,AA237)-_xll.qwBondSettle($A$4,AA237))/360))+O237,0)</f>
        <v>0</v>
      </c>
      <c r="AC237" s="9" cm="1">
        <f t="array" ref="AC237">O237+T237+IF(ISNUMBER(_xll.qwIncome($A$1,F237,_xll.qwSettle($A$4,F237),_xll.qwSettle($A$1,F237))*_xll.qwMVFactor($A$1,F237)*_xll.qwFXRate($A$1,F237)*I237),_xll.qwIncome($A$1,F237,_xll.qwSettle($A$4,F237),_xll.qwSettle($A$1,F237))*_xll.qwMVFactor($A$1,F237)*_xll.qwFXRate($A$1,F237)*I237,0)+IF(ISNUMBER(-(_xll.qwBondRepoFromTo($A$1,F237,_xll.qwSettle($A$4,F237),_xll.qwSettle($A$1,F237))*_xll.qwSecVal($A$1,F237,"Price")*(_xll.qwSettle($A$1,F237)-_xll.qwSettle($A$4,F237))/360)*_xll.qwMVFactor($A$1,F237)*_xll.qwFXRate($A$1,F237)*I237),-(_xll.qwBondRepoFromTo($A$1,F237,_xll.qwSettle($A$4,F237),_xll.qwSettle($A$1,F237))*_xll.qwSecVal($A$1,F237,"Price")*(_xll.qwSettle($A$1,F237)-_xll.qwSettle($A$4,F237))/360)*_xll.qwMVFactor($A$1,F237)*_xll.qwFXRate($A$1,F237)*I237,0)</f>
        <v>33890.325666487188</v>
      </c>
      <c r="AD237" s="6"/>
    </row>
    <row r="238" spans="2:30" s="19" customFormat="1" x14ac:dyDescent="0.35">
      <c r="B238" s="19" t="str">
        <v>jcleary</v>
      </c>
      <c r="C238" s="19" t="str">
        <v>PPA</v>
      </c>
      <c r="D238" s="19" t="str">
        <v>jcleary|PPA|RV_US_FV_Spread|91282CNN7</v>
      </c>
      <c r="E238" s="19" t="str">
        <v>RV_US_FV_Spread</v>
      </c>
      <c r="F238" s="19" t="str">
        <v>91282CNN7</v>
      </c>
      <c r="G238" s="19">
        <v>244.9</v>
      </c>
      <c r="H238" s="19">
        <v>0</v>
      </c>
      <c r="I238" s="19">
        <v>244.9</v>
      </c>
      <c r="J238" s="19">
        <v>0</v>
      </c>
      <c r="K238" s="19">
        <v>0</v>
      </c>
      <c r="L238" s="19">
        <v>0</v>
      </c>
      <c r="M238" s="19">
        <v>0</v>
      </c>
      <c r="N238" s="19" t="str">
        <v>Bond</v>
      </c>
      <c r="O238" s="6" cm="1">
        <f t="array" ref="O238">(_xll.qwPrice($A$1,F238)-_xll.qwPrice($A$4,F238))*_xll.qwMVFactor($A$1,F238)*I238*_xll.qwFXRate($A$1,F238)</f>
        <v>95664.063677329817</v>
      </c>
      <c r="P238" s="6" cm="1">
        <f t="array" ref="P238">IF(ISNUMBER(_xll.qwDV01($A$1,F238)*I238*_xll.qwMVFactor($A$1,F238)*_xll.qwFXRate($A$1,F238)),_xll.qwDV01($A$1,F238)*I238*_xll.qwMVFactor($A$1,F238)*_xll.qwFXRate($A$1,F238),0)</f>
        <v>81910.680279406733</v>
      </c>
      <c r="Q238" s="6" cm="1">
        <f t="array" ref="Q238">IF(ISNUMBER(_xll.qwDV01($A$1,F238)*G238*_xll.qwMVFactor($A$1,F238)*_xll.qwFXRate($A$1,F238)),_xll.qwDV01($A$1,F238)*G238*_xll.qwMVFactor($A$1,F238)*_xll.qwFXRate($A$1,F238),0)</f>
        <v>81910.680279406733</v>
      </c>
      <c r="R238" s="6" cm="1">
        <f t="array" ref="R238">IF(ISNUMBER(_xll.qwDV01($A$1,F238)*J238*_xll.qwMVFactor($A$1,F238)*_xll.qwFXRate($A$1,F238)),_xll.qwDV01($A$1,F238)*J238*_xll.qwMVFactor($A$1,F238)*_xll.qwFXRate($A$1,F238),0)</f>
        <v>0</v>
      </c>
      <c r="S238" s="6" cm="1">
        <f t="array" ref="S238">IF(ISNUMBER(_xll.qwDV01($A$1,F238)*J238*_xll.qwMVFactor($A$1,F238)*_xll.qwFXRate($A$1,F238)),_xll.qwDV01($A$1,F238)*J238*_xll.qwMVFactor($A$1,F238)*_xll.qwFXRate($A$1,F238),0)</f>
        <v>0</v>
      </c>
      <c r="T238" s="6" cm="1">
        <f t="array" ref="T238">_xll.qwFXRate($A$1,F238)*J238*(_xll.qwPrice($A$1,F238)-M238)*_xll.qwMVFactor($A$1,F238)+L238</f>
        <v>0</v>
      </c>
      <c r="U238" s="8" cm="1">
        <f t="array" ref="U238">_xll.qwYield($A$1,F238)</f>
        <v>4.963159507980909E-2</v>
      </c>
      <c r="V238" s="8" cm="1">
        <f t="array" ref="V238">100*(_xll.qwYield($A$4,F238)-U238)</f>
        <v>1.0956512901921095E-2</v>
      </c>
      <c r="W238" s="6">
        <f>IF(ISNA(G238*INDEX(_xll.qwTblData(_xll.qwCurveScenariosPerSecurity($A$1,F238,"Crv210")),2,2)),0,(G238*INDEX(_xll.qwTblData(_xll.qwCurveScenariosPerSecurity($A$1,F238,"Crv210")),2,2)))</f>
        <v>22344.348286386208</v>
      </c>
      <c r="X238" s="6" cm="1">
        <f t="array" ref="X238">ABS(Q238/_xll.qwMV01($A$1,"CT10"))</f>
        <v>110.26742381459613</v>
      </c>
      <c r="Y238" s="6" cm="1">
        <f t="array" ref="Y238">IF(N238="BondFuture",-(_xll.qwCurveYield($A$1,_xll.qwSecVal($A$1,AA238,"CreditCurveName()"),AA238)-_xll.qwCurveYield($A$4,_xll.qwSecVal($A$4,AA238,"CreditCurveName()"),AA238))*P238*10000,IF(N238="Bond",-(_xll.qwCurveYield($A$1,_xll.qwSecVal($A$1,F238,"CreditCurveName()"),F238)-_xll.qwCurveYield($A$4,_xll.qwSecVal($A$4,F238,"CreditCurveName()"),F238))*P238*10000,O238))</f>
        <v>82510.678755153742</v>
      </c>
      <c r="Z238" s="6" cm="1">
        <f t="array" ref="Z238">IF(OR(N238="BondFuture",N238="Bond"),P238*(_xll.qwCurveZSpread($A$4,_xll.qwSecVal($A$1,AA238,"CreditCurveName()"),AA238)-_xll.qwCurveZSpread($A$1,_xll.qwSecVal($A$1,AA238,"CreditCurveName()"),AA238)),0)</f>
        <v>7234.8638694778647</v>
      </c>
      <c r="AA238" s="9" t="str" cm="1">
        <f t="array" ref="AA238">IF(_xll.qwSecType(F238)="Bond",F238,IF(_xll.qwSecType(F238)="BondFuture",_xll.qwFutCTD($A$1,F238),0))</f>
        <v>91282CNN7</v>
      </c>
      <c r="AB238" s="6" cm="1">
        <f t="array" ref="AB238">IF(_xll.qwSecType(F238)="BondFuture",-(I238*_xll.qwDelta($A$4,F238)*_xll.qwMVFactor($A$1,F238)/_xll.qwMVFactor($A$1,_xll.qwFutCTD($A$1,F238)))*(_xll.qwFXRate($A$1,F238)*_xll.qwMVFactor($A$1,_xll.qwFutCTD($A$1,F238))*(_xll.qwIncome($A$4,_xll.qwFutCTD($A$4,F238),_xll.qwBondSettle($A$4,_xll.qwFutCTD($A$4,F238)),_xll.qwBondSettle($A$1,_xll.qwFutCTD($A$1,F238)))+(_xll.qwSecVal($A$1,AA238,"Price")-_xll.qwSecVal($A$4,AA238,"Price"))-_xll.qwBondRepoFromTo($A$1,AA238,_xll.qwBondSettle($A$4,AA238),_xll.qwBondSettle($A$1,AA238))*_xll.qwSecVal($A$1,AA238,"Price")*(_xll.qwBondSettle($A$1,AA238)-_xll.qwBondSettle($A$4,AA238))/360))+O238,0)</f>
        <v>0</v>
      </c>
      <c r="AC238" s="9" cm="1">
        <f t="array" ref="AC238">O238+T238+IF(ISNUMBER(_xll.qwIncome($A$1,F238,_xll.qwSettle($A$4,F238),_xll.qwSettle($A$1,F238))*_xll.qwMVFactor($A$1,F238)*_xll.qwFXRate($A$1,F238)*I238),_xll.qwIncome($A$1,F238,_xll.qwSettle($A$4,F238),_xll.qwSettle($A$1,F238))*_xll.qwMVFactor($A$1,F238)*_xll.qwFXRate($A$1,F238)*I238,0)+IF(ISNUMBER(-(_xll.qwBondRepoFromTo($A$1,F238,_xll.qwSettle($A$4,F238),_xll.qwSettle($A$1,F238))*_xll.qwSecVal($A$1,F238,"Price")*(_xll.qwSettle($A$1,F238)-_xll.qwSettle($A$4,F238))/360)*_xll.qwMVFactor($A$1,F238)*_xll.qwFXRate($A$1,F238)*I238),-(_xll.qwBondRepoFromTo($A$1,F238,_xll.qwSettle($A$4,F238),_xll.qwSettle($A$1,F238))*_xll.qwSecVal($A$1,F238,"Price")*(_xll.qwSettle($A$1,F238)-_xll.qwSettle($A$4,F238))/360)*_xll.qwMVFactor($A$1,F238)*_xll.qwFXRate($A$1,F238)*I238,0)</f>
        <v>95878.802149405397</v>
      </c>
      <c r="AD238" s="6"/>
    </row>
    <row r="239" spans="2:30" s="19" customFormat="1" x14ac:dyDescent="0.35">
      <c r="B239" s="19" t="str">
        <v>jcleary</v>
      </c>
      <c r="C239" s="19" t="str">
        <v>PPA</v>
      </c>
      <c r="D239" s="19" t="str">
        <v>jcleary|PPA|RV_US_FV_Spread|91282CNX5</v>
      </c>
      <c r="E239" s="19" t="str">
        <v>RV_US_FV_Spread</v>
      </c>
      <c r="F239" s="19" t="str">
        <v>91282CNX5</v>
      </c>
      <c r="G239" s="19">
        <v>-255.5</v>
      </c>
      <c r="H239" s="19">
        <v>0</v>
      </c>
      <c r="I239" s="19">
        <v>-255.5</v>
      </c>
      <c r="J239" s="19">
        <v>0</v>
      </c>
      <c r="K239" s="19">
        <v>0</v>
      </c>
      <c r="L239" s="19">
        <v>0</v>
      </c>
      <c r="M239" s="19">
        <v>0</v>
      </c>
      <c r="N239" s="19" t="str">
        <v>Bond</v>
      </c>
      <c r="O239" s="6" cm="1">
        <f t="array" ref="O239">(_xll.qwPrice($A$1,F239)-_xll.qwPrice($A$4,F239))*_xll.qwMVFactor($A$1,F239)*I239*_xll.qwFXRate($A$1,F239)</f>
        <v>-89824.218749963693</v>
      </c>
      <c r="P239" s="6" cm="1">
        <f t="array" ref="P239">IF(ISNUMBER(_xll.qwDV01($A$1,F239)*I239*_xll.qwMVFactor($A$1,F239)*_xll.qwFXRate($A$1,F239)),_xll.qwDV01($A$1,F239)*I239*_xll.qwMVFactor($A$1,F239)*_xll.qwFXRate($A$1,F239),0)</f>
        <v>-86594.805139839082</v>
      </c>
      <c r="Q239" s="6" cm="1">
        <f t="array" ref="Q239">IF(ISNUMBER(_xll.qwDV01($A$1,F239)*G239*_xll.qwMVFactor($A$1,F239)*_xll.qwFXRate($A$1,F239)),_xll.qwDV01($A$1,F239)*G239*_xll.qwMVFactor($A$1,F239)*_xll.qwFXRate($A$1,F239),0)</f>
        <v>-86594.805139839082</v>
      </c>
      <c r="R239" s="6" cm="1">
        <f t="array" ref="R239">IF(ISNUMBER(_xll.qwDV01($A$1,F239)*J239*_xll.qwMVFactor($A$1,F239)*_xll.qwFXRate($A$1,F239)),_xll.qwDV01($A$1,F239)*J239*_xll.qwMVFactor($A$1,F239)*_xll.qwFXRate($A$1,F239),0)</f>
        <v>0</v>
      </c>
      <c r="S239" s="6" cm="1">
        <f t="array" ref="S239">IF(ISNUMBER(_xll.qwDV01($A$1,F239)*J239*_xll.qwMVFactor($A$1,F239)*_xll.qwFXRate($A$1,F239)),_xll.qwDV01($A$1,F239)*J239*_xll.qwMVFactor($A$1,F239)*_xll.qwFXRate($A$1,F239),0)</f>
        <v>0</v>
      </c>
      <c r="T239" s="6" cm="1">
        <f t="array" ref="T239">_xll.qwFXRate($A$1,F239)*J239*(_xll.qwPrice($A$1,F239)-M239)*_xll.qwMVFactor($A$1,F239)+L239</f>
        <v>0</v>
      </c>
      <c r="U239" s="8" cm="1">
        <f t="array" ref="U239">_xll.qwYield($A$1,F239)</f>
        <v>4.9729790837178177E-2</v>
      </c>
      <c r="V239" s="8" cm="1">
        <f t="array" ref="V239">100*(_xll.qwYield($A$4,F239)-U239)</f>
        <v>9.4903045885025294E-3</v>
      </c>
      <c r="W239" s="6">
        <f>IF(ISNA(G239*INDEX(_xll.qwTblData(_xll.qwCurveScenariosPerSecurity($A$1,F239,"Crv210")),2,2)),0,(G239*INDEX(_xll.qwTblData(_xll.qwCurveScenariosPerSecurity($A$1,F239,"Crv210")),2,2)))</f>
        <v>-22621.103066891308</v>
      </c>
      <c r="X239" s="6" cm="1">
        <f t="array" ref="X239">ABS(Q239/_xll.qwMV01($A$1,"CT10"))</f>
        <v>116.57315072864344</v>
      </c>
      <c r="Y239" s="6" cm="1">
        <f t="array" ref="Y239">IF(N239="BondFuture",-(_xll.qwCurveYield($A$1,_xll.qwSecVal($A$1,AA239,"CreditCurveName()"),AA239)-_xll.qwCurveYield($A$4,_xll.qwSecVal($A$4,AA239,"CreditCurveName()"),AA239))*P239*10000,IF(N239="Bond",-(_xll.qwCurveYield($A$1,_xll.qwSecVal($A$1,F239,"CreditCurveName()"),F239)-_xll.qwCurveYield($A$4,_xll.qwSecVal($A$4,F239,"CreditCurveName()"),F239))*P239*10000,O239))</f>
        <v>-91405.877869582866</v>
      </c>
      <c r="Z239" s="6" cm="1">
        <f t="array" ref="Z239">IF(OR(N239="BondFuture",N239="Bond"),P239*(_xll.qwCurveZSpread($A$4,_xll.qwSecVal($A$1,AA239,"CreditCurveName()"),AA239)-_xll.qwCurveZSpread($A$1,_xll.qwSecVal($A$1,AA239,"CreditCurveName()"),AA239)),0)</f>
        <v>9224.7702136731496</v>
      </c>
      <c r="AA239" s="9" t="str" cm="1">
        <f t="array" ref="AA239">IF(_xll.qwSecType(F239)="Bond",F239,IF(_xll.qwSecType(F239)="BondFuture",_xll.qwFutCTD($A$1,F239),0))</f>
        <v>91282CNX5</v>
      </c>
      <c r="AB239" s="6" cm="1">
        <f t="array" ref="AB239">IF(_xll.qwSecType(F239)="BondFuture",-(I239*_xll.qwDelta($A$4,F239)*_xll.qwMVFactor($A$1,F239)/_xll.qwMVFactor($A$1,_xll.qwFutCTD($A$1,F239)))*(_xll.qwFXRate($A$1,F239)*_xll.qwMVFactor($A$1,_xll.qwFutCTD($A$1,F239))*(_xll.qwIncome($A$4,_xll.qwFutCTD($A$4,F239),_xll.qwBondSettle($A$4,_xll.qwFutCTD($A$4,F239)),_xll.qwBondSettle($A$1,_xll.qwFutCTD($A$1,F239)))+(_xll.qwSecVal($A$1,AA239,"Price")-_xll.qwSecVal($A$4,AA239,"Price"))-_xll.qwBondRepoFromTo($A$1,AA239,_xll.qwBondSettle($A$4,AA239),_xll.qwBondSettle($A$1,AA239))*_xll.qwSecVal($A$1,AA239,"Price")*(_xll.qwBondSettle($A$1,AA239)-_xll.qwBondSettle($A$4,AA239))/360))+O239,0)</f>
        <v>0</v>
      </c>
      <c r="AC239" s="9" cm="1">
        <f t="array" ref="AC239">O239+T239+IF(ISNUMBER(_xll.qwIncome($A$1,F239,_xll.qwSettle($A$4,F239),_xll.qwSettle($A$1,F239))*_xll.qwMVFactor($A$1,F239)*_xll.qwFXRate($A$1,F239)*I239),_xll.qwIncome($A$1,F239,_xll.qwSettle($A$4,F239),_xll.qwSettle($A$1,F239))*_xll.qwMVFactor($A$1,F239)*_xll.qwFXRate($A$1,F239)*I239,0)+IF(ISNUMBER(-(_xll.qwBondRepoFromTo($A$1,F239,_xll.qwSettle($A$4,F239),_xll.qwSettle($A$1,F239))*_xll.qwSecVal($A$1,F239,"Price")*(_xll.qwSettle($A$1,F239)-_xll.qwSettle($A$4,F239))/360)*_xll.qwMVFactor($A$1,F239)*_xll.qwFXRate($A$1,F239)*I239),-(_xll.qwBondRepoFromTo($A$1,F239,_xll.qwSettle($A$4,F239),_xll.qwSettle($A$1,F239))*_xll.qwSecVal($A$1,F239,"Price")*(_xll.qwSettle($A$1,F239)-_xll.qwSettle($A$4,F239))/360)*_xll.qwMVFactor($A$1,F239)*_xll.qwFXRate($A$1,F239)*I239,0)</f>
        <v>-89406.105894663779</v>
      </c>
      <c r="AD239" s="6"/>
    </row>
    <row r="240" spans="2:30" s="19" customFormat="1" x14ac:dyDescent="0.35">
      <c r="B240" s="19" t="str">
        <v>jcleary</v>
      </c>
      <c r="C240" s="19" t="str">
        <v>PPA</v>
      </c>
      <c r="D240" s="19" t="str">
        <v>jcleary|PPA|RV_US_FV_Spread|91282CPD7</v>
      </c>
      <c r="E240" s="19" t="str">
        <v>RV_US_FV_Spread</v>
      </c>
      <c r="F240" s="19" t="str">
        <v>91282CPD7</v>
      </c>
      <c r="G240" s="19">
        <v>218</v>
      </c>
      <c r="H240" s="19">
        <v>0</v>
      </c>
      <c r="I240" s="19">
        <v>218</v>
      </c>
      <c r="J240" s="19">
        <v>0</v>
      </c>
      <c r="K240" s="19">
        <v>0</v>
      </c>
      <c r="L240" s="19">
        <v>0</v>
      </c>
      <c r="M240" s="19">
        <v>0</v>
      </c>
      <c r="N240" s="19" t="str">
        <v>Bond</v>
      </c>
      <c r="O240" s="6" cm="1">
        <f t="array" ref="O240">(_xll.qwPrice($A$1,F240)-_xll.qwPrice($A$4,F240))*_xll.qwMVFactor($A$1,F240)*I240*_xll.qwFXRate($A$1,F240)</f>
        <v>76640.624998915708</v>
      </c>
      <c r="P240" s="6" cm="1">
        <f t="array" ref="P240">IF(ISNUMBER(_xll.qwDV01($A$1,F240)*I240*_xll.qwMVFactor($A$1,F240)*_xll.qwFXRate($A$1,F240)),_xll.qwDV01($A$1,F240)*I240*_xll.qwMVFactor($A$1,F240)*_xll.qwFXRate($A$1,F240),0)</f>
        <v>76671.568649544497</v>
      </c>
      <c r="Q240" s="6" cm="1">
        <f t="array" ref="Q240">IF(ISNUMBER(_xll.qwDV01($A$1,F240)*G240*_xll.qwMVFactor($A$1,F240)*_xll.qwFXRate($A$1,F240)),_xll.qwDV01($A$1,F240)*G240*_xll.qwMVFactor($A$1,F240)*_xll.qwFXRate($A$1,F240),0)</f>
        <v>76671.568649544497</v>
      </c>
      <c r="R240" s="6" cm="1">
        <f t="array" ref="R240">IF(ISNUMBER(_xll.qwDV01($A$1,F240)*J240*_xll.qwMVFactor($A$1,F240)*_xll.qwFXRate($A$1,F240)),_xll.qwDV01($A$1,F240)*J240*_xll.qwMVFactor($A$1,F240)*_xll.qwFXRate($A$1,F240),0)</f>
        <v>0</v>
      </c>
      <c r="S240" s="6" cm="1">
        <f t="array" ref="S240">IF(ISNUMBER(_xll.qwDV01($A$1,F240)*J240*_xll.qwMVFactor($A$1,F240)*_xll.qwFXRate($A$1,F240)),_xll.qwDV01($A$1,F240)*J240*_xll.qwMVFactor($A$1,F240)*_xll.qwFXRate($A$1,F240),0)</f>
        <v>0</v>
      </c>
      <c r="T240" s="6" cm="1">
        <f t="array" ref="T240">_xll.qwFXRate($A$1,F240)*J240*(_xll.qwPrice($A$1,F240)-M240)*_xll.qwMVFactor($A$1,F240)+L240</f>
        <v>0</v>
      </c>
      <c r="U240" s="8" cm="1">
        <f t="array" ref="U240">_xll.qwYield($A$1,F240)</f>
        <v>4.9768935624346013E-2</v>
      </c>
      <c r="V240" s="8" cm="1">
        <f t="array" ref="V240">100*(_xll.qwYield($A$4,F240)-U240)</f>
        <v>9.118333355648961E-3</v>
      </c>
      <c r="W240" s="6">
        <f>IF(ISNA(G240*INDEX(_xll.qwTblData(_xll.qwCurveScenariosPerSecurity($A$1,F240,"Crv210")),2,2)),0,(G240*INDEX(_xll.qwTblData(_xll.qwCurveScenariosPerSecurity($A$1,F240,"Crv210")),2,2)))</f>
        <v>18402.549511358189</v>
      </c>
      <c r="X240" s="6" cm="1">
        <f t="array" ref="X240">ABS(Q240/_xll.qwMV01($A$1,"CT10"))</f>
        <v>103.21457868461569</v>
      </c>
      <c r="Y240" s="6" cm="1">
        <f t="array" ref="Y240">IF(N240="BondFuture",-(_xll.qwCurveYield($A$1,_xll.qwSecVal($A$1,AA240,"CreditCurveName()"),AA240)-_xll.qwCurveYield($A$4,_xll.qwSecVal($A$4,AA240,"CreditCurveName()"),AA240))*P240*10000,IF(N240="Bond",-(_xll.qwCurveYield($A$1,_xll.qwSecVal($A$1,F240,"CreditCurveName()"),F240)-_xll.qwCurveYield($A$4,_xll.qwSecVal($A$4,F240,"CreditCurveName()"),F240))*P240*10000,O240))</f>
        <v>86960.227127336402</v>
      </c>
      <c r="Z240" s="6" cm="1">
        <f t="array" ref="Z240">IF(OR(N240="BondFuture",N240="Bond"),P240*(_xll.qwCurveZSpread($A$4,_xll.qwSecVal($A$1,AA240,"CreditCurveName()"),AA240)-_xll.qwCurveZSpread($A$1,_xll.qwSecVal($A$1,AA240,"CreditCurveName()"),AA240)),0)</f>
        <v>-17048.534942629321</v>
      </c>
      <c r="AA240" s="9" t="str" cm="1">
        <f t="array" ref="AA240">IF(_xll.qwSecType(F240)="Bond",F240,IF(_xll.qwSecType(F240)="BondFuture",_xll.qwFutCTD($A$1,F240),0))</f>
        <v>91282CPD7</v>
      </c>
      <c r="AB240" s="6" cm="1">
        <f t="array" ref="AB240">IF(_xll.qwSecType(F240)="BondFuture",-(I240*_xll.qwDelta($A$4,F240)*_xll.qwMVFactor($A$1,F240)/_xll.qwMVFactor($A$1,_xll.qwFutCTD($A$1,F240)))*(_xll.qwFXRate($A$1,F240)*_xll.qwMVFactor($A$1,_xll.qwFutCTD($A$1,F240))*(_xll.qwIncome($A$4,_xll.qwFutCTD($A$4,F240),_xll.qwBondSettle($A$4,_xll.qwFutCTD($A$4,F240)),_xll.qwBondSettle($A$1,_xll.qwFutCTD($A$1,F240)))+(_xll.qwSecVal($A$1,AA240,"Price")-_xll.qwSecVal($A$4,AA240,"Price"))-_xll.qwBondRepoFromTo($A$1,AA240,_xll.qwBondSettle($A$4,AA240),_xll.qwBondSettle($A$1,AA240))*_xll.qwSecVal($A$1,AA240,"Price")*(_xll.qwBondSettle($A$1,AA240)-_xll.qwBondSettle($A$4,AA240))/360))+O240,0)</f>
        <v>0</v>
      </c>
      <c r="AC240" s="9" cm="1">
        <f t="array" ref="AC240">O240+T240+IF(ISNUMBER(_xll.qwIncome($A$1,F240,_xll.qwSettle($A$4,F240),_xll.qwSettle($A$1,F240))*_xll.qwMVFactor($A$1,F240)*_xll.qwFXRate($A$1,F240)*I240),_xll.qwIncome($A$1,F240,_xll.qwSettle($A$4,F240),_xll.qwSettle($A$1,F240))*_xll.qwMVFactor($A$1,F240)*_xll.qwFXRate($A$1,F240)*I240,0)+IF(ISNUMBER(-(_xll.qwBondRepoFromTo($A$1,F240,_xll.qwSettle($A$4,F240),_xll.qwSettle($A$1,F240))*_xll.qwSecVal($A$1,F240,"Price")*(_xll.qwSettle($A$1,F240)-_xll.qwSettle($A$4,F240))/360)*_xll.qwMVFactor($A$1,F240)*_xll.qwFXRate($A$1,F240)*I240),-(_xll.qwBondRepoFromTo($A$1,F240,_xll.qwSettle($A$4,F240),_xll.qwSettle($A$1,F240))*_xll.qwSecVal($A$1,F240,"Price")*(_xll.qwSettle($A$1,F240)-_xll.qwSettle($A$4,F240))/360)*_xll.qwMVFactor($A$1,F240)*_xll.qwFXRate($A$1,F240)*I240,0)</f>
        <v>75627.889933657571</v>
      </c>
      <c r="AD240" s="6"/>
    </row>
    <row r="241" spans="2:30" s="19" customFormat="1" x14ac:dyDescent="0.35">
      <c r="B241" s="19" t="str">
        <v>jcleary</v>
      </c>
      <c r="C241" s="19" t="str">
        <v>PPA</v>
      </c>
      <c r="D241" s="19" t="str">
        <v>jcleary|PPA|RV_US_FV_Spread|91282CQU8</v>
      </c>
      <c r="E241" s="19" t="str">
        <v>RV_US_FV_Spread</v>
      </c>
      <c r="F241" s="19" t="str">
        <v>91282CQU8</v>
      </c>
      <c r="G241" s="19">
        <v>187.58</v>
      </c>
      <c r="H241" s="19">
        <v>0</v>
      </c>
      <c r="I241" s="19">
        <v>187.58</v>
      </c>
      <c r="J241" s="19">
        <v>0</v>
      </c>
      <c r="K241" s="19">
        <v>0</v>
      </c>
      <c r="L241" s="19">
        <v>0</v>
      </c>
      <c r="M241" s="19">
        <v>0</v>
      </c>
      <c r="N241" s="19" t="str">
        <v>Bond</v>
      </c>
      <c r="O241" s="6" cm="1">
        <f t="array" ref="O241">(_xll.qwPrice($A$1,F241)-_xll.qwPrice($A$4,F241))*_xll.qwMVFactor($A$1,F241)*I241*_xll.qwFXRate($A$1,F241)</f>
        <v>102582.81308764743</v>
      </c>
      <c r="P241" s="6" cm="1">
        <f t="array" ref="P241">IF(ISNUMBER(_xll.qwDV01($A$1,F241)*I241*_xll.qwMVFactor($A$1,F241)*_xll.qwFXRate($A$1,F241)),_xll.qwDV01($A$1,F241)*I241*_xll.qwMVFactor($A$1,F241)*_xll.qwFXRate($A$1,F241),0)</f>
        <v>75030.99325276709</v>
      </c>
      <c r="Q241" s="6" cm="1">
        <f t="array" ref="Q241">IF(ISNUMBER(_xll.qwDV01($A$1,F241)*G241*_xll.qwMVFactor($A$1,F241)*_xll.qwFXRate($A$1,F241)),_xll.qwDV01($A$1,F241)*G241*_xll.qwMVFactor($A$1,F241)*_xll.qwFXRate($A$1,F241),0)</f>
        <v>75030.99325276709</v>
      </c>
      <c r="R241" s="6" cm="1">
        <f t="array" ref="R241">IF(ISNUMBER(_xll.qwDV01($A$1,F241)*J241*_xll.qwMVFactor($A$1,F241)*_xll.qwFXRate($A$1,F241)),_xll.qwDV01($A$1,F241)*J241*_xll.qwMVFactor($A$1,F241)*_xll.qwFXRate($A$1,F241),0)</f>
        <v>0</v>
      </c>
      <c r="S241" s="6" cm="1">
        <f t="array" ref="S241">IF(ISNUMBER(_xll.qwDV01($A$1,F241)*J241*_xll.qwMVFactor($A$1,F241)*_xll.qwFXRate($A$1,F241)),_xll.qwDV01($A$1,F241)*J241*_xll.qwMVFactor($A$1,F241)*_xll.qwFXRate($A$1,F241),0)</f>
        <v>0</v>
      </c>
      <c r="T241" s="6" cm="1">
        <f t="array" ref="T241">_xll.qwFXRate($A$1,F241)*J241*(_xll.qwPrice($A$1,F241)-M241)*_xll.qwMVFactor($A$1,F241)+L241</f>
        <v>0</v>
      </c>
      <c r="U241" s="8" cm="1">
        <f t="array" ref="U241">_xll.qwYield($A$1,F241)</f>
        <v>4.9959341642026582E-2</v>
      </c>
      <c r="V241" s="8" cm="1">
        <f t="array" ref="V241">100*(_xll.qwYield($A$4,F241)-U241)</f>
        <v>1.3184758780281775E-2</v>
      </c>
      <c r="W241" s="6">
        <f>IF(ISNA(G241*INDEX(_xll.qwTblData(_xll.qwCurveScenariosPerSecurity($A$1,F241,"Crv210")),2,2)),0,(G241*INDEX(_xll.qwTblData(_xll.qwCurveScenariosPerSecurity($A$1,F241,"Crv210")),2,2)))</f>
        <v>12614.534458820928</v>
      </c>
      <c r="X241" s="6" cm="1">
        <f t="array" ref="X241">ABS(Q241/_xll.qwMV01($A$1,"CT10"))</f>
        <v>101.00605078618808</v>
      </c>
      <c r="Y241" s="6" cm="1">
        <f t="array" ref="Y241">IF(N241="BondFuture",-(_xll.qwCurveYield($A$1,_xll.qwSecVal($A$1,AA241,"CreditCurveName()"),AA241)-_xll.qwCurveYield($A$4,_xll.qwSecVal($A$4,AA241,"CreditCurveName()"),AA241))*P241*10000,IF(N241="Bond",-(_xll.qwCurveYield($A$1,_xll.qwSecVal($A$1,F241,"CreditCurveName()"),F241)-_xll.qwCurveYield($A$4,_xll.qwSecVal($A$4,F241,"CreditCurveName()"),F241))*P241*10000,O241))</f>
        <v>101662.79594106345</v>
      </c>
      <c r="Z241" s="6" cm="1">
        <f t="array" ref="Z241">IF(OR(N241="BondFuture",N241="Bond"),P241*(_xll.qwCurveZSpread($A$4,_xll.qwSecVal($A$1,AA241,"CreditCurveName()"),AA241)-_xll.qwCurveZSpread($A$1,_xll.qwSecVal($A$1,AA241,"CreditCurveName()"),AA241)),0)</f>
        <v>-2736.2412082993678</v>
      </c>
      <c r="AA241" s="9" t="str" cm="1">
        <f t="array" ref="AA241">IF(_xll.qwSecType(F241)="Bond",F241,IF(_xll.qwSecType(F241)="BondFuture",_xll.qwFutCTD($A$1,F241),0))</f>
        <v>91282CQU8</v>
      </c>
      <c r="AB241" s="6" cm="1">
        <f t="array" ref="AB241">IF(_xll.qwSecType(F241)="BondFuture",-(I241*_xll.qwDelta($A$4,F241)*_xll.qwMVFactor($A$1,F241)/_xll.qwMVFactor($A$1,_xll.qwFutCTD($A$1,F241)))*(_xll.qwFXRate($A$1,F241)*_xll.qwMVFactor($A$1,_xll.qwFutCTD($A$1,F241))*(_xll.qwIncome($A$4,_xll.qwFutCTD($A$4,F241),_xll.qwBondSettle($A$4,_xll.qwFutCTD($A$4,F241)),_xll.qwBondSettle($A$1,_xll.qwFutCTD($A$1,F241)))+(_xll.qwSecVal($A$1,AA241,"Price")-_xll.qwSecVal($A$4,AA241,"Price"))-_xll.qwBondRepoFromTo($A$1,AA241,_xll.qwBondSettle($A$4,AA241),_xll.qwBondSettle($A$1,AA241))*_xll.qwSecVal($A$1,AA241,"Price")*(_xll.qwBondSettle($A$1,AA241)-_xll.qwBondSettle($A$4,AA241))/360))+O241,0)</f>
        <v>0</v>
      </c>
      <c r="AC241" s="9" cm="1">
        <f t="array" ref="AC241">O241+T241+IF(ISNUMBER(_xll.qwIncome($A$1,F241,_xll.qwSettle($A$4,F241),_xll.qwSettle($A$1,F241))*_xll.qwMVFactor($A$1,F241)*_xll.qwFXRate($A$1,F241)*I241),_xll.qwIncome($A$1,F241,_xll.qwSettle($A$4,F241),_xll.qwSettle($A$1,F241))*_xll.qwMVFactor($A$1,F241)*_xll.qwFXRate($A$1,F241)*I241,0)+IF(ISNUMBER(-(_xll.qwBondRepoFromTo($A$1,F241,_xll.qwSettle($A$4,F241),_xll.qwSettle($A$1,F241))*_xll.qwSecVal($A$1,F241,"Price")*(_xll.qwSettle($A$1,F241)-_xll.qwSettle($A$4,F241))/360)*_xll.qwMVFactor($A$1,F241)*_xll.qwFXRate($A$1,F241)*I241),-(_xll.qwBondRepoFromTo($A$1,F241,_xll.qwSettle($A$4,F241),_xll.qwSettle($A$1,F241))*_xll.qwSecVal($A$1,F241,"Price")*(_xll.qwSettle($A$1,F241)-_xll.qwSettle($A$4,F241))/360)*_xll.qwMVFactor($A$1,F241)*_xll.qwFXRate($A$1,F241)*I241,0)</f>
        <v>104103.12978091608</v>
      </c>
      <c r="AD241" s="6"/>
    </row>
    <row r="242" spans="2:30" s="19" customFormat="1" x14ac:dyDescent="0.35">
      <c r="B242" s="19" t="str">
        <v>jcleary</v>
      </c>
      <c r="C242" s="19" t="str">
        <v>PPA</v>
      </c>
      <c r="D242" s="19" t="str">
        <v>jcleary|PPA|RV_US_FV_Spread|91282CQX2</v>
      </c>
      <c r="E242" s="19" t="str">
        <v>RV_US_FV_Spread</v>
      </c>
      <c r="F242" s="19" t="str">
        <v>91282CQX2</v>
      </c>
      <c r="G242" s="19">
        <v>35.155999999999999</v>
      </c>
      <c r="H242" s="19">
        <v>0</v>
      </c>
      <c r="I242" s="19">
        <v>35.155999999999999</v>
      </c>
      <c r="J242" s="19">
        <v>0</v>
      </c>
      <c r="K242" s="19">
        <v>0</v>
      </c>
      <c r="L242" s="19">
        <v>0</v>
      </c>
      <c r="M242" s="19">
        <v>0</v>
      </c>
      <c r="N242" s="19" t="str">
        <v>Bond</v>
      </c>
      <c r="O242" s="6" cm="1">
        <f t="array" ref="O242">(_xll.qwPrice($A$1,F242)-_xll.qwPrice($A$4,F242))*_xll.qwMVFactor($A$1,F242)*I242*_xll.qwFXRate($A$1,F242)</f>
        <v>19225.937625398798</v>
      </c>
      <c r="P242" s="6" cm="1">
        <f t="array" ref="P242">IF(ISNUMBER(_xll.qwDV01($A$1,F242)*I242*_xll.qwMVFactor($A$1,F242)*_xll.qwFXRate($A$1,F242)),_xll.qwDV01($A$1,F242)*I242*_xll.qwMVFactor($A$1,F242)*_xll.qwFXRate($A$1,F242),0)</f>
        <v>14283.272912507528</v>
      </c>
      <c r="Q242" s="6" cm="1">
        <f t="array" ref="Q242">IF(ISNUMBER(_xll.qwDV01($A$1,F242)*G242*_xll.qwMVFactor($A$1,F242)*_xll.qwFXRate($A$1,F242)),_xll.qwDV01($A$1,F242)*G242*_xll.qwMVFactor($A$1,F242)*_xll.qwFXRate($A$1,F242),0)</f>
        <v>14283.272912507528</v>
      </c>
      <c r="R242" s="6" cm="1">
        <f t="array" ref="R242">IF(ISNUMBER(_xll.qwDV01($A$1,F242)*J242*_xll.qwMVFactor($A$1,F242)*_xll.qwFXRate($A$1,F242)),_xll.qwDV01($A$1,F242)*J242*_xll.qwMVFactor($A$1,F242)*_xll.qwFXRate($A$1,F242),0)</f>
        <v>0</v>
      </c>
      <c r="S242" s="6" cm="1">
        <f t="array" ref="S242">IF(ISNUMBER(_xll.qwDV01($A$1,F242)*J242*_xll.qwMVFactor($A$1,F242)*_xll.qwFXRate($A$1,F242)),_xll.qwDV01($A$1,F242)*J242*_xll.qwMVFactor($A$1,F242)*_xll.qwFXRate($A$1,F242),0)</f>
        <v>0</v>
      </c>
      <c r="T242" s="6" cm="1">
        <f t="array" ref="T242">_xll.qwFXRate($A$1,F242)*J242*(_xll.qwPrice($A$1,F242)-M242)*_xll.qwMVFactor($A$1,F242)+L242</f>
        <v>0</v>
      </c>
      <c r="U242" s="8" cm="1">
        <f t="array" ref="U242">_xll.qwYield($A$1,F242)</f>
        <v>4.9969213068575401E-2</v>
      </c>
      <c r="V242" s="8" cm="1">
        <f t="array" ref="V242">100*(_xll.qwYield($A$4,F242)-U242)</f>
        <v>1.299627344368004E-2</v>
      </c>
      <c r="W242" s="6">
        <f>IF(ISNA(G242*INDEX(_xll.qwTblData(_xll.qwCurveScenariosPerSecurity($A$1,F242,"Crv210")),2,2)),0,(G242*INDEX(_xll.qwTblData(_xll.qwCurveScenariosPerSecurity($A$1,F242,"Crv210")),2,2)))</f>
        <v>2252.9528359580645</v>
      </c>
      <c r="X242" s="6" cm="1">
        <f t="array" ref="X242">ABS(Q242/_xll.qwMV01($A$1,"CT10"))</f>
        <v>19.228014006605388</v>
      </c>
      <c r="Y242" s="6" cm="1">
        <f t="array" ref="Y242">IF(N242="BondFuture",-(_xll.qwCurveYield($A$1,_xll.qwSecVal($A$1,AA242,"CreditCurveName()"),AA242)-_xll.qwCurveYield($A$4,_xll.qwSecVal($A$4,AA242,"CreditCurveName()"),AA242))*P242*10000,IF(N242="Bond",-(_xll.qwCurveYield($A$1,_xll.qwSecVal($A$1,F242,"CreditCurveName()"),F242)-_xll.qwCurveYield($A$4,_xll.qwSecVal($A$4,F242,"CreditCurveName()"),F242))*P242*10000,O242))</f>
        <v>19745.033451606181</v>
      </c>
      <c r="Z242" s="6" cm="1">
        <f t="array" ref="Z242">IF(OR(N242="BondFuture",N242="Bond"),P242*(_xll.qwCurveZSpread($A$4,_xll.qwSecVal($A$1,AA242,"CreditCurveName()"),AA242)-_xll.qwCurveZSpread($A$1,_xll.qwSecVal($A$1,AA242,"CreditCurveName()"),AA242)),0)</f>
        <v>-1182.1014074405789</v>
      </c>
      <c r="AA242" s="9" t="str" cm="1">
        <f t="array" ref="AA242">IF(_xll.qwSecType(F242)="Bond",F242,IF(_xll.qwSecType(F242)="BondFuture",_xll.qwFutCTD($A$1,F242),0))</f>
        <v>91282CQX2</v>
      </c>
      <c r="AB242" s="6" cm="1">
        <f t="array" ref="AB242">IF(_xll.qwSecType(F242)="BondFuture",-(I242*_xll.qwDelta($A$4,F242)*_xll.qwMVFactor($A$1,F242)/_xll.qwMVFactor($A$1,_xll.qwFutCTD($A$1,F242)))*(_xll.qwFXRate($A$1,F242)*_xll.qwMVFactor($A$1,_xll.qwFutCTD($A$1,F242))*(_xll.qwIncome($A$4,_xll.qwFutCTD($A$4,F242),_xll.qwBondSettle($A$4,_xll.qwFutCTD($A$4,F242)),_xll.qwBondSettle($A$1,_xll.qwFutCTD($A$1,F242)))+(_xll.qwSecVal($A$1,AA242,"Price")-_xll.qwSecVal($A$4,AA242,"Price"))-_xll.qwBondRepoFromTo($A$1,AA242,_xll.qwBondSettle($A$4,AA242),_xll.qwBondSettle($A$1,AA242))*_xll.qwSecVal($A$1,AA242,"Price")*(_xll.qwBondSettle($A$1,AA242)-_xll.qwBondSettle($A$4,AA242))/360))+O242,0)</f>
        <v>0</v>
      </c>
      <c r="AC242" s="9" cm="1">
        <f t="array" ref="AC242">O242+T242+IF(ISNUMBER(_xll.qwIncome($A$1,F242,_xll.qwSettle($A$4,F242),_xll.qwSettle($A$1,F242))*_xll.qwMVFactor($A$1,F242)*_xll.qwFXRate($A$1,F242)*I242),_xll.qwIncome($A$1,F242,_xll.qwSettle($A$4,F242),_xll.qwSettle($A$1,F242))*_xll.qwMVFactor($A$1,F242)*_xll.qwFXRate($A$1,F242)*I242,0)+IF(ISNUMBER(-(_xll.qwBondRepoFromTo($A$1,F242,_xll.qwSettle($A$4,F242),_xll.qwSettle($A$1,F242))*_xll.qwSecVal($A$1,F242,"Price")*(_xll.qwSettle($A$1,F242)-_xll.qwSettle($A$4,F242))/360)*_xll.qwMVFactor($A$1,F242)*_xll.qwFXRate($A$1,F242)*I242),-(_xll.qwBondRepoFromTo($A$1,F242,_xll.qwSettle($A$4,F242),_xll.qwSettle($A$1,F242))*_xll.qwSecVal($A$1,F242,"Price")*(_xll.qwSettle($A$1,F242)-_xll.qwSettle($A$4,F242))/360)*_xll.qwMVFactor($A$1,F242)*_xll.qwFXRate($A$1,F242)*I242,0)</f>
        <v>19491.722642413089</v>
      </c>
      <c r="AD242" s="6"/>
    </row>
    <row r="243" spans="2:30" s="19" customFormat="1" x14ac:dyDescent="0.35">
      <c r="B243" s="19" t="str">
        <v>jcleary</v>
      </c>
      <c r="C243" s="19" t="str">
        <v>PPA</v>
      </c>
      <c r="D243" s="19" t="str">
        <v>jcleary|PPA|RV_US_FV_Spread|91282CRA1</v>
      </c>
      <c r="E243" s="19" t="str">
        <v>RV_US_FV_Spread</v>
      </c>
      <c r="F243" s="19" t="str">
        <v>91282CRA1</v>
      </c>
      <c r="G243" s="19">
        <v>201.29400000000001</v>
      </c>
      <c r="H243" s="19">
        <v>0</v>
      </c>
      <c r="I243" s="19">
        <v>201.29400000000001</v>
      </c>
      <c r="J243" s="19">
        <v>0</v>
      </c>
      <c r="K243" s="19">
        <v>0</v>
      </c>
      <c r="L243" s="19">
        <v>0</v>
      </c>
      <c r="M243" s="19">
        <v>0</v>
      </c>
      <c r="N243" s="19" t="str">
        <v>Bond</v>
      </c>
      <c r="O243" s="6" cm="1">
        <f t="array" ref="O243">(_xll.qwPrice($A$1,F243)-_xll.qwPrice($A$4,F243))*_xll.qwMVFactor($A$1,F243)*I243*_xll.qwFXRate($A$1,F243)</f>
        <v>117945.70318304076</v>
      </c>
      <c r="P243" s="6" cm="1">
        <f t="array" ref="P243">IF(ISNUMBER(_xll.qwDV01($A$1,F243)*I243*_xll.qwMVFactor($A$1,F243)*_xll.qwFXRate($A$1,F243)),_xll.qwDV01($A$1,F243)*I243*_xll.qwMVFactor($A$1,F243)*_xll.qwFXRate($A$1,F243),0)</f>
        <v>83568.47949386292</v>
      </c>
      <c r="Q243" s="6" cm="1">
        <f t="array" ref="Q243">IF(ISNUMBER(_xll.qwDV01($A$1,F243)*G243*_xll.qwMVFactor($A$1,F243)*_xll.qwFXRate($A$1,F243)),_xll.qwDV01($A$1,F243)*G243*_xll.qwMVFactor($A$1,F243)*_xll.qwFXRate($A$1,F243),0)</f>
        <v>83568.47949386292</v>
      </c>
      <c r="R243" s="6" cm="1">
        <f t="array" ref="R243">IF(ISNUMBER(_xll.qwDV01($A$1,F243)*J243*_xll.qwMVFactor($A$1,F243)*_xll.qwFXRate($A$1,F243)),_xll.qwDV01($A$1,F243)*J243*_xll.qwMVFactor($A$1,F243)*_xll.qwFXRate($A$1,F243),0)</f>
        <v>0</v>
      </c>
      <c r="S243" s="6" cm="1">
        <f t="array" ref="S243">IF(ISNUMBER(_xll.qwDV01($A$1,F243)*J243*_xll.qwMVFactor($A$1,F243)*_xll.qwFXRate($A$1,F243)),_xll.qwDV01($A$1,F243)*J243*_xll.qwMVFactor($A$1,F243)*_xll.qwFXRate($A$1,F243),0)</f>
        <v>0</v>
      </c>
      <c r="T243" s="6" cm="1">
        <f t="array" ref="T243">_xll.qwFXRate($A$1,F243)*J243*(_xll.qwPrice($A$1,F243)-M243)*_xll.qwMVFactor($A$1,F243)+L243</f>
        <v>0</v>
      </c>
      <c r="U243" s="8" cm="1">
        <f t="array" ref="U243">_xll.qwYield($A$1,F243)</f>
        <v>4.9997991022012626E-2</v>
      </c>
      <c r="V243" s="8" cm="1">
        <f t="array" ref="V243">100*(_xll.qwYield($A$4,F243)-U243)</f>
        <v>1.3799258348727583E-2</v>
      </c>
      <c r="W243" s="6">
        <f>IF(ISNA(G243*INDEX(_xll.qwTblData(_xll.qwCurveScenariosPerSecurity($A$1,F243,"Crv210")),2,2)),0,(G243*INDEX(_xll.qwTblData(_xll.qwCurveScenariosPerSecurity($A$1,F243,"Crv210")),2,2)))</f>
        <v>12377.046947805406</v>
      </c>
      <c r="X243" s="6" cm="1">
        <f t="array" ref="X243">ABS(Q243/_xll.qwMV01($A$1,"CT10"))</f>
        <v>112.49913826204534</v>
      </c>
      <c r="Y243" s="6" cm="1">
        <f t="array" ref="Y243">IF(N243="BondFuture",-(_xll.qwCurveYield($A$1,_xll.qwSecVal($A$1,AA243,"CreditCurveName()"),AA243)-_xll.qwCurveYield($A$4,_xll.qwSecVal($A$4,AA243,"CreditCurveName()"),AA243))*P243*10000,IF(N243="Bond",-(_xll.qwCurveYield($A$1,_xll.qwSecVal($A$1,F243,"CreditCurveName()"),F243)-_xll.qwCurveYield($A$4,_xll.qwSecVal($A$4,F243,"CreditCurveName()"),F243))*P243*10000,O243))</f>
        <v>117473.63051236293</v>
      </c>
      <c r="Z243" s="6" cm="1">
        <f t="array" ref="Z243">IF(OR(N243="BondFuture",N243="Bond"),P243*(_xll.qwCurveZSpread($A$4,_xll.qwSecVal($A$1,AA243,"CreditCurveName()"),AA243)-_xll.qwCurveZSpread($A$1,_xll.qwSecVal($A$1,AA243,"CreditCurveName()"),AA243)),0)</f>
        <v>-2155.3266777471526</v>
      </c>
      <c r="AA243" s="9" t="str" cm="1">
        <f t="array" ref="AA243">IF(_xll.qwSecType(F243)="Bond",F243,IF(_xll.qwSecType(F243)="BondFuture",_xll.qwFutCTD($A$1,F243),0))</f>
        <v>91282CRA1</v>
      </c>
      <c r="AB243" s="6" cm="1">
        <f t="array" ref="AB243">IF(_xll.qwSecType(F243)="BondFuture",-(I243*_xll.qwDelta($A$4,F243)*_xll.qwMVFactor($A$1,F243)/_xll.qwMVFactor($A$1,_xll.qwFutCTD($A$1,F243)))*(_xll.qwFXRate($A$1,F243)*_xll.qwMVFactor($A$1,_xll.qwFutCTD($A$1,F243))*(_xll.qwIncome($A$4,_xll.qwFutCTD($A$4,F243),_xll.qwBondSettle($A$4,_xll.qwFutCTD($A$4,F243)),_xll.qwBondSettle($A$1,_xll.qwFutCTD($A$1,F243)))+(_xll.qwSecVal($A$1,AA243,"Price")-_xll.qwSecVal($A$4,AA243,"Price"))-_xll.qwBondRepoFromTo($A$1,AA243,_xll.qwBondSettle($A$4,AA243),_xll.qwBondSettle($A$1,AA243))*_xll.qwSecVal($A$1,AA243,"Price")*(_xll.qwBondSettle($A$1,AA243)-_xll.qwBondSettle($A$4,AA243))/360))+O243,0)</f>
        <v>0</v>
      </c>
      <c r="AC243" s="9" cm="1">
        <f t="array" ref="AC243">O243+T243+IF(ISNUMBER(_xll.qwIncome($A$1,F243,_xll.qwSettle($A$4,F243),_xll.qwSettle($A$1,F243))*_xll.qwMVFactor($A$1,F243)*_xll.qwFXRate($A$1,F243)*I243),_xll.qwIncome($A$1,F243,_xll.qwSettle($A$4,F243),_xll.qwSettle($A$1,F243))*_xll.qwMVFactor($A$1,F243)*_xll.qwFXRate($A$1,F243)*I243,0)+IF(ISNUMBER(-(_xll.qwBondRepoFromTo($A$1,F243,_xll.qwSettle($A$4,F243),_xll.qwSettle($A$1,F243))*_xll.qwSecVal($A$1,F243,"Price")*(_xll.qwSettle($A$1,F243)-_xll.qwSettle($A$4,F243))/360)*_xll.qwMVFactor($A$1,F243)*_xll.qwFXRate($A$1,F243)*I243),-(_xll.qwBondRepoFromTo($A$1,F243,_xll.qwSettle($A$4,F243),_xll.qwSettle($A$1,F243))*_xll.qwSecVal($A$1,F243,"Price")*(_xll.qwSettle($A$1,F243)-_xll.qwSettle($A$4,F243))/360)*_xll.qwMVFactor($A$1,F243)*_xll.qwFXRate($A$1,F243)*I243,0)</f>
        <v>120620.08442901378</v>
      </c>
      <c r="AD243" s="6"/>
    </row>
    <row r="244" spans="2:30" s="19" customFormat="1" x14ac:dyDescent="0.35">
      <c r="B244" s="19" t="str">
        <v>jcleary</v>
      </c>
      <c r="C244" s="19" t="str">
        <v>PPA</v>
      </c>
      <c r="D244" s="19" t="str">
        <v>jcleary|PPA|RV_US_FV_Spread|91282CRK9</v>
      </c>
      <c r="E244" s="19" t="str">
        <v>RV_US_FV_Spread</v>
      </c>
      <c r="F244" s="19" t="str">
        <v>91282CRK9</v>
      </c>
      <c r="G244" s="19">
        <v>-406.4</v>
      </c>
      <c r="H244" s="19">
        <v>0</v>
      </c>
      <c r="I244" s="19">
        <v>-406.4</v>
      </c>
      <c r="J244" s="19">
        <v>0</v>
      </c>
      <c r="K244" s="19">
        <v>0</v>
      </c>
      <c r="L244" s="19">
        <v>0</v>
      </c>
      <c r="M244" s="19">
        <v>0</v>
      </c>
      <c r="N244" s="19" t="str">
        <v>Bond</v>
      </c>
      <c r="O244" s="6" cm="1">
        <f t="array" ref="O244">(_xll.qwPrice($A$1,F244)-_xll.qwPrice($A$4,F244))*_xll.qwMVFactor($A$1,F244)*I244*_xll.qwFXRate($A$1,F244)</f>
        <v>-254000.0001239955</v>
      </c>
      <c r="P244" s="6" cm="1">
        <f t="array" ref="P244">IF(ISNUMBER(_xll.qwDV01($A$1,F244)*I244*_xll.qwMVFactor($A$1,F244)*_xll.qwFXRate($A$1,F244)),_xll.qwDV01($A$1,F244)*I244*_xll.qwMVFactor($A$1,F244)*_xll.qwFXRate($A$1,F244),0)</f>
        <v>-171272.79124906636</v>
      </c>
      <c r="Q244" s="6" cm="1">
        <f t="array" ref="Q244">IF(ISNUMBER(_xll.qwDV01($A$1,F244)*G244*_xll.qwMVFactor($A$1,F244)*_xll.qwFXRate($A$1,F244)),_xll.qwDV01($A$1,F244)*G244*_xll.qwMVFactor($A$1,F244)*_xll.qwFXRate($A$1,F244),0)</f>
        <v>-171272.79124906636</v>
      </c>
      <c r="R244" s="6" cm="1">
        <f t="array" ref="R244">IF(ISNUMBER(_xll.qwDV01($A$1,F244)*J244*_xll.qwMVFactor($A$1,F244)*_xll.qwFXRate($A$1,F244)),_xll.qwDV01($A$1,F244)*J244*_xll.qwMVFactor($A$1,F244)*_xll.qwFXRate($A$1,F244),0)</f>
        <v>0</v>
      </c>
      <c r="S244" s="6" cm="1">
        <f t="array" ref="S244">IF(ISNUMBER(_xll.qwDV01($A$1,F244)*J244*_xll.qwMVFactor($A$1,F244)*_xll.qwFXRate($A$1,F244)),_xll.qwDV01($A$1,F244)*J244*_xll.qwMVFactor($A$1,F244)*_xll.qwFXRate($A$1,F244),0)</f>
        <v>0</v>
      </c>
      <c r="T244" s="6" cm="1">
        <f t="array" ref="T244">_xll.qwFXRate($A$1,F244)*J244*(_xll.qwPrice($A$1,F244)-M244)*_xll.qwMVFactor($A$1,F244)+L244</f>
        <v>0</v>
      </c>
      <c r="U244" s="8" cm="1">
        <f t="array" ref="U244">_xll.qwYield($A$1,F244)</f>
        <v>4.9943821083561817E-2</v>
      </c>
      <c r="V244" s="8" cm="1">
        <f t="array" ref="V244">100*(_xll.qwYield($A$4,F244)-U244)</f>
        <v>1.4531107818758354E-2</v>
      </c>
      <c r="W244" s="6">
        <f>IF(ISNA(G244*INDEX(_xll.qwTblData(_xll.qwCurveScenariosPerSecurity($A$1,F244,"Crv210")),2,2)),0,(G244*INDEX(_xll.qwTblData(_xll.qwCurveScenariosPerSecurity($A$1,F244,"Crv210")),2,2)))</f>
        <v>-23523.402724293646</v>
      </c>
      <c r="X244" s="6" cm="1">
        <f t="array" ref="X244">ABS(Q244/_xll.qwMV01($A$1,"CT10"))</f>
        <v>230.56589685432948</v>
      </c>
      <c r="Y244" s="6" cm="1">
        <f t="array" ref="Y244">IF(N244="BondFuture",-(_xll.qwCurveYield($A$1,_xll.qwSecVal($A$1,AA244,"CreditCurveName()"),AA244)-_xll.qwCurveYield($A$4,_xll.qwSecVal($A$4,AA244,"CreditCurveName()"),AA244))*P244*10000,IF(N244="Bond",-(_xll.qwCurveYield($A$1,_xll.qwSecVal($A$1,F244,"CreditCurveName()"),F244)-_xll.qwCurveYield($A$4,_xll.qwSecVal($A$4,F244,"CreditCurveName()"),F244))*P244*10000,O244))</f>
        <v>-245509.33379646286</v>
      </c>
      <c r="Z244" s="6" cm="1">
        <f t="array" ref="Z244">IF(OR(N244="BondFuture",N244="Bond"),P244*(_xll.qwCurveZSpread($A$4,_xll.qwSecVal($A$1,AA244,"CreditCurveName()"),AA244)-_xll.qwCurveZSpread($A$1,_xll.qwSecVal($A$1,AA244,"CreditCurveName()"),AA244)),0)</f>
        <v>-3369.0058095247614</v>
      </c>
      <c r="AA244" s="9" t="str" cm="1">
        <f t="array" ref="AA244">IF(_xll.qwSecType(F244)="Bond",F244,IF(_xll.qwSecType(F244)="BondFuture",_xll.qwFutCTD($A$1,F244),0))</f>
        <v>91282CRK9</v>
      </c>
      <c r="AB244" s="6" cm="1">
        <f t="array" ref="AB244">IF(_xll.qwSecType(F244)="BondFuture",-(I244*_xll.qwDelta($A$4,F244)*_xll.qwMVFactor($A$1,F244)/_xll.qwMVFactor($A$1,_xll.qwFutCTD($A$1,F244)))*(_xll.qwFXRate($A$1,F244)*_xll.qwMVFactor($A$1,_xll.qwFutCTD($A$1,F244))*(_xll.qwIncome($A$4,_xll.qwFutCTD($A$4,F244),_xll.qwBondSettle($A$4,_xll.qwFutCTD($A$4,F244)),_xll.qwBondSettle($A$1,_xll.qwFutCTD($A$1,F244)))+(_xll.qwSecVal($A$1,AA244,"Price")-_xll.qwSecVal($A$4,AA244,"Price"))-_xll.qwBondRepoFromTo($A$1,AA244,_xll.qwBondSettle($A$4,AA244),_xll.qwBondSettle($A$1,AA244))*_xll.qwSecVal($A$1,AA244,"Price")*(_xll.qwBondSettle($A$1,AA244)-_xll.qwBondSettle($A$4,AA244))/360))+O244,0)</f>
        <v>0</v>
      </c>
      <c r="AC244" s="9" cm="1">
        <f t="array" ref="AC244">O244+T244+IF(ISNUMBER(_xll.qwIncome($A$1,F244,_xll.qwSettle($A$4,F244),_xll.qwSettle($A$1,F244))*_xll.qwMVFactor($A$1,F244)*_xll.qwFXRate($A$1,F244)*I244),_xll.qwIncome($A$1,F244,_xll.qwSettle($A$4,F244),_xll.qwSettle($A$1,F244))*_xll.qwMVFactor($A$1,F244)*_xll.qwFXRate($A$1,F244)*I244,0)+IF(ISNUMBER(-(_xll.qwBondRepoFromTo($A$1,F244,_xll.qwSettle($A$4,F244),_xll.qwSettle($A$1,F244))*_xll.qwSecVal($A$1,F244,"Price")*(_xll.qwSettle($A$1,F244)-_xll.qwSettle($A$4,F244))/360)*_xll.qwMVFactor($A$1,F244)*_xll.qwFXRate($A$1,F244)*I244),-(_xll.qwBondRepoFromTo($A$1,F244,_xll.qwSettle($A$4,F244),_xll.qwSettle($A$1,F244))*_xll.qwSecVal($A$1,F244,"Price")*(_xll.qwSettle($A$1,F244)-_xll.qwSettle($A$4,F244))/360)*_xll.qwMVFactor($A$1,F244)*_xll.qwFXRate($A$1,F244)*I244,0)</f>
        <v>-260207.10081828793</v>
      </c>
      <c r="AD244" s="6"/>
    </row>
    <row r="245" spans="2:30" s="19" customFormat="1" x14ac:dyDescent="0.35">
      <c r="B245" s="19" t="str">
        <v>jcleary</v>
      </c>
      <c r="C245" s="19" t="str">
        <v>PPA</v>
      </c>
      <c r="D245" s="19" t="str">
        <v>jcleary|PPA|RV_US_FV_Spread|91282CRN3</v>
      </c>
      <c r="E245" s="19" t="str">
        <v>RV_US_FV_Spread</v>
      </c>
      <c r="F245" s="19" t="str">
        <v>91282CRN3</v>
      </c>
      <c r="G245" s="19">
        <v>249.7</v>
      </c>
      <c r="H245" s="19">
        <v>0</v>
      </c>
      <c r="I245" s="19">
        <v>148.19999999999999</v>
      </c>
      <c r="J245" s="19">
        <v>101.5</v>
      </c>
      <c r="K245" s="19">
        <v>100</v>
      </c>
      <c r="L245" s="19">
        <v>0</v>
      </c>
      <c r="M245" s="19">
        <v>100</v>
      </c>
      <c r="N245" s="19" t="str">
        <v>Bond</v>
      </c>
      <c r="O245" s="6" cm="1">
        <f t="array" ref="O245">(_xll.qwPrice($A$1,F245)-_xll.qwPrice($A$4,F245))*_xll.qwMVFactor($A$1,F245)*I245*_xll.qwFXRate($A$1,F245)</f>
        <v>92625.000000021057</v>
      </c>
      <c r="P245" s="6" cm="1">
        <f t="array" ref="P245">IF(ISNUMBER(_xll.qwDV01($A$1,F245)*I245*_xll.qwMVFactor($A$1,F245)*_xll.qwFXRate($A$1,F245)),_xll.qwDV01($A$1,F245)*I245*_xll.qwMVFactor($A$1,F245)*_xll.qwFXRate($A$1,F245),0)</f>
        <v>64416.34170073484</v>
      </c>
      <c r="Q245" s="6" cm="1">
        <f t="array" ref="Q245">IF(ISNUMBER(_xll.qwDV01($A$1,F245)*G245*_xll.qwMVFactor($A$1,F245)*_xll.qwFXRate($A$1,F245)),_xll.qwDV01($A$1,F245)*G245*_xll.qwMVFactor($A$1,F245)*_xll.qwFXRate($A$1,F245),0)</f>
        <v>108534.14657674421</v>
      </c>
      <c r="R245" s="6" cm="1">
        <f t="array" ref="R245">IF(ISNUMBER(_xll.qwDV01($A$1,F245)*J245*_xll.qwMVFactor($A$1,F245)*_xll.qwFXRate($A$1,F245)),_xll.qwDV01($A$1,F245)*J245*_xll.qwMVFactor($A$1,F245)*_xll.qwFXRate($A$1,F245),0)</f>
        <v>44117.804876009359</v>
      </c>
      <c r="S245" s="6" cm="1">
        <f t="array" ref="S245">IF(ISNUMBER(_xll.qwDV01($A$1,F245)*J245*_xll.qwMVFactor($A$1,F245)*_xll.qwFXRate($A$1,F245)),_xll.qwDV01($A$1,F245)*J245*_xll.qwMVFactor($A$1,F245)*_xll.qwFXRate($A$1,F245),0)</f>
        <v>44117.804876009359</v>
      </c>
      <c r="T245" s="6" cm="1">
        <f t="array" ref="T245">_xll.qwFXRate($A$1,F245)*J245*(_xll.qwPrice($A$1,F245)-M245)*_xll.qwMVFactor($A$1,F245)+L245</f>
        <v>35683.593750216358</v>
      </c>
      <c r="U245" s="8" cm="1">
        <f t="array" ref="U245">_xll.qwYield($A$1,F245)</f>
        <v>4.9913746673386834E-2</v>
      </c>
      <c r="V245" s="8" cm="1">
        <f t="array" ref="V245">100*(_xll.qwYield($A$4,F245)-U245)</f>
        <v>1.4414355454046845E-2</v>
      </c>
      <c r="W245" s="6">
        <f>IF(ISNA(G245*INDEX(_xll.qwTblData(_xll.qwCurveScenariosPerSecurity($A$1,F245,"Crv210")),2,2)),0,(G245*INDEX(_xll.qwTblData(_xll.qwCurveScenariosPerSecurity($A$1,F245,"Crv210")),2,2)))</f>
        <v>14106.107583426563</v>
      </c>
      <c r="X245" s="6" cm="1">
        <f t="array" ref="X245">ABS(Q245/_xll.qwMV01($A$1,"CT10"))</f>
        <v>146.10769557901213</v>
      </c>
      <c r="Y245" s="6" cm="1">
        <f t="array" ref="Y245">IF(N245="BondFuture",-(_xll.qwCurveYield($A$1,_xll.qwSecVal($A$1,AA245,"CreditCurveName()"),AA245)-_xll.qwCurveYield($A$4,_xll.qwSecVal($A$4,AA245,"CreditCurveName()"),AA245))*P245*10000,IF(N245="Bond",-(_xll.qwCurveYield($A$1,_xll.qwSecVal($A$1,F245,"CreditCurveName()"),F245)-_xll.qwCurveYield($A$4,_xll.qwSecVal($A$4,F245,"CreditCurveName()"),F245))*P245*10000,O245))</f>
        <v>93089.48053472313</v>
      </c>
      <c r="Z245" s="6" cm="1">
        <f t="array" ref="Z245">IF(OR(N245="BondFuture",N245="Bond"),P245*(_xll.qwCurveZSpread($A$4,_xll.qwSecVal($A$1,AA245,"CreditCurveName()"),AA245)-_xll.qwCurveZSpread($A$1,_xll.qwSecVal($A$1,AA245,"CreditCurveName()"),AA245)),0)</f>
        <v>-237.47590234988198</v>
      </c>
      <c r="AA245" s="9" t="str" cm="1">
        <f t="array" ref="AA245">IF(_xll.qwSecType(F245)="Bond",F245,IF(_xll.qwSecType(F245)="BondFuture",_xll.qwFutCTD($A$1,F245),0))</f>
        <v>91282CRN3</v>
      </c>
      <c r="AB245" s="6" cm="1">
        <f t="array" ref="AB245">IF(_xll.qwSecType(F245)="BondFuture",-(I245*_xll.qwDelta($A$4,F245)*_xll.qwMVFactor($A$1,F245)/_xll.qwMVFactor($A$1,_xll.qwFutCTD($A$1,F245)))*(_xll.qwFXRate($A$1,F245)*_xll.qwMVFactor($A$1,_xll.qwFutCTD($A$1,F245))*(_xll.qwIncome($A$4,_xll.qwFutCTD($A$4,F245),_xll.qwBondSettle($A$4,_xll.qwFutCTD($A$4,F245)),_xll.qwBondSettle($A$1,_xll.qwFutCTD($A$1,F245)))+(_xll.qwSecVal($A$1,AA245,"Price")-_xll.qwSecVal($A$4,AA245,"Price"))-_xll.qwBondRepoFromTo($A$1,AA245,_xll.qwBondSettle($A$4,AA245),_xll.qwBondSettle($A$1,AA245))*_xll.qwSecVal($A$1,AA245,"Price")*(_xll.qwBondSettle($A$1,AA245)-_xll.qwBondSettle($A$4,AA245))/360))+O245,0)</f>
        <v>0</v>
      </c>
      <c r="AC245" s="9" cm="1">
        <f t="array" ref="AC245">O245+T245+IF(ISNUMBER(_xll.qwIncome($A$1,F245,_xll.qwSettle($A$4,F245),_xll.qwSettle($A$1,F245))*_xll.qwMVFactor($A$1,F245)*_xll.qwFXRate($A$1,F245)*I245),_xll.qwIncome($A$1,F245,_xll.qwSettle($A$4,F245),_xll.qwSettle($A$1,F245))*_xll.qwMVFactor($A$1,F245)*_xll.qwFXRate($A$1,F245)*I245,0)+IF(ISNUMBER(-(_xll.qwBondRepoFromTo($A$1,F245,_xll.qwSettle($A$4,F245),_xll.qwSettle($A$1,F245))*_xll.qwSecVal($A$1,F245,"Price")*(_xll.qwSettle($A$1,F245)-_xll.qwSettle($A$4,F245))/360)*_xll.qwMVFactor($A$1,F245)*_xll.qwFXRate($A$1,F245)*I245),-(_xll.qwBondRepoFromTo($A$1,F245,_xll.qwSettle($A$4,F245),_xll.qwSettle($A$1,F245))*_xll.qwSecVal($A$1,F245,"Price")*(_xll.qwSettle($A$1,F245)-_xll.qwSettle($A$4,F245))/360)*_xll.qwMVFactor($A$1,F245)*_xll.qwFXRate($A$1,F245)*I245,0)</f>
        <v>132997.52430500655</v>
      </c>
      <c r="AD245" s="6"/>
    </row>
    <row r="246" spans="2:30" s="19" customFormat="1" x14ac:dyDescent="0.35">
      <c r="B246" s="19" t="str">
        <v>jcleary</v>
      </c>
      <c r="C246" s="19" t="str">
        <v>PPA</v>
      </c>
      <c r="D246" s="19" t="str">
        <v>jcleary|PPA|RV_US_FV_Spread|91282CRQ6</v>
      </c>
      <c r="E246" s="19" t="str">
        <v>RV_US_FV_Spread</v>
      </c>
      <c r="F246" s="19" t="str">
        <v>91282CRQ6</v>
      </c>
      <c r="G246" s="19">
        <v>582.4</v>
      </c>
      <c r="H246" s="19">
        <v>0</v>
      </c>
      <c r="I246" s="19">
        <v>582.4</v>
      </c>
      <c r="J246" s="19">
        <v>0</v>
      </c>
      <c r="K246" s="19">
        <v>0</v>
      </c>
      <c r="L246" s="19">
        <v>0</v>
      </c>
      <c r="M246" s="19">
        <v>0</v>
      </c>
      <c r="N246" s="19" t="str">
        <v>Bond</v>
      </c>
      <c r="O246" s="6" cm="1">
        <f t="array" ref="O246">(_xll.qwPrice($A$1,F246)-_xll.qwPrice($A$4,F246))*_xll.qwMVFactor($A$1,F246)*I246*_xll.qwFXRate($A$1,F246)</f>
        <v>90999.999999668944</v>
      </c>
      <c r="P246" s="6" cm="1">
        <f t="array" ref="P246">IF(ISNUMBER(_xll.qwDV01($A$1,F246)*I246*_xll.qwMVFactor($A$1,F246)*_xll.qwFXRate($A$1,F246)),_xll.qwDV01($A$1,F246)*I246*_xll.qwMVFactor($A$1,F246)*_xll.qwFXRate($A$1,F246),0)</f>
        <v>160542.00023063459</v>
      </c>
      <c r="Q246" s="6" cm="1">
        <f t="array" ref="Q246">IF(ISNUMBER(_xll.qwDV01($A$1,F246)*G246*_xll.qwMVFactor($A$1,F246)*_xll.qwFXRate($A$1,F246)),_xll.qwDV01($A$1,F246)*G246*_xll.qwMVFactor($A$1,F246)*_xll.qwFXRate($A$1,F246),0)</f>
        <v>160542.00023063459</v>
      </c>
      <c r="R246" s="6" cm="1">
        <f t="array" ref="R246">IF(ISNUMBER(_xll.qwDV01($A$1,F246)*J246*_xll.qwMVFactor($A$1,F246)*_xll.qwFXRate($A$1,F246)),_xll.qwDV01($A$1,F246)*J246*_xll.qwMVFactor($A$1,F246)*_xll.qwFXRate($A$1,F246),0)</f>
        <v>0</v>
      </c>
      <c r="S246" s="6" cm="1">
        <f t="array" ref="S246">IF(ISNUMBER(_xll.qwDV01($A$1,F246)*J246*_xll.qwMVFactor($A$1,F246)*_xll.qwFXRate($A$1,F246)),_xll.qwDV01($A$1,F246)*J246*_xll.qwMVFactor($A$1,F246)*_xll.qwFXRate($A$1,F246),0)</f>
        <v>0</v>
      </c>
      <c r="T246" s="6" cm="1">
        <f t="array" ref="T246">_xll.qwFXRate($A$1,F246)*J246*(_xll.qwPrice($A$1,F246)-M246)*_xll.qwMVFactor($A$1,F246)+L246</f>
        <v>0</v>
      </c>
      <c r="U246" s="8" cm="1">
        <f t="array" ref="U246">_xll.qwYield($A$1,F246)</f>
        <v>4.9104058727015398E-2</v>
      </c>
      <c r="V246" s="8" cm="1">
        <f t="array" ref="V246">100*(_xll.qwYield($A$4,F246)-U246)</f>
        <v>5.6688361412600419E-3</v>
      </c>
      <c r="W246" s="6">
        <f>IF(ISNA(G246*INDEX(_xll.qwTblData(_xll.qwCurveScenariosPerSecurity($A$1,F246,"Crv210")),2,2)),0,(G246*INDEX(_xll.qwTblData(_xll.qwCurveScenariosPerSecurity($A$1,F246,"Crv210")),2,2)))</f>
        <v>60129.755259071317</v>
      </c>
      <c r="X246" s="6" cm="1">
        <f t="array" ref="X246">ABS(Q246/_xll.qwMV01($A$1,"CT10"))</f>
        <v>216.12020214078231</v>
      </c>
      <c r="Y246" s="6" cm="1">
        <f t="array" ref="Y246">IF(N246="BondFuture",-(_xll.qwCurveYield($A$1,_xll.qwSecVal($A$1,AA246,"CreditCurveName()"),AA246)-_xll.qwCurveYield($A$4,_xll.qwSecVal($A$4,AA246,"CreditCurveName()"),AA246))*P246*10000,IF(N246="Bond",-(_xll.qwCurveYield($A$1,_xll.qwSecVal($A$1,F246,"CreditCurveName()"),F246)-_xll.qwCurveYield($A$4,_xll.qwSecVal($A$4,F246,"CreditCurveName()"),F246))*P246*10000,O246))</f>
        <v>92285.835028934933</v>
      </c>
      <c r="Z246" s="6" cm="1">
        <f t="array" ref="Z246">IF(OR(N246="BondFuture",N246="Bond"),P246*(_xll.qwCurveZSpread($A$4,_xll.qwSecVal($A$1,AA246,"CreditCurveName()"),AA246)-_xll.qwCurveZSpread($A$1,_xll.qwSecVal($A$1,AA246,"CreditCurveName()"),AA246)),0)</f>
        <v>-1277.2057191750023</v>
      </c>
      <c r="AA246" s="9" t="str" cm="1">
        <f t="array" ref="AA246">IF(_xll.qwSecType(F246)="Bond",F246,IF(_xll.qwSecType(F246)="BondFuture",_xll.qwFutCTD($A$1,F246),0))</f>
        <v>91282CRQ6</v>
      </c>
      <c r="AB246" s="6" cm="1">
        <f t="array" ref="AB246">IF(_xll.qwSecType(F246)="BondFuture",-(I246*_xll.qwDelta($A$4,F246)*_xll.qwMVFactor($A$1,F246)/_xll.qwMVFactor($A$1,_xll.qwFutCTD($A$1,F246)))*(_xll.qwFXRate($A$1,F246)*_xll.qwMVFactor($A$1,_xll.qwFutCTD($A$1,F246))*(_xll.qwIncome($A$4,_xll.qwFutCTD($A$4,F246),_xll.qwBondSettle($A$4,_xll.qwFutCTD($A$4,F246)),_xll.qwBondSettle($A$1,_xll.qwFutCTD($A$1,F246)))+(_xll.qwSecVal($A$1,AA246,"Price")-_xll.qwSecVal($A$4,AA246,"Price"))-_xll.qwBondRepoFromTo($A$1,AA246,_xll.qwBondSettle($A$4,AA246),_xll.qwBondSettle($A$1,AA246))*_xll.qwSecVal($A$1,AA246,"Price")*(_xll.qwBondSettle($A$1,AA246)-_xll.qwBondSettle($A$4,AA246))/360))+O246,0)</f>
        <v>0</v>
      </c>
      <c r="AC246" s="9" cm="1">
        <f t="array" ref="AC246">O246+T246+IF(ISNUMBER(_xll.qwIncome($A$1,F246,_xll.qwSettle($A$4,F246),_xll.qwSettle($A$1,F246))*_xll.qwMVFactor($A$1,F246)*_xll.qwFXRate($A$1,F246)*I246),_xll.qwIncome($A$1,F246,_xll.qwSettle($A$4,F246),_xll.qwSettle($A$1,F246))*_xll.qwMVFactor($A$1,F246)*_xll.qwFXRate($A$1,F246)*I246,0)+IF(ISNUMBER(-(_xll.qwBondRepoFromTo($A$1,F246,_xll.qwSettle($A$4,F246),_xll.qwSettle($A$1,F246))*_xll.qwSecVal($A$1,F246,"Price")*(_xll.qwSettle($A$1,F246)-_xll.qwSettle($A$4,F246))/360)*_xll.qwMVFactor($A$1,F246)*_xll.qwFXRate($A$1,F246)*I246),-(_xll.qwBondRepoFromTo($A$1,F246,_xll.qwSettle($A$4,F246),_xll.qwSettle($A$1,F246))*_xll.qwSecVal($A$1,F246,"Price")*(_xll.qwSettle($A$1,F246)-_xll.qwSettle($A$4,F246))/360)*_xll.qwMVFactor($A$1,F246)*_xll.qwFXRate($A$1,F246)*I246,0)</f>
        <v>90999.999999668944</v>
      </c>
      <c r="AD246" s="6"/>
    </row>
    <row r="247" spans="2:30" s="19" customFormat="1" x14ac:dyDescent="0.35">
      <c r="B247" s="19" t="str">
        <v>jcleary</v>
      </c>
      <c r="C247" s="19" t="str">
        <v>PPA</v>
      </c>
      <c r="D247" s="19" t="str">
        <v>jcleary|PPA|RV_US_FV_Spread|FVZ6</v>
      </c>
      <c r="E247" s="19" t="str">
        <v>RV_US_FV_Spread</v>
      </c>
      <c r="F247" s="19" t="str">
        <v>FVZ6</v>
      </c>
      <c r="G247" s="19">
        <v>-11473</v>
      </c>
      <c r="H247" s="19">
        <v>0</v>
      </c>
      <c r="I247" s="19">
        <v>-11473</v>
      </c>
      <c r="J247" s="19">
        <v>0</v>
      </c>
      <c r="K247" s="19">
        <v>0</v>
      </c>
      <c r="L247" s="19">
        <v>0</v>
      </c>
      <c r="M247" s="19">
        <v>0</v>
      </c>
      <c r="N247" s="19" t="str">
        <v>BondFuture</v>
      </c>
      <c r="O247" s="6" cm="1">
        <f t="array" ref="O247">(_xll.qwPrice($A$1,F247)-_xll.qwPrice($A$4,F247))*_xll.qwMVFactor($A$1,F247)*I247*_xll.qwFXRate($A$1,F247)</f>
        <v>-627435.42399998556</v>
      </c>
      <c r="P247" s="6" cm="1">
        <f t="array" ref="P247">IF(ISNUMBER(_xll.qwDV01($A$1,F247)*I247*_xll.qwMVFactor($A$1,F247)*_xll.qwFXRate($A$1,F247)),_xll.qwDV01($A$1,F247)*I247*_xll.qwMVFactor($A$1,F247)*_xll.qwFXRate($A$1,F247),0)</f>
        <v>-478607.15888084681</v>
      </c>
      <c r="Q247" s="6" cm="1">
        <f t="array" ref="Q247">IF(ISNUMBER(_xll.qwDV01($A$1,F247)*G247*_xll.qwMVFactor($A$1,F247)*_xll.qwFXRate($A$1,F247)),_xll.qwDV01($A$1,F247)*G247*_xll.qwMVFactor($A$1,F247)*_xll.qwFXRate($A$1,F247),0)</f>
        <v>-478607.15888084681</v>
      </c>
      <c r="R247" s="6" cm="1">
        <f t="array" ref="R247">IF(ISNUMBER(_xll.qwDV01($A$1,F247)*J247*_xll.qwMVFactor($A$1,F247)*_xll.qwFXRate($A$1,F247)),_xll.qwDV01($A$1,F247)*J247*_xll.qwMVFactor($A$1,F247)*_xll.qwFXRate($A$1,F247),0)</f>
        <v>0</v>
      </c>
      <c r="S247" s="6" cm="1">
        <f t="array" ref="S247">IF(ISNUMBER(_xll.qwDV01($A$1,F247)*J247*_xll.qwMVFactor($A$1,F247)*_xll.qwFXRate($A$1,F247)),_xll.qwDV01($A$1,F247)*J247*_xll.qwMVFactor($A$1,F247)*_xll.qwFXRate($A$1,F247),0)</f>
        <v>0</v>
      </c>
      <c r="T247" s="6" cm="1">
        <f t="array" ref="T247">_xll.qwFXRate($A$1,F247)*J247*(_xll.qwPrice($A$1,F247)-M247)*_xll.qwMVFactor($A$1,F247)+L247</f>
        <v>0</v>
      </c>
      <c r="U247" s="8" cm="1">
        <f t="array" ref="U247">_xll.qwYield($A$1,F247)</f>
        <v>4.9965388641448436E-2</v>
      </c>
      <c r="V247" s="8" cm="1">
        <f t="array" ref="V247">100*(_xll.qwYield($A$4,F247)-U247)</f>
        <v>1.0807603322507409E-2</v>
      </c>
      <c r="W247" s="6">
        <f>IF(ISNA(G247*INDEX(_xll.qwTblData(_xll.qwCurveScenariosPerSecurity($A$1,F247,"Crv210")),2,2)),0,(G247*INDEX(_xll.qwTblData(_xll.qwCurveScenariosPerSecurity($A$1,F247,"Crv210")),2,2)))</f>
        <v>-94601.665259854824</v>
      </c>
      <c r="X247" s="6" cm="1">
        <f t="array" ref="X247">ABS(Q247/_xll.qwMV01($A$1,"CT10"))</f>
        <v>644.29666862725662</v>
      </c>
      <c r="Y247" s="6" cm="1">
        <f t="array" ref="Y247">IF(N247="BondFuture",-(_xll.qwCurveYield($A$1,_xll.qwSecVal($A$1,AA247,"CreditCurveName()"),AA247)-_xll.qwCurveYield($A$4,_xll.qwSecVal($A$4,AA247,"CreditCurveName()"),AA247))*P247*10000,IF(N247="Bond",-(_xll.qwCurveYield($A$1,_xll.qwSecVal($A$1,F247,"CreditCurveName()"),F247)-_xll.qwCurveYield($A$4,_xll.qwSecVal($A$4,F247,"CreditCurveName()"),F247))*P247*10000,O247))</f>
        <v>-607549.79497110017</v>
      </c>
      <c r="Z247" s="6" cm="1">
        <f t="array" ref="Z247">IF(OR(N247="BondFuture",N247="Bond"),P247*(_xll.qwCurveZSpread($A$4,_xll.qwSecVal($A$1,AA247,"CreditCurveName()"),AA247)-_xll.qwCurveZSpread($A$1,_xll.qwSecVal($A$1,AA247,"CreditCurveName()"),AA247)),0)</f>
        <v>101013.98463132961</v>
      </c>
      <c r="AA247" s="9" t="str" cm="1">
        <f t="array" ref="AA247">IF(_xll.qwSecType(F247)="Bond",F247,IF(_xll.qwSecType(F247)="BondFuture",_xll.qwFutCTD($A$1,F247),0))</f>
        <v>91282CQD6</v>
      </c>
      <c r="AB247" s="6" cm="1">
        <f t="array" ref="AB247">IF(_xll.qwSecType(F247)="BondFuture",-(I247*_xll.qwDelta($A$4,F247)*_xll.qwMVFactor($A$1,F247)/_xll.qwMVFactor($A$1,_xll.qwFutCTD($A$1,F247)))*(_xll.qwFXRate($A$1,F247)*_xll.qwMVFactor($A$1,_xll.qwFutCTD($A$1,F247))*(_xll.qwIncome($A$4,_xll.qwFutCTD($A$4,F247),_xll.qwBondSettle($A$4,_xll.qwFutCTD($A$4,F247)),_xll.qwBondSettle($A$1,_xll.qwFutCTD($A$1,F247)))+(_xll.qwSecVal($A$1,AA247,"Price")-_xll.qwSecVal($A$4,AA247,"Price"))-_xll.qwBondRepoFromTo($A$1,AA247,_xll.qwBondSettle($A$4,AA247),_xll.qwBondSettle($A$1,AA247))*_xll.qwSecVal($A$1,AA247,"Price")*(_xll.qwBondSettle($A$1,AA247)-_xll.qwBondSettle($A$4,AA247))/360))+O247,0)</f>
        <v>-86971.419896984589</v>
      </c>
      <c r="AC247" s="9" cm="1">
        <f t="array" ref="AC247">O247+T247+IF(ISNUMBER(_xll.qwIncome($A$1,F247,_xll.qwSettle($A$4,F247),_xll.qwSettle($A$1,F247))*_xll.qwMVFactor($A$1,F247)*_xll.qwFXRate($A$1,F247)*I247),_xll.qwIncome($A$1,F247,_xll.qwSettle($A$4,F247),_xll.qwSettle($A$1,F247))*_xll.qwMVFactor($A$1,F247)*_xll.qwFXRate($A$1,F247)*I247,0)+IF(ISNUMBER(-(_xll.qwBondRepoFromTo($A$1,F247,_xll.qwSettle($A$4,F247),_xll.qwSettle($A$1,F247))*_xll.qwSecVal($A$1,F247,"Price")*(_xll.qwSettle($A$1,F247)-_xll.qwSettle($A$4,F247))/360)*_xll.qwMVFactor($A$1,F247)*_xll.qwFXRate($A$1,F247)*I247),-(_xll.qwBondRepoFromTo($A$1,F247,_xll.qwSettle($A$4,F247),_xll.qwSettle($A$1,F247))*_xll.qwSecVal($A$1,F247,"Price")*(_xll.qwSettle($A$1,F247)-_xll.qwSettle($A$4,F247))/360)*_xll.qwMVFactor($A$1,F247)*_xll.qwFXRate($A$1,F247)*I247,0)</f>
        <v>-627435.42399998556</v>
      </c>
      <c r="AD247" s="6"/>
    </row>
    <row r="248" spans="2:30" s="19" customFormat="1" hidden="1" x14ac:dyDescent="0.35">
      <c r="B248" s="19" t="str">
        <v>jcleary</v>
      </c>
      <c r="C248" s="19" t="str">
        <v>PPA</v>
      </c>
      <c r="D248" s="19" t="str">
        <v>jcleary|PPA|RV_US_FV_Spread|SERV6</v>
      </c>
      <c r="E248" s="19" t="str">
        <v>RV_US_FV_Spread</v>
      </c>
      <c r="F248" s="19" t="str">
        <v>SERV6</v>
      </c>
      <c r="G248" s="19">
        <v>-315</v>
      </c>
      <c r="H248" s="19">
        <v>0</v>
      </c>
      <c r="I248" s="19">
        <v>-315</v>
      </c>
      <c r="J248" s="19">
        <v>0</v>
      </c>
      <c r="K248" s="19">
        <v>0</v>
      </c>
      <c r="L248" s="19">
        <v>0</v>
      </c>
      <c r="M248" s="19">
        <v>0</v>
      </c>
      <c r="N248" s="19" t="str">
        <v>RateFuture</v>
      </c>
      <c r="O248" s="6" cm="1">
        <f t="array" ref="O248">(_xll.qwPrice($A$1,F248)-_xll.qwPrice($A$4,F248))*_xll.qwMVFactor($A$1,F248)*I248*_xll.qwFXRate($A$1,F248)</f>
        <v>3281.5124999970153</v>
      </c>
      <c r="P248" s="6" cm="1">
        <f t="array" ref="P248">IF(ISNUMBER(_xll.qwDV01($A$1,F248)*I248*_xll.qwMVFactor($A$1,F248)*_xll.qwFXRate($A$1,F248)),_xll.qwDV01($A$1,F248)*I248*_xll.qwMVFactor($A$1,F248)*_xll.qwFXRate($A$1,F248),0)</f>
        <v>-7198.1564516129029</v>
      </c>
      <c r="Q248" s="6" cm="1">
        <f t="array" ref="Q248">IF(ISNUMBER(_xll.qwDV01($A$1,F248)*G248*_xll.qwMVFactor($A$1,F248)*_xll.qwFXRate($A$1,F248)),_xll.qwDV01($A$1,F248)*G248*_xll.qwMVFactor($A$1,F248)*_xll.qwFXRate($A$1,F248),0)</f>
        <v>-7198.1564516129029</v>
      </c>
      <c r="R248" s="6" cm="1">
        <f t="array" ref="R248">IF(ISNUMBER(_xll.qwDV01($A$1,F248)*J248*_xll.qwMVFactor($A$1,F248)*_xll.qwFXRate($A$1,F248)),_xll.qwDV01($A$1,F248)*J248*_xll.qwMVFactor($A$1,F248)*_xll.qwFXRate($A$1,F248),0)</f>
        <v>0</v>
      </c>
      <c r="S248" s="6" cm="1">
        <f t="array" ref="S248">IF(ISNUMBER(_xll.qwDV01($A$1,F248)*J248*_xll.qwMVFactor($A$1,F248)*_xll.qwFXRate($A$1,F248)),_xll.qwDV01($A$1,F248)*J248*_xll.qwMVFactor($A$1,F248)*_xll.qwFXRate($A$1,F248),0)</f>
        <v>0</v>
      </c>
      <c r="T248" s="6" cm="1">
        <f t="array" ref="T248">_xll.qwFXRate($A$1,F248)*J248*(_xll.qwPrice($A$1,F248)-M248)*_xll.qwMVFactor($A$1,F248)</f>
        <v>0</v>
      </c>
      <c r="U248" s="8" cm="1">
        <f t="array" ref="U248">_xll.qwYield($A$1,F248)</f>
        <v>3.9119260558155323E-2</v>
      </c>
      <c r="V248" s="8" cm="1">
        <f t="array" ref="V248">100*(_xll.qwYield($A$4,F248)-U248)</f>
        <v>-8.1176879049328632E-3</v>
      </c>
      <c r="W248" s="6">
        <f>IF(ISNA(G248*INDEX(_xll.qwTblData(_xll.qwCurveScenariosPerSecurity($A$1,F248,"Crv210")),2,2)),0,(G248*INDEX(_xll.qwTblData(_xll.qwCurveScenariosPerSecurity($A$1,F248,"Crv210")),2,2)))</f>
        <v>-5172.4653680476276</v>
      </c>
      <c r="X248" s="6" cm="1">
        <f t="array" ref="X248">ABS(Q248/_xll.qwMV01($A$1,"CT10"))</f>
        <v>9.6900937145960935</v>
      </c>
      <c r="Y248" s="6" cm="1">
        <f t="array" ref="Y248">IF(N248="BondFuture",-(_xll.qwCurveYield($A$1,_xll.qwSecVal($A$1,AA248,"CreditCurveName()"),AA248)-_xll.qwCurveYield($A$4,_xll.qwSecVal($A$4,AA248,"CreditCurveName()"),AA248))*P248*10000,IF(N248="Bond",-(_xll.qwCurveYield($A$1,_xll.qwSecVal($A$1,F248,"CreditCurveName()"),F248)-_xll.qwCurveYield($A$4,_xll.qwSecVal($A$4,F248,"CreditCurveName()"),F248))*P248*10000,O248))</f>
        <v>3281.5124999970153</v>
      </c>
      <c r="Z248" s="6" cm="1">
        <f t="array" ref="Z248">IF(OR(N248="BondFuture",N248="Bond"),P248*(_xll.qwCurveZSpread($A$4,_xll.qwSecVal($A$1,AA248,"CreditCurveName()"),AA248)-_xll.qwCurveZSpread($A$1,_xll.qwSecVal($A$1,AA248,"CreditCurveName()"),AA248)),0)</f>
        <v>0</v>
      </c>
      <c r="AA248" s="9" cm="1">
        <f t="array" ref="AA248">IF(_xll.qwSecType(F248)="Bond",F248,IF(_xll.qwSecType(F248)="BondFuture",_xll.qwFutCTD($A$1,F248),0))</f>
        <v>0</v>
      </c>
      <c r="AB248" s="6" cm="1">
        <f t="array" ref="AB248">IF(_xll.qwSecType(F248)="BondFuture",-(I248*_xll.qwDelta($A$4,F248)*_xll.qwMVFactor($A$1,F248)/_xll.qwMVFactor($A$1,_xll.qwFutCTD($A$1,F248)))*(_xll.qwFXRate($A$1,F248)*_xll.qwMVFactor($A$1,_xll.qwFutCTD($A$1,F248))*(_xll.qwIncome($A$4,_xll.qwFutCTD($A$4,F248),_xll.qwBondSettle($A$4,_xll.qwFutCTD($A$4,F248)),_xll.qwBondSettle($A$1,_xll.qwFutCTD($A$1,F248)))+(_xll.qwSecVal($A$1,AA248,"Price")-_xll.qwSecVal($A$4,AA248,"Price"))-_xll.qwBondRepoFromTo($A$1,AA248,_xll.qwBondSettle($A$4,AA248),_xll.qwBondSettle($A$1,AA248))*_xll.qwSecVal($A$1,AA248,"Price")*(_xll.qwBondSettle($A$1,AA248)-_xll.qwBondSettle($A$4,AA248))/360))+O248,0)</f>
        <v>0</v>
      </c>
      <c r="AC248" s="9" cm="1">
        <f t="array" ref="AC248">O248+T248+IF(ISNUMBER(_xll.qwIncome($A$1,F248,_xll.qwSettle($A$4,F248),_xll.qwSettle($A$1,F248))*_xll.qwMVFactor($A$1,F248)*_xll.qwFXRate($A$1,F248)*I248),_xll.qwIncome($A$1,F248,_xll.qwSettle($A$4,F248),_xll.qwSettle($A$1,F248))*_xll.qwMVFactor($A$1,F248)*_xll.qwFXRate($A$1,F248)*I248,0)+IF(ISNUMBER(-(_xll.qwBondRepoFromTo($A$1,F248,_xll.qwSettle($A$4,F248),_xll.qwSettle($A$1,F248))*_xll.qwSecVal($A$1,F248,"Price")*(_xll.qwSettle($A$1,F248)-_xll.qwSettle($A$4,F248))/360)*_xll.qwMVFactor($A$1,F248)*_xll.qwFXRate($A$1,F248)*I248),-(_xll.qwBondRepoFromTo($A$1,F248,_xll.qwSettle($A$4,F248),_xll.qwSettle($A$1,F248))*_xll.qwSecVal($A$1,F248,"Price")*(_xll.qwSettle($A$1,F248)-_xll.qwSettle($A$4,F248))/360)*_xll.qwMVFactor($A$1,F248)*_xll.qwFXRate($A$1,F248)*I248,0)</f>
        <v>3281.5124999970153</v>
      </c>
      <c r="AD248" s="6"/>
    </row>
    <row r="249" spans="2:30" s="19" customFormat="1" hidden="1" x14ac:dyDescent="0.35">
      <c r="B249" s="19" t="str">
        <v>jcleary</v>
      </c>
      <c r="C249" s="19" t="str">
        <v>PPA</v>
      </c>
      <c r="D249" s="19" t="str">
        <v>jcleary|PPA|RV_US_FV_Spread|SERX6</v>
      </c>
      <c r="E249" s="19" t="str">
        <v>RV_US_FV_Spread</v>
      </c>
      <c r="F249" s="19" t="str">
        <v>SERX6</v>
      </c>
      <c r="G249" s="19">
        <v>-235</v>
      </c>
      <c r="H249" s="19">
        <v>0</v>
      </c>
      <c r="I249" s="19">
        <v>-235</v>
      </c>
      <c r="J249" s="19">
        <v>0</v>
      </c>
      <c r="K249" s="19">
        <v>0</v>
      </c>
      <c r="L249" s="19">
        <v>0</v>
      </c>
      <c r="M249" s="19">
        <v>0</v>
      </c>
      <c r="N249" s="19" t="str">
        <v>RateFuture</v>
      </c>
      <c r="O249" s="6" cm="1">
        <f t="array" ref="O249">(_xll.qwPrice($A$1,F249)-_xll.qwPrice($A$4,F249))*_xll.qwMVFactor($A$1,F249)*I249*_xll.qwFXRate($A$1,F249)</f>
        <v>29377.350000001112</v>
      </c>
      <c r="P249" s="6" cm="1">
        <f t="array" ref="P249">IF(ISNUMBER(_xll.qwDV01($A$1,F249)*I249*_xll.qwMVFactor($A$1,F249)*_xll.qwFXRate($A$1,F249)),_xll.qwDV01($A$1,F249)*I249*_xll.qwMVFactor($A$1,F249)*_xll.qwFXRate($A$1,F249),0)</f>
        <v>-9792.4500000000007</v>
      </c>
      <c r="Q249" s="6" cm="1">
        <f t="array" ref="Q249">IF(ISNUMBER(_xll.qwDV01($A$1,F249)*G249*_xll.qwMVFactor($A$1,F249)*_xll.qwFXRate($A$1,F249)),_xll.qwDV01($A$1,F249)*G249*_xll.qwMVFactor($A$1,F249)*_xll.qwFXRate($A$1,F249),0)</f>
        <v>-9792.4500000000007</v>
      </c>
      <c r="R249" s="6" cm="1">
        <f t="array" ref="R249">IF(ISNUMBER(_xll.qwDV01($A$1,F249)*J249*_xll.qwMVFactor($A$1,F249)*_xll.qwFXRate($A$1,F249)),_xll.qwDV01($A$1,F249)*J249*_xll.qwMVFactor($A$1,F249)*_xll.qwFXRate($A$1,F249),0)</f>
        <v>0</v>
      </c>
      <c r="S249" s="6" cm="1">
        <f t="array" ref="S249">IF(ISNUMBER(_xll.qwDV01($A$1,F249)*J249*_xll.qwMVFactor($A$1,F249)*_xll.qwFXRate($A$1,F249)),_xll.qwDV01($A$1,F249)*J249*_xll.qwMVFactor($A$1,F249)*_xll.qwFXRate($A$1,F249),0)</f>
        <v>0</v>
      </c>
      <c r="T249" s="6" cm="1">
        <f t="array" ref="T249">_xll.qwFXRate($A$1,F249)*J249*(_xll.qwPrice($A$1,F249)-M249)*_xll.qwMVFactor($A$1,F249)</f>
        <v>0</v>
      </c>
      <c r="U249" s="8" cm="1">
        <f t="array" ref="U249">_xll.qwYield($A$1,F249)</f>
        <v>3.9863867494098315E-2</v>
      </c>
      <c r="V249" s="8" cm="1">
        <f t="array" ref="V249">100*(_xll.qwYield($A$4,F249)-U249)</f>
        <v>-3.0095968735022183E-2</v>
      </c>
      <c r="W249" s="6">
        <f>IF(ISNA(G249*INDEX(_xll.qwTblData(_xll.qwCurveScenariosPerSecurity($A$1,F249,"Crv210")),2,2)),0,(G249*INDEX(_xll.qwTblData(_xll.qwCurveScenariosPerSecurity($A$1,F249,"Crv210")),2,2)))</f>
        <v>-7023.1393180541863</v>
      </c>
      <c r="X249" s="6" cm="1">
        <f t="array" ref="X249">ABS(Q249/_xll.qwMV01($A$1,"CT10"))</f>
        <v>13.182508442732503</v>
      </c>
      <c r="Y249" s="6" cm="1">
        <f t="array" ref="Y249">IF(N249="BondFuture",-(_xll.qwCurveYield($A$1,_xll.qwSecVal($A$1,AA249,"CreditCurveName()"),AA249)-_xll.qwCurveYield($A$4,_xll.qwSecVal($A$4,AA249,"CreditCurveName()"),AA249))*P249*10000,IF(N249="Bond",-(_xll.qwCurveYield($A$1,_xll.qwSecVal($A$1,F249,"CreditCurveName()"),F249)-_xll.qwCurveYield($A$4,_xll.qwSecVal($A$4,F249,"CreditCurveName()"),F249))*P249*10000,O249))</f>
        <v>29377.350000001112</v>
      </c>
      <c r="Z249" s="6" cm="1">
        <f t="array" ref="Z249">IF(OR(N249="BondFuture",N249="Bond"),P249*(_xll.qwCurveZSpread($A$4,_xll.qwSecVal($A$1,AA249,"CreditCurveName()"),AA249)-_xll.qwCurveZSpread($A$1,_xll.qwSecVal($A$1,AA249,"CreditCurveName()"),AA249)),0)</f>
        <v>0</v>
      </c>
      <c r="AA249" s="9" cm="1">
        <f t="array" ref="AA249">IF(_xll.qwSecType(F249)="Bond",F249,IF(_xll.qwSecType(F249)="BondFuture",_xll.qwFutCTD($A$1,F249),0))</f>
        <v>0</v>
      </c>
      <c r="AB249" s="6" cm="1">
        <f t="array" ref="AB249">IF(_xll.qwSecType(F249)="BondFuture",-(I249*_xll.qwDelta($A$4,F249)*_xll.qwMVFactor($A$1,F249)/_xll.qwMVFactor($A$1,_xll.qwFutCTD($A$1,F249)))*(_xll.qwFXRate($A$1,F249)*_xll.qwMVFactor($A$1,_xll.qwFutCTD($A$1,F249))*(_xll.qwIncome($A$4,_xll.qwFutCTD($A$4,F249),_xll.qwBondSettle($A$4,_xll.qwFutCTD($A$4,F249)),_xll.qwBondSettle($A$1,_xll.qwFutCTD($A$1,F249)))+(_xll.qwSecVal($A$1,AA249,"Price")-_xll.qwSecVal($A$4,AA249,"Price"))-_xll.qwBondRepoFromTo($A$1,AA249,_xll.qwBondSettle($A$4,AA249),_xll.qwBondSettle($A$1,AA249))*_xll.qwSecVal($A$1,AA249,"Price")*(_xll.qwBondSettle($A$1,AA249)-_xll.qwBondSettle($A$4,AA249))/360))+O249,0)</f>
        <v>0</v>
      </c>
      <c r="AC249" s="9" cm="1">
        <f t="array" ref="AC249">O249+T249+IF(ISNUMBER(_xll.qwIncome($A$1,F249,_xll.qwSettle($A$4,F249),_xll.qwSettle($A$1,F249))*_xll.qwMVFactor($A$1,F249)*_xll.qwFXRate($A$1,F249)*I249),_xll.qwIncome($A$1,F249,_xll.qwSettle($A$4,F249),_xll.qwSettle($A$1,F249))*_xll.qwMVFactor($A$1,F249)*_xll.qwFXRate($A$1,F249)*I249,0)+IF(ISNUMBER(-(_xll.qwBondRepoFromTo($A$1,F249,_xll.qwSettle($A$4,F249),_xll.qwSettle($A$1,F249))*_xll.qwSecVal($A$1,F249,"Price")*(_xll.qwSettle($A$1,F249)-_xll.qwSettle($A$4,F249))/360)*_xll.qwMVFactor($A$1,F249)*_xll.qwFXRate($A$1,F249)*I249),-(_xll.qwBondRepoFromTo($A$1,F249,_xll.qwSettle($A$4,F249),_xll.qwSettle($A$1,F249))*_xll.qwSecVal($A$1,F249,"Price")*(_xll.qwSettle($A$1,F249)-_xll.qwSettle($A$4,F249))/360)*_xll.qwMVFactor($A$1,F249)*_xll.qwFXRate($A$1,F249)*I249,0)</f>
        <v>29377.350000001112</v>
      </c>
      <c r="AD249" s="6"/>
    </row>
    <row r="250" spans="2:30" s="19" customFormat="1" x14ac:dyDescent="0.35">
      <c r="B250" s="19" t="str">
        <v>jcleary</v>
      </c>
      <c r="C250" s="19" t="str">
        <v>PPA</v>
      </c>
      <c r="D250" s="19" t="str">
        <v>jcleary|PPA|RV_US_SpreadCurve_SpreadCurve|254654557</v>
      </c>
      <c r="E250" s="19" t="str">
        <v>RV_US_SpreadCurve_SpreadCurve</v>
      </c>
      <c r="F250" s="19" t="str">
        <v>254654557</v>
      </c>
      <c r="G250" s="19">
        <v>5.6843418860808015E-14</v>
      </c>
      <c r="H250" s="19">
        <v>0</v>
      </c>
      <c r="I250" s="19">
        <v>204.1</v>
      </c>
      <c r="J250" s="19">
        <v>-204.09999999999994</v>
      </c>
      <c r="K250" s="19">
        <v>0</v>
      </c>
      <c r="L250" s="19">
        <v>0</v>
      </c>
      <c r="M250" s="19">
        <v>0</v>
      </c>
      <c r="N250" s="19" t="str">
        <v>SwapTrade</v>
      </c>
      <c r="O250" s="6" cm="1">
        <f t="array" ref="O250">(_xll.qwPrice($A$1,F250)-_xll.qwPrice($A$4,F250))*_xll.qwMVFactor($A$1,F250)*I250*_xll.qwFXRate($A$1,F250)</f>
        <v>-28005.997463278643</v>
      </c>
      <c r="P250" s="6" cm="1">
        <f t="array" ref="P250">IF(ISNUMBER(_xll.qwDV01($A$1,F250)*I250*_xll.qwMVFactor($A$1,F250)*_xll.qwFXRate($A$1,F250)),_xll.qwDV01($A$1,F250)*I250*_xll.qwMVFactor($A$1,F250)*_xll.qwFXRate($A$1,F250),0)</f>
        <v>-56757.921596534899</v>
      </c>
      <c r="Q250" s="6" cm="1">
        <f t="array" ref="Q250">IF(ISNUMBER(_xll.qwDV01($A$1,F250)*G250*_xll.qwMVFactor($A$1,F250)*_xll.qwFXRate($A$1,F250)),_xll.qwDV01($A$1,F250)*G250*_xll.qwMVFactor($A$1,F250)*_xll.qwFXRate($A$1,F250),0)</f>
        <v>-1.5807517447235347E-11</v>
      </c>
      <c r="R250" s="6" cm="1">
        <f t="array" ref="R250">IF(ISNUMBER(_xll.qwDV01($A$1,F250)*J250*_xll.qwMVFactor($A$1,F250)*_xll.qwFXRate($A$1,F250)),_xll.qwDV01($A$1,F250)*J250*_xll.qwMVFactor($A$1,F250)*_xll.qwFXRate($A$1,F250),0)</f>
        <v>56757.921596534885</v>
      </c>
      <c r="S250" s="6" cm="1">
        <f t="array" ref="S250">IF(ISNUMBER(_xll.qwDV01($A$1,F250)*J250*_xll.qwMVFactor($A$1,F250)*_xll.qwFXRate($A$1,F250)),_xll.qwDV01($A$1,F250)*J250*_xll.qwMVFactor($A$1,F250)*_xll.qwFXRate($A$1,F250),0)</f>
        <v>56757.921596534885</v>
      </c>
      <c r="T250" s="6" cm="1">
        <f t="array" ref="T250">_xll.qwFXRate($A$1,F250)*J250*(_xll.qwPrice($A$1,F250)-M250)*_xll.qwMVFactor($A$1,F250)+L250</f>
        <v>-95931.026486258139</v>
      </c>
      <c r="U250" s="8" cm="1">
        <f t="array" ref="U250">_xll.qwYield($A$1,F250)</f>
        <v>4.6975199025290057E-2</v>
      </c>
      <c r="V250" s="8" cm="1">
        <f t="array" ref="V250">100*(_xll.qwYield($A$4,F250)-U250)</f>
        <v>8.8300974666555287E-3</v>
      </c>
      <c r="W250" s="6">
        <f>IF(ISNA(G250*INDEX(_xll.qwTblData(_xll.qwCurveScenariosPerSecurity($A$1,F250,"Crv210")),2,2)),0,(G250*INDEX(_xll.qwTblData(_xll.qwCurveScenariosPerSecurity($A$1,F250,"Crv210")),2,2)))</f>
        <v>-5.9574698153044621E-12</v>
      </c>
      <c r="X250" s="6" cm="1">
        <f t="array" ref="X250">ABS(Q250/_xll.qwMV01($A$1,"CT10"))</f>
        <v>2.1279938340948514E-14</v>
      </c>
      <c r="Y250" s="6" cm="1">
        <f t="array" ref="Y250">IF(N250="BondFuture",-(_xll.qwCurveYield($A$1,_xll.qwSecVal($A$1,AA250,"CreditCurveName()"),AA250)-_xll.qwCurveYield($A$4,_xll.qwSecVal($A$4,AA250,"CreditCurveName()"),AA250))*P250*10000,IF(N250="Bond",-(_xll.qwCurveYield($A$1,_xll.qwSecVal($A$1,F250,"CreditCurveName()"),F250)-_xll.qwCurveYield($A$4,_xll.qwSecVal($A$4,F250,"CreditCurveName()"),F250))*P250*10000,O250))</f>
        <v>-28005.997463278643</v>
      </c>
      <c r="Z250" s="6" cm="1">
        <f t="array" ref="Z250">IF(OR(N250="BondFuture",N250="Bond"),P250*(_xll.qwCurveZSpread($A$4,_xll.qwSecVal($A$1,AA250,"CreditCurveName()"),AA250)-_xll.qwCurveZSpread($A$1,_xll.qwSecVal($A$1,AA250,"CreditCurveName()"),AA250)),0)</f>
        <v>0</v>
      </c>
      <c r="AA250" s="9" cm="1">
        <f t="array" ref="AA250">IF(_xll.qwSecType(F250)="Bond",F250,IF(_xll.qwSecType(F250)="BondFuture",_xll.qwFutCTD($A$1,F250),0))</f>
        <v>0</v>
      </c>
      <c r="AB250" s="6" cm="1">
        <f t="array" ref="AB250">IF(_xll.qwSecType(F250)="BondFuture",-(I250*_xll.qwDelta($A$4,F250)*_xll.qwMVFactor($A$1,F250)/_xll.qwMVFactor($A$1,_xll.qwFutCTD($A$1,F250)))*(_xll.qwFXRate($A$1,F250)*_xll.qwMVFactor($A$1,_xll.qwFutCTD($A$1,F250))*(_xll.qwIncome($A$4,_xll.qwFutCTD($A$4,F250),_xll.qwBondSettle($A$4,_xll.qwFutCTD($A$4,F250)),_xll.qwBondSettle($A$1,_xll.qwFutCTD($A$1,F250)))+(_xll.qwSecVal($A$1,AA250,"Price")-_xll.qwSecVal($A$4,AA250,"Price"))-_xll.qwBondRepoFromTo($A$1,AA250,_xll.qwBondSettle($A$4,AA250),_xll.qwBondSettle($A$1,AA250))*_xll.qwSecVal($A$1,AA250,"Price")*(_xll.qwBondSettle($A$1,AA250)-_xll.qwBondSettle($A$4,AA250))/360))+O250,0)</f>
        <v>0</v>
      </c>
      <c r="AC250" s="9" cm="1">
        <f t="array" ref="AC250">O250+T250+IF(ISNUMBER(_xll.qwIncome($A$1,F250,_xll.qwSettle($A$4,F250),_xll.qwSettle($A$1,F250))*_xll.qwMVFactor($A$1,F250)*_xll.qwFXRate($A$1,F250)*I250),_xll.qwIncome($A$1,F250,_xll.qwSettle($A$4,F250),_xll.qwSettle($A$1,F250))*_xll.qwMVFactor($A$1,F250)*_xll.qwFXRate($A$1,F250)*I250,0)+IF(ISNUMBER(-(_xll.qwBondRepoFromTo($A$1,F250,_xll.qwSettle($A$4,F250),_xll.qwSettle($A$1,F250))*_xll.qwSecVal($A$1,F250,"Price")*(_xll.qwSettle($A$1,F250)-_xll.qwSettle($A$4,F250))/360)*_xll.qwMVFactor($A$1,F250)*_xll.qwFXRate($A$1,F250)*I250),-(_xll.qwBondRepoFromTo($A$1,F250,_xll.qwSettle($A$4,F250),_xll.qwSettle($A$1,F250))*_xll.qwSecVal($A$1,F250,"Price")*(_xll.qwSettle($A$1,F250)-_xll.qwSettle($A$4,F250))/360)*_xll.qwMVFactor($A$1,F250)*_xll.qwFXRate($A$1,F250)*I250,0)</f>
        <v>-123937.02394953679</v>
      </c>
      <c r="AD250" s="6"/>
    </row>
    <row r="251" spans="2:30" s="19" customFormat="1" x14ac:dyDescent="0.35">
      <c r="B251" s="19" t="str">
        <v>jcleary</v>
      </c>
      <c r="C251" s="19" t="str">
        <v>PPA</v>
      </c>
      <c r="D251" s="19" t="str">
        <v>jcleary|PPA|RV_US_SpreadCurve_SpreadCurve|254654559</v>
      </c>
      <c r="E251" s="19" t="str">
        <v>RV_US_SpreadCurve_SpreadCurve</v>
      </c>
      <c r="F251" s="19" t="str">
        <v>254654559</v>
      </c>
      <c r="G251" s="19">
        <v>0</v>
      </c>
      <c r="H251" s="19">
        <v>0</v>
      </c>
      <c r="I251" s="19">
        <v>348.5</v>
      </c>
      <c r="J251" s="19">
        <v>-348.5</v>
      </c>
      <c r="K251" s="19">
        <v>-3.6059317073170699E-2</v>
      </c>
      <c r="L251" s="19">
        <v>0</v>
      </c>
      <c r="M251" s="19">
        <v>-3.6059317073170699E-2</v>
      </c>
      <c r="N251" s="19" t="str">
        <v>SwapTrade</v>
      </c>
      <c r="O251" s="6" cm="1">
        <f t="array" ref="O251">(_xll.qwPrice($A$1,F251)-_xll.qwPrice($A$4,F251))*_xll.qwMVFactor($A$1,F251)*I251*_xll.qwFXRate($A$1,F251)</f>
        <v>-23617.12147585813</v>
      </c>
      <c r="P251" s="6" cm="1">
        <f t="array" ref="P251">IF(ISNUMBER(_xll.qwDV01($A$1,F251)*I251*_xll.qwMVFactor($A$1,F251)*_xll.qwFXRate($A$1,F251)),_xll.qwDV01($A$1,F251)*I251*_xll.qwMVFactor($A$1,F251)*_xll.qwFXRate($A$1,F251),0)</f>
        <v>57273.373090747264</v>
      </c>
      <c r="Q251" s="6" cm="1">
        <f t="array" ref="Q251">IF(ISNUMBER(_xll.qwDV01($A$1,F251)*G251*_xll.qwMVFactor($A$1,F251)*_xll.qwFXRate($A$1,F251)),_xll.qwDV01($A$1,F251)*G251*_xll.qwMVFactor($A$1,F251)*_xll.qwFXRate($A$1,F251),0)</f>
        <v>0</v>
      </c>
      <c r="R251" s="6" cm="1">
        <f t="array" ref="R251">IF(ISNUMBER(_xll.qwDV01($A$1,F251)*J251*_xll.qwMVFactor($A$1,F251)*_xll.qwFXRate($A$1,F251)),_xll.qwDV01($A$1,F251)*J251*_xll.qwMVFactor($A$1,F251)*_xll.qwFXRate($A$1,F251),0)</f>
        <v>-57273.373090747264</v>
      </c>
      <c r="S251" s="6" cm="1">
        <f t="array" ref="S251">IF(ISNUMBER(_xll.qwDV01($A$1,F251)*J251*_xll.qwMVFactor($A$1,F251)*_xll.qwFXRate($A$1,F251)),_xll.qwDV01($A$1,F251)*J251*_xll.qwMVFactor($A$1,F251)*_xll.qwFXRate($A$1,F251),0)</f>
        <v>-57273.373090747264</v>
      </c>
      <c r="T251" s="6" cm="1">
        <f t="array" ref="T251">_xll.qwFXRate($A$1,F251)*J251*(_xll.qwPrice($A$1,F251)-M251)*_xll.qwMVFactor($A$1,F251)+L251</f>
        <v>107300.37979146811</v>
      </c>
      <c r="U251" s="8" cm="1">
        <f t="array" ref="U251">_xll.qwYield($A$1,F251)</f>
        <v>4.7242797784342511E-2</v>
      </c>
      <c r="V251" s="8" cm="1">
        <f t="array" ref="V251">100*(_xll.qwYield($A$4,F251)-U251)</f>
        <v>-4.1242714084149812E-3</v>
      </c>
      <c r="W251" s="6">
        <f>IF(ISNA(G251*INDEX(_xll.qwTblData(_xll.qwCurveScenariosPerSecurity($A$1,F251,"Crv210")),2,2)),0,(G251*INDEX(_xll.qwTblData(_xll.qwCurveScenariosPerSecurity($A$1,F251,"Crv210")),2,2)))</f>
        <v>0</v>
      </c>
      <c r="X251" s="6" cm="1">
        <f t="array" ref="X251">ABS(Q251/_xll.qwMV01($A$1,"CT10"))</f>
        <v>0</v>
      </c>
      <c r="Y251" s="6" cm="1">
        <f t="array" ref="Y251">IF(N251="BondFuture",-(_xll.qwCurveYield($A$1,_xll.qwSecVal($A$1,AA251,"CreditCurveName()"),AA251)-_xll.qwCurveYield($A$4,_xll.qwSecVal($A$4,AA251,"CreditCurveName()"),AA251))*P251*10000,IF(N251="Bond",-(_xll.qwCurveYield($A$1,_xll.qwSecVal($A$1,F251,"CreditCurveName()"),F251)-_xll.qwCurveYield($A$4,_xll.qwSecVal($A$4,F251,"CreditCurveName()"),F251))*P251*10000,O251))</f>
        <v>-23617.12147585813</v>
      </c>
      <c r="Z251" s="6" cm="1">
        <f t="array" ref="Z251">IF(OR(N251="BondFuture",N251="Bond"),P251*(_xll.qwCurveZSpread($A$4,_xll.qwSecVal($A$1,AA251,"CreditCurveName()"),AA251)-_xll.qwCurveZSpread($A$1,_xll.qwSecVal($A$1,AA251,"CreditCurveName()"),AA251)),0)</f>
        <v>0</v>
      </c>
      <c r="AA251" s="9" cm="1">
        <f t="array" ref="AA251">IF(_xll.qwSecType(F251)="Bond",F251,IF(_xll.qwSecType(F251)="BondFuture",_xll.qwFutCTD($A$1,F251),0))</f>
        <v>0</v>
      </c>
      <c r="AB251" s="6" cm="1">
        <f t="array" ref="AB251">IF(_xll.qwSecType(F251)="BondFuture",-(I251*_xll.qwDelta($A$4,F251)*_xll.qwMVFactor($A$1,F251)/_xll.qwMVFactor($A$1,_xll.qwFutCTD($A$1,F251)))*(_xll.qwFXRate($A$1,F251)*_xll.qwMVFactor($A$1,_xll.qwFutCTD($A$1,F251))*(_xll.qwIncome($A$4,_xll.qwFutCTD($A$4,F251),_xll.qwBondSettle($A$4,_xll.qwFutCTD($A$4,F251)),_xll.qwBondSettle($A$1,_xll.qwFutCTD($A$1,F251)))+(_xll.qwSecVal($A$1,AA251,"Price")-_xll.qwSecVal($A$4,AA251,"Price"))-_xll.qwBondRepoFromTo($A$1,AA251,_xll.qwBondSettle($A$4,AA251),_xll.qwBondSettle($A$1,AA251))*_xll.qwSecVal($A$1,AA251,"Price")*(_xll.qwBondSettle($A$1,AA251)-_xll.qwBondSettle($A$4,AA251))/360))+O251,0)</f>
        <v>0</v>
      </c>
      <c r="AC251" s="9" cm="1">
        <f t="array" ref="AC251">O251+T251+IF(ISNUMBER(_xll.qwIncome($A$1,F251,_xll.qwSettle($A$4,F251),_xll.qwSettle($A$1,F251))*_xll.qwMVFactor($A$1,F251)*_xll.qwFXRate($A$1,F251)*I251),_xll.qwIncome($A$1,F251,_xll.qwSettle($A$4,F251),_xll.qwSettle($A$1,F251))*_xll.qwMVFactor($A$1,F251)*_xll.qwFXRate($A$1,F251)*I251,0)+IF(ISNUMBER(-(_xll.qwBondRepoFromTo($A$1,F251,_xll.qwSettle($A$4,F251),_xll.qwSettle($A$1,F251))*_xll.qwSecVal($A$1,F251,"Price")*(_xll.qwSettle($A$1,F251)-_xll.qwSettle($A$4,F251))/360)*_xll.qwMVFactor($A$1,F251)*_xll.qwFXRate($A$1,F251)*I251),-(_xll.qwBondRepoFromTo($A$1,F251,_xll.qwSettle($A$4,F251),_xll.qwSettle($A$1,F251))*_xll.qwSecVal($A$1,F251,"Price")*(_xll.qwSettle($A$1,F251)-_xll.qwSettle($A$4,F251))/360)*_xll.qwMVFactor($A$1,F251)*_xll.qwFXRate($A$1,F251)*I251,0)</f>
        <v>83683.258315609972</v>
      </c>
      <c r="AD251" s="6"/>
    </row>
    <row r="252" spans="2:30" s="19" customFormat="1" x14ac:dyDescent="0.35">
      <c r="B252" s="19" t="str">
        <v>jcleary</v>
      </c>
      <c r="C252" s="19" t="str">
        <v>PPA</v>
      </c>
      <c r="D252" s="19" t="str">
        <v>jcleary|PPA|RV_US_SpreadCurve_SpreadCurve|91282CRQ6</v>
      </c>
      <c r="E252" s="19" t="str">
        <v>RV_US_SpreadCurve_SpreadCurve</v>
      </c>
      <c r="F252" s="19" t="str">
        <v>91282CRQ6</v>
      </c>
      <c r="G252" s="19">
        <v>0</v>
      </c>
      <c r="H252" s="19">
        <v>0</v>
      </c>
      <c r="I252" s="19">
        <v>206.7</v>
      </c>
      <c r="J252" s="19">
        <v>-206.7</v>
      </c>
      <c r="K252" s="19">
        <v>99.9375</v>
      </c>
      <c r="L252" s="19">
        <v>0</v>
      </c>
      <c r="M252" s="19">
        <v>99.9375</v>
      </c>
      <c r="N252" s="19" t="str">
        <v>Bond</v>
      </c>
      <c r="O252" s="6" cm="1">
        <f t="array" ref="O252">(_xll.qwPrice($A$1,F252)-_xll.qwPrice($A$4,F252))*_xll.qwMVFactor($A$1,F252)*I252*_xll.qwFXRate($A$1,F252)</f>
        <v>32296.874999882504</v>
      </c>
      <c r="P252" s="6" cm="1">
        <f t="array" ref="P252">IF(ISNUMBER(_xll.qwDV01($A$1,F252)*I252*_xll.qwMVFactor($A$1,F252)*_xll.qwFXRate($A$1,F252)),_xll.qwDV01($A$1,F252)*I252*_xll.qwMVFactor($A$1,F252)*_xll.qwFXRate($A$1,F252),0)</f>
        <v>56978.075974711828</v>
      </c>
      <c r="Q252" s="6" cm="1">
        <f t="array" ref="Q252">IF(ISNUMBER(_xll.qwDV01($A$1,F252)*G252*_xll.qwMVFactor($A$1,F252)*_xll.qwFXRate($A$1,F252)),_xll.qwDV01($A$1,F252)*G252*_xll.qwMVFactor($A$1,F252)*_xll.qwFXRate($A$1,F252),0)</f>
        <v>0</v>
      </c>
      <c r="R252" s="6" cm="1">
        <f t="array" ref="R252">IF(ISNUMBER(_xll.qwDV01($A$1,F252)*J252*_xll.qwMVFactor($A$1,F252)*_xll.qwFXRate($A$1,F252)),_xll.qwDV01($A$1,F252)*J252*_xll.qwMVFactor($A$1,F252)*_xll.qwFXRate($A$1,F252),0)</f>
        <v>-56978.075974711828</v>
      </c>
      <c r="S252" s="6" cm="1">
        <f t="array" ref="S252">IF(ISNUMBER(_xll.qwDV01($A$1,F252)*J252*_xll.qwMVFactor($A$1,F252)*_xll.qwFXRate($A$1,F252)),_xll.qwDV01($A$1,F252)*J252*_xll.qwMVFactor($A$1,F252)*_xll.qwFXRate($A$1,F252),0)</f>
        <v>-56978.075974711828</v>
      </c>
      <c r="T252" s="6" cm="1">
        <f t="array" ref="T252">_xll.qwFXRate($A$1,F252)*J252*(_xll.qwPrice($A$1,F252)-M252)*_xll.qwMVFactor($A$1,F252)+L252</f>
        <v>72667.968750117492</v>
      </c>
      <c r="U252" s="8" cm="1">
        <f t="array" ref="U252">_xll.qwYield($A$1,F252)</f>
        <v>4.9104058727015398E-2</v>
      </c>
      <c r="V252" s="8" cm="1">
        <f t="array" ref="V252">100*(_xll.qwYield($A$4,F252)-U252)</f>
        <v>5.6688361412600419E-3</v>
      </c>
      <c r="W252" s="6">
        <f>IF(ISNA(G252*INDEX(_xll.qwTblData(_xll.qwCurveScenariosPerSecurity($A$1,F252,"Crv210")),2,2)),0,(G252*INDEX(_xll.qwTblData(_xll.qwCurveScenariosPerSecurity($A$1,F252,"Crv210")),2,2)))</f>
        <v>0</v>
      </c>
      <c r="X252" s="6" cm="1">
        <f t="array" ref="X252">ABS(Q252/_xll.qwMV01($A$1,"CT10"))</f>
        <v>0</v>
      </c>
      <c r="Y252" s="6" cm="1">
        <f t="array" ref="Y252">IF(N252="BondFuture",-(_xll.qwCurveYield($A$1,_xll.qwSecVal($A$1,AA252,"CreditCurveName()"),AA252)-_xll.qwCurveYield($A$4,_xll.qwSecVal($A$4,AA252,"CreditCurveName()"),AA252))*P252*10000,IF(N252="Bond",-(_xll.qwCurveYield($A$1,_xll.qwSecVal($A$1,F252,"CreditCurveName()"),F252)-_xll.qwCurveYield($A$4,_xll.qwSecVal($A$4,F252,"CreditCurveName()"),F252))*P252*10000,O252))</f>
        <v>32753.231628572888</v>
      </c>
      <c r="Z252" s="6" cm="1">
        <f t="array" ref="Z252">IF(OR(N252="BondFuture",N252="Bond"),P252*(_xll.qwCurveZSpread($A$4,_xll.qwSecVal($A$1,AA252,"CreditCurveName()"),AA252)-_xll.qwCurveZSpread($A$1,_xll.qwSecVal($A$1,AA252,"CreditCurveName()"),AA252)),0)</f>
        <v>-453.29399408219945</v>
      </c>
      <c r="AA252" s="9" t="str" cm="1">
        <f t="array" ref="AA252">IF(_xll.qwSecType(F252)="Bond",F252,IF(_xll.qwSecType(F252)="BondFuture",_xll.qwFutCTD($A$1,F252),0))</f>
        <v>91282CRQ6</v>
      </c>
      <c r="AB252" s="6" cm="1">
        <f t="array" ref="AB252">IF(_xll.qwSecType(F252)="BondFuture",-(I252*_xll.qwDelta($A$4,F252)*_xll.qwMVFactor($A$1,F252)/_xll.qwMVFactor($A$1,_xll.qwFutCTD($A$1,F252)))*(_xll.qwFXRate($A$1,F252)*_xll.qwMVFactor($A$1,_xll.qwFutCTD($A$1,F252))*(_xll.qwIncome($A$4,_xll.qwFutCTD($A$4,F252),_xll.qwBondSettle($A$4,_xll.qwFutCTD($A$4,F252)),_xll.qwBondSettle($A$1,_xll.qwFutCTD($A$1,F252)))+(_xll.qwSecVal($A$1,AA252,"Price")-_xll.qwSecVal($A$4,AA252,"Price"))-_xll.qwBondRepoFromTo($A$1,AA252,_xll.qwBondSettle($A$4,AA252),_xll.qwBondSettle($A$1,AA252))*_xll.qwSecVal($A$1,AA252,"Price")*(_xll.qwBondSettle($A$1,AA252)-_xll.qwBondSettle($A$4,AA252))/360))+O252,0)</f>
        <v>0</v>
      </c>
      <c r="AC252" s="9" cm="1">
        <f t="array" ref="AC252">O252+T252+IF(ISNUMBER(_xll.qwIncome($A$1,F252,_xll.qwSettle($A$4,F252),_xll.qwSettle($A$1,F252))*_xll.qwMVFactor($A$1,F252)*_xll.qwFXRate($A$1,F252)*I252),_xll.qwIncome($A$1,F252,_xll.qwSettle($A$4,F252),_xll.qwSettle($A$1,F252))*_xll.qwMVFactor($A$1,F252)*_xll.qwFXRate($A$1,F252)*I252,0)+IF(ISNUMBER(-(_xll.qwBondRepoFromTo($A$1,F252,_xll.qwSettle($A$4,F252),_xll.qwSettle($A$1,F252))*_xll.qwSecVal($A$1,F252,"Price")*(_xll.qwSettle($A$1,F252)-_xll.qwSettle($A$4,F252))/360)*_xll.qwMVFactor($A$1,F252)*_xll.qwFXRate($A$1,F252)*I252),-(_xll.qwBondRepoFromTo($A$1,F252,_xll.qwSettle($A$4,F252),_xll.qwSettle($A$1,F252))*_xll.qwSecVal($A$1,F252,"Price")*(_xll.qwSettle($A$1,F252)-_xll.qwSettle($A$4,F252))/360)*_xll.qwMVFactor($A$1,F252)*_xll.qwFXRate($A$1,F252)*I252,0)</f>
        <v>104964.84375</v>
      </c>
      <c r="AD252" s="6"/>
    </row>
    <row r="253" spans="2:30" s="19" customFormat="1" x14ac:dyDescent="0.35">
      <c r="B253" s="19" t="str">
        <v>jcleary</v>
      </c>
      <c r="C253" s="19" t="str">
        <v>PPA</v>
      </c>
      <c r="D253" s="19" t="str">
        <v>jcleary|PPA|RV_US_SpreadCurve_SpreadCurve|TUZ6</v>
      </c>
      <c r="E253" s="19" t="str">
        <v>RV_US_SpreadCurve_SpreadCurve</v>
      </c>
      <c r="F253" s="19" t="str">
        <v>TUZ6</v>
      </c>
      <c r="G253" s="19">
        <v>0</v>
      </c>
      <c r="H253" s="19">
        <v>0</v>
      </c>
      <c r="I253" s="19">
        <v>-1701</v>
      </c>
      <c r="J253" s="19">
        <v>1701</v>
      </c>
      <c r="K253" s="19">
        <v>101.8671875</v>
      </c>
      <c r="L253" s="19">
        <v>0</v>
      </c>
      <c r="M253" s="19">
        <v>101.8671875</v>
      </c>
      <c r="N253" s="19" t="str">
        <v>BondFuture</v>
      </c>
      <c r="O253" s="6" cm="1">
        <f t="array" ref="O253">(_xll.qwPrice($A$1,F253)-_xll.qwPrice($A$4,F253))*_xll.qwMVFactor($A$1,F253)*I253*_xll.qwFXRate($A$1,F253)</f>
        <v>26576.424000004296</v>
      </c>
      <c r="P253" s="6" cm="1">
        <f t="array" ref="P253">IF(ISNUMBER(_xll.qwDV01($A$1,F253)*I253*_xll.qwMVFactor($A$1,F253)*_xll.qwFXRate($A$1,F253)),_xll.qwDV01($A$1,F253)*I253*_xll.qwMVFactor($A$1,F253)*_xll.qwFXRate($A$1,F253),0)</f>
        <v>-64803.370435447308</v>
      </c>
      <c r="Q253" s="6" cm="1">
        <f t="array" ref="Q253">IF(ISNUMBER(_xll.qwDV01($A$1,F253)*G253*_xll.qwMVFactor($A$1,F253)*_xll.qwFXRate($A$1,F253)),_xll.qwDV01($A$1,F253)*G253*_xll.qwMVFactor($A$1,F253)*_xll.qwFXRate($A$1,F253),0)</f>
        <v>0</v>
      </c>
      <c r="R253" s="6" cm="1">
        <f t="array" ref="R253">IF(ISNUMBER(_xll.qwDV01($A$1,F253)*J253*_xll.qwMVFactor($A$1,F253)*_xll.qwFXRate($A$1,F253)),_xll.qwDV01($A$1,F253)*J253*_xll.qwMVFactor($A$1,F253)*_xll.qwFXRate($A$1,F253),0)</f>
        <v>64803.370435447308</v>
      </c>
      <c r="S253" s="6" cm="1">
        <f t="array" ref="S253">IF(ISNUMBER(_xll.qwDV01($A$1,F253)*J253*_xll.qwMVFactor($A$1,F253)*_xll.qwFXRate($A$1,F253)),_xll.qwDV01($A$1,F253)*J253*_xll.qwMVFactor($A$1,F253)*_xll.qwFXRate($A$1,F253),0)</f>
        <v>64803.370435447308</v>
      </c>
      <c r="T253" s="6" cm="1">
        <f t="array" ref="T253">_xll.qwFXRate($A$1,F253)*J253*(_xll.qwPrice($A$1,F253)-M253)*_xll.qwMVFactor($A$1,F253)+L253</f>
        <v>-106310.79900000429</v>
      </c>
      <c r="U253" s="8" cm="1">
        <f t="array" ref="U253">_xll.qwYield($A$1,F253)</f>
        <v>4.8172807667158E-2</v>
      </c>
      <c r="V253" s="8" cm="1">
        <f t="array" ref="V253">100*(_xll.qwYield($A$4,F253)-U253)</f>
        <v>-8.7419396033863728E-3</v>
      </c>
      <c r="W253" s="6">
        <f>IF(ISNA(G253*INDEX(_xll.qwTblData(_xll.qwCurveScenariosPerSecurity($A$1,F253,"Crv210")),2,2)),0,(G253*INDEX(_xll.qwTblData(_xll.qwCurveScenariosPerSecurity($A$1,F253,"Crv210")),2,2)))</f>
        <v>0</v>
      </c>
      <c r="X253" s="6" cm="1">
        <f t="array" ref="X253">ABS(Q253/_xll.qwMV01($A$1,"CT10"))</f>
        <v>0</v>
      </c>
      <c r="Y253" s="6" cm="1">
        <f t="array" ref="Y253">IF(N253="BondFuture",-(_xll.qwCurveYield($A$1,_xll.qwSecVal($A$1,AA253,"CreditCurveName()"),AA253)-_xll.qwCurveYield($A$4,_xll.qwSecVal($A$4,AA253,"CreditCurveName()"),AA253))*P253*10000,IF(N253="Bond",-(_xll.qwCurveYield($A$1,_xll.qwSecVal($A$1,F253,"CreditCurveName()"),F253)-_xll.qwCurveYield($A$4,_xll.qwSecVal($A$4,F253,"CreditCurveName()"),F253))*P253*10000,O253))</f>
        <v>41055.161344281172</v>
      </c>
      <c r="Z253" s="6" cm="1">
        <f t="array" ref="Z253">IF(OR(N253="BondFuture",N253="Bond"),P253*(_xll.qwCurveZSpread($A$4,_xll.qwSecVal($A$1,AA253,"CreditCurveName()"),AA253)-_xll.qwCurveZSpread($A$1,_xll.qwSecVal($A$1,AA253,"CreditCurveName()"),AA253)),0)</f>
        <v>14982.046168311626</v>
      </c>
      <c r="AA253" s="9" t="str" cm="1">
        <f t="array" ref="AA253">IF(_xll.qwSecType(F253)="Bond",F253,IF(_xll.qwSecType(F253)="BondFuture",_xll.qwFutCTD($A$1,F253),0))</f>
        <v>91282CJA0</v>
      </c>
      <c r="AB253" s="6" cm="1">
        <f t="array" ref="AB253">IF(_xll.qwSecType(F253)="BondFuture",-(I253*_xll.qwDelta($A$4,F253)*_xll.qwMVFactor($A$1,F253)/_xll.qwMVFactor($A$1,_xll.qwFutCTD($A$1,F253)))*(_xll.qwFXRate($A$1,F253)*_xll.qwMVFactor($A$1,_xll.qwFutCTD($A$1,F253))*(_xll.qwIncome($A$4,_xll.qwFutCTD($A$4,F253),_xll.qwBondSettle($A$4,_xll.qwFutCTD($A$4,F253)),_xll.qwBondSettle($A$1,_xll.qwFutCTD($A$1,F253)))+(_xll.qwSecVal($A$1,AA253,"Price")-_xll.qwSecVal($A$4,AA253,"Price"))-_xll.qwBondRepoFromTo($A$1,AA253,_xll.qwBondSettle($A$4,AA253),_xll.qwBondSettle($A$1,AA253))*_xll.qwSecVal($A$1,AA253,"Price")*(_xll.qwBondSettle($A$1,AA253)-_xll.qwBondSettle($A$4,AA253))/360))+O253,0)</f>
        <v>-21657.085638796929</v>
      </c>
      <c r="AC253" s="9" cm="1">
        <f t="array" ref="AC253">O253+T253+IF(ISNUMBER(_xll.qwIncome($A$1,F253,_xll.qwSettle($A$4,F253),_xll.qwSettle($A$1,F253))*_xll.qwMVFactor($A$1,F253)*_xll.qwFXRate($A$1,F253)*I253),_xll.qwIncome($A$1,F253,_xll.qwSettle($A$4,F253),_xll.qwSettle($A$1,F253))*_xll.qwMVFactor($A$1,F253)*_xll.qwFXRate($A$1,F253)*I253,0)+IF(ISNUMBER(-(_xll.qwBondRepoFromTo($A$1,F253,_xll.qwSettle($A$4,F253),_xll.qwSettle($A$1,F253))*_xll.qwSecVal($A$1,F253,"Price")*(_xll.qwSettle($A$1,F253)-_xll.qwSettle($A$4,F253))/360)*_xll.qwMVFactor($A$1,F253)*_xll.qwFXRate($A$1,F253)*I253),-(_xll.qwBondRepoFromTo($A$1,F253,_xll.qwSettle($A$4,F253),_xll.qwSettle($A$1,F253))*_xll.qwSecVal($A$1,F253,"Price")*(_xll.qwSettle($A$1,F253)-_xll.qwSettle($A$4,F253))/360)*_xll.qwMVFactor($A$1,F253)*_xll.qwFXRate($A$1,F253)*I253,0)</f>
        <v>-79734.375</v>
      </c>
      <c r="AD253" s="6"/>
    </row>
    <row r="254" spans="2:30" s="19" customFormat="1" x14ac:dyDescent="0.35">
      <c r="B254" s="19" t="str">
        <v>jcleary</v>
      </c>
      <c r="C254" s="19" t="str">
        <v>PPA</v>
      </c>
      <c r="D254" s="19" t="str">
        <v>jcleary|PPA|RV_US_Spreads_SpreadCurve|247850509</v>
      </c>
      <c r="E254" s="19" t="str">
        <v>RV_US_Spreads_SpreadCurve</v>
      </c>
      <c r="F254" s="19" t="str">
        <v>247850509</v>
      </c>
      <c r="G254" s="19">
        <v>369.6</v>
      </c>
      <c r="H254" s="19">
        <v>0</v>
      </c>
      <c r="I254" s="19">
        <v>369.6</v>
      </c>
      <c r="J254" s="19">
        <v>0</v>
      </c>
      <c r="K254" s="19">
        <v>0</v>
      </c>
      <c r="L254" s="19">
        <v>0</v>
      </c>
      <c r="M254" s="19">
        <v>0</v>
      </c>
      <c r="N254" s="19" t="str">
        <v>SwapTrade</v>
      </c>
      <c r="O254" s="6" cm="1">
        <f t="array" ref="O254">(_xll.qwPrice($A$1,F254)-_xll.qwPrice($A$4,F254))*_xll.qwMVFactor($A$1,F254)*I254*_xll.qwFXRate($A$1,F254)</f>
        <v>-27426.626674413685</v>
      </c>
      <c r="P254" s="6" cm="1">
        <f t="array" ref="P254">IF(ISNUMBER(_xll.qwDV01($A$1,F254)*I254*_xll.qwMVFactor($A$1,F254)*_xll.qwFXRate($A$1,F254)),_xll.qwDV01($A$1,F254)*I254*_xll.qwMVFactor($A$1,F254)*_xll.qwFXRate($A$1,F254),0)</f>
        <v>-93999.136125210891</v>
      </c>
      <c r="Q254" s="6" cm="1">
        <f t="array" ref="Q254">IF(ISNUMBER(_xll.qwDV01($A$1,F254)*G254*_xll.qwMVFactor($A$1,F254)*_xll.qwFXRate($A$1,F254)),_xll.qwDV01($A$1,F254)*G254*_xll.qwMVFactor($A$1,F254)*_xll.qwFXRate($A$1,F254),0)</f>
        <v>-93999.136125210891</v>
      </c>
      <c r="R254" s="6" cm="1">
        <f t="array" ref="R254">IF(ISNUMBER(_xll.qwDV01($A$1,F254)*J254*_xll.qwMVFactor($A$1,F254)*_xll.qwFXRate($A$1,F254)),_xll.qwDV01($A$1,F254)*J254*_xll.qwMVFactor($A$1,F254)*_xll.qwFXRate($A$1,F254),0)</f>
        <v>0</v>
      </c>
      <c r="S254" s="6" cm="1">
        <f t="array" ref="S254">IF(ISNUMBER(_xll.qwDV01($A$1,F254)*J254*_xll.qwMVFactor($A$1,F254)*_xll.qwFXRate($A$1,F254)),_xll.qwDV01($A$1,F254)*J254*_xll.qwMVFactor($A$1,F254)*_xll.qwFXRate($A$1,F254),0)</f>
        <v>0</v>
      </c>
      <c r="T254" s="6" cm="1">
        <f t="array" ref="T254">_xll.qwFXRate($A$1,F254)*J254*(_xll.qwPrice($A$1,F254)-M254)*_xll.qwMVFactor($A$1,F254)+L254</f>
        <v>0</v>
      </c>
      <c r="U254" s="8" cm="1">
        <f t="array" ref="U254">_xll.qwYield($A$1,F254)</f>
        <v>4.6877079912573123E-2</v>
      </c>
      <c r="V254" s="8" cm="1">
        <f t="array" ref="V254">100*(_xll.qwYield($A$4,F254)-U254)</f>
        <v>2.3294740882362497E-3</v>
      </c>
      <c r="W254" s="6">
        <f>IF(ISNA(G254*INDEX(_xll.qwTblData(_xll.qwCurveScenariosPerSecurity($A$1,F254,"Crv210")),2,2)),0,(G254*INDEX(_xll.qwTblData(_xll.qwCurveScenariosPerSecurity($A$1,F254,"Crv210")),2,2)))</f>
        <v>-38249.974211750428</v>
      </c>
      <c r="X254" s="6" cm="1">
        <f t="array" ref="X254">ABS(Q254/_xll.qwMV01($A$1,"CT10"))</f>
        <v>126.54079475311636</v>
      </c>
      <c r="Y254" s="6" cm="1">
        <f t="array" ref="Y254">IF(N254="BondFuture",-(_xll.qwCurveYield($A$1,_xll.qwSecVal($A$1,AA254,"CreditCurveName()"),AA254)-_xll.qwCurveYield($A$4,_xll.qwSecVal($A$4,AA254,"CreditCurveName()"),AA254))*P254*10000,IF(N254="Bond",-(_xll.qwCurveYield($A$1,_xll.qwSecVal($A$1,F254,"CreditCurveName()"),F254)-_xll.qwCurveYield($A$4,_xll.qwSecVal($A$4,F254,"CreditCurveName()"),F254))*P254*10000,O254))</f>
        <v>-27426.626674413685</v>
      </c>
      <c r="Z254" s="6" cm="1">
        <f t="array" ref="Z254">IF(OR(N254="BondFuture",N254="Bond"),P254*(_xll.qwCurveZSpread($A$4,_xll.qwSecVal($A$1,AA254,"CreditCurveName()"),AA254)-_xll.qwCurveZSpread($A$1,_xll.qwSecVal($A$1,AA254,"CreditCurveName()"),AA254)),0)</f>
        <v>0</v>
      </c>
      <c r="AA254" s="9" cm="1">
        <f t="array" ref="AA254">IF(_xll.qwSecType(F254)="Bond",F254,IF(_xll.qwSecType(F254)="BondFuture",_xll.qwFutCTD($A$1,F254),0))</f>
        <v>0</v>
      </c>
      <c r="AB254" s="6" cm="1">
        <f t="array" ref="AB254">IF(_xll.qwSecType(F254)="BondFuture",-(I254*_xll.qwDelta($A$4,F254)*_xll.qwMVFactor($A$1,F254)/_xll.qwMVFactor($A$1,_xll.qwFutCTD($A$1,F254)))*(_xll.qwFXRate($A$1,F254)*_xll.qwMVFactor($A$1,_xll.qwFutCTD($A$1,F254))*(_xll.qwIncome($A$4,_xll.qwFutCTD($A$4,F254),_xll.qwBondSettle($A$4,_xll.qwFutCTD($A$4,F254)),_xll.qwBondSettle($A$1,_xll.qwFutCTD($A$1,F254)))+(_xll.qwSecVal($A$1,AA254,"Price")-_xll.qwSecVal($A$4,AA254,"Price"))-_xll.qwBondRepoFromTo($A$1,AA254,_xll.qwBondSettle($A$4,AA254),_xll.qwBondSettle($A$1,AA254))*_xll.qwSecVal($A$1,AA254,"Price")*(_xll.qwBondSettle($A$1,AA254)-_xll.qwBondSettle($A$4,AA254))/360))+O254,0)</f>
        <v>0</v>
      </c>
      <c r="AC254" s="9" cm="1">
        <f t="array" ref="AC254">O254+T254+IF(ISNUMBER(_xll.qwIncome($A$1,F254,_xll.qwSettle($A$4,F254),_xll.qwSettle($A$1,F254))*_xll.qwMVFactor($A$1,F254)*_xll.qwFXRate($A$1,F254)*I254),_xll.qwIncome($A$1,F254,_xll.qwSettle($A$4,F254),_xll.qwSettle($A$1,F254))*_xll.qwMVFactor($A$1,F254)*_xll.qwFXRate($A$1,F254)*I254,0)+IF(ISNUMBER(-(_xll.qwBondRepoFromTo($A$1,F254,_xll.qwSettle($A$4,F254),_xll.qwSettle($A$1,F254))*_xll.qwSecVal($A$1,F254,"Price")*(_xll.qwSettle($A$1,F254)-_xll.qwSettle($A$4,F254))/360)*_xll.qwMVFactor($A$1,F254)*_xll.qwFXRate($A$1,F254)*I254),-(_xll.qwBondRepoFromTo($A$1,F254,_xll.qwSettle($A$4,F254),_xll.qwSettle($A$1,F254))*_xll.qwSecVal($A$1,F254,"Price")*(_xll.qwSettle($A$1,F254)-_xll.qwSettle($A$4,F254))/360)*_xll.qwMVFactor($A$1,F254)*_xll.qwFXRate($A$1,F254)*I254,0)</f>
        <v>-27426.626674413685</v>
      </c>
      <c r="AD254" s="6"/>
    </row>
    <row r="255" spans="2:30" s="19" customFormat="1" x14ac:dyDescent="0.35">
      <c r="B255" s="19" t="str">
        <v>jcleary</v>
      </c>
      <c r="C255" s="19" t="str">
        <v>PPA</v>
      </c>
      <c r="D255" s="19" t="str">
        <v>jcleary|PPA|RV_US_Spreads_SpreadCurve|247850548</v>
      </c>
      <c r="E255" s="19" t="str">
        <v>RV_US_Spreads_SpreadCurve</v>
      </c>
      <c r="F255" s="19" t="str">
        <v>247850548</v>
      </c>
      <c r="G255" s="19">
        <v>201.2</v>
      </c>
      <c r="H255" s="19">
        <v>0</v>
      </c>
      <c r="I255" s="19">
        <v>201.2</v>
      </c>
      <c r="J255" s="19">
        <v>0</v>
      </c>
      <c r="K255" s="19">
        <v>0</v>
      </c>
      <c r="L255" s="19">
        <v>0</v>
      </c>
      <c r="M255" s="19">
        <v>0</v>
      </c>
      <c r="N255" s="19" t="str">
        <v>SwapTrade</v>
      </c>
      <c r="O255" s="6" cm="1">
        <f t="array" ref="O255">(_xll.qwPrice($A$1,F255)-_xll.qwPrice($A$4,F255))*_xll.qwMVFactor($A$1,F255)*I255*_xll.qwFXRate($A$1,F255)</f>
        <v>-75479.064010061382</v>
      </c>
      <c r="P255" s="6" cm="1">
        <f t="array" ref="P255">IF(ISNUMBER(_xll.qwDV01($A$1,F255)*I255*_xll.qwMVFactor($A$1,F255)*_xll.qwFXRate($A$1,F255)),_xll.qwDV01($A$1,F255)*I255*_xll.qwMVFactor($A$1,F255)*_xll.qwFXRate($A$1,F255),0)</f>
        <v>-82970.716608817427</v>
      </c>
      <c r="Q255" s="6" cm="1">
        <f t="array" ref="Q255">IF(ISNUMBER(_xll.qwDV01($A$1,F255)*G255*_xll.qwMVFactor($A$1,F255)*_xll.qwFXRate($A$1,F255)),_xll.qwDV01($A$1,F255)*G255*_xll.qwMVFactor($A$1,F255)*_xll.qwFXRate($A$1,F255),0)</f>
        <v>-82970.716608817427</v>
      </c>
      <c r="R255" s="6" cm="1">
        <f t="array" ref="R255">IF(ISNUMBER(_xll.qwDV01($A$1,F255)*J255*_xll.qwMVFactor($A$1,F255)*_xll.qwFXRate($A$1,F255)),_xll.qwDV01($A$1,F255)*J255*_xll.qwMVFactor($A$1,F255)*_xll.qwFXRate($A$1,F255),0)</f>
        <v>0</v>
      </c>
      <c r="S255" s="6" cm="1">
        <f t="array" ref="S255">IF(ISNUMBER(_xll.qwDV01($A$1,F255)*J255*_xll.qwMVFactor($A$1,F255)*_xll.qwFXRate($A$1,F255)),_xll.qwDV01($A$1,F255)*J255*_xll.qwMVFactor($A$1,F255)*_xll.qwFXRate($A$1,F255),0)</f>
        <v>0</v>
      </c>
      <c r="T255" s="6" cm="1">
        <f t="array" ref="T255">_xll.qwFXRate($A$1,F255)*J255*(_xll.qwPrice($A$1,F255)-M255)*_xll.qwMVFactor($A$1,F255)+L255</f>
        <v>0</v>
      </c>
      <c r="U255" s="8" cm="1">
        <f t="array" ref="U255">_xll.qwYield($A$1,F255)</f>
        <v>4.7070802464331832E-2</v>
      </c>
      <c r="V255" s="8" cm="1">
        <f t="array" ref="V255">100*(_xll.qwYield($A$4,F255)-U255)</f>
        <v>8.7187629565471658E-3</v>
      </c>
      <c r="W255" s="6">
        <f>IF(ISNA(G255*INDEX(_xll.qwTblData(_xll.qwCurveScenariosPerSecurity($A$1,F255,"Crv210")),2,2)),0,(G255*INDEX(_xll.qwTblData(_xll.qwCurveScenariosPerSecurity($A$1,F255,"Crv210")),2,2)))</f>
        <v>-13243.981119619242</v>
      </c>
      <c r="X255" s="6" cm="1">
        <f t="array" ref="X255">ABS(Q255/_xll.qwMV01($A$1,"CT10"))</f>
        <v>111.6944352225747</v>
      </c>
      <c r="Y255" s="6" cm="1">
        <f t="array" ref="Y255">IF(N255="BondFuture",-(_xll.qwCurveYield($A$1,_xll.qwSecVal($A$1,AA255,"CreditCurveName()"),AA255)-_xll.qwCurveYield($A$4,_xll.qwSecVal($A$4,AA255,"CreditCurveName()"),AA255))*P255*10000,IF(N255="Bond",-(_xll.qwCurveYield($A$1,_xll.qwSecVal($A$1,F255,"CreditCurveName()"),F255)-_xll.qwCurveYield($A$4,_xll.qwSecVal($A$4,F255,"CreditCurveName()"),F255))*P255*10000,O255))</f>
        <v>-75479.064010061382</v>
      </c>
      <c r="Z255" s="6" cm="1">
        <f t="array" ref="Z255">IF(OR(N255="BondFuture",N255="Bond"),P255*(_xll.qwCurveZSpread($A$4,_xll.qwSecVal($A$1,AA255,"CreditCurveName()"),AA255)-_xll.qwCurveZSpread($A$1,_xll.qwSecVal($A$1,AA255,"CreditCurveName()"),AA255)),0)</f>
        <v>0</v>
      </c>
      <c r="AA255" s="9" cm="1">
        <f t="array" ref="AA255">IF(_xll.qwSecType(F255)="Bond",F255,IF(_xll.qwSecType(F255)="BondFuture",_xll.qwFutCTD($A$1,F255),0))</f>
        <v>0</v>
      </c>
      <c r="AB255" s="6" cm="1">
        <f t="array" ref="AB255">IF(_xll.qwSecType(F255)="BondFuture",-(I255*_xll.qwDelta($A$4,F255)*_xll.qwMVFactor($A$1,F255)/_xll.qwMVFactor($A$1,_xll.qwFutCTD($A$1,F255)))*(_xll.qwFXRate($A$1,F255)*_xll.qwMVFactor($A$1,_xll.qwFutCTD($A$1,F255))*(_xll.qwIncome($A$4,_xll.qwFutCTD($A$4,F255),_xll.qwBondSettle($A$4,_xll.qwFutCTD($A$4,F255)),_xll.qwBondSettle($A$1,_xll.qwFutCTD($A$1,F255)))+(_xll.qwSecVal($A$1,AA255,"Price")-_xll.qwSecVal($A$4,AA255,"Price"))-_xll.qwBondRepoFromTo($A$1,AA255,_xll.qwBondSettle($A$4,AA255),_xll.qwBondSettle($A$1,AA255))*_xll.qwSecVal($A$1,AA255,"Price")*(_xll.qwBondSettle($A$1,AA255)-_xll.qwBondSettle($A$4,AA255))/360))+O255,0)</f>
        <v>0</v>
      </c>
      <c r="AC255" s="9" cm="1">
        <f t="array" ref="AC255">O255+T255+IF(ISNUMBER(_xll.qwIncome($A$1,F255,_xll.qwSettle($A$4,F255),_xll.qwSettle($A$1,F255))*_xll.qwMVFactor($A$1,F255)*_xll.qwFXRate($A$1,F255)*I255),_xll.qwIncome($A$1,F255,_xll.qwSettle($A$4,F255),_xll.qwSettle($A$1,F255))*_xll.qwMVFactor($A$1,F255)*_xll.qwFXRate($A$1,F255)*I255,0)+IF(ISNUMBER(-(_xll.qwBondRepoFromTo($A$1,F255,_xll.qwSettle($A$4,F255),_xll.qwSettle($A$1,F255))*_xll.qwSecVal($A$1,F255,"Price")*(_xll.qwSettle($A$1,F255)-_xll.qwSettle($A$4,F255))/360)*_xll.qwMVFactor($A$1,F255)*_xll.qwFXRate($A$1,F255)*I255),-(_xll.qwBondRepoFromTo($A$1,F255,_xll.qwSettle($A$4,F255),_xll.qwSettle($A$1,F255))*_xll.qwSecVal($A$1,F255,"Price")*(_xll.qwSettle($A$1,F255)-_xll.qwSettle($A$4,F255))/360)*_xll.qwMVFactor($A$1,F255)*_xll.qwFXRate($A$1,F255)*I255,0)</f>
        <v>-75479.064010061382</v>
      </c>
      <c r="AD255" s="6"/>
    </row>
    <row r="256" spans="2:30" s="19" customFormat="1" x14ac:dyDescent="0.35">
      <c r="B256" s="19" t="str">
        <v>jcleary</v>
      </c>
      <c r="C256" s="19" t="str">
        <v>PPA</v>
      </c>
      <c r="D256" s="19" t="str">
        <v>jcleary|PPA|RV_US_Spreads_SpreadCurve|250041827</v>
      </c>
      <c r="E256" s="19" t="str">
        <v>RV_US_Spreads_SpreadCurve</v>
      </c>
      <c r="F256" s="19" t="str">
        <v>250041827</v>
      </c>
      <c r="G256" s="19">
        <v>207.328</v>
      </c>
      <c r="H256" s="19">
        <v>0</v>
      </c>
      <c r="I256" s="19">
        <v>207.328</v>
      </c>
      <c r="J256" s="19">
        <v>0</v>
      </c>
      <c r="K256" s="19">
        <v>0</v>
      </c>
      <c r="L256" s="19">
        <v>0</v>
      </c>
      <c r="M256" s="19">
        <v>0</v>
      </c>
      <c r="N256" s="19" t="str">
        <v>SwapTrade</v>
      </c>
      <c r="O256" s="6" cm="1">
        <f t="array" ref="O256">(_xll.qwPrice($A$1,F256)-_xll.qwPrice($A$4,F256))*_xll.qwMVFactor($A$1,F256)*I256*_xll.qwFXRate($A$1,F256)</f>
        <v>-15509.693357829405</v>
      </c>
      <c r="P256" s="6" cm="1">
        <f t="array" ref="P256">IF(ISNUMBER(_xll.qwDV01($A$1,F256)*I256*_xll.qwMVFactor($A$1,F256)*_xll.qwFXRate($A$1,F256)),_xll.qwDV01($A$1,F256)*I256*_xll.qwMVFactor($A$1,F256)*_xll.qwFXRate($A$1,F256),0)</f>
        <v>-52696.032856163074</v>
      </c>
      <c r="Q256" s="6" cm="1">
        <f t="array" ref="Q256">IF(ISNUMBER(_xll.qwDV01($A$1,F256)*G256*_xll.qwMVFactor($A$1,F256)*_xll.qwFXRate($A$1,F256)),_xll.qwDV01($A$1,F256)*G256*_xll.qwMVFactor($A$1,F256)*_xll.qwFXRate($A$1,F256),0)</f>
        <v>-52696.032856163074</v>
      </c>
      <c r="R256" s="6" cm="1">
        <f t="array" ref="R256">IF(ISNUMBER(_xll.qwDV01($A$1,F256)*J256*_xll.qwMVFactor($A$1,F256)*_xll.qwFXRate($A$1,F256)),_xll.qwDV01($A$1,F256)*J256*_xll.qwMVFactor($A$1,F256)*_xll.qwFXRate($A$1,F256),0)</f>
        <v>0</v>
      </c>
      <c r="S256" s="6" cm="1">
        <f t="array" ref="S256">IF(ISNUMBER(_xll.qwDV01($A$1,F256)*J256*_xll.qwMVFactor($A$1,F256)*_xll.qwFXRate($A$1,F256)),_xll.qwDV01($A$1,F256)*J256*_xll.qwMVFactor($A$1,F256)*_xll.qwFXRate($A$1,F256),0)</f>
        <v>0</v>
      </c>
      <c r="T256" s="6" cm="1">
        <f t="array" ref="T256">_xll.qwFXRate($A$1,F256)*J256*(_xll.qwPrice($A$1,F256)-M256)*_xll.qwMVFactor($A$1,F256)+L256</f>
        <v>0</v>
      </c>
      <c r="U256" s="8" cm="1">
        <f t="array" ref="U256">_xll.qwYield($A$1,F256)</f>
        <v>4.6877079912573123E-2</v>
      </c>
      <c r="V256" s="8" cm="1">
        <f t="array" ref="V256">100*(_xll.qwYield($A$4,F256)-U256)</f>
        <v>2.3294740882362497E-3</v>
      </c>
      <c r="W256" s="6">
        <f>IF(ISNA(G256*INDEX(_xll.qwTblData(_xll.qwCurveScenariosPerSecurity($A$1,F256,"Crv210")),2,2)),0,(G256*INDEX(_xll.qwTblData(_xll.qwCurveScenariosPerSecurity($A$1,F256,"Crv210")),2,2)))</f>
        <v>-21432.749066255688</v>
      </c>
      <c r="X256" s="6" cm="1">
        <f t="array" ref="X256">ABS(Q256/_xll.qwMV01($A$1,"CT10"))</f>
        <v>70.938927237298017</v>
      </c>
      <c r="Y256" s="6" cm="1">
        <f t="array" ref="Y256">IF(N256="BondFuture",-(_xll.qwCurveYield($A$1,_xll.qwSecVal($A$1,AA256,"CreditCurveName()"),AA256)-_xll.qwCurveYield($A$4,_xll.qwSecVal($A$4,AA256,"CreditCurveName()"),AA256))*P256*10000,IF(N256="Bond",-(_xll.qwCurveYield($A$1,_xll.qwSecVal($A$1,F256,"CreditCurveName()"),F256)-_xll.qwCurveYield($A$4,_xll.qwSecVal($A$4,F256,"CreditCurveName()"),F256))*P256*10000,O256))</f>
        <v>-15509.693357829405</v>
      </c>
      <c r="Z256" s="6" cm="1">
        <f t="array" ref="Z256">IF(OR(N256="BondFuture",N256="Bond"),P256*(_xll.qwCurveZSpread($A$4,_xll.qwSecVal($A$1,AA256,"CreditCurveName()"),AA256)-_xll.qwCurveZSpread($A$1,_xll.qwSecVal($A$1,AA256,"CreditCurveName()"),AA256)),0)</f>
        <v>0</v>
      </c>
      <c r="AA256" s="9" cm="1">
        <f t="array" ref="AA256">IF(_xll.qwSecType(F256)="Bond",F256,IF(_xll.qwSecType(F256)="BondFuture",_xll.qwFutCTD($A$1,F256),0))</f>
        <v>0</v>
      </c>
      <c r="AB256" s="6" cm="1">
        <f t="array" ref="AB256">IF(_xll.qwSecType(F256)="BondFuture",-(I256*_xll.qwDelta($A$4,F256)*_xll.qwMVFactor($A$1,F256)/_xll.qwMVFactor($A$1,_xll.qwFutCTD($A$1,F256)))*(_xll.qwFXRate($A$1,F256)*_xll.qwMVFactor($A$1,_xll.qwFutCTD($A$1,F256))*(_xll.qwIncome($A$4,_xll.qwFutCTD($A$4,F256),_xll.qwBondSettle($A$4,_xll.qwFutCTD($A$4,F256)),_xll.qwBondSettle($A$1,_xll.qwFutCTD($A$1,F256)))+(_xll.qwSecVal($A$1,AA256,"Price")-_xll.qwSecVal($A$4,AA256,"Price"))-_xll.qwBondRepoFromTo($A$1,AA256,_xll.qwBondSettle($A$4,AA256),_xll.qwBondSettle($A$1,AA256))*_xll.qwSecVal($A$1,AA256,"Price")*(_xll.qwBondSettle($A$1,AA256)-_xll.qwBondSettle($A$4,AA256))/360))+O256,0)</f>
        <v>0</v>
      </c>
      <c r="AC256" s="9" cm="1">
        <f t="array" ref="AC256">O256+T256+IF(ISNUMBER(_xll.qwIncome($A$1,F256,_xll.qwSettle($A$4,F256),_xll.qwSettle($A$1,F256))*_xll.qwMVFactor($A$1,F256)*_xll.qwFXRate($A$1,F256)*I256),_xll.qwIncome($A$1,F256,_xll.qwSettle($A$4,F256),_xll.qwSettle($A$1,F256))*_xll.qwMVFactor($A$1,F256)*_xll.qwFXRate($A$1,F256)*I256,0)+IF(ISNUMBER(-(_xll.qwBondRepoFromTo($A$1,F256,_xll.qwSettle($A$4,F256),_xll.qwSettle($A$1,F256))*_xll.qwSecVal($A$1,F256,"Price")*(_xll.qwSettle($A$1,F256)-_xll.qwSettle($A$4,F256))/360)*_xll.qwMVFactor($A$1,F256)*_xll.qwFXRate($A$1,F256)*I256),-(_xll.qwBondRepoFromTo($A$1,F256,_xll.qwSettle($A$4,F256),_xll.qwSettle($A$1,F256))*_xll.qwSecVal($A$1,F256,"Price")*(_xll.qwSettle($A$1,F256)-_xll.qwSettle($A$4,F256))/360)*_xll.qwMVFactor($A$1,F256)*_xll.qwFXRate($A$1,F256)*I256,0)</f>
        <v>-15509.693357829405</v>
      </c>
      <c r="AD256" s="6"/>
    </row>
    <row r="257" spans="2:30" s="19" customFormat="1" x14ac:dyDescent="0.35">
      <c r="B257" s="19" t="str">
        <v>jcleary</v>
      </c>
      <c r="C257" s="19" t="str">
        <v>PPA</v>
      </c>
      <c r="D257" s="19" t="str">
        <v>jcleary|PPA|RV_US_Spreads_SpreadCurve|250313700</v>
      </c>
      <c r="E257" s="19" t="str">
        <v>RV_US_Spreads_SpreadCurve</v>
      </c>
      <c r="F257" s="19" t="str">
        <v>250313700</v>
      </c>
      <c r="G257" s="19">
        <v>202.69200000000001</v>
      </c>
      <c r="H257" s="19">
        <v>0</v>
      </c>
      <c r="I257" s="19">
        <v>202.69200000000001</v>
      </c>
      <c r="J257" s="19">
        <v>0</v>
      </c>
      <c r="K257" s="19">
        <v>0</v>
      </c>
      <c r="L257" s="19">
        <v>0</v>
      </c>
      <c r="M257" s="19">
        <v>0</v>
      </c>
      <c r="N257" s="19" t="str">
        <v>SwapTrade</v>
      </c>
      <c r="O257" s="6" cm="1">
        <f t="array" ref="O257">(_xll.qwPrice($A$1,F257)-_xll.qwPrice($A$4,F257))*_xll.qwMVFactor($A$1,F257)*I257*_xll.qwFXRate($A$1,F257)</f>
        <v>19116.952278486802</v>
      </c>
      <c r="P257" s="6" cm="1">
        <f t="array" ref="P257">IF(ISNUMBER(_xll.qwDV01($A$1,F257)*I257*_xll.qwMVFactor($A$1,F257)*_xll.qwFXRate($A$1,F257)),_xll.qwDV01($A$1,F257)*I257*_xll.qwMVFactor($A$1,F257)*_xll.qwFXRate($A$1,F257),0)</f>
        <v>52953.516073861116</v>
      </c>
      <c r="Q257" s="6" cm="1">
        <f t="array" ref="Q257">IF(ISNUMBER(_xll.qwDV01($A$1,F257)*G257*_xll.qwMVFactor($A$1,F257)*_xll.qwFXRate($A$1,F257)),_xll.qwDV01($A$1,F257)*G257*_xll.qwMVFactor($A$1,F257)*_xll.qwFXRate($A$1,F257),0)</f>
        <v>52953.516073861116</v>
      </c>
      <c r="R257" s="6" cm="1">
        <f t="array" ref="R257">IF(ISNUMBER(_xll.qwDV01($A$1,F257)*J257*_xll.qwMVFactor($A$1,F257)*_xll.qwFXRate($A$1,F257)),_xll.qwDV01($A$1,F257)*J257*_xll.qwMVFactor($A$1,F257)*_xll.qwFXRate($A$1,F257),0)</f>
        <v>0</v>
      </c>
      <c r="S257" s="6" cm="1">
        <f t="array" ref="S257">IF(ISNUMBER(_xll.qwDV01($A$1,F257)*J257*_xll.qwMVFactor($A$1,F257)*_xll.qwFXRate($A$1,F257)),_xll.qwDV01($A$1,F257)*J257*_xll.qwMVFactor($A$1,F257)*_xll.qwFXRate($A$1,F257),0)</f>
        <v>0</v>
      </c>
      <c r="T257" s="6" cm="1">
        <f t="array" ref="T257">_xll.qwFXRate($A$1,F257)*J257*(_xll.qwPrice($A$1,F257)-M257)*_xll.qwMVFactor($A$1,F257)+L257</f>
        <v>0</v>
      </c>
      <c r="U257" s="8" cm="1">
        <f t="array" ref="U257">_xll.qwYield($A$1,F257)</f>
        <v>4.6920273505089038E-2</v>
      </c>
      <c r="V257" s="8" cm="1">
        <f t="array" ref="V257">100*(_xll.qwYield($A$4,F257)-U257)</f>
        <v>3.0252290158870598E-3</v>
      </c>
      <c r="W257" s="6">
        <f>IF(ISNA(G257*INDEX(_xll.qwTblData(_xll.qwCurveScenariosPerSecurity($A$1,F257,"Crv210")),2,2)),0,(G257*INDEX(_xll.qwTblData(_xll.qwCurveScenariosPerSecurity($A$1,F257,"Crv210")),2,2)))</f>
        <v>21005.569134203553</v>
      </c>
      <c r="X257" s="6" cm="1">
        <f t="array" ref="X257">ABS(Q257/_xll.qwMV01($A$1,"CT10"))</f>
        <v>71.285548837731653</v>
      </c>
      <c r="Y257" s="6" cm="1">
        <f t="array" ref="Y257">IF(N257="BondFuture",-(_xll.qwCurveYield($A$1,_xll.qwSecVal($A$1,AA257,"CreditCurveName()"),AA257)-_xll.qwCurveYield($A$4,_xll.qwSecVal($A$4,AA257,"CreditCurveName()"),AA257))*P257*10000,IF(N257="Bond",-(_xll.qwCurveYield($A$1,_xll.qwSecVal($A$1,F257,"CreditCurveName()"),F257)-_xll.qwCurveYield($A$4,_xll.qwSecVal($A$4,F257,"CreditCurveName()"),F257))*P257*10000,O257))</f>
        <v>19116.952278486802</v>
      </c>
      <c r="Z257" s="6" cm="1">
        <f t="array" ref="Z257">IF(OR(N257="BondFuture",N257="Bond"),P257*(_xll.qwCurveZSpread($A$4,_xll.qwSecVal($A$1,AA257,"CreditCurveName()"),AA257)-_xll.qwCurveZSpread($A$1,_xll.qwSecVal($A$1,AA257,"CreditCurveName()"),AA257)),0)</f>
        <v>0</v>
      </c>
      <c r="AA257" s="9" cm="1">
        <f t="array" ref="AA257">IF(_xll.qwSecType(F257)="Bond",F257,IF(_xll.qwSecType(F257)="BondFuture",_xll.qwFutCTD($A$1,F257),0))</f>
        <v>0</v>
      </c>
      <c r="AB257" s="6" cm="1">
        <f t="array" ref="AB257">IF(_xll.qwSecType(F257)="BondFuture",-(I257*_xll.qwDelta($A$4,F257)*_xll.qwMVFactor($A$1,F257)/_xll.qwMVFactor($A$1,_xll.qwFutCTD($A$1,F257)))*(_xll.qwFXRate($A$1,F257)*_xll.qwMVFactor($A$1,_xll.qwFutCTD($A$1,F257))*(_xll.qwIncome($A$4,_xll.qwFutCTD($A$4,F257),_xll.qwBondSettle($A$4,_xll.qwFutCTD($A$4,F257)),_xll.qwBondSettle($A$1,_xll.qwFutCTD($A$1,F257)))+(_xll.qwSecVal($A$1,AA257,"Price")-_xll.qwSecVal($A$4,AA257,"Price"))-_xll.qwBondRepoFromTo($A$1,AA257,_xll.qwBondSettle($A$4,AA257),_xll.qwBondSettle($A$1,AA257))*_xll.qwSecVal($A$1,AA257,"Price")*(_xll.qwBondSettle($A$1,AA257)-_xll.qwBondSettle($A$4,AA257))/360))+O257,0)</f>
        <v>0</v>
      </c>
      <c r="AC257" s="9" cm="1">
        <f t="array" ref="AC257">O257+T257+IF(ISNUMBER(_xll.qwIncome($A$1,F257,_xll.qwSettle($A$4,F257),_xll.qwSettle($A$1,F257))*_xll.qwMVFactor($A$1,F257)*_xll.qwFXRate($A$1,F257)*I257),_xll.qwIncome($A$1,F257,_xll.qwSettle($A$4,F257),_xll.qwSettle($A$1,F257))*_xll.qwMVFactor($A$1,F257)*_xll.qwFXRate($A$1,F257)*I257,0)+IF(ISNUMBER(-(_xll.qwBondRepoFromTo($A$1,F257,_xll.qwSettle($A$4,F257),_xll.qwSettle($A$1,F257))*_xll.qwSecVal($A$1,F257,"Price")*(_xll.qwSettle($A$1,F257)-_xll.qwSettle($A$4,F257))/360)*_xll.qwMVFactor($A$1,F257)*_xll.qwFXRate($A$1,F257)*I257),-(_xll.qwBondRepoFromTo($A$1,F257,_xll.qwSettle($A$4,F257),_xll.qwSettle($A$1,F257))*_xll.qwSecVal($A$1,F257,"Price")*(_xll.qwSettle($A$1,F257)-_xll.qwSettle($A$4,F257))/360)*_xll.qwMVFactor($A$1,F257)*_xll.qwFXRate($A$1,F257)*I257,0)</f>
        <v>19116.952278486802</v>
      </c>
      <c r="AD257" s="6"/>
    </row>
    <row r="258" spans="2:30" s="19" customFormat="1" x14ac:dyDescent="0.35">
      <c r="B258" s="19" t="str">
        <v>jcleary</v>
      </c>
      <c r="C258" s="19" t="str">
        <v>PPA</v>
      </c>
      <c r="D258" s="19" t="str">
        <v>jcleary|PPA|RV_US_Spreads_SpreadCurve|251007587</v>
      </c>
      <c r="E258" s="19" t="str">
        <v>RV_US_Spreads_SpreadCurve</v>
      </c>
      <c r="F258" s="19" t="str">
        <v>251007587</v>
      </c>
      <c r="G258" s="19">
        <v>204.5</v>
      </c>
      <c r="H258" s="19">
        <v>0</v>
      </c>
      <c r="I258" s="19">
        <v>204.5</v>
      </c>
      <c r="J258" s="19">
        <v>0</v>
      </c>
      <c r="K258" s="19">
        <v>0</v>
      </c>
      <c r="L258" s="19">
        <v>0</v>
      </c>
      <c r="M258" s="19">
        <v>0</v>
      </c>
      <c r="N258" s="19" t="str">
        <v>SwapTrade</v>
      </c>
      <c r="O258" s="6" cm="1">
        <f t="array" ref="O258">(_xll.qwPrice($A$1,F258)-_xll.qwPrice($A$4,F258))*_xll.qwMVFactor($A$1,F258)*I258*_xll.qwFXRate($A$1,F258)</f>
        <v>-19324.854327447774</v>
      </c>
      <c r="P258" s="6" cm="1">
        <f t="array" ref="P258">IF(ISNUMBER(_xll.qwDV01($A$1,F258)*I258*_xll.qwMVFactor($A$1,F258)*_xll.qwFXRate($A$1,F258)),_xll.qwDV01($A$1,F258)*I258*_xll.qwMVFactor($A$1,F258)*_xll.qwFXRate($A$1,F258),0)</f>
        <v>-53434.172162108269</v>
      </c>
      <c r="Q258" s="6" cm="1">
        <f t="array" ref="Q258">IF(ISNUMBER(_xll.qwDV01($A$1,F258)*G258*_xll.qwMVFactor($A$1,F258)*_xll.qwFXRate($A$1,F258)),_xll.qwDV01($A$1,F258)*G258*_xll.qwMVFactor($A$1,F258)*_xll.qwFXRate($A$1,F258),0)</f>
        <v>-53434.172162108269</v>
      </c>
      <c r="R258" s="6" cm="1">
        <f t="array" ref="R258">IF(ISNUMBER(_xll.qwDV01($A$1,F258)*J258*_xll.qwMVFactor($A$1,F258)*_xll.qwFXRate($A$1,F258)),_xll.qwDV01($A$1,F258)*J258*_xll.qwMVFactor($A$1,F258)*_xll.qwFXRate($A$1,F258),0)</f>
        <v>0</v>
      </c>
      <c r="S258" s="6" cm="1">
        <f t="array" ref="S258">IF(ISNUMBER(_xll.qwDV01($A$1,F258)*J258*_xll.qwMVFactor($A$1,F258)*_xll.qwFXRate($A$1,F258)),_xll.qwDV01($A$1,F258)*J258*_xll.qwMVFactor($A$1,F258)*_xll.qwFXRate($A$1,F258),0)</f>
        <v>0</v>
      </c>
      <c r="T258" s="6" cm="1">
        <f t="array" ref="T258">_xll.qwFXRate($A$1,F258)*J258*(_xll.qwPrice($A$1,F258)-M258)*_xll.qwMVFactor($A$1,F258)+L258</f>
        <v>0</v>
      </c>
      <c r="U258" s="8" cm="1">
        <f t="array" ref="U258">_xll.qwYield($A$1,F258)</f>
        <v>4.6920273505089038E-2</v>
      </c>
      <c r="V258" s="8" cm="1">
        <f t="array" ref="V258">100*(_xll.qwYield($A$4,F258)-U258)</f>
        <v>3.0252290158870598E-3</v>
      </c>
      <c r="W258" s="6">
        <f>IF(ISNA(G258*INDEX(_xll.qwTblData(_xll.qwCurveScenariosPerSecurity($A$1,F258,"Crv210")),2,2)),0,(G258*INDEX(_xll.qwTblData(_xll.qwCurveScenariosPerSecurity($A$1,F258,"Crv210")),2,2)))</f>
        <v>-21194.729918533238</v>
      </c>
      <c r="X258" s="6" cm="1">
        <f t="array" ref="X258">ABS(Q258/_xll.qwMV01($A$1,"CT10"))</f>
        <v>71.932603756711984</v>
      </c>
      <c r="Y258" s="6" cm="1">
        <f t="array" ref="Y258">IF(N258="BondFuture",-(_xll.qwCurveYield($A$1,_xll.qwSecVal($A$1,AA258,"CreditCurveName()"),AA258)-_xll.qwCurveYield($A$4,_xll.qwSecVal($A$4,AA258,"CreditCurveName()"),AA258))*P258*10000,IF(N258="Bond",-(_xll.qwCurveYield($A$1,_xll.qwSecVal($A$1,F258,"CreditCurveName()"),F258)-_xll.qwCurveYield($A$4,_xll.qwSecVal($A$4,F258,"CreditCurveName()"),F258))*P258*10000,O258))</f>
        <v>-19324.854327447774</v>
      </c>
      <c r="Z258" s="6" cm="1">
        <f t="array" ref="Z258">IF(OR(N258="BondFuture",N258="Bond"),P258*(_xll.qwCurveZSpread($A$4,_xll.qwSecVal($A$1,AA258,"CreditCurveName()"),AA258)-_xll.qwCurveZSpread($A$1,_xll.qwSecVal($A$1,AA258,"CreditCurveName()"),AA258)),0)</f>
        <v>0</v>
      </c>
      <c r="AA258" s="9" cm="1">
        <f t="array" ref="AA258">IF(_xll.qwSecType(F258)="Bond",F258,IF(_xll.qwSecType(F258)="BondFuture",_xll.qwFutCTD($A$1,F258),0))</f>
        <v>0</v>
      </c>
      <c r="AB258" s="6" cm="1">
        <f t="array" ref="AB258">IF(_xll.qwSecType(F258)="BondFuture",-(I258*_xll.qwDelta($A$4,F258)*_xll.qwMVFactor($A$1,F258)/_xll.qwMVFactor($A$1,_xll.qwFutCTD($A$1,F258)))*(_xll.qwFXRate($A$1,F258)*_xll.qwMVFactor($A$1,_xll.qwFutCTD($A$1,F258))*(_xll.qwIncome($A$4,_xll.qwFutCTD($A$4,F258),_xll.qwBondSettle($A$4,_xll.qwFutCTD($A$4,F258)),_xll.qwBondSettle($A$1,_xll.qwFutCTD($A$1,F258)))+(_xll.qwSecVal($A$1,AA258,"Price")-_xll.qwSecVal($A$4,AA258,"Price"))-_xll.qwBondRepoFromTo($A$1,AA258,_xll.qwBondSettle($A$4,AA258),_xll.qwBondSettle($A$1,AA258))*_xll.qwSecVal($A$1,AA258,"Price")*(_xll.qwBondSettle($A$1,AA258)-_xll.qwBondSettle($A$4,AA258))/360))+O258,0)</f>
        <v>0</v>
      </c>
      <c r="AC258" s="9" cm="1">
        <f t="array" ref="AC258">O258+T258+IF(ISNUMBER(_xll.qwIncome($A$1,F258,_xll.qwSettle($A$4,F258),_xll.qwSettle($A$1,F258))*_xll.qwMVFactor($A$1,F258)*_xll.qwFXRate($A$1,F258)*I258),_xll.qwIncome($A$1,F258,_xll.qwSettle($A$4,F258),_xll.qwSettle($A$1,F258))*_xll.qwMVFactor($A$1,F258)*_xll.qwFXRate($A$1,F258)*I258,0)+IF(ISNUMBER(-(_xll.qwBondRepoFromTo($A$1,F258,_xll.qwSettle($A$4,F258),_xll.qwSettle($A$1,F258))*_xll.qwSecVal($A$1,F258,"Price")*(_xll.qwSettle($A$1,F258)-_xll.qwSettle($A$4,F258))/360)*_xll.qwMVFactor($A$1,F258)*_xll.qwFXRate($A$1,F258)*I258),-(_xll.qwBondRepoFromTo($A$1,F258,_xll.qwSettle($A$4,F258),_xll.qwSettle($A$1,F258))*_xll.qwSecVal($A$1,F258,"Price")*(_xll.qwSettle($A$1,F258)-_xll.qwSettle($A$4,F258))/360)*_xll.qwMVFactor($A$1,F258)*_xll.qwFXRate($A$1,F258)*I258,0)</f>
        <v>-19324.854327447774</v>
      </c>
      <c r="AD258" s="6"/>
    </row>
    <row r="259" spans="2:30" s="19" customFormat="1" x14ac:dyDescent="0.35">
      <c r="B259" s="19" t="str">
        <v>jcleary</v>
      </c>
      <c r="C259" s="19" t="str">
        <v>PPA</v>
      </c>
      <c r="D259" s="19" t="str">
        <v>jcleary|PPA|RV_US_Spreads_SpreadCurve|252245067</v>
      </c>
      <c r="E259" s="19" t="str">
        <v>RV_US_Spreads_SpreadCurve</v>
      </c>
      <c r="F259" s="19" t="str">
        <v>252245067</v>
      </c>
      <c r="G259" s="19">
        <v>71.2</v>
      </c>
      <c r="H259" s="19">
        <v>0</v>
      </c>
      <c r="I259" s="19">
        <v>71.2</v>
      </c>
      <c r="J259" s="19">
        <v>0</v>
      </c>
      <c r="K259" s="19">
        <v>0</v>
      </c>
      <c r="L259" s="19">
        <v>0</v>
      </c>
      <c r="M259" s="19">
        <v>0</v>
      </c>
      <c r="N259" s="19" t="str">
        <v>SwapTrade</v>
      </c>
      <c r="O259" s="6" cm="1">
        <f t="array" ref="O259">(_xll.qwPrice($A$1,F259)-_xll.qwPrice($A$4,F259))*_xll.qwMVFactor($A$1,F259)*I259*_xll.qwFXRate($A$1,F259)</f>
        <v>107316.53668853515</v>
      </c>
      <c r="P259" s="6" cm="1">
        <f t="array" ref="P259">IF(ISNUMBER(_xll.qwDV01($A$1,F259)*I259*_xll.qwMVFactor($A$1,F259)*_xll.qwFXRate($A$1,F259)),_xll.qwDV01($A$1,F259)*I259*_xll.qwMVFactor($A$1,F259)*_xll.qwFXRate($A$1,F259),0)</f>
        <v>54691.241609506396</v>
      </c>
      <c r="Q259" s="6" cm="1">
        <f t="array" ref="Q259">IF(ISNUMBER(_xll.qwDV01($A$1,F259)*G259*_xll.qwMVFactor($A$1,F259)*_xll.qwFXRate($A$1,F259)),_xll.qwDV01($A$1,F259)*G259*_xll.qwMVFactor($A$1,F259)*_xll.qwFXRate($A$1,F259),0)</f>
        <v>54691.241609506396</v>
      </c>
      <c r="R259" s="6" cm="1">
        <f t="array" ref="R259">IF(ISNUMBER(_xll.qwDV01($A$1,F259)*J259*_xll.qwMVFactor($A$1,F259)*_xll.qwFXRate($A$1,F259)),_xll.qwDV01($A$1,F259)*J259*_xll.qwMVFactor($A$1,F259)*_xll.qwFXRate($A$1,F259),0)</f>
        <v>0</v>
      </c>
      <c r="S259" s="6" cm="1">
        <f t="array" ref="S259">IF(ISNUMBER(_xll.qwDV01($A$1,F259)*J259*_xll.qwMVFactor($A$1,F259)*_xll.qwFXRate($A$1,F259)),_xll.qwDV01($A$1,F259)*J259*_xll.qwMVFactor($A$1,F259)*_xll.qwFXRate($A$1,F259),0)</f>
        <v>0</v>
      </c>
      <c r="T259" s="6" cm="1">
        <f t="array" ref="T259">_xll.qwFXRate($A$1,F259)*J259*(_xll.qwPrice($A$1,F259)-M259)*_xll.qwMVFactor($A$1,F259)+L259</f>
        <v>0</v>
      </c>
      <c r="U259" s="8" cm="1">
        <f t="array" ref="U259">_xll.qwYield($A$1,F259)</f>
        <v>4.797921380245114E-2</v>
      </c>
      <c r="V259" s="8" cm="1">
        <f t="array" ref="V259">100*(_xll.qwYield($A$4,F259)-U259)</f>
        <v>1.9357502412116478E-2</v>
      </c>
      <c r="W259" s="6">
        <f>IF(ISNA(G259*INDEX(_xll.qwTblData(_xll.qwCurveScenariosPerSecurity($A$1,F259,"Crv210")),2,2)),0,(G259*INDEX(_xll.qwTblData(_xll.qwCurveScenariosPerSecurity($A$1,F259,"Crv210")),2,2)))</f>
        <v>-26791.238638562158</v>
      </c>
      <c r="X259" s="6" cm="1">
        <f t="array" ref="X259">ABS(Q259/_xll.qwMV01($A$1,"CT10"))</f>
        <v>73.62485938256934</v>
      </c>
      <c r="Y259" s="6" cm="1">
        <f t="array" ref="Y259">IF(N259="BondFuture",-(_xll.qwCurveYield($A$1,_xll.qwSecVal($A$1,AA259,"CreditCurveName()"),AA259)-_xll.qwCurveYield($A$4,_xll.qwSecVal($A$4,AA259,"CreditCurveName()"),AA259))*P259*10000,IF(N259="Bond",-(_xll.qwCurveYield($A$1,_xll.qwSecVal($A$1,F259,"CreditCurveName()"),F259)-_xll.qwCurveYield($A$4,_xll.qwSecVal($A$4,F259,"CreditCurveName()"),F259))*P259*10000,O259))</f>
        <v>107316.53668853515</v>
      </c>
      <c r="Z259" s="6" cm="1">
        <f t="array" ref="Z259">IF(OR(N259="BondFuture",N259="Bond"),P259*(_xll.qwCurveZSpread($A$4,_xll.qwSecVal($A$1,AA259,"CreditCurveName()"),AA259)-_xll.qwCurveZSpread($A$1,_xll.qwSecVal($A$1,AA259,"CreditCurveName()"),AA259)),0)</f>
        <v>0</v>
      </c>
      <c r="AA259" s="9" cm="1">
        <f t="array" ref="AA259">IF(_xll.qwSecType(F259)="Bond",F259,IF(_xll.qwSecType(F259)="BondFuture",_xll.qwFutCTD($A$1,F259),0))</f>
        <v>0</v>
      </c>
      <c r="AB259" s="6" cm="1">
        <f t="array" ref="AB259">IF(_xll.qwSecType(F259)="BondFuture",-(I259*_xll.qwDelta($A$4,F259)*_xll.qwMVFactor($A$1,F259)/_xll.qwMVFactor($A$1,_xll.qwFutCTD($A$1,F259)))*(_xll.qwFXRate($A$1,F259)*_xll.qwMVFactor($A$1,_xll.qwFutCTD($A$1,F259))*(_xll.qwIncome($A$4,_xll.qwFutCTD($A$4,F259),_xll.qwBondSettle($A$4,_xll.qwFutCTD($A$4,F259)),_xll.qwBondSettle($A$1,_xll.qwFutCTD($A$1,F259)))+(_xll.qwSecVal($A$1,AA259,"Price")-_xll.qwSecVal($A$4,AA259,"Price"))-_xll.qwBondRepoFromTo($A$1,AA259,_xll.qwBondSettle($A$4,AA259),_xll.qwBondSettle($A$1,AA259))*_xll.qwSecVal($A$1,AA259,"Price")*(_xll.qwBondSettle($A$1,AA259)-_xll.qwBondSettle($A$4,AA259))/360))+O259,0)</f>
        <v>0</v>
      </c>
      <c r="AC259" s="9" cm="1">
        <f t="array" ref="AC259">O259+T259+IF(ISNUMBER(_xll.qwIncome($A$1,F259,_xll.qwSettle($A$4,F259),_xll.qwSettle($A$1,F259))*_xll.qwMVFactor($A$1,F259)*_xll.qwFXRate($A$1,F259)*I259),_xll.qwIncome($A$1,F259,_xll.qwSettle($A$4,F259),_xll.qwSettle($A$1,F259))*_xll.qwMVFactor($A$1,F259)*_xll.qwFXRate($A$1,F259)*I259,0)+IF(ISNUMBER(-(_xll.qwBondRepoFromTo($A$1,F259,_xll.qwSettle($A$4,F259),_xll.qwSettle($A$1,F259))*_xll.qwSecVal($A$1,F259,"Price")*(_xll.qwSettle($A$1,F259)-_xll.qwSettle($A$4,F259))/360)*_xll.qwMVFactor($A$1,F259)*_xll.qwFXRate($A$1,F259)*I259),-(_xll.qwBondRepoFromTo($A$1,F259,_xll.qwSettle($A$4,F259),_xll.qwSettle($A$1,F259))*_xll.qwSecVal($A$1,F259,"Price")*(_xll.qwSettle($A$1,F259)-_xll.qwSettle($A$4,F259))/360)*_xll.qwMVFactor($A$1,F259)*_xll.qwFXRate($A$1,F259)*I259,0)</f>
        <v>107316.53668853515</v>
      </c>
      <c r="AD259" s="6"/>
    </row>
    <row r="260" spans="2:30" s="19" customFormat="1" x14ac:dyDescent="0.35">
      <c r="B260" s="19" t="str">
        <v>jcleary</v>
      </c>
      <c r="C260" s="19" t="str">
        <v>PPA</v>
      </c>
      <c r="D260" s="19" t="str">
        <v>jcleary|PPA|RV_US_Spreads_SpreadCurve|252970450</v>
      </c>
      <c r="E260" s="19" t="str">
        <v>RV_US_Spreads_SpreadCurve</v>
      </c>
      <c r="F260" s="19" t="str">
        <v>252970450</v>
      </c>
      <c r="G260" s="19">
        <v>86.6</v>
      </c>
      <c r="H260" s="19">
        <v>0</v>
      </c>
      <c r="I260" s="19">
        <v>86.6</v>
      </c>
      <c r="J260" s="19">
        <v>0</v>
      </c>
      <c r="K260" s="19">
        <v>0</v>
      </c>
      <c r="L260" s="19">
        <v>0</v>
      </c>
      <c r="M260" s="19">
        <v>0</v>
      </c>
      <c r="N260" s="19" t="str">
        <v>SwapTrade</v>
      </c>
      <c r="O260" s="6" cm="1">
        <f t="array" ref="O260">(_xll.qwPrice($A$1,F260)-_xll.qwPrice($A$4,F260))*_xll.qwMVFactor($A$1,F260)*I260*_xll.qwFXRate($A$1,F260)</f>
        <v>-34978.576964112079</v>
      </c>
      <c r="P260" s="6" cm="1">
        <f t="array" ref="P260">IF(ISNUMBER(_xll.qwDV01($A$1,F260)*I260*_xll.qwMVFactor($A$1,F260)*_xll.qwFXRate($A$1,F260)),_xll.qwDV01($A$1,F260)*I260*_xll.qwMVFactor($A$1,F260)*_xll.qwFXRate($A$1,F260),0)</f>
        <v>-37381.527740031248</v>
      </c>
      <c r="Q260" s="6" cm="1">
        <f t="array" ref="Q260">IF(ISNUMBER(_xll.qwDV01($A$1,F260)*G260*_xll.qwMVFactor($A$1,F260)*_xll.qwFXRate($A$1,F260)),_xll.qwDV01($A$1,F260)*G260*_xll.qwMVFactor($A$1,F260)*_xll.qwFXRate($A$1,F260),0)</f>
        <v>-37381.527740031248</v>
      </c>
      <c r="R260" s="6" cm="1">
        <f t="array" ref="R260">IF(ISNUMBER(_xll.qwDV01($A$1,F260)*J260*_xll.qwMVFactor($A$1,F260)*_xll.qwFXRate($A$1,F260)),_xll.qwDV01($A$1,F260)*J260*_xll.qwMVFactor($A$1,F260)*_xll.qwFXRate($A$1,F260),0)</f>
        <v>0</v>
      </c>
      <c r="S260" s="6" cm="1">
        <f t="array" ref="S260">IF(ISNUMBER(_xll.qwDV01($A$1,F260)*J260*_xll.qwMVFactor($A$1,F260)*_xll.qwFXRate($A$1,F260)),_xll.qwDV01($A$1,F260)*J260*_xll.qwMVFactor($A$1,F260)*_xll.qwFXRate($A$1,F260),0)</f>
        <v>0</v>
      </c>
      <c r="T260" s="6" cm="1">
        <f t="array" ref="T260">_xll.qwFXRate($A$1,F260)*J260*(_xll.qwPrice($A$1,F260)-M260)*_xll.qwMVFactor($A$1,F260)+L260</f>
        <v>0</v>
      </c>
      <c r="U260" s="8" cm="1">
        <f t="array" ref="U260">_xll.qwYield($A$1,F260)</f>
        <v>4.710832052552244E-2</v>
      </c>
      <c r="V260" s="8" cm="1">
        <f t="array" ref="V260">100*(_xll.qwYield($A$4,F260)-U260)</f>
        <v>8.990898775992906E-3</v>
      </c>
      <c r="W260" s="6">
        <f>IF(ISNA(G260*INDEX(_xll.qwTblData(_xll.qwCurveScenariosPerSecurity($A$1,F260,"Crv210")),2,2)),0,(G260*INDEX(_xll.qwTblData(_xll.qwCurveScenariosPerSecurity($A$1,F260,"Crv210")),2,2)))</f>
        <v>-5233.3945651537479</v>
      </c>
      <c r="X260" s="6" cm="1">
        <f t="array" ref="X260">ABS(Q260/_xll.qwMV01($A$1,"CT10"))</f>
        <v>50.322677678742416</v>
      </c>
      <c r="Y260" s="6" cm="1">
        <f t="array" ref="Y260">IF(N260="BondFuture",-(_xll.qwCurveYield($A$1,_xll.qwSecVal($A$1,AA260,"CreditCurveName()"),AA260)-_xll.qwCurveYield($A$4,_xll.qwSecVal($A$4,AA260,"CreditCurveName()"),AA260))*P260*10000,IF(N260="Bond",-(_xll.qwCurveYield($A$1,_xll.qwSecVal($A$1,F260,"CreditCurveName()"),F260)-_xll.qwCurveYield($A$4,_xll.qwSecVal($A$4,F260,"CreditCurveName()"),F260))*P260*10000,O260))</f>
        <v>-34978.576964112079</v>
      </c>
      <c r="Z260" s="6" cm="1">
        <f t="array" ref="Z260">IF(OR(N260="BondFuture",N260="Bond"),P260*(_xll.qwCurveZSpread($A$4,_xll.qwSecVal($A$1,AA260,"CreditCurveName()"),AA260)-_xll.qwCurveZSpread($A$1,_xll.qwSecVal($A$1,AA260,"CreditCurveName()"),AA260)),0)</f>
        <v>0</v>
      </c>
      <c r="AA260" s="9" cm="1">
        <f t="array" ref="AA260">IF(_xll.qwSecType(F260)="Bond",F260,IF(_xll.qwSecType(F260)="BondFuture",_xll.qwFutCTD($A$1,F260),0))</f>
        <v>0</v>
      </c>
      <c r="AB260" s="6" cm="1">
        <f t="array" ref="AB260">IF(_xll.qwSecType(F260)="BondFuture",-(I260*_xll.qwDelta($A$4,F260)*_xll.qwMVFactor($A$1,F260)/_xll.qwMVFactor($A$1,_xll.qwFutCTD($A$1,F260)))*(_xll.qwFXRate($A$1,F260)*_xll.qwMVFactor($A$1,_xll.qwFutCTD($A$1,F260))*(_xll.qwIncome($A$4,_xll.qwFutCTD($A$4,F260),_xll.qwBondSettle($A$4,_xll.qwFutCTD($A$4,F260)),_xll.qwBondSettle($A$1,_xll.qwFutCTD($A$1,F260)))+(_xll.qwSecVal($A$1,AA260,"Price")-_xll.qwSecVal($A$4,AA260,"Price"))-_xll.qwBondRepoFromTo($A$1,AA260,_xll.qwBondSettle($A$4,AA260),_xll.qwBondSettle($A$1,AA260))*_xll.qwSecVal($A$1,AA260,"Price")*(_xll.qwBondSettle($A$1,AA260)-_xll.qwBondSettle($A$4,AA260))/360))+O260,0)</f>
        <v>0</v>
      </c>
      <c r="AC260" s="9" cm="1">
        <f t="array" ref="AC260">O260+T260+IF(ISNUMBER(_xll.qwIncome($A$1,F260,_xll.qwSettle($A$4,F260),_xll.qwSettle($A$1,F260))*_xll.qwMVFactor($A$1,F260)*_xll.qwFXRate($A$1,F260)*I260),_xll.qwIncome($A$1,F260,_xll.qwSettle($A$4,F260),_xll.qwSettle($A$1,F260))*_xll.qwMVFactor($A$1,F260)*_xll.qwFXRate($A$1,F260)*I260,0)+IF(ISNUMBER(-(_xll.qwBondRepoFromTo($A$1,F260,_xll.qwSettle($A$4,F260),_xll.qwSettle($A$1,F260))*_xll.qwSecVal($A$1,F260,"Price")*(_xll.qwSettle($A$1,F260)-_xll.qwSettle($A$4,F260))/360)*_xll.qwMVFactor($A$1,F260)*_xll.qwFXRate($A$1,F260)*I260),-(_xll.qwBondRepoFromTo($A$1,F260,_xll.qwSettle($A$4,F260),_xll.qwSettle($A$1,F260))*_xll.qwSecVal($A$1,F260,"Price")*(_xll.qwSettle($A$1,F260)-_xll.qwSettle($A$4,F260))/360)*_xll.qwMVFactor($A$1,F260)*_xll.qwFXRate($A$1,F260)*I260,0)</f>
        <v>-34978.576964112079</v>
      </c>
      <c r="AD260" s="6"/>
    </row>
    <row r="261" spans="2:30" s="19" customFormat="1" x14ac:dyDescent="0.35">
      <c r="B261" s="19" t="str">
        <v>jcleary</v>
      </c>
      <c r="C261" s="19" t="str">
        <v>PPA</v>
      </c>
      <c r="D261" s="19" t="str">
        <v>jcleary|PPA|RV_US_Spreads_SpreadCurve|253062033</v>
      </c>
      <c r="E261" s="19" t="str">
        <v>RV_US_Spreads_SpreadCurve</v>
      </c>
      <c r="F261" s="19" t="str">
        <v>253062033</v>
      </c>
      <c r="G261" s="19">
        <v>86.7</v>
      </c>
      <c r="H261" s="19">
        <v>0</v>
      </c>
      <c r="I261" s="19">
        <v>86.7</v>
      </c>
      <c r="J261" s="19">
        <v>0</v>
      </c>
      <c r="K261" s="19">
        <v>0</v>
      </c>
      <c r="L261" s="19">
        <v>0</v>
      </c>
      <c r="M261" s="19">
        <v>0</v>
      </c>
      <c r="N261" s="19" t="str">
        <v>SwapTrade</v>
      </c>
      <c r="O261" s="6" cm="1">
        <f t="array" ref="O261">(_xll.qwPrice($A$1,F261)-_xll.qwPrice($A$4,F261))*_xll.qwMVFactor($A$1,F261)*I261*_xll.qwFXRate($A$1,F261)</f>
        <v>-35024.355527216831</v>
      </c>
      <c r="P261" s="6" cm="1">
        <f t="array" ref="P261">IF(ISNUMBER(_xll.qwDV01($A$1,F261)*I261*_xll.qwMVFactor($A$1,F261)*_xll.qwFXRate($A$1,F261)),_xll.qwDV01($A$1,F261)*I261*_xll.qwMVFactor($A$1,F261)*_xll.qwFXRate($A$1,F261),0)</f>
        <v>-37427.715058766109</v>
      </c>
      <c r="Q261" s="6" cm="1">
        <f t="array" ref="Q261">IF(ISNUMBER(_xll.qwDV01($A$1,F261)*G261*_xll.qwMVFactor($A$1,F261)*_xll.qwFXRate($A$1,F261)),_xll.qwDV01($A$1,F261)*G261*_xll.qwMVFactor($A$1,F261)*_xll.qwFXRate($A$1,F261),0)</f>
        <v>-37427.715058766109</v>
      </c>
      <c r="R261" s="6" cm="1">
        <f t="array" ref="R261">IF(ISNUMBER(_xll.qwDV01($A$1,F261)*J261*_xll.qwMVFactor($A$1,F261)*_xll.qwFXRate($A$1,F261)),_xll.qwDV01($A$1,F261)*J261*_xll.qwMVFactor($A$1,F261)*_xll.qwFXRate($A$1,F261),0)</f>
        <v>0</v>
      </c>
      <c r="S261" s="6" cm="1">
        <f t="array" ref="S261">IF(ISNUMBER(_xll.qwDV01($A$1,F261)*J261*_xll.qwMVFactor($A$1,F261)*_xll.qwFXRate($A$1,F261)),_xll.qwDV01($A$1,F261)*J261*_xll.qwMVFactor($A$1,F261)*_xll.qwFXRate($A$1,F261),0)</f>
        <v>0</v>
      </c>
      <c r="T261" s="6" cm="1">
        <f t="array" ref="T261">_xll.qwFXRate($A$1,F261)*J261*(_xll.qwPrice($A$1,F261)-M261)*_xll.qwMVFactor($A$1,F261)+L261</f>
        <v>0</v>
      </c>
      <c r="U261" s="8" cm="1">
        <f t="array" ref="U261">_xll.qwYield($A$1,F261)</f>
        <v>4.710832052552244E-2</v>
      </c>
      <c r="V261" s="8" cm="1">
        <f t="array" ref="V261">100*(_xll.qwYield($A$4,F261)-U261)</f>
        <v>8.990898775992906E-3</v>
      </c>
      <c r="W261" s="6">
        <f>IF(ISNA(G261*INDEX(_xll.qwTblData(_xll.qwCurveScenariosPerSecurity($A$1,F261,"Crv210")),2,2)),0,(G261*INDEX(_xll.qwTblData(_xll.qwCurveScenariosPerSecurity($A$1,F261,"Crv210")),2,2)))</f>
        <v>-5240.0337467067184</v>
      </c>
      <c r="X261" s="6" cm="1">
        <f t="array" ref="X261">ABS(Q261/_xll.qwMV01($A$1,"CT10"))</f>
        <v>50.38485463335229</v>
      </c>
      <c r="Y261" s="6" cm="1">
        <f t="array" ref="Y261">IF(N261="BondFuture",-(_xll.qwCurveYield($A$1,_xll.qwSecVal($A$1,AA261,"CreditCurveName()"),AA261)-_xll.qwCurveYield($A$4,_xll.qwSecVal($A$4,AA261,"CreditCurveName()"),AA261))*P261*10000,IF(N261="Bond",-(_xll.qwCurveYield($A$1,_xll.qwSecVal($A$1,F261,"CreditCurveName()"),F261)-_xll.qwCurveYield($A$4,_xll.qwSecVal($A$4,F261,"CreditCurveName()"),F261))*P261*10000,O261))</f>
        <v>-35024.355527216831</v>
      </c>
      <c r="Z261" s="6" cm="1">
        <f t="array" ref="Z261">IF(OR(N261="BondFuture",N261="Bond"),P261*(_xll.qwCurveZSpread($A$4,_xll.qwSecVal($A$1,AA261,"CreditCurveName()"),AA261)-_xll.qwCurveZSpread($A$1,_xll.qwSecVal($A$1,AA261,"CreditCurveName()"),AA261)),0)</f>
        <v>0</v>
      </c>
      <c r="AA261" s="9" cm="1">
        <f t="array" ref="AA261">IF(_xll.qwSecType(F261)="Bond",F261,IF(_xll.qwSecType(F261)="BondFuture",_xll.qwFutCTD($A$1,F261),0))</f>
        <v>0</v>
      </c>
      <c r="AB261" s="6" cm="1">
        <f t="array" ref="AB261">IF(_xll.qwSecType(F261)="BondFuture",-(I261*_xll.qwDelta($A$4,F261)*_xll.qwMVFactor($A$1,F261)/_xll.qwMVFactor($A$1,_xll.qwFutCTD($A$1,F261)))*(_xll.qwFXRate($A$1,F261)*_xll.qwMVFactor($A$1,_xll.qwFutCTD($A$1,F261))*(_xll.qwIncome($A$4,_xll.qwFutCTD($A$4,F261),_xll.qwBondSettle($A$4,_xll.qwFutCTD($A$4,F261)),_xll.qwBondSettle($A$1,_xll.qwFutCTD($A$1,F261)))+(_xll.qwSecVal($A$1,AA261,"Price")-_xll.qwSecVal($A$4,AA261,"Price"))-_xll.qwBondRepoFromTo($A$1,AA261,_xll.qwBondSettle($A$4,AA261),_xll.qwBondSettle($A$1,AA261))*_xll.qwSecVal($A$1,AA261,"Price")*(_xll.qwBondSettle($A$1,AA261)-_xll.qwBondSettle($A$4,AA261))/360))+O261,0)</f>
        <v>0</v>
      </c>
      <c r="AC261" s="9" cm="1">
        <f t="array" ref="AC261">O261+T261+IF(ISNUMBER(_xll.qwIncome($A$1,F261,_xll.qwSettle($A$4,F261),_xll.qwSettle($A$1,F261))*_xll.qwMVFactor($A$1,F261)*_xll.qwFXRate($A$1,F261)*I261),_xll.qwIncome($A$1,F261,_xll.qwSettle($A$4,F261),_xll.qwSettle($A$1,F261))*_xll.qwMVFactor($A$1,F261)*_xll.qwFXRate($A$1,F261)*I261,0)+IF(ISNUMBER(-(_xll.qwBondRepoFromTo($A$1,F261,_xll.qwSettle($A$4,F261),_xll.qwSettle($A$1,F261))*_xll.qwSecVal($A$1,F261,"Price")*(_xll.qwSettle($A$1,F261)-_xll.qwSettle($A$4,F261))/360)*_xll.qwMVFactor($A$1,F261)*_xll.qwFXRate($A$1,F261)*I261),-(_xll.qwBondRepoFromTo($A$1,F261,_xll.qwSettle($A$4,F261),_xll.qwSettle($A$1,F261))*_xll.qwSecVal($A$1,F261,"Price")*(_xll.qwSettle($A$1,F261)-_xll.qwSettle($A$4,F261))/360)*_xll.qwMVFactor($A$1,F261)*_xll.qwFXRate($A$1,F261)*I261,0)</f>
        <v>-35024.355527216831</v>
      </c>
      <c r="AD261" s="6"/>
    </row>
    <row r="262" spans="2:30" s="19" customFormat="1" x14ac:dyDescent="0.35">
      <c r="B262" s="19" t="str">
        <v>jcleary</v>
      </c>
      <c r="C262" s="19" t="str">
        <v>PPA</v>
      </c>
      <c r="D262" s="19" t="str">
        <v>jcleary|PPA|RV_US_Spreads_SpreadCurve|253606809</v>
      </c>
      <c r="E262" s="19" t="str">
        <v>RV_US_Spreads_SpreadCurve</v>
      </c>
      <c r="F262" s="19" t="str">
        <v>253606809</v>
      </c>
      <c r="G262" s="19">
        <v>48.6</v>
      </c>
      <c r="H262" s="19">
        <v>0</v>
      </c>
      <c r="I262" s="19">
        <v>48.6</v>
      </c>
      <c r="J262" s="19">
        <v>0</v>
      </c>
      <c r="K262" s="19">
        <v>0</v>
      </c>
      <c r="L262" s="19">
        <v>0</v>
      </c>
      <c r="M262" s="19">
        <v>0</v>
      </c>
      <c r="N262" s="19" t="str">
        <v>SwapTrade</v>
      </c>
      <c r="O262" s="6" cm="1">
        <f t="array" ref="O262">(_xll.qwPrice($A$1,F262)-_xll.qwPrice($A$4,F262))*_xll.qwMVFactor($A$1,F262)*I262*_xll.qwFXRate($A$1,F262)</f>
        <v>74328.454273060619</v>
      </c>
      <c r="P262" s="6" cm="1">
        <f t="array" ref="P262">IF(ISNUMBER(_xll.qwDV01($A$1,F262)*I262*_xll.qwMVFactor($A$1,F262)*_xll.qwFXRate($A$1,F262)),_xll.qwDV01($A$1,F262)*I262*_xll.qwMVFactor($A$1,F262)*_xll.qwFXRate($A$1,F262),0)</f>
        <v>37990.464089805493</v>
      </c>
      <c r="Q262" s="6" cm="1">
        <f t="array" ref="Q262">IF(ISNUMBER(_xll.qwDV01($A$1,F262)*G262*_xll.qwMVFactor($A$1,F262)*_xll.qwFXRate($A$1,F262)),_xll.qwDV01($A$1,F262)*G262*_xll.qwMVFactor($A$1,F262)*_xll.qwFXRate($A$1,F262),0)</f>
        <v>37990.464089805493</v>
      </c>
      <c r="R262" s="6" cm="1">
        <f t="array" ref="R262">IF(ISNUMBER(_xll.qwDV01($A$1,F262)*J262*_xll.qwMVFactor($A$1,F262)*_xll.qwFXRate($A$1,F262)),_xll.qwDV01($A$1,F262)*J262*_xll.qwMVFactor($A$1,F262)*_xll.qwFXRate($A$1,F262),0)</f>
        <v>0</v>
      </c>
      <c r="S262" s="6" cm="1">
        <f t="array" ref="S262">IF(ISNUMBER(_xll.qwDV01($A$1,F262)*J262*_xll.qwMVFactor($A$1,F262)*_xll.qwFXRate($A$1,F262)),_xll.qwDV01($A$1,F262)*J262*_xll.qwMVFactor($A$1,F262)*_xll.qwFXRate($A$1,F262),0)</f>
        <v>0</v>
      </c>
      <c r="T262" s="6" cm="1">
        <f t="array" ref="T262">_xll.qwFXRate($A$1,F262)*J262*(_xll.qwPrice($A$1,F262)-M262)*_xll.qwMVFactor($A$1,F262)+L262</f>
        <v>0</v>
      </c>
      <c r="U262" s="8" cm="1">
        <f t="array" ref="U262">_xll.qwYield($A$1,F262)</f>
        <v>4.797921380245114E-2</v>
      </c>
      <c r="V262" s="8" cm="1">
        <f t="array" ref="V262">100*(_xll.qwYield($A$4,F262)-U262)</f>
        <v>1.9357502412116478E-2</v>
      </c>
      <c r="W262" s="6">
        <f>IF(ISNA(G262*INDEX(_xll.qwTblData(_xll.qwCurveScenariosPerSecurity($A$1,F262,"Crv210")),2,2)),0,(G262*INDEX(_xll.qwTblData(_xll.qwCurveScenariosPerSecurity($A$1,F262,"Crv210")),2,2)))</f>
        <v>-18380.069010410698</v>
      </c>
      <c r="X262" s="6" cm="1">
        <f t="array" ref="X262">ABS(Q262/_xll.qwMV01($A$1,"CT10"))</f>
        <v>51.142422336308769</v>
      </c>
      <c r="Y262" s="6" cm="1">
        <f t="array" ref="Y262">IF(N262="BondFuture",-(_xll.qwCurveYield($A$1,_xll.qwSecVal($A$1,AA262,"CreditCurveName()"),AA262)-_xll.qwCurveYield($A$4,_xll.qwSecVal($A$4,AA262,"CreditCurveName()"),AA262))*P262*10000,IF(N262="Bond",-(_xll.qwCurveYield($A$1,_xll.qwSecVal($A$1,F262,"CreditCurveName()"),F262)-_xll.qwCurveYield($A$4,_xll.qwSecVal($A$4,F262,"CreditCurveName()"),F262))*P262*10000,O262))</f>
        <v>74328.454273060619</v>
      </c>
      <c r="Z262" s="6" cm="1">
        <f t="array" ref="Z262">IF(OR(N262="BondFuture",N262="Bond"),P262*(_xll.qwCurveZSpread($A$4,_xll.qwSecVal($A$1,AA262,"CreditCurveName()"),AA262)-_xll.qwCurveZSpread($A$1,_xll.qwSecVal($A$1,AA262,"CreditCurveName()"),AA262)),0)</f>
        <v>0</v>
      </c>
      <c r="AA262" s="9" cm="1">
        <f t="array" ref="AA262">IF(_xll.qwSecType(F262)="Bond",F262,IF(_xll.qwSecType(F262)="BondFuture",_xll.qwFutCTD($A$1,F262),0))</f>
        <v>0</v>
      </c>
      <c r="AB262" s="6" cm="1">
        <f t="array" ref="AB262">IF(_xll.qwSecType(F262)="BondFuture",-(I262*_xll.qwDelta($A$4,F262)*_xll.qwMVFactor($A$1,F262)/_xll.qwMVFactor($A$1,_xll.qwFutCTD($A$1,F262)))*(_xll.qwFXRate($A$1,F262)*_xll.qwMVFactor($A$1,_xll.qwFutCTD($A$1,F262))*(_xll.qwIncome($A$4,_xll.qwFutCTD($A$4,F262),_xll.qwBondSettle($A$4,_xll.qwFutCTD($A$4,F262)),_xll.qwBondSettle($A$1,_xll.qwFutCTD($A$1,F262)))+(_xll.qwSecVal($A$1,AA262,"Price")-_xll.qwSecVal($A$4,AA262,"Price"))-_xll.qwBondRepoFromTo($A$1,AA262,_xll.qwBondSettle($A$4,AA262),_xll.qwBondSettle($A$1,AA262))*_xll.qwSecVal($A$1,AA262,"Price")*(_xll.qwBondSettle($A$1,AA262)-_xll.qwBondSettle($A$4,AA262))/360))+O262,0)</f>
        <v>0</v>
      </c>
      <c r="AC262" s="9" cm="1">
        <f t="array" ref="AC262">O262+T262+IF(ISNUMBER(_xll.qwIncome($A$1,F262,_xll.qwSettle($A$4,F262),_xll.qwSettle($A$1,F262))*_xll.qwMVFactor($A$1,F262)*_xll.qwFXRate($A$1,F262)*I262),_xll.qwIncome($A$1,F262,_xll.qwSettle($A$4,F262),_xll.qwSettle($A$1,F262))*_xll.qwMVFactor($A$1,F262)*_xll.qwFXRate($A$1,F262)*I262,0)+IF(ISNUMBER(-(_xll.qwBondRepoFromTo($A$1,F262,_xll.qwSettle($A$4,F262),_xll.qwSettle($A$1,F262))*_xll.qwSecVal($A$1,F262,"Price")*(_xll.qwSettle($A$1,F262)-_xll.qwSettle($A$4,F262))/360)*_xll.qwMVFactor($A$1,F262)*_xll.qwFXRate($A$1,F262)*I262),-(_xll.qwBondRepoFromTo($A$1,F262,_xll.qwSettle($A$4,F262),_xll.qwSettle($A$1,F262))*_xll.qwSecVal($A$1,F262,"Price")*(_xll.qwSettle($A$1,F262)-_xll.qwSettle($A$4,F262))/360)*_xll.qwMVFactor($A$1,F262)*_xll.qwFXRate($A$1,F262)*I262,0)</f>
        <v>74328.454273060619</v>
      </c>
      <c r="AD262" s="6"/>
    </row>
    <row r="263" spans="2:30" s="19" customFormat="1" x14ac:dyDescent="0.35">
      <c r="B263" s="19" t="str">
        <v>jcleary</v>
      </c>
      <c r="C263" s="19" t="str">
        <v>PPA</v>
      </c>
      <c r="D263" s="19" t="str">
        <v>jcleary|PPA|RV_US_Spreads_SpreadCurve|254398883</v>
      </c>
      <c r="E263" s="19" t="str">
        <v>RV_US_Spreads_SpreadCurve</v>
      </c>
      <c r="F263" s="19" t="str">
        <v>254398883</v>
      </c>
      <c r="G263" s="19">
        <v>51.2</v>
      </c>
      <c r="H263" s="19">
        <v>0</v>
      </c>
      <c r="I263" s="19">
        <v>51.2</v>
      </c>
      <c r="J263" s="19">
        <v>0</v>
      </c>
      <c r="K263" s="19">
        <v>0</v>
      </c>
      <c r="L263" s="19">
        <v>0</v>
      </c>
      <c r="M263" s="19">
        <v>0</v>
      </c>
      <c r="N263" s="19" t="str">
        <v>SwapTrade</v>
      </c>
      <c r="O263" s="6" cm="1">
        <f t="array" ref="O263">(_xll.qwPrice($A$1,F263)-_xll.qwPrice($A$4,F263))*_xll.qwMVFactor($A$1,F263)*I263*_xll.qwFXRate($A$1,F263)</f>
        <v>78289.534527819938</v>
      </c>
      <c r="P263" s="6" cm="1">
        <f t="array" ref="P263">IF(ISNUMBER(_xll.qwDV01($A$1,F263)*I263*_xll.qwMVFactor($A$1,F263)*_xll.qwFXRate($A$1,F263)),_xll.qwDV01($A$1,F263)*I263*_xll.qwMVFactor($A$1,F263)*_xll.qwFXRate($A$1,F263),0)</f>
        <v>38186.549753762782</v>
      </c>
      <c r="Q263" s="6" cm="1">
        <f t="array" ref="Q263">IF(ISNUMBER(_xll.qwDV01($A$1,F263)*G263*_xll.qwMVFactor($A$1,F263)*_xll.qwFXRate($A$1,F263)),_xll.qwDV01($A$1,F263)*G263*_xll.qwMVFactor($A$1,F263)*_xll.qwFXRate($A$1,F263),0)</f>
        <v>38186.549753762782</v>
      </c>
      <c r="R263" s="6" cm="1">
        <f t="array" ref="R263">IF(ISNUMBER(_xll.qwDV01($A$1,F263)*J263*_xll.qwMVFactor($A$1,F263)*_xll.qwFXRate($A$1,F263)),_xll.qwDV01($A$1,F263)*J263*_xll.qwMVFactor($A$1,F263)*_xll.qwFXRate($A$1,F263),0)</f>
        <v>0</v>
      </c>
      <c r="S263" s="6" cm="1">
        <f t="array" ref="S263">IF(ISNUMBER(_xll.qwDV01($A$1,F263)*J263*_xll.qwMVFactor($A$1,F263)*_xll.qwFXRate($A$1,F263)),_xll.qwDV01($A$1,F263)*J263*_xll.qwMVFactor($A$1,F263)*_xll.qwFXRate($A$1,F263),0)</f>
        <v>0</v>
      </c>
      <c r="T263" s="6" cm="1">
        <f t="array" ref="T263">_xll.qwFXRate($A$1,F263)*J263*(_xll.qwPrice($A$1,F263)-M263)*_xll.qwMVFactor($A$1,F263)+L263</f>
        <v>0</v>
      </c>
      <c r="U263" s="8" cm="1">
        <f t="array" ref="U263">_xll.qwYield($A$1,F263)</f>
        <v>4.8095064276649377E-2</v>
      </c>
      <c r="V263" s="8" cm="1">
        <f t="array" ref="V263">100*(_xll.qwYield($A$4,F263)-U263)</f>
        <v>2.0536310198508018E-2</v>
      </c>
      <c r="W263" s="6">
        <f>IF(ISNA(G263*INDEX(_xll.qwTblData(_xll.qwCurveScenariosPerSecurity($A$1,F263,"Crv210")),2,2)),0,(G263*INDEX(_xll.qwTblData(_xll.qwCurveScenariosPerSecurity($A$1,F263,"Crv210")),2,2)))</f>
        <v>-18533.559655159934</v>
      </c>
      <c r="X263" s="6" cm="1">
        <f t="array" ref="X263">ABS(Q263/_xll.qwMV01($A$1,"CT10"))</f>
        <v>51.406391100062045</v>
      </c>
      <c r="Y263" s="6" cm="1">
        <f t="array" ref="Y263">IF(N263="BondFuture",-(_xll.qwCurveYield($A$1,_xll.qwSecVal($A$1,AA263,"CreditCurveName()"),AA263)-_xll.qwCurveYield($A$4,_xll.qwSecVal($A$4,AA263,"CreditCurveName()"),AA263))*P263*10000,IF(N263="Bond",-(_xll.qwCurveYield($A$1,_xll.qwSecVal($A$1,F263,"CreditCurveName()"),F263)-_xll.qwCurveYield($A$4,_xll.qwSecVal($A$4,F263,"CreditCurveName()"),F263))*P263*10000,O263))</f>
        <v>78289.534527819938</v>
      </c>
      <c r="Z263" s="6" cm="1">
        <f t="array" ref="Z263">IF(OR(N263="BondFuture",N263="Bond"),P263*(_xll.qwCurveZSpread($A$4,_xll.qwSecVal($A$1,AA263,"CreditCurveName()"),AA263)-_xll.qwCurveZSpread($A$1,_xll.qwSecVal($A$1,AA263,"CreditCurveName()"),AA263)),0)</f>
        <v>0</v>
      </c>
      <c r="AA263" s="9" cm="1">
        <f t="array" ref="AA263">IF(_xll.qwSecType(F263)="Bond",F263,IF(_xll.qwSecType(F263)="BondFuture",_xll.qwFutCTD($A$1,F263),0))</f>
        <v>0</v>
      </c>
      <c r="AB263" s="6" cm="1">
        <f t="array" ref="AB263">IF(_xll.qwSecType(F263)="BondFuture",-(I263*_xll.qwDelta($A$4,F263)*_xll.qwMVFactor($A$1,F263)/_xll.qwMVFactor($A$1,_xll.qwFutCTD($A$1,F263)))*(_xll.qwFXRate($A$1,F263)*_xll.qwMVFactor($A$1,_xll.qwFutCTD($A$1,F263))*(_xll.qwIncome($A$4,_xll.qwFutCTD($A$4,F263),_xll.qwBondSettle($A$4,_xll.qwFutCTD($A$4,F263)),_xll.qwBondSettle($A$1,_xll.qwFutCTD($A$1,F263)))+(_xll.qwSecVal($A$1,AA263,"Price")-_xll.qwSecVal($A$4,AA263,"Price"))-_xll.qwBondRepoFromTo($A$1,AA263,_xll.qwBondSettle($A$4,AA263),_xll.qwBondSettle($A$1,AA263))*_xll.qwSecVal($A$1,AA263,"Price")*(_xll.qwBondSettle($A$1,AA263)-_xll.qwBondSettle($A$4,AA263))/360))+O263,0)</f>
        <v>0</v>
      </c>
      <c r="AC263" s="9" cm="1">
        <f t="array" ref="AC263">O263+T263+IF(ISNUMBER(_xll.qwIncome($A$1,F263,_xll.qwSettle($A$4,F263),_xll.qwSettle($A$1,F263))*_xll.qwMVFactor($A$1,F263)*_xll.qwFXRate($A$1,F263)*I263),_xll.qwIncome($A$1,F263,_xll.qwSettle($A$4,F263),_xll.qwSettle($A$1,F263))*_xll.qwMVFactor($A$1,F263)*_xll.qwFXRate($A$1,F263)*I263,0)+IF(ISNUMBER(-(_xll.qwBondRepoFromTo($A$1,F263,_xll.qwSettle($A$4,F263),_xll.qwSettle($A$1,F263))*_xll.qwSecVal($A$1,F263,"Price")*(_xll.qwSettle($A$1,F263)-_xll.qwSettle($A$4,F263))/360)*_xll.qwMVFactor($A$1,F263)*_xll.qwFXRate($A$1,F263)*I263),-(_xll.qwBondRepoFromTo($A$1,F263,_xll.qwSettle($A$4,F263),_xll.qwSettle($A$1,F263))*_xll.qwSecVal($A$1,F263,"Price")*(_xll.qwSettle($A$1,F263)-_xll.qwSettle($A$4,F263))/360)*_xll.qwMVFactor($A$1,F263)*_xll.qwFXRate($A$1,F263)*I263,0)</f>
        <v>78289.534527819938</v>
      </c>
      <c r="AD263" s="6"/>
    </row>
    <row r="264" spans="2:30" s="19" customFormat="1" x14ac:dyDescent="0.35">
      <c r="B264" s="19" t="str">
        <v>jcleary</v>
      </c>
      <c r="C264" s="19" t="str">
        <v>PPA</v>
      </c>
      <c r="D264" s="19" t="str">
        <v>jcleary|PPA|RV_US_Spreads_SpreadCurve|254651507</v>
      </c>
      <c r="E264" s="19" t="str">
        <v>RV_US_Spreads_SpreadCurve</v>
      </c>
      <c r="F264" s="19" t="str">
        <v>254651507</v>
      </c>
      <c r="G264" s="19">
        <v>129.69999999999999</v>
      </c>
      <c r="H264" s="19">
        <v>0</v>
      </c>
      <c r="I264" s="19">
        <v>129.69999999999999</v>
      </c>
      <c r="J264" s="19">
        <v>0</v>
      </c>
      <c r="K264" s="19">
        <v>0</v>
      </c>
      <c r="L264" s="19">
        <v>0</v>
      </c>
      <c r="M264" s="19">
        <v>0</v>
      </c>
      <c r="N264" s="19" t="str">
        <v>SwapTrade</v>
      </c>
      <c r="O264" s="6" cm="1">
        <f t="array" ref="O264">(_xll.qwPrice($A$1,F264)-_xll.qwPrice($A$4,F264))*_xll.qwMVFactor($A$1,F264)*I264*_xll.qwFXRate($A$1,F264)</f>
        <v>109790.20355653818</v>
      </c>
      <c r="P264" s="6" cm="1">
        <f t="array" ref="P264">IF(ISNUMBER(_xll.qwDV01($A$1,F264)*I264*_xll.qwMVFactor($A$1,F264)*_xll.qwFXRate($A$1,F264)),_xll.qwDV01($A$1,F264)*I264*_xll.qwMVFactor($A$1,F264)*_xll.qwFXRate($A$1,F264),0)</f>
        <v>57062.766206919463</v>
      </c>
      <c r="Q264" s="6" cm="1">
        <f t="array" ref="Q264">IF(ISNUMBER(_xll.qwDV01($A$1,F264)*G264*_xll.qwMVFactor($A$1,F264)*_xll.qwFXRate($A$1,F264)),_xll.qwDV01($A$1,F264)*G264*_xll.qwMVFactor($A$1,F264)*_xll.qwFXRate($A$1,F264),0)</f>
        <v>57062.766206919463</v>
      </c>
      <c r="R264" s="6" cm="1">
        <f t="array" ref="R264">IF(ISNUMBER(_xll.qwDV01($A$1,F264)*J264*_xll.qwMVFactor($A$1,F264)*_xll.qwFXRate($A$1,F264)),_xll.qwDV01($A$1,F264)*J264*_xll.qwMVFactor($A$1,F264)*_xll.qwFXRate($A$1,F264),0)</f>
        <v>0</v>
      </c>
      <c r="S264" s="6" cm="1">
        <f t="array" ref="S264">IF(ISNUMBER(_xll.qwDV01($A$1,F264)*J264*_xll.qwMVFactor($A$1,F264)*_xll.qwFXRate($A$1,F264)),_xll.qwDV01($A$1,F264)*J264*_xll.qwMVFactor($A$1,F264)*_xll.qwFXRate($A$1,F264),0)</f>
        <v>0</v>
      </c>
      <c r="T264" s="6" cm="1">
        <f t="array" ref="T264">_xll.qwFXRate($A$1,F264)*J264*(_xll.qwPrice($A$1,F264)-M264)*_xll.qwMVFactor($A$1,F264)+L264</f>
        <v>0</v>
      </c>
      <c r="U264" s="8" cm="1">
        <f t="array" ref="U264">_xll.qwYield($A$1,F264)</f>
        <v>4.7128909254654794E-2</v>
      </c>
      <c r="V264" s="8" cm="1">
        <f t="array" ref="V264">100*(_xll.qwYield($A$4,F264)-U264)</f>
        <v>9.1056205465636642E-3</v>
      </c>
      <c r="W264" s="6">
        <f>IF(ISNA(G264*INDEX(_xll.qwTblData(_xll.qwCurveScenariosPerSecurity($A$1,F264,"Crv210")),2,2)),0,(G264*INDEX(_xll.qwTblData(_xll.qwCurveScenariosPerSecurity($A$1,F264,"Crv210")),2,2)))</f>
        <v>7470.8800988850217</v>
      </c>
      <c r="X264" s="6" cm="1">
        <f t="array" ref="X264">ABS(Q264/_xll.qwMV01($A$1,"CT10"))</f>
        <v>76.817384545071633</v>
      </c>
      <c r="Y264" s="6" cm="1">
        <f t="array" ref="Y264">IF(N264="BondFuture",-(_xll.qwCurveYield($A$1,_xll.qwSecVal($A$1,AA264,"CreditCurveName()"),AA264)-_xll.qwCurveYield($A$4,_xll.qwSecVal($A$4,AA264,"CreditCurveName()"),AA264))*P264*10000,IF(N264="Bond",-(_xll.qwCurveYield($A$1,_xll.qwSecVal($A$1,F264,"CreditCurveName()"),F264)-_xll.qwCurveYield($A$4,_xll.qwSecVal($A$4,F264,"CreditCurveName()"),F264))*P264*10000,O264))</f>
        <v>109790.20355653818</v>
      </c>
      <c r="Z264" s="6" cm="1">
        <f t="array" ref="Z264">IF(OR(N264="BondFuture",N264="Bond"),P264*(_xll.qwCurveZSpread($A$4,_xll.qwSecVal($A$1,AA264,"CreditCurveName()"),AA264)-_xll.qwCurveZSpread($A$1,_xll.qwSecVal($A$1,AA264,"CreditCurveName()"),AA264)),0)</f>
        <v>0</v>
      </c>
      <c r="AA264" s="9" cm="1">
        <f t="array" ref="AA264">IF(_xll.qwSecType(F264)="Bond",F264,IF(_xll.qwSecType(F264)="BondFuture",_xll.qwFutCTD($A$1,F264),0))</f>
        <v>0</v>
      </c>
      <c r="AB264" s="6" cm="1">
        <f t="array" ref="AB264">IF(_xll.qwSecType(F264)="BondFuture",-(I264*_xll.qwDelta($A$4,F264)*_xll.qwMVFactor($A$1,F264)/_xll.qwMVFactor($A$1,_xll.qwFutCTD($A$1,F264)))*(_xll.qwFXRate($A$1,F264)*_xll.qwMVFactor($A$1,_xll.qwFutCTD($A$1,F264))*(_xll.qwIncome($A$4,_xll.qwFutCTD($A$4,F264),_xll.qwBondSettle($A$4,_xll.qwFutCTD($A$4,F264)),_xll.qwBondSettle($A$1,_xll.qwFutCTD($A$1,F264)))+(_xll.qwSecVal($A$1,AA264,"Price")-_xll.qwSecVal($A$4,AA264,"Price"))-_xll.qwBondRepoFromTo($A$1,AA264,_xll.qwBondSettle($A$4,AA264),_xll.qwBondSettle($A$1,AA264))*_xll.qwSecVal($A$1,AA264,"Price")*(_xll.qwBondSettle($A$1,AA264)-_xll.qwBondSettle($A$4,AA264))/360))+O264,0)</f>
        <v>0</v>
      </c>
      <c r="AC264" s="9" cm="1">
        <f t="array" ref="AC264">O264+T264+IF(ISNUMBER(_xll.qwIncome($A$1,F264,_xll.qwSettle($A$4,F264),_xll.qwSettle($A$1,F264))*_xll.qwMVFactor($A$1,F264)*_xll.qwFXRate($A$1,F264)*I264),_xll.qwIncome($A$1,F264,_xll.qwSettle($A$4,F264),_xll.qwSettle($A$1,F264))*_xll.qwMVFactor($A$1,F264)*_xll.qwFXRate($A$1,F264)*I264,0)+IF(ISNUMBER(-(_xll.qwBondRepoFromTo($A$1,F264,_xll.qwSettle($A$4,F264),_xll.qwSettle($A$1,F264))*_xll.qwSecVal($A$1,F264,"Price")*(_xll.qwSettle($A$1,F264)-_xll.qwSettle($A$4,F264))/360)*_xll.qwMVFactor($A$1,F264)*_xll.qwFXRate($A$1,F264)*I264),-(_xll.qwBondRepoFromTo($A$1,F264,_xll.qwSettle($A$4,F264),_xll.qwSettle($A$1,F264))*_xll.qwSecVal($A$1,F264,"Price")*(_xll.qwSettle($A$1,F264)-_xll.qwSettle($A$4,F264))/360)*_xll.qwMVFactor($A$1,F264)*_xll.qwFXRate($A$1,F264)*I264,0)</f>
        <v>109790.20355653818</v>
      </c>
      <c r="AD264" s="6"/>
    </row>
    <row r="265" spans="2:30" s="19" customFormat="1" x14ac:dyDescent="0.35">
      <c r="B265" s="19" t="str">
        <v>jcleary</v>
      </c>
      <c r="C265" s="19" t="str">
        <v>PPA</v>
      </c>
      <c r="D265" s="19" t="str">
        <v>jcleary|PPA|RV_US_Spreads_SpreadCurve|254651540</v>
      </c>
      <c r="E265" s="19" t="str">
        <v>RV_US_Spreads_SpreadCurve</v>
      </c>
      <c r="F265" s="19" t="str">
        <v>254651540</v>
      </c>
      <c r="G265" s="19">
        <v>73.3</v>
      </c>
      <c r="H265" s="19">
        <v>0</v>
      </c>
      <c r="I265" s="19">
        <v>73.3</v>
      </c>
      <c r="J265" s="19">
        <v>0</v>
      </c>
      <c r="K265" s="19">
        <v>0</v>
      </c>
      <c r="L265" s="19">
        <v>0</v>
      </c>
      <c r="M265" s="19">
        <v>0</v>
      </c>
      <c r="N265" s="19" t="str">
        <v>SwapTrade</v>
      </c>
      <c r="O265" s="6" cm="1">
        <f t="array" ref="O265">(_xll.qwPrice($A$1,F265)-_xll.qwPrice($A$4,F265))*_xll.qwMVFactor($A$1,F265)*I265*_xll.qwFXRate($A$1,F265)</f>
        <v>-144123.3530811636</v>
      </c>
      <c r="P265" s="6" cm="1">
        <f t="array" ref="P265">IF(ISNUMBER(_xll.qwDV01($A$1,F265)*I265*_xll.qwMVFactor($A$1,F265)*_xll.qwFXRate($A$1,F265)),_xll.qwDV01($A$1,F265)*I265*_xll.qwMVFactor($A$1,F265)*_xll.qwFXRate($A$1,F265),0)</f>
        <v>-57584.706927129999</v>
      </c>
      <c r="Q265" s="6" cm="1">
        <f t="array" ref="Q265">IF(ISNUMBER(_xll.qwDV01($A$1,F265)*G265*_xll.qwMVFactor($A$1,F265)*_xll.qwFXRate($A$1,F265)),_xll.qwDV01($A$1,F265)*G265*_xll.qwMVFactor($A$1,F265)*_xll.qwFXRate($A$1,F265),0)</f>
        <v>-57584.706927129999</v>
      </c>
      <c r="R265" s="6" cm="1">
        <f t="array" ref="R265">IF(ISNUMBER(_xll.qwDV01($A$1,F265)*J265*_xll.qwMVFactor($A$1,F265)*_xll.qwFXRate($A$1,F265)),_xll.qwDV01($A$1,F265)*J265*_xll.qwMVFactor($A$1,F265)*_xll.qwFXRate($A$1,F265),0)</f>
        <v>0</v>
      </c>
      <c r="S265" s="6" cm="1">
        <f t="array" ref="S265">IF(ISNUMBER(_xll.qwDV01($A$1,F265)*J265*_xll.qwMVFactor($A$1,F265)*_xll.qwFXRate($A$1,F265)),_xll.qwDV01($A$1,F265)*J265*_xll.qwMVFactor($A$1,F265)*_xll.qwFXRate($A$1,F265),0)</f>
        <v>0</v>
      </c>
      <c r="T265" s="6" cm="1">
        <f t="array" ref="T265">_xll.qwFXRate($A$1,F265)*J265*(_xll.qwPrice($A$1,F265)-M265)*_xll.qwMVFactor($A$1,F265)+L265</f>
        <v>0</v>
      </c>
      <c r="U265" s="8" cm="1">
        <f t="array" ref="U265">_xll.qwYield($A$1,F265)</f>
        <v>4.797921380245114E-2</v>
      </c>
      <c r="V265" s="8" cm="1">
        <f t="array" ref="V265">100*(_xll.qwYield($A$4,F265)-U265)</f>
        <v>1.9357502412116478E-2</v>
      </c>
      <c r="W265" s="6">
        <f>IF(ISNA(G265*INDEX(_xll.qwTblData(_xll.qwCurveScenariosPerSecurity($A$1,F265,"Crv210")),2,2)),0,(G265*INDEX(_xll.qwTblData(_xll.qwCurveScenariosPerSecurity($A$1,F265,"Crv210")),2,2)))</f>
        <v>27764.922371731212</v>
      </c>
      <c r="X265" s="6" cm="1">
        <f t="array" ref="X265">ABS(Q265/_xll.qwMV01($A$1,"CT10"))</f>
        <v>77.520016465661598</v>
      </c>
      <c r="Y265" s="6" cm="1">
        <f t="array" ref="Y265">IF(N265="BondFuture",-(_xll.qwCurveYield($A$1,_xll.qwSecVal($A$1,AA265,"CreditCurveName()"),AA265)-_xll.qwCurveYield($A$4,_xll.qwSecVal($A$4,AA265,"CreditCurveName()"),AA265))*P265*10000,IF(N265="Bond",-(_xll.qwCurveYield($A$1,_xll.qwSecVal($A$1,F265,"CreditCurveName()"),F265)-_xll.qwCurveYield($A$4,_xll.qwSecVal($A$4,F265,"CreditCurveName()"),F265))*P265*10000,O265))</f>
        <v>-144123.3530811636</v>
      </c>
      <c r="Z265" s="6" cm="1">
        <f t="array" ref="Z265">IF(OR(N265="BondFuture",N265="Bond"),P265*(_xll.qwCurveZSpread($A$4,_xll.qwSecVal($A$1,AA265,"CreditCurveName()"),AA265)-_xll.qwCurveZSpread($A$1,_xll.qwSecVal($A$1,AA265,"CreditCurveName()"),AA265)),0)</f>
        <v>0</v>
      </c>
      <c r="AA265" s="9" cm="1">
        <f t="array" ref="AA265">IF(_xll.qwSecType(F265)="Bond",F265,IF(_xll.qwSecType(F265)="BondFuture",_xll.qwFutCTD($A$1,F265),0))</f>
        <v>0</v>
      </c>
      <c r="AB265" s="6" cm="1">
        <f t="array" ref="AB265">IF(_xll.qwSecType(F265)="BondFuture",-(I265*_xll.qwDelta($A$4,F265)*_xll.qwMVFactor($A$1,F265)/_xll.qwMVFactor($A$1,_xll.qwFutCTD($A$1,F265)))*(_xll.qwFXRate($A$1,F265)*_xll.qwMVFactor($A$1,_xll.qwFutCTD($A$1,F265))*(_xll.qwIncome($A$4,_xll.qwFutCTD($A$4,F265),_xll.qwBondSettle($A$4,_xll.qwFutCTD($A$4,F265)),_xll.qwBondSettle($A$1,_xll.qwFutCTD($A$1,F265)))+(_xll.qwSecVal($A$1,AA265,"Price")-_xll.qwSecVal($A$4,AA265,"Price"))-_xll.qwBondRepoFromTo($A$1,AA265,_xll.qwBondSettle($A$4,AA265),_xll.qwBondSettle($A$1,AA265))*_xll.qwSecVal($A$1,AA265,"Price")*(_xll.qwBondSettle($A$1,AA265)-_xll.qwBondSettle($A$4,AA265))/360))+O265,0)</f>
        <v>0</v>
      </c>
      <c r="AC265" s="9" cm="1">
        <f t="array" ref="AC265">O265+T265+IF(ISNUMBER(_xll.qwIncome($A$1,F265,_xll.qwSettle($A$4,F265),_xll.qwSettle($A$1,F265))*_xll.qwMVFactor($A$1,F265)*_xll.qwFXRate($A$1,F265)*I265),_xll.qwIncome($A$1,F265,_xll.qwSettle($A$4,F265),_xll.qwSettle($A$1,F265))*_xll.qwMVFactor($A$1,F265)*_xll.qwFXRate($A$1,F265)*I265,0)+IF(ISNUMBER(-(_xll.qwBondRepoFromTo($A$1,F265,_xll.qwSettle($A$4,F265),_xll.qwSettle($A$1,F265))*_xll.qwSecVal($A$1,F265,"Price")*(_xll.qwSettle($A$1,F265)-_xll.qwSettle($A$4,F265))/360)*_xll.qwMVFactor($A$1,F265)*_xll.qwFXRate($A$1,F265)*I265),-(_xll.qwBondRepoFromTo($A$1,F265,_xll.qwSettle($A$4,F265),_xll.qwSettle($A$1,F265))*_xll.qwSecVal($A$1,F265,"Price")*(_xll.qwSettle($A$1,F265)-_xll.qwSettle($A$4,F265))/360)*_xll.qwMVFactor($A$1,F265)*_xll.qwFXRate($A$1,F265)*I265,0)</f>
        <v>-144123.3530811636</v>
      </c>
      <c r="AD265" s="6"/>
    </row>
    <row r="266" spans="2:30" s="19" customFormat="1" x14ac:dyDescent="0.35">
      <c r="B266" s="19" t="str">
        <v>jcleary</v>
      </c>
      <c r="C266" s="19" t="str">
        <v>PPA</v>
      </c>
      <c r="D266" s="19" t="str">
        <v>jcleary|PPA|RV_US_Spreads_SpreadCurve|254741368</v>
      </c>
      <c r="E266" s="19" t="str">
        <v>RV_US_Spreads_SpreadCurve</v>
      </c>
      <c r="F266" s="19" t="str">
        <v>254741368</v>
      </c>
      <c r="G266" s="19">
        <v>86.6</v>
      </c>
      <c r="H266" s="19">
        <v>0</v>
      </c>
      <c r="I266" s="19">
        <v>86.6</v>
      </c>
      <c r="J266" s="19">
        <v>0</v>
      </c>
      <c r="K266" s="19">
        <v>0</v>
      </c>
      <c r="L266" s="19">
        <v>0</v>
      </c>
      <c r="M266" s="19">
        <v>0</v>
      </c>
      <c r="N266" s="19" t="str">
        <v>SwapTrade</v>
      </c>
      <c r="O266" s="6" cm="1">
        <f t="array" ref="O266">(_xll.qwPrice($A$1,F266)-_xll.qwPrice($A$4,F266))*_xll.qwMVFactor($A$1,F266)*I266*_xll.qwFXRate($A$1,F266)</f>
        <v>36058.572712835055</v>
      </c>
      <c r="P266" s="6" cm="1">
        <f t="array" ref="P266">IF(ISNUMBER(_xll.qwDV01($A$1,F266)*I266*_xll.qwMVFactor($A$1,F266)*_xll.qwFXRate($A$1,F266)),_xll.qwDV01($A$1,F266)*I266*_xll.qwMVFactor($A$1,F266)*_xll.qwFXRate($A$1,F266),0)</f>
        <v>38093.879737544441</v>
      </c>
      <c r="Q266" s="6" cm="1">
        <f t="array" ref="Q266">IF(ISNUMBER(_xll.qwDV01($A$1,F266)*G266*_xll.qwMVFactor($A$1,F266)*_xll.qwFXRate($A$1,F266)),_xll.qwDV01($A$1,F266)*G266*_xll.qwMVFactor($A$1,F266)*_xll.qwFXRate($A$1,F266),0)</f>
        <v>38093.879737544441</v>
      </c>
      <c r="R266" s="6" cm="1">
        <f t="array" ref="R266">IF(ISNUMBER(_xll.qwDV01($A$1,F266)*J266*_xll.qwMVFactor($A$1,F266)*_xll.qwFXRate($A$1,F266)),_xll.qwDV01($A$1,F266)*J266*_xll.qwMVFactor($A$1,F266)*_xll.qwFXRate($A$1,F266),0)</f>
        <v>0</v>
      </c>
      <c r="S266" s="6" cm="1">
        <f t="array" ref="S266">IF(ISNUMBER(_xll.qwDV01($A$1,F266)*J266*_xll.qwMVFactor($A$1,F266)*_xll.qwFXRate($A$1,F266)),_xll.qwDV01($A$1,F266)*J266*_xll.qwMVFactor($A$1,F266)*_xll.qwFXRate($A$1,F266),0)</f>
        <v>0</v>
      </c>
      <c r="T266" s="6" cm="1">
        <f t="array" ref="T266">_xll.qwFXRate($A$1,F266)*J266*(_xll.qwPrice($A$1,F266)-M266)*_xll.qwMVFactor($A$1,F266)+L266</f>
        <v>0</v>
      </c>
      <c r="U266" s="8" cm="1">
        <f t="array" ref="U266">_xll.qwYield($A$1,F266)</f>
        <v>4.7128909254654794E-2</v>
      </c>
      <c r="V266" s="8" cm="1">
        <f t="array" ref="V266">100*(_xll.qwYield($A$4,F266)-U266)</f>
        <v>3.385580984832659E-3</v>
      </c>
      <c r="W266" s="6">
        <f>IF(ISNA(G266*INDEX(_xll.qwTblData(_xll.qwCurveScenariosPerSecurity($A$1,F266,"Crv210")),2,2)),0,(G266*INDEX(_xll.qwTblData(_xll.qwCurveScenariosPerSecurity($A$1,F266,"Crv210")),2,2)))</f>
        <v>4984.9268084350497</v>
      </c>
      <c r="X266" s="6" cm="1">
        <f t="array" ref="X266">ABS(Q266/_xll.qwMV01($A$1,"CT10"))</f>
        <v>51.281639554617705</v>
      </c>
      <c r="Y266" s="6" cm="1">
        <f t="array" ref="Y266">IF(N266="BondFuture",-(_xll.qwCurveYield($A$1,_xll.qwSecVal($A$1,AA266,"CreditCurveName()"),AA266)-_xll.qwCurveYield($A$4,_xll.qwSecVal($A$4,AA266,"CreditCurveName()"),AA266))*P266*10000,IF(N266="Bond",-(_xll.qwCurveYield($A$1,_xll.qwSecVal($A$1,F266,"CreditCurveName()"),F266)-_xll.qwCurveYield($A$4,_xll.qwSecVal($A$4,F266,"CreditCurveName()"),F266))*P266*10000,O266))</f>
        <v>36058.572712835055</v>
      </c>
      <c r="Z266" s="6" cm="1">
        <f t="array" ref="Z266">IF(OR(N266="BondFuture",N266="Bond"),P266*(_xll.qwCurveZSpread($A$4,_xll.qwSecVal($A$1,AA266,"CreditCurveName()"),AA266)-_xll.qwCurveZSpread($A$1,_xll.qwSecVal($A$1,AA266,"CreditCurveName()"),AA266)),0)</f>
        <v>0</v>
      </c>
      <c r="AA266" s="9" cm="1">
        <f t="array" ref="AA266">IF(_xll.qwSecType(F266)="Bond",F266,IF(_xll.qwSecType(F266)="BondFuture",_xll.qwFutCTD($A$1,F266),0))</f>
        <v>0</v>
      </c>
      <c r="AB266" s="6" cm="1">
        <f t="array" ref="AB266">IF(_xll.qwSecType(F266)="BondFuture",-(I266*_xll.qwDelta($A$4,F266)*_xll.qwMVFactor($A$1,F266)/_xll.qwMVFactor($A$1,_xll.qwFutCTD($A$1,F266)))*(_xll.qwFXRate($A$1,F266)*_xll.qwMVFactor($A$1,_xll.qwFutCTD($A$1,F266))*(_xll.qwIncome($A$4,_xll.qwFutCTD($A$4,F266),_xll.qwBondSettle($A$4,_xll.qwFutCTD($A$4,F266)),_xll.qwBondSettle($A$1,_xll.qwFutCTD($A$1,F266)))+(_xll.qwSecVal($A$1,AA266,"Price")-_xll.qwSecVal($A$4,AA266,"Price"))-_xll.qwBondRepoFromTo($A$1,AA266,_xll.qwBondSettle($A$4,AA266),_xll.qwBondSettle($A$1,AA266))*_xll.qwSecVal($A$1,AA266,"Price")*(_xll.qwBondSettle($A$1,AA266)-_xll.qwBondSettle($A$4,AA266))/360))+O266,0)</f>
        <v>0</v>
      </c>
      <c r="AC266" s="9" cm="1">
        <f t="array" ref="AC266">O266+T266+IF(ISNUMBER(_xll.qwIncome($A$1,F266,_xll.qwSettle($A$4,F266),_xll.qwSettle($A$1,F266))*_xll.qwMVFactor($A$1,F266)*_xll.qwFXRate($A$1,F266)*I266),_xll.qwIncome($A$1,F266,_xll.qwSettle($A$4,F266),_xll.qwSettle($A$1,F266))*_xll.qwMVFactor($A$1,F266)*_xll.qwFXRate($A$1,F266)*I266,0)+IF(ISNUMBER(-(_xll.qwBondRepoFromTo($A$1,F266,_xll.qwSettle($A$4,F266),_xll.qwSettle($A$1,F266))*_xll.qwSecVal($A$1,F266,"Price")*(_xll.qwSettle($A$1,F266)-_xll.qwSettle($A$4,F266))/360)*_xll.qwMVFactor($A$1,F266)*_xll.qwFXRate($A$1,F266)*I266),-(_xll.qwBondRepoFromTo($A$1,F266,_xll.qwSettle($A$4,F266),_xll.qwSettle($A$1,F266))*_xll.qwSecVal($A$1,F266,"Price")*(_xll.qwSettle($A$1,F266)-_xll.qwSettle($A$4,F266))/360)*_xll.qwMVFactor($A$1,F266)*_xll.qwFXRate($A$1,F266)*I266,0)</f>
        <v>36058.572712835055</v>
      </c>
      <c r="AD266" s="6"/>
    </row>
    <row r="267" spans="2:30" s="19" customFormat="1" x14ac:dyDescent="0.35">
      <c r="B267" s="19" t="str">
        <v>jcleary</v>
      </c>
      <c r="C267" s="19" t="str">
        <v>PPA</v>
      </c>
      <c r="D267" s="19" t="str">
        <v>jcleary|PPA|RV_US_Spreads_SpreadCurve|254741372</v>
      </c>
      <c r="E267" s="19" t="str">
        <v>RV_US_Spreads_SpreadCurve</v>
      </c>
      <c r="F267" s="19" t="str">
        <v>254741372</v>
      </c>
      <c r="G267" s="19">
        <v>51</v>
      </c>
      <c r="H267" s="19">
        <v>0</v>
      </c>
      <c r="I267" s="19">
        <v>51</v>
      </c>
      <c r="J267" s="19">
        <v>0</v>
      </c>
      <c r="K267" s="19">
        <v>0</v>
      </c>
      <c r="L267" s="19">
        <v>0</v>
      </c>
      <c r="M267" s="19">
        <v>0</v>
      </c>
      <c r="N267" s="19" t="str">
        <v>SwapTrade</v>
      </c>
      <c r="O267" s="6" cm="1">
        <f t="array" ref="O267">(_xll.qwPrice($A$1,F267)-_xll.qwPrice($A$4,F267))*_xll.qwMVFactor($A$1,F267)*I267*_xll.qwFXRate($A$1,F267)</f>
        <v>-78166.294054280894</v>
      </c>
      <c r="P267" s="6" cm="1">
        <f t="array" ref="P267">IF(ISNUMBER(_xll.qwDV01($A$1,F267)*I267*_xll.qwMVFactor($A$1,F267)*_xll.qwFXRate($A$1,F267)),_xll.qwDV01($A$1,F267)*I267*_xll.qwMVFactor($A$1,F267)*_xll.qwFXRate($A$1,F267),0)</f>
        <v>-38153.862349961921</v>
      </c>
      <c r="Q267" s="6" cm="1">
        <f t="array" ref="Q267">IF(ISNUMBER(_xll.qwDV01($A$1,F267)*G267*_xll.qwMVFactor($A$1,F267)*_xll.qwFXRate($A$1,F267)),_xll.qwDV01($A$1,F267)*G267*_xll.qwMVFactor($A$1,F267)*_xll.qwFXRate($A$1,F267),0)</f>
        <v>-38153.862349961921</v>
      </c>
      <c r="R267" s="6" cm="1">
        <f t="array" ref="R267">IF(ISNUMBER(_xll.qwDV01($A$1,F267)*J267*_xll.qwMVFactor($A$1,F267)*_xll.qwFXRate($A$1,F267)),_xll.qwDV01($A$1,F267)*J267*_xll.qwMVFactor($A$1,F267)*_xll.qwFXRate($A$1,F267),0)</f>
        <v>0</v>
      </c>
      <c r="S267" s="6" cm="1">
        <f t="array" ref="S267">IF(ISNUMBER(_xll.qwDV01($A$1,F267)*J267*_xll.qwMVFactor($A$1,F267)*_xll.qwFXRate($A$1,F267)),_xll.qwDV01($A$1,F267)*J267*_xll.qwMVFactor($A$1,F267)*_xll.qwFXRate($A$1,F267),0)</f>
        <v>0</v>
      </c>
      <c r="T267" s="6" cm="1">
        <f t="array" ref="T267">_xll.qwFXRate($A$1,F267)*J267*(_xll.qwPrice($A$1,F267)-M267)*_xll.qwMVFactor($A$1,F267)+L267</f>
        <v>0</v>
      </c>
      <c r="U267" s="8" cm="1">
        <f t="array" ref="U267">_xll.qwYield($A$1,F267)</f>
        <v>4.8095064276649377E-2</v>
      </c>
      <c r="V267" s="8" cm="1">
        <f t="array" ref="V267">100*(_xll.qwYield($A$4,F267)-U267)</f>
        <v>2.0536310198508018E-2</v>
      </c>
      <c r="W267" s="6">
        <f>IF(ISNA(G267*INDEX(_xll.qwTblData(_xll.qwCurveScenariosPerSecurity($A$1,F267,"Crv210")),2,2)),0,(G267*INDEX(_xll.qwTblData(_xll.qwCurveScenariosPerSecurity($A$1,F267,"Crv210")),2,2)))</f>
        <v>18474.33233638393</v>
      </c>
      <c r="X267" s="6" cm="1">
        <f t="array" ref="X267">ABS(Q267/_xll.qwMV01($A$1,"CT10"))</f>
        <v>51.362387609967548</v>
      </c>
      <c r="Y267" s="6" cm="1">
        <f t="array" ref="Y267">IF(N267="BondFuture",-(_xll.qwCurveYield($A$1,_xll.qwSecVal($A$1,AA267,"CreditCurveName()"),AA267)-_xll.qwCurveYield($A$4,_xll.qwSecVal($A$4,AA267,"CreditCurveName()"),AA267))*P267*10000,IF(N267="Bond",-(_xll.qwCurveYield($A$1,_xll.qwSecVal($A$1,F267,"CreditCurveName()"),F267)-_xll.qwCurveYield($A$4,_xll.qwSecVal($A$4,F267,"CreditCurveName()"),F267))*P267*10000,O267))</f>
        <v>-78166.294054280894</v>
      </c>
      <c r="Z267" s="6" cm="1">
        <f t="array" ref="Z267">IF(OR(N267="BondFuture",N267="Bond"),P267*(_xll.qwCurveZSpread($A$4,_xll.qwSecVal($A$1,AA267,"CreditCurveName()"),AA267)-_xll.qwCurveZSpread($A$1,_xll.qwSecVal($A$1,AA267,"CreditCurveName()"),AA267)),0)</f>
        <v>0</v>
      </c>
      <c r="AA267" s="9" cm="1">
        <f t="array" ref="AA267">IF(_xll.qwSecType(F267)="Bond",F267,IF(_xll.qwSecType(F267)="BondFuture",_xll.qwFutCTD($A$1,F267),0))</f>
        <v>0</v>
      </c>
      <c r="AB267" s="6" cm="1">
        <f t="array" ref="AB267">IF(_xll.qwSecType(F267)="BondFuture",-(I267*_xll.qwDelta($A$4,F267)*_xll.qwMVFactor($A$1,F267)/_xll.qwMVFactor($A$1,_xll.qwFutCTD($A$1,F267)))*(_xll.qwFXRate($A$1,F267)*_xll.qwMVFactor($A$1,_xll.qwFutCTD($A$1,F267))*(_xll.qwIncome($A$4,_xll.qwFutCTD($A$4,F267),_xll.qwBondSettle($A$4,_xll.qwFutCTD($A$4,F267)),_xll.qwBondSettle($A$1,_xll.qwFutCTD($A$1,F267)))+(_xll.qwSecVal($A$1,AA267,"Price")-_xll.qwSecVal($A$4,AA267,"Price"))-_xll.qwBondRepoFromTo($A$1,AA267,_xll.qwBondSettle($A$4,AA267),_xll.qwBondSettle($A$1,AA267))*_xll.qwSecVal($A$1,AA267,"Price")*(_xll.qwBondSettle($A$1,AA267)-_xll.qwBondSettle($A$4,AA267))/360))+O267,0)</f>
        <v>0</v>
      </c>
      <c r="AC267" s="9" cm="1">
        <f t="array" ref="AC267">O267+T267+IF(ISNUMBER(_xll.qwIncome($A$1,F267,_xll.qwSettle($A$4,F267),_xll.qwSettle($A$1,F267))*_xll.qwMVFactor($A$1,F267)*_xll.qwFXRate($A$1,F267)*I267),_xll.qwIncome($A$1,F267,_xll.qwSettle($A$4,F267),_xll.qwSettle($A$1,F267))*_xll.qwMVFactor($A$1,F267)*_xll.qwFXRate($A$1,F267)*I267,0)+IF(ISNUMBER(-(_xll.qwBondRepoFromTo($A$1,F267,_xll.qwSettle($A$4,F267),_xll.qwSettle($A$1,F267))*_xll.qwSecVal($A$1,F267,"Price")*(_xll.qwSettle($A$1,F267)-_xll.qwSettle($A$4,F267))/360)*_xll.qwMVFactor($A$1,F267)*_xll.qwFXRate($A$1,F267)*I267),-(_xll.qwBondRepoFromTo($A$1,F267,_xll.qwSettle($A$4,F267),_xll.qwSettle($A$1,F267))*_xll.qwSecVal($A$1,F267,"Price")*(_xll.qwSettle($A$1,F267)-_xll.qwSettle($A$4,F267))/360)*_xll.qwMVFactor($A$1,F267)*_xll.qwFXRate($A$1,F267)*I267,0)</f>
        <v>-78166.294054280894</v>
      </c>
      <c r="AD267" s="6"/>
    </row>
    <row r="268" spans="2:30" s="19" customFormat="1" x14ac:dyDescent="0.35">
      <c r="B268" s="19" t="str">
        <v>jcleary</v>
      </c>
      <c r="C268" s="19" t="str">
        <v>PPA</v>
      </c>
      <c r="D268" s="19" t="str">
        <v>jcleary|PPA|RV_US_Spreads_SpreadCurve|91282CRF0</v>
      </c>
      <c r="E268" s="19" t="str">
        <v>RV_US_Spreads_SpreadCurve</v>
      </c>
      <c r="F268" s="19" t="str">
        <v>91282CRF0</v>
      </c>
      <c r="G268" s="19">
        <v>-47.2</v>
      </c>
      <c r="H268" s="19">
        <v>0</v>
      </c>
      <c r="I268" s="19">
        <v>-47.2</v>
      </c>
      <c r="J268" s="19">
        <v>0</v>
      </c>
      <c r="K268" s="19">
        <v>0</v>
      </c>
      <c r="L268" s="19">
        <v>0</v>
      </c>
      <c r="M268" s="19">
        <v>0</v>
      </c>
      <c r="N268" s="19" t="str">
        <v>Bond</v>
      </c>
      <c r="O268" s="6" cm="1">
        <f t="array" ref="O268">(_xll.qwPrice($A$1,F268)-_xll.qwPrice($A$4,F268))*_xll.qwMVFactor($A$1,F268)*I268*_xll.qwFXRate($A$1,F268)</f>
        <v>-92187.500000073793</v>
      </c>
      <c r="P268" s="6" cm="1">
        <f t="array" ref="P268">IF(ISNUMBER(_xll.qwDV01($A$1,F268)*I268*_xll.qwMVFactor($A$1,F268)*_xll.qwFXRate($A$1,F268)),_xll.qwDV01($A$1,F268)*I268*_xll.qwMVFactor($A$1,F268)*_xll.qwFXRate($A$1,F268),0)</f>
        <v>-35061.888411291875</v>
      </c>
      <c r="Q268" s="6" cm="1">
        <f t="array" ref="Q268">IF(ISNUMBER(_xll.qwDV01($A$1,F268)*G268*_xll.qwMVFactor($A$1,F268)*_xll.qwFXRate($A$1,F268)),_xll.qwDV01($A$1,F268)*G268*_xll.qwMVFactor($A$1,F268)*_xll.qwFXRate($A$1,F268),0)</f>
        <v>-35061.888411291875</v>
      </c>
      <c r="R268" s="6" cm="1">
        <f t="array" ref="R268">IF(ISNUMBER(_xll.qwDV01($A$1,F268)*J268*_xll.qwMVFactor($A$1,F268)*_xll.qwFXRate($A$1,F268)),_xll.qwDV01($A$1,F268)*J268*_xll.qwMVFactor($A$1,F268)*_xll.qwFXRate($A$1,F268),0)</f>
        <v>0</v>
      </c>
      <c r="S268" s="6" cm="1">
        <f t="array" ref="S268">IF(ISNUMBER(_xll.qwDV01($A$1,F268)*J268*_xll.qwMVFactor($A$1,F268)*_xll.qwFXRate($A$1,F268)),_xll.qwDV01($A$1,F268)*J268*_xll.qwMVFactor($A$1,F268)*_xll.qwFXRate($A$1,F268),0)</f>
        <v>0</v>
      </c>
      <c r="T268" s="6" cm="1">
        <f t="array" ref="T268">_xll.qwFXRate($A$1,F268)*J268*(_xll.qwPrice($A$1,F268)-M268)*_xll.qwMVFactor($A$1,F268)+L268</f>
        <v>0</v>
      </c>
      <c r="U268" s="8" cm="1">
        <f t="array" ref="U268">_xll.qwYield($A$1,F268)</f>
        <v>5.1895821617104133E-2</v>
      </c>
      <c r="V268" s="8" cm="1">
        <f t="array" ref="V268">100*(_xll.qwYield($A$4,F268)-U268)</f>
        <v>2.620371726752696E-2</v>
      </c>
      <c r="W268" s="6">
        <f>IF(ISNA(G268*INDEX(_xll.qwTblData(_xll.qwCurveScenariosPerSecurity($A$1,F268,"Crv210")),2,2)),0,(G268*INDEX(_xll.qwTblData(_xll.qwCurveScenariosPerSecurity($A$1,F268,"Crv210")),2,2)))</f>
        <v>17138.646313898109</v>
      </c>
      <c r="X268" s="6" cm="1">
        <f t="array" ref="X268">ABS(Q268/_xll.qwMV01($A$1,"CT10"))</f>
        <v>47.2</v>
      </c>
      <c r="Y268" s="6" cm="1">
        <f t="array" ref="Y268">IF(N268="BondFuture",-(_xll.qwCurveYield($A$1,_xll.qwSecVal($A$1,AA268,"CreditCurveName()"),AA268)-_xll.qwCurveYield($A$4,_xll.qwSecVal($A$4,AA268,"CreditCurveName()"),AA268))*P268*10000,IF(N268="Bond",-(_xll.qwCurveYield($A$1,_xll.qwSecVal($A$1,F268,"CreditCurveName()"),F268)-_xll.qwCurveYield($A$4,_xll.qwSecVal($A$4,F268,"CreditCurveName()"),F268))*P268*10000,O268))</f>
        <v>-94151.04344857877</v>
      </c>
      <c r="Z268" s="6" cm="1">
        <f t="array" ref="Z268">IF(OR(N268="BondFuture",N268="Bond"),P268*(_xll.qwCurveZSpread($A$4,_xll.qwSecVal($A$1,AA268,"CreditCurveName()"),AA268)-_xll.qwCurveZSpread($A$1,_xll.qwSecVal($A$1,AA268,"CreditCurveName()"),AA268)),0)</f>
        <v>2275.8623690715481</v>
      </c>
      <c r="AA268" s="9" t="str" cm="1">
        <f t="array" ref="AA268">IF(_xll.qwSecType(F268)="Bond",F268,IF(_xll.qwSecType(F268)="BondFuture",_xll.qwFutCTD($A$1,F268),0))</f>
        <v>91282CRF0</v>
      </c>
      <c r="AB268" s="6" cm="1">
        <f t="array" ref="AB268">IF(_xll.qwSecType(F268)="BondFuture",-(I268*_xll.qwDelta($A$4,F268)*_xll.qwMVFactor($A$1,F268)/_xll.qwMVFactor($A$1,_xll.qwFutCTD($A$1,F268)))*(_xll.qwFXRate($A$1,F268)*_xll.qwMVFactor($A$1,_xll.qwFutCTD($A$1,F268))*(_xll.qwIncome($A$4,_xll.qwFutCTD($A$4,F268),_xll.qwBondSettle($A$4,_xll.qwFutCTD($A$4,F268)),_xll.qwBondSettle($A$1,_xll.qwFutCTD($A$1,F268)))+(_xll.qwSecVal($A$1,AA268,"Price")-_xll.qwSecVal($A$4,AA268,"Price"))-_xll.qwBondRepoFromTo($A$1,AA268,_xll.qwBondSettle($A$4,AA268),_xll.qwBondSettle($A$1,AA268))*_xll.qwSecVal($A$1,AA268,"Price")*(_xll.qwBondSettle($A$1,AA268)-_xll.qwBondSettle($A$4,AA268))/360))+O268,0)</f>
        <v>0</v>
      </c>
      <c r="AC268" s="9" cm="1">
        <f t="array" ref="AC268">O268+T268+IF(ISNUMBER(_xll.qwIncome($A$1,F268,_xll.qwSettle($A$4,F268),_xll.qwSettle($A$1,F268))*_xll.qwMVFactor($A$1,F268)*_xll.qwFXRate($A$1,F268)*I268),_xll.qwIncome($A$1,F268,_xll.qwSettle($A$4,F268),_xll.qwSettle($A$1,F268))*_xll.qwMVFactor($A$1,F268)*_xll.qwFXRate($A$1,F268)*I268,0)+IF(ISNUMBER(-(_xll.qwBondRepoFromTo($A$1,F268,_xll.qwSettle($A$4,F268),_xll.qwSettle($A$1,F268))*_xll.qwSecVal($A$1,F268,"Price")*(_xll.qwSettle($A$1,F268)-_xll.qwSettle($A$4,F268))/360)*_xll.qwMVFactor($A$1,F268)*_xll.qwFXRate($A$1,F268)*I268),-(_xll.qwBondRepoFromTo($A$1,F268,_xll.qwSettle($A$4,F268),_xll.qwSettle($A$1,F268))*_xll.qwSecVal($A$1,F268,"Price")*(_xll.qwSettle($A$1,F268)-_xll.qwSettle($A$4,F268))/360)*_xll.qwMVFactor($A$1,F268)*_xll.qwFXRate($A$1,F268)*I268,0)</f>
        <v>-93220.840527927387</v>
      </c>
      <c r="AD268" s="6"/>
    </row>
    <row r="269" spans="2:30" s="19" customFormat="1" x14ac:dyDescent="0.35">
      <c r="B269" s="19" t="str">
        <v>jcleary</v>
      </c>
      <c r="C269" s="19" t="str">
        <v>PPA</v>
      </c>
      <c r="D269" s="19" t="str">
        <v>jcleary|PPA|RV_US_Spreads_SpreadCurve|91282CRN3</v>
      </c>
      <c r="E269" s="19" t="str">
        <v>RV_US_Spreads_SpreadCurve</v>
      </c>
      <c r="F269" s="19" t="str">
        <v>91282CRN3</v>
      </c>
      <c r="G269" s="19">
        <v>131.9</v>
      </c>
      <c r="H269" s="19">
        <v>0</v>
      </c>
      <c r="I269" s="19">
        <v>131.9</v>
      </c>
      <c r="J269" s="19">
        <v>0</v>
      </c>
      <c r="K269" s="19">
        <v>0</v>
      </c>
      <c r="L269" s="19">
        <v>0</v>
      </c>
      <c r="M269" s="19">
        <v>0</v>
      </c>
      <c r="N269" s="19" t="str">
        <v>Bond</v>
      </c>
      <c r="O269" s="6" cm="1">
        <f t="array" ref="O269">(_xll.qwPrice($A$1,F269)-_xll.qwPrice($A$4,F269))*_xll.qwMVFactor($A$1,F269)*I269*_xll.qwFXRate($A$1,F269)</f>
        <v>82437.500000018743</v>
      </c>
      <c r="P269" s="6" cm="1">
        <f t="array" ref="P269">IF(ISNUMBER(_xll.qwDV01($A$1,F269)*I269*_xll.qwMVFactor($A$1,F269)*_xll.qwFXRate($A$1,F269)),_xll.qwDV01($A$1,F269)*I269*_xll.qwMVFactor($A$1,F269)*_xll.qwFXRate($A$1,F269),0)</f>
        <v>57331.413430006251</v>
      </c>
      <c r="Q269" s="6" cm="1">
        <f t="array" ref="Q269">IF(ISNUMBER(_xll.qwDV01($A$1,F269)*G269*_xll.qwMVFactor($A$1,F269)*_xll.qwFXRate($A$1,F269)),_xll.qwDV01($A$1,F269)*G269*_xll.qwMVFactor($A$1,F269)*_xll.qwFXRate($A$1,F269),0)</f>
        <v>57331.413430006251</v>
      </c>
      <c r="R269" s="6" cm="1">
        <f t="array" ref="R269">IF(ISNUMBER(_xll.qwDV01($A$1,F269)*J269*_xll.qwMVFactor($A$1,F269)*_xll.qwFXRate($A$1,F269)),_xll.qwDV01($A$1,F269)*J269*_xll.qwMVFactor($A$1,F269)*_xll.qwFXRate($A$1,F269),0)</f>
        <v>0</v>
      </c>
      <c r="S269" s="6" cm="1">
        <f t="array" ref="S269">IF(ISNUMBER(_xll.qwDV01($A$1,F269)*J269*_xll.qwMVFactor($A$1,F269)*_xll.qwFXRate($A$1,F269)),_xll.qwDV01($A$1,F269)*J269*_xll.qwMVFactor($A$1,F269)*_xll.qwFXRate($A$1,F269),0)</f>
        <v>0</v>
      </c>
      <c r="T269" s="6" cm="1">
        <f t="array" ref="T269">_xll.qwFXRate($A$1,F269)*J269*(_xll.qwPrice($A$1,F269)-M269)*_xll.qwMVFactor($A$1,F269)+L269</f>
        <v>0</v>
      </c>
      <c r="U269" s="8" cm="1">
        <f t="array" ref="U269">_xll.qwYield($A$1,F269)</f>
        <v>4.9913746673386834E-2</v>
      </c>
      <c r="V269" s="8" cm="1">
        <f t="array" ref="V269">100*(_xll.qwYield($A$4,F269)-U269)</f>
        <v>1.4414355454046845E-2</v>
      </c>
      <c r="W269" s="6">
        <f>IF(ISNA(G269*INDEX(_xll.qwTblData(_xll.qwCurveScenariosPerSecurity($A$1,F269,"Crv210")),2,2)),0,(G269*INDEX(_xll.qwTblData(_xll.qwCurveScenariosPerSecurity($A$1,F269,"Crv210")),2,2)))</f>
        <v>7451.3239497555624</v>
      </c>
      <c r="X269" s="6" cm="1">
        <f t="array" ref="X269">ABS(Q269/_xll.qwMV01($A$1,"CT10"))</f>
        <v>77.179035029522225</v>
      </c>
      <c r="Y269" s="6" cm="1">
        <f t="array" ref="Y269">IF(N269="BondFuture",-(_xll.qwCurveYield($A$1,_xll.qwSecVal($A$1,AA269,"CreditCurveName()"),AA269)-_xll.qwCurveYield($A$4,_xll.qwSecVal($A$4,AA269,"CreditCurveName()"),AA269))*P269*10000,IF(N269="Bond",-(_xll.qwCurveYield($A$1,_xll.qwSecVal($A$1,F269,"CreditCurveName()"),F269)-_xll.qwCurveYield($A$4,_xll.qwSecVal($A$4,F269,"CreditCurveName()"),F269))*P269*10000,O269))</f>
        <v>82850.893944196927</v>
      </c>
      <c r="Z269" s="6" cm="1">
        <f t="array" ref="Z269">IF(OR(N269="BondFuture",N269="Bond"),P269*(_xll.qwCurveZSpread($A$4,_xll.qwSecVal($A$1,AA269,"CreditCurveName()"),AA269)-_xll.qwCurveZSpread($A$1,_xll.qwSecVal($A$1,AA269,"CreditCurveName()"),AA269)),0)</f>
        <v>-211.35675789439566</v>
      </c>
      <c r="AA269" s="9" t="str" cm="1">
        <f t="array" ref="AA269">IF(_xll.qwSecType(F269)="Bond",F269,IF(_xll.qwSecType(F269)="BondFuture",_xll.qwFutCTD($A$1,F269),0))</f>
        <v>91282CRN3</v>
      </c>
      <c r="AB269" s="6" cm="1">
        <f t="array" ref="AB269">IF(_xll.qwSecType(F269)="BondFuture",-(I269*_xll.qwDelta($A$4,F269)*_xll.qwMVFactor($A$1,F269)/_xll.qwMVFactor($A$1,_xll.qwFutCTD($A$1,F269)))*(_xll.qwFXRate($A$1,F269)*_xll.qwMVFactor($A$1,_xll.qwFutCTD($A$1,F269))*(_xll.qwIncome($A$4,_xll.qwFutCTD($A$4,F269),_xll.qwBondSettle($A$4,_xll.qwFutCTD($A$4,F269)),_xll.qwBondSettle($A$1,_xll.qwFutCTD($A$1,F269)))+(_xll.qwSecVal($A$1,AA269,"Price")-_xll.qwSecVal($A$4,AA269,"Price"))-_xll.qwBondRepoFromTo($A$1,AA269,_xll.qwBondSettle($A$4,AA269),_xll.qwBondSettle($A$1,AA269))*_xll.qwSecVal($A$1,AA269,"Price")*(_xll.qwBondSettle($A$1,AA269)-_xll.qwBondSettle($A$4,AA269))/360))+O269,0)</f>
        <v>0</v>
      </c>
      <c r="AC269" s="9" cm="1">
        <f t="array" ref="AC269">O269+T269+IF(ISNUMBER(_xll.qwIncome($A$1,F269,_xll.qwSettle($A$4,F269),_xll.qwSettle($A$1,F269))*_xll.qwMVFactor($A$1,F269)*_xll.qwFXRate($A$1,F269)*I269),_xll.qwIncome($A$1,F269,_xll.qwSettle($A$4,F269),_xll.qwSettle($A$1,F269))*_xll.qwMVFactor($A$1,F269)*_xll.qwFXRate($A$1,F269)*I269,0)+IF(ISNUMBER(-(_xll.qwBondRepoFromTo($A$1,F269,_xll.qwSettle($A$4,F269),_xll.qwSettle($A$1,F269))*_xll.qwSecVal($A$1,F269,"Price")*(_xll.qwSettle($A$1,F269)-_xll.qwSettle($A$4,F269))/360)*_xll.qwMVFactor($A$1,F269)*_xll.qwFXRate($A$1,F269)*I269),-(_xll.qwBondRepoFromTo($A$1,F269,_xll.qwSettle($A$4,F269),_xll.qwSettle($A$1,F269))*_xll.qwSecVal($A$1,F269,"Price")*(_xll.qwSettle($A$1,F269)-_xll.qwSettle($A$4,F269))/360)*_xll.qwMVFactor($A$1,F269)*_xll.qwFXRate($A$1,F269)*I269,0)</f>
        <v>86610.711472178315</v>
      </c>
      <c r="AD269" s="6"/>
    </row>
    <row r="270" spans="2:30" s="19" customFormat="1" x14ac:dyDescent="0.35">
      <c r="B270" s="19" t="str">
        <v>jcleary</v>
      </c>
      <c r="C270" s="19" t="str">
        <v>PPA</v>
      </c>
      <c r="D270" s="19" t="str">
        <v>jcleary|PPA|RV_US_Spreads_SpreadCurve|91282CRQ6</v>
      </c>
      <c r="E270" s="19" t="str">
        <v>RV_US_Spreads_SpreadCurve</v>
      </c>
      <c r="F270" s="19" t="str">
        <v>91282CRQ6</v>
      </c>
      <c r="G270" s="19">
        <v>558.5</v>
      </c>
      <c r="H270" s="19">
        <v>0</v>
      </c>
      <c r="I270" s="19">
        <v>558.5</v>
      </c>
      <c r="J270" s="19">
        <v>0</v>
      </c>
      <c r="K270" s="19">
        <v>0</v>
      </c>
      <c r="L270" s="19">
        <v>0</v>
      </c>
      <c r="M270" s="19">
        <v>0</v>
      </c>
      <c r="N270" s="19" t="str">
        <v>Bond</v>
      </c>
      <c r="O270" s="6" cm="1">
        <f t="array" ref="O270">(_xll.qwPrice($A$1,F270)-_xll.qwPrice($A$4,F270))*_xll.qwMVFactor($A$1,F270)*I270*_xll.qwFXRate($A$1,F270)</f>
        <v>87265.624999682535</v>
      </c>
      <c r="P270" s="6" cm="1">
        <f t="array" ref="P270">IF(ISNUMBER(_xll.qwDV01($A$1,F270)*I270*_xll.qwMVFactor($A$1,F270)*_xll.qwFXRate($A$1,F270)),_xll.qwDV01($A$1,F270)*I270*_xll.qwMVFactor($A$1,F270)*_xll.qwFXRate($A$1,F270),0)</f>
        <v>153953.8240535876</v>
      </c>
      <c r="Q270" s="6" cm="1">
        <f t="array" ref="Q270">IF(ISNUMBER(_xll.qwDV01($A$1,F270)*G270*_xll.qwMVFactor($A$1,F270)*_xll.qwFXRate($A$1,F270)),_xll.qwDV01($A$1,F270)*G270*_xll.qwMVFactor($A$1,F270)*_xll.qwFXRate($A$1,F270),0)</f>
        <v>153953.8240535876</v>
      </c>
      <c r="R270" s="6" cm="1">
        <f t="array" ref="R270">IF(ISNUMBER(_xll.qwDV01($A$1,F270)*J270*_xll.qwMVFactor($A$1,F270)*_xll.qwFXRate($A$1,F270)),_xll.qwDV01($A$1,F270)*J270*_xll.qwMVFactor($A$1,F270)*_xll.qwFXRate($A$1,F270),0)</f>
        <v>0</v>
      </c>
      <c r="S270" s="6" cm="1">
        <f t="array" ref="S270">IF(ISNUMBER(_xll.qwDV01($A$1,F270)*J270*_xll.qwMVFactor($A$1,F270)*_xll.qwFXRate($A$1,F270)),_xll.qwDV01($A$1,F270)*J270*_xll.qwMVFactor($A$1,F270)*_xll.qwFXRate($A$1,F270),0)</f>
        <v>0</v>
      </c>
      <c r="T270" s="6" cm="1">
        <f t="array" ref="T270">_xll.qwFXRate($A$1,F270)*J270*(_xll.qwPrice($A$1,F270)-M270)*_xll.qwMVFactor($A$1,F270)+L270</f>
        <v>0</v>
      </c>
      <c r="U270" s="8" cm="1">
        <f t="array" ref="U270">_xll.qwYield($A$1,F270)</f>
        <v>4.9104058727015398E-2</v>
      </c>
      <c r="V270" s="8" cm="1">
        <f t="array" ref="V270">100*(_xll.qwYield($A$4,F270)-U270)</f>
        <v>5.6688361412600419E-3</v>
      </c>
      <c r="W270" s="6">
        <f>IF(ISNA(G270*INDEX(_xll.qwTblData(_xll.qwCurveScenariosPerSecurity($A$1,F270,"Crv210")),2,2)),0,(G270*INDEX(_xll.qwTblData(_xll.qwCurveScenariosPerSecurity($A$1,F270,"Crv210")),2,2)))</f>
        <v>57662.205077320723</v>
      </c>
      <c r="X270" s="6" cm="1">
        <f t="array" ref="X270">ABS(Q270/_xll.qwMV01($A$1,"CT10"))</f>
        <v>207.2512584059528</v>
      </c>
      <c r="Y270" s="6" cm="1">
        <f t="array" ref="Y270">IF(N270="BondFuture",-(_xll.qwCurveYield($A$1,_xll.qwSecVal($A$1,AA270,"CreditCurveName()"),AA270)-_xll.qwCurveYield($A$4,_xll.qwSecVal($A$4,AA270,"CreditCurveName()"),AA270))*P270*10000,IF(N270="Bond",-(_xll.qwCurveYield($A$1,_xll.qwSecVal($A$1,F270,"CreditCurveName()"),F270)-_xll.qwCurveYield($A$4,_xll.qwSecVal($A$4,F270,"CreditCurveName()"),F270))*P270*10000,O270))</f>
        <v>88498.693103812082</v>
      </c>
      <c r="Z270" s="6" cm="1">
        <f t="array" ref="Z270">IF(OR(N270="BondFuture",N270="Bond"),P270*(_xll.qwCurveZSpread($A$4,_xll.qwSecVal($A$1,AA270,"CreditCurveName()"),AA270)-_xll.qwCurveZSpread($A$1,_xll.qwSecVal($A$1,AA270,"CreditCurveName()"),AA270)),0)</f>
        <v>-1224.7929157953963</v>
      </c>
      <c r="AA270" s="9" t="str" cm="1">
        <f t="array" ref="AA270">IF(_xll.qwSecType(F270)="Bond",F270,IF(_xll.qwSecType(F270)="BondFuture",_xll.qwFutCTD($A$1,F270),0))</f>
        <v>91282CRQ6</v>
      </c>
      <c r="AB270" s="6" cm="1">
        <f t="array" ref="AB270">IF(_xll.qwSecType(F270)="BondFuture",-(I270*_xll.qwDelta($A$4,F270)*_xll.qwMVFactor($A$1,F270)/_xll.qwMVFactor($A$1,_xll.qwFutCTD($A$1,F270)))*(_xll.qwFXRate($A$1,F270)*_xll.qwMVFactor($A$1,_xll.qwFutCTD($A$1,F270))*(_xll.qwIncome($A$4,_xll.qwFutCTD($A$4,F270),_xll.qwBondSettle($A$4,_xll.qwFutCTD($A$4,F270)),_xll.qwBondSettle($A$1,_xll.qwFutCTD($A$1,F270)))+(_xll.qwSecVal($A$1,AA270,"Price")-_xll.qwSecVal($A$4,AA270,"Price"))-_xll.qwBondRepoFromTo($A$1,AA270,_xll.qwBondSettle($A$4,AA270),_xll.qwBondSettle($A$1,AA270))*_xll.qwSecVal($A$1,AA270,"Price")*(_xll.qwBondSettle($A$1,AA270)-_xll.qwBondSettle($A$4,AA270))/360))+O270,0)</f>
        <v>0</v>
      </c>
      <c r="AC270" s="9" cm="1">
        <f t="array" ref="AC270">O270+T270+IF(ISNUMBER(_xll.qwIncome($A$1,F270,_xll.qwSettle($A$4,F270),_xll.qwSettle($A$1,F270))*_xll.qwMVFactor($A$1,F270)*_xll.qwFXRate($A$1,F270)*I270),_xll.qwIncome($A$1,F270,_xll.qwSettle($A$4,F270),_xll.qwSettle($A$1,F270))*_xll.qwMVFactor($A$1,F270)*_xll.qwFXRate($A$1,F270)*I270,0)+IF(ISNUMBER(-(_xll.qwBondRepoFromTo($A$1,F270,_xll.qwSettle($A$4,F270),_xll.qwSettle($A$1,F270))*_xll.qwSecVal($A$1,F270,"Price")*(_xll.qwSettle($A$1,F270)-_xll.qwSettle($A$4,F270))/360)*_xll.qwMVFactor($A$1,F270)*_xll.qwFXRate($A$1,F270)*I270),-(_xll.qwBondRepoFromTo($A$1,F270,_xll.qwSettle($A$4,F270),_xll.qwSettle($A$1,F270))*_xll.qwSecVal($A$1,F270,"Price")*(_xll.qwSettle($A$1,F270)-_xll.qwSettle($A$4,F270))/360)*_xll.qwMVFactor($A$1,F270)*_xll.qwFXRate($A$1,F270)*I270,0)</f>
        <v>87265.624999682535</v>
      </c>
      <c r="AD270" s="6"/>
    </row>
    <row r="271" spans="2:30" s="19" customFormat="1" hidden="1" x14ac:dyDescent="0.35">
      <c r="B271" s="19" t="str">
        <v>jcleary</v>
      </c>
      <c r="C271" s="19" t="str">
        <v>PPA</v>
      </c>
      <c r="D271" s="19" t="str">
        <v>jcleary|PPA|RV_US_STIR_HEDGE|FFV6</v>
      </c>
      <c r="E271" s="19" t="str">
        <v>RV_US_STIR_HEDGE</v>
      </c>
      <c r="F271" s="19" t="str">
        <v>FFV6</v>
      </c>
      <c r="G271" s="19">
        <v>760</v>
      </c>
      <c r="H271" s="19">
        <v>0</v>
      </c>
      <c r="I271" s="19">
        <v>760</v>
      </c>
      <c r="J271" s="19">
        <v>0</v>
      </c>
      <c r="K271" s="19">
        <v>0</v>
      </c>
      <c r="L271" s="19">
        <v>0</v>
      </c>
      <c r="M271" s="19">
        <v>0</v>
      </c>
      <c r="N271" s="19" t="str">
        <v>RateFuture</v>
      </c>
      <c r="O271" s="6" cm="1">
        <f t="array" ref="O271">(_xll.qwPrice($A$1,F271)-_xll.qwPrice($A$4,F271))*_xll.qwMVFactor($A$1,F271)*I271*_xll.qwFXRate($A$1,F271)</f>
        <v>-15834.599999985599</v>
      </c>
      <c r="P271" s="6" cm="1">
        <f t="array" ref="P271">IF(ISNUMBER(_xll.qwDV01($A$1,F271)*I271*_xll.qwMVFactor($A$1,F271)*_xll.qwFXRate($A$1,F271)),_xll.qwDV01($A$1,F271)*I271*_xll.qwMVFactor($A$1,F271)*_xll.qwFXRate($A$1,F271),0)</f>
        <v>17366.980645161289</v>
      </c>
      <c r="Q271" s="6" cm="1">
        <f t="array" ref="Q271">IF(ISNUMBER(_xll.qwDV01($A$1,F271)*G271*_xll.qwMVFactor($A$1,F271)*_xll.qwFXRate($A$1,F271)),_xll.qwDV01($A$1,F271)*G271*_xll.qwMVFactor($A$1,F271)*_xll.qwFXRate($A$1,F271),0)</f>
        <v>17366.980645161289</v>
      </c>
      <c r="R271" s="6" cm="1">
        <f t="array" ref="R271">IF(ISNUMBER(_xll.qwDV01($A$1,F271)*J271*_xll.qwMVFactor($A$1,F271)*_xll.qwFXRate($A$1,F271)),_xll.qwDV01($A$1,F271)*J271*_xll.qwMVFactor($A$1,F271)*_xll.qwFXRate($A$1,F271),0)</f>
        <v>0</v>
      </c>
      <c r="S271" s="6" cm="1">
        <f t="array" ref="S271">IF(ISNUMBER(_xll.qwDV01($A$1,F271)*J271*_xll.qwMVFactor($A$1,F271)*_xll.qwFXRate($A$1,F271)),_xll.qwDV01($A$1,F271)*J271*_xll.qwMVFactor($A$1,F271)*_xll.qwFXRate($A$1,F271),0)</f>
        <v>0</v>
      </c>
      <c r="T271" s="6" cm="1">
        <f t="array" ref="T271">_xll.qwFXRate($A$1,F271)*J271*(_xll.qwPrice($A$1,F271)-M271)*_xll.qwMVFactor($A$1,F271)</f>
        <v>0</v>
      </c>
      <c r="U271" s="8" cm="1">
        <f t="array" ref="U271">_xll.qwYield($A$1,F271)</f>
        <v>3.9016140650267331E-2</v>
      </c>
      <c r="V271" s="8" cm="1">
        <f t="array" ref="V271">100*(_xll.qwYield($A$4,F271)-U271)</f>
        <v>-9.43059017186193E-3</v>
      </c>
      <c r="W271" s="6">
        <f>IF(ISNA(G271*INDEX(_xll.qwTblData(_xll.qwCurveScenariosPerSecurity($A$1,F271,"Crv210")),2,2)),0,(G271*INDEX(_xll.qwTblData(_xll.qwCurveScenariosPerSecurity($A$1,F271,"Crv210")),2,2)))</f>
        <v>12479.598983226022</v>
      </c>
      <c r="X271" s="6" cm="1">
        <f t="array" ref="X271">ABS(Q271/_xll.qwMV01($A$1,"CT10"))</f>
        <v>23.379273724104863</v>
      </c>
      <c r="Y271" s="6" cm="1">
        <f t="array" ref="Y271">IF(N271="BondFuture",-(_xll.qwCurveYield($A$1,_xll.qwSecVal($A$1,AA271,"CreditCurveName()"),AA271)-_xll.qwCurveYield($A$4,_xll.qwSecVal($A$4,AA271,"CreditCurveName()"),AA271))*P271*10000,IF(N271="Bond",-(_xll.qwCurveYield($A$1,_xll.qwSecVal($A$1,F271,"CreditCurveName()"),F271)-_xll.qwCurveYield($A$4,_xll.qwSecVal($A$4,F271,"CreditCurveName()"),F271))*P271*10000,O271))</f>
        <v>-15834.599999985599</v>
      </c>
      <c r="Z271" s="6" cm="1">
        <f t="array" ref="Z271">IF(OR(N271="BondFuture",N271="Bond"),P271*(_xll.qwCurveZSpread($A$4,_xll.qwSecVal($A$1,AA271,"CreditCurveName()"),AA271)-_xll.qwCurveZSpread($A$1,_xll.qwSecVal($A$1,AA271,"CreditCurveName()"),AA271)),0)</f>
        <v>0</v>
      </c>
      <c r="AA271" s="9" cm="1">
        <f t="array" ref="AA271">IF(_xll.qwSecType(F271)="Bond",F271,IF(_xll.qwSecType(F271)="BondFuture",_xll.qwFutCTD($A$1,F271),0))</f>
        <v>0</v>
      </c>
      <c r="AB271" s="6" cm="1">
        <f t="array" ref="AB271">IF(_xll.qwSecType(F271)="BondFuture",-(I271*_xll.qwDelta($A$4,F271)*_xll.qwMVFactor($A$1,F271)/_xll.qwMVFactor($A$1,_xll.qwFutCTD($A$1,F271)))*(_xll.qwFXRate($A$1,F271)*_xll.qwMVFactor($A$1,_xll.qwFutCTD($A$1,F271))*(_xll.qwIncome($A$4,_xll.qwFutCTD($A$4,F271),_xll.qwBondSettle($A$4,_xll.qwFutCTD($A$4,F271)),_xll.qwBondSettle($A$1,_xll.qwFutCTD($A$1,F271)))+(_xll.qwSecVal($A$1,AA271,"Price")-_xll.qwSecVal($A$4,AA271,"Price"))-_xll.qwBondRepoFromTo($A$1,AA271,_xll.qwBondSettle($A$4,AA271),_xll.qwBondSettle($A$1,AA271))*_xll.qwSecVal($A$1,AA271,"Price")*(_xll.qwBondSettle($A$1,AA271)-_xll.qwBondSettle($A$4,AA271))/360))+O271,0)</f>
        <v>0</v>
      </c>
      <c r="AC271" s="9" cm="1">
        <f t="array" ref="AC271">O271+T271+IF(ISNUMBER(_xll.qwIncome($A$1,F271,_xll.qwSettle($A$4,F271),_xll.qwSettle($A$1,F271))*_xll.qwMVFactor($A$1,F271)*_xll.qwFXRate($A$1,F271)*I271),_xll.qwIncome($A$1,F271,_xll.qwSettle($A$4,F271),_xll.qwSettle($A$1,F271))*_xll.qwMVFactor($A$1,F271)*_xll.qwFXRate($A$1,F271)*I271,0)+IF(ISNUMBER(-(_xll.qwBondRepoFromTo($A$1,F271,_xll.qwSettle($A$4,F271),_xll.qwSettle($A$1,F271))*_xll.qwSecVal($A$1,F271,"Price")*(_xll.qwSettle($A$1,F271)-_xll.qwSettle($A$4,F271))/360)*_xll.qwMVFactor($A$1,F271)*_xll.qwFXRate($A$1,F271)*I271),-(_xll.qwBondRepoFromTo($A$1,F271,_xll.qwSettle($A$4,F271),_xll.qwSettle($A$1,F271))*_xll.qwSecVal($A$1,F271,"Price")*(_xll.qwSettle($A$1,F271)-_xll.qwSettle($A$4,F271))/360)*_xll.qwMVFactor($A$1,F271)*_xll.qwFXRate($A$1,F271)*I271,0)</f>
        <v>-15834.599999985599</v>
      </c>
      <c r="AD271" s="6"/>
    </row>
    <row r="272" spans="2:30" s="19" customFormat="1" hidden="1" x14ac:dyDescent="0.35">
      <c r="B272" s="19" t="str">
        <v>jcleary</v>
      </c>
      <c r="C272" s="19" t="str">
        <v>PPA</v>
      </c>
      <c r="D272" s="19" t="str">
        <v>jcleary|PPA|RV_US_STIR_HEDGE|FFX6</v>
      </c>
      <c r="E272" s="19" t="str">
        <v>RV_US_STIR_HEDGE</v>
      </c>
      <c r="F272" s="19" t="str">
        <v>FFX6</v>
      </c>
      <c r="G272" s="19">
        <v>760</v>
      </c>
      <c r="H272" s="19">
        <v>0</v>
      </c>
      <c r="I272" s="19">
        <v>760</v>
      </c>
      <c r="J272" s="19">
        <v>0</v>
      </c>
      <c r="K272" s="19">
        <v>0</v>
      </c>
      <c r="L272" s="19">
        <v>0</v>
      </c>
      <c r="M272" s="19">
        <v>0</v>
      </c>
      <c r="N272" s="19" t="str">
        <v>RateFuture</v>
      </c>
      <c r="O272" s="6" cm="1">
        <f t="array" ref="O272">(_xll.qwPrice($A$1,F272)-_xll.qwPrice($A$4,F272))*_xll.qwMVFactor($A$1,F272)*I272*_xll.qwFXRate($A$1,F272)</f>
        <v>-95007.6000000036</v>
      </c>
      <c r="P272" s="6" cm="1">
        <f t="array" ref="P272">IF(ISNUMBER(_xll.qwDV01($A$1,F272)*I272*_xll.qwMVFactor($A$1,F272)*_xll.qwFXRate($A$1,F272)),_xll.qwDV01($A$1,F272)*I272*_xll.qwMVFactor($A$1,F272)*_xll.qwFXRate($A$1,F272),0)</f>
        <v>31669.200000000001</v>
      </c>
      <c r="Q272" s="6" cm="1">
        <f t="array" ref="Q272">IF(ISNUMBER(_xll.qwDV01($A$1,F272)*G272*_xll.qwMVFactor($A$1,F272)*_xll.qwFXRate($A$1,F272)),_xll.qwDV01($A$1,F272)*G272*_xll.qwMVFactor($A$1,F272)*_xll.qwFXRate($A$1,F272),0)</f>
        <v>31669.200000000001</v>
      </c>
      <c r="R272" s="6" cm="1">
        <f t="array" ref="R272">IF(ISNUMBER(_xll.qwDV01($A$1,F272)*J272*_xll.qwMVFactor($A$1,F272)*_xll.qwFXRate($A$1,F272)),_xll.qwDV01($A$1,F272)*J272*_xll.qwMVFactor($A$1,F272)*_xll.qwFXRate($A$1,F272),0)</f>
        <v>0</v>
      </c>
      <c r="S272" s="6" cm="1">
        <f t="array" ref="S272">IF(ISNUMBER(_xll.qwDV01($A$1,F272)*J272*_xll.qwMVFactor($A$1,F272)*_xll.qwFXRate($A$1,F272)),_xll.qwDV01($A$1,F272)*J272*_xll.qwMVFactor($A$1,F272)*_xll.qwFXRate($A$1,F272),0)</f>
        <v>0</v>
      </c>
      <c r="T272" s="6" cm="1">
        <f t="array" ref="T272">_xll.qwFXRate($A$1,F272)*J272*(_xll.qwPrice($A$1,F272)-M272)*_xll.qwMVFactor($A$1,F272)</f>
        <v>0</v>
      </c>
      <c r="U272" s="8" cm="1">
        <f t="array" ref="U272">_xll.qwYield($A$1,F272)</f>
        <v>3.97133867413757E-2</v>
      </c>
      <c r="V272" s="8" cm="1">
        <f t="array" ref="V272">100*(_xll.qwYield($A$4,F272)-U272)</f>
        <v>-3.0095605109892176E-2</v>
      </c>
      <c r="W272" s="6">
        <f>IF(ISNA(G272*INDEX(_xll.qwTblData(_xll.qwCurveScenariosPerSecurity($A$1,F272,"Crv210")),2,2)),0,(G272*INDEX(_xll.qwTblData(_xll.qwCurveScenariosPerSecurity($A$1,F272,"Crv210")),2,2)))</f>
        <v>22713.131411579496</v>
      </c>
      <c r="X272" s="6" cm="1">
        <f t="array" ref="X272">ABS(Q272/_xll.qwMV01($A$1,"CT10"))</f>
        <v>42.632793261602984</v>
      </c>
      <c r="Y272" s="6" cm="1">
        <f t="array" ref="Y272">IF(N272="BondFuture",-(_xll.qwCurveYield($A$1,_xll.qwSecVal($A$1,AA272,"CreditCurveName()"),AA272)-_xll.qwCurveYield($A$4,_xll.qwSecVal($A$4,AA272,"CreditCurveName()"),AA272))*P272*10000,IF(N272="Bond",-(_xll.qwCurveYield($A$1,_xll.qwSecVal($A$1,F272,"CreditCurveName()"),F272)-_xll.qwCurveYield($A$4,_xll.qwSecVal($A$4,F272,"CreditCurveName()"),F272))*P272*10000,O272))</f>
        <v>-95007.6000000036</v>
      </c>
      <c r="Z272" s="6" cm="1">
        <f t="array" ref="Z272">IF(OR(N272="BondFuture",N272="Bond"),P272*(_xll.qwCurveZSpread($A$4,_xll.qwSecVal($A$1,AA272,"CreditCurveName()"),AA272)-_xll.qwCurveZSpread($A$1,_xll.qwSecVal($A$1,AA272,"CreditCurveName()"),AA272)),0)</f>
        <v>0</v>
      </c>
      <c r="AA272" s="9" cm="1">
        <f t="array" ref="AA272">IF(_xll.qwSecType(F272)="Bond",F272,IF(_xll.qwSecType(F272)="BondFuture",_xll.qwFutCTD($A$1,F272),0))</f>
        <v>0</v>
      </c>
      <c r="AB272" s="6" cm="1">
        <f t="array" ref="AB272">IF(_xll.qwSecType(F272)="BondFuture",-(I272*_xll.qwDelta($A$4,F272)*_xll.qwMVFactor($A$1,F272)/_xll.qwMVFactor($A$1,_xll.qwFutCTD($A$1,F272)))*(_xll.qwFXRate($A$1,F272)*_xll.qwMVFactor($A$1,_xll.qwFutCTD($A$1,F272))*(_xll.qwIncome($A$4,_xll.qwFutCTD($A$4,F272),_xll.qwBondSettle($A$4,_xll.qwFutCTD($A$4,F272)),_xll.qwBondSettle($A$1,_xll.qwFutCTD($A$1,F272)))+(_xll.qwSecVal($A$1,AA272,"Price")-_xll.qwSecVal($A$4,AA272,"Price"))-_xll.qwBondRepoFromTo($A$1,AA272,_xll.qwBondSettle($A$4,AA272),_xll.qwBondSettle($A$1,AA272))*_xll.qwSecVal($A$1,AA272,"Price")*(_xll.qwBondSettle($A$1,AA272)-_xll.qwBondSettle($A$4,AA272))/360))+O272,0)</f>
        <v>0</v>
      </c>
      <c r="AC272" s="9" cm="1">
        <f t="array" ref="AC272">O272+T272+IF(ISNUMBER(_xll.qwIncome($A$1,F272,_xll.qwSettle($A$4,F272),_xll.qwSettle($A$1,F272))*_xll.qwMVFactor($A$1,F272)*_xll.qwFXRate($A$1,F272)*I272),_xll.qwIncome($A$1,F272,_xll.qwSettle($A$4,F272),_xll.qwSettle($A$1,F272))*_xll.qwMVFactor($A$1,F272)*_xll.qwFXRate($A$1,F272)*I272,0)+IF(ISNUMBER(-(_xll.qwBondRepoFromTo($A$1,F272,_xll.qwSettle($A$4,F272),_xll.qwSettle($A$1,F272))*_xll.qwSecVal($A$1,F272,"Price")*(_xll.qwSettle($A$1,F272)-_xll.qwSettle($A$4,F272))/360)*_xll.qwMVFactor($A$1,F272)*_xll.qwFXRate($A$1,F272)*I272),-(_xll.qwBondRepoFromTo($A$1,F272,_xll.qwSettle($A$4,F272),_xll.qwSettle($A$1,F272))*_xll.qwSecVal($A$1,F272,"Price")*(_xll.qwSettle($A$1,F272)-_xll.qwSettle($A$4,F272))/360)*_xll.qwMVFactor($A$1,F272)*_xll.qwFXRate($A$1,F272)*I272,0)</f>
        <v>-95007.6000000036</v>
      </c>
      <c r="AD272" s="6"/>
    </row>
    <row r="273" spans="2:30" s="19" customFormat="1" hidden="1" x14ac:dyDescent="0.35">
      <c r="B273" s="19" t="str">
        <v>jcleary</v>
      </c>
      <c r="C273" s="19" t="str">
        <v>PPA</v>
      </c>
      <c r="D273" s="19" t="str">
        <v>jcleary|PPA|RV_US_STIR_HEDGE|FFZ6</v>
      </c>
      <c r="E273" s="19" t="str">
        <v>RV_US_STIR_HEDGE</v>
      </c>
      <c r="F273" s="19" t="str">
        <v>FFZ6</v>
      </c>
      <c r="G273" s="19">
        <v>380</v>
      </c>
      <c r="H273" s="19">
        <v>0</v>
      </c>
      <c r="I273" s="19">
        <v>380</v>
      </c>
      <c r="J273" s="19">
        <v>0</v>
      </c>
      <c r="K273" s="19">
        <v>0</v>
      </c>
      <c r="L273" s="19">
        <v>0</v>
      </c>
      <c r="M273" s="19">
        <v>0</v>
      </c>
      <c r="N273" s="19" t="str">
        <v>RateFuture</v>
      </c>
      <c r="O273" s="6" cm="1">
        <f t="array" ref="O273">(_xll.qwPrice($A$1,F273)-_xll.qwPrice($A$4,F273))*_xll.qwMVFactor($A$1,F273)*I273*_xll.qwFXRate($A$1,F273)</f>
        <v>-55421.100000017097</v>
      </c>
      <c r="P273" s="6" cm="1">
        <f t="array" ref="P273">IF(ISNUMBER(_xll.qwDV01($A$1,F273)*I273*_xll.qwMVFactor($A$1,F273)*_xll.qwFXRate($A$1,F273)),_xll.qwDV01($A$1,F273)*I273*_xll.qwMVFactor($A$1,F273)*_xll.qwFXRate($A$1,F273),0)</f>
        <v>15834.6</v>
      </c>
      <c r="Q273" s="6" cm="1">
        <f t="array" ref="Q273">IF(ISNUMBER(_xll.qwDV01($A$1,F273)*G273*_xll.qwMVFactor($A$1,F273)*_xll.qwFXRate($A$1,F273)),_xll.qwDV01($A$1,F273)*G273*_xll.qwMVFactor($A$1,F273)*_xll.qwFXRate($A$1,F273),0)</f>
        <v>15834.6</v>
      </c>
      <c r="R273" s="6" cm="1">
        <f t="array" ref="R273">IF(ISNUMBER(_xll.qwDV01($A$1,F273)*J273*_xll.qwMVFactor($A$1,F273)*_xll.qwFXRate($A$1,F273)),_xll.qwDV01($A$1,F273)*J273*_xll.qwMVFactor($A$1,F273)*_xll.qwFXRate($A$1,F273),0)</f>
        <v>0</v>
      </c>
      <c r="S273" s="6" cm="1">
        <f t="array" ref="S273">IF(ISNUMBER(_xll.qwDV01($A$1,F273)*J273*_xll.qwMVFactor($A$1,F273)*_xll.qwFXRate($A$1,F273)),_xll.qwDV01($A$1,F273)*J273*_xll.qwMVFactor($A$1,F273)*_xll.qwFXRate($A$1,F273),0)</f>
        <v>0</v>
      </c>
      <c r="T273" s="6" cm="1">
        <f t="array" ref="T273">_xll.qwFXRate($A$1,F273)*J273*(_xll.qwPrice($A$1,F273)-M273)*_xll.qwMVFactor($A$1,F273)</f>
        <v>0</v>
      </c>
      <c r="U273" s="8" cm="1">
        <f t="array" ref="U273">_xll.qwYield($A$1,F273)</f>
        <v>4.1270804974068827E-2</v>
      </c>
      <c r="V273" s="8" cm="1">
        <f t="array" ref="V273">100*(_xll.qwYield($A$4,F273)-U273)</f>
        <v>-3.5119854183517096E-2</v>
      </c>
      <c r="W273" s="6">
        <f>IF(ISNA(G273*INDEX(_xll.qwTblData(_xll.qwCurveScenariosPerSecurity($A$1,F273,"Crv210")),2,2)),0,(G273*INDEX(_xll.qwTblData(_xll.qwCurveScenariosPerSecurity($A$1,F273,"Crv210")),2,2)))</f>
        <v>10700.960176371125</v>
      </c>
      <c r="X273" s="6" cm="1">
        <f t="array" ref="X273">ABS(Q273/_xll.qwMV01($A$1,"CT10"))</f>
        <v>21.316396630801492</v>
      </c>
      <c r="Y273" s="6" cm="1">
        <f t="array" ref="Y273">IF(N273="BondFuture",-(_xll.qwCurveYield($A$1,_xll.qwSecVal($A$1,AA273,"CreditCurveName()"),AA273)-_xll.qwCurveYield($A$4,_xll.qwSecVal($A$4,AA273,"CreditCurveName()"),AA273))*P273*10000,IF(N273="Bond",-(_xll.qwCurveYield($A$1,_xll.qwSecVal($A$1,F273,"CreditCurveName()"),F273)-_xll.qwCurveYield($A$4,_xll.qwSecVal($A$4,F273,"CreditCurveName()"),F273))*P273*10000,O273))</f>
        <v>-55421.100000017097</v>
      </c>
      <c r="Z273" s="6" cm="1">
        <f t="array" ref="Z273">IF(OR(N273="BondFuture",N273="Bond"),P273*(_xll.qwCurveZSpread($A$4,_xll.qwSecVal($A$1,AA273,"CreditCurveName()"),AA273)-_xll.qwCurveZSpread($A$1,_xll.qwSecVal($A$1,AA273,"CreditCurveName()"),AA273)),0)</f>
        <v>0</v>
      </c>
      <c r="AA273" s="9" cm="1">
        <f t="array" ref="AA273">IF(_xll.qwSecType(F273)="Bond",F273,IF(_xll.qwSecType(F273)="BondFuture",_xll.qwFutCTD($A$1,F273),0))</f>
        <v>0</v>
      </c>
      <c r="AB273" s="6" cm="1">
        <f t="array" ref="AB273">IF(_xll.qwSecType(F273)="BondFuture",-(I273*_xll.qwDelta($A$4,F273)*_xll.qwMVFactor($A$1,F273)/_xll.qwMVFactor($A$1,_xll.qwFutCTD($A$1,F273)))*(_xll.qwFXRate($A$1,F273)*_xll.qwMVFactor($A$1,_xll.qwFutCTD($A$1,F273))*(_xll.qwIncome($A$4,_xll.qwFutCTD($A$4,F273),_xll.qwBondSettle($A$4,_xll.qwFutCTD($A$4,F273)),_xll.qwBondSettle($A$1,_xll.qwFutCTD($A$1,F273)))+(_xll.qwSecVal($A$1,AA273,"Price")-_xll.qwSecVal($A$4,AA273,"Price"))-_xll.qwBondRepoFromTo($A$1,AA273,_xll.qwBondSettle($A$4,AA273),_xll.qwBondSettle($A$1,AA273))*_xll.qwSecVal($A$1,AA273,"Price")*(_xll.qwBondSettle($A$1,AA273)-_xll.qwBondSettle($A$4,AA273))/360))+O273,0)</f>
        <v>0</v>
      </c>
      <c r="AC273" s="9" cm="1">
        <f t="array" ref="AC273">O273+T273+IF(ISNUMBER(_xll.qwIncome($A$1,F273,_xll.qwSettle($A$4,F273),_xll.qwSettle($A$1,F273))*_xll.qwMVFactor($A$1,F273)*_xll.qwFXRate($A$1,F273)*I273),_xll.qwIncome($A$1,F273,_xll.qwSettle($A$4,F273),_xll.qwSettle($A$1,F273))*_xll.qwMVFactor($A$1,F273)*_xll.qwFXRate($A$1,F273)*I273,0)+IF(ISNUMBER(-(_xll.qwBondRepoFromTo($A$1,F273,_xll.qwSettle($A$4,F273),_xll.qwSettle($A$1,F273))*_xll.qwSecVal($A$1,F273,"Price")*(_xll.qwSettle($A$1,F273)-_xll.qwSettle($A$4,F273))/360)*_xll.qwMVFactor($A$1,F273)*_xll.qwFXRate($A$1,F273)*I273),-(_xll.qwBondRepoFromTo($A$1,F273,_xll.qwSettle($A$4,F273),_xll.qwSettle($A$1,F273))*_xll.qwSecVal($A$1,F273,"Price")*(_xll.qwSettle($A$1,F273)-_xll.qwSettle($A$4,F273))/360)*_xll.qwMVFactor($A$1,F273)*_xll.qwFXRate($A$1,F273)*I273,0)</f>
        <v>-55421.100000017097</v>
      </c>
      <c r="AD273" s="6"/>
    </row>
    <row r="274" spans="2:30" s="19" customFormat="1" hidden="1" x14ac:dyDescent="0.35">
      <c r="B274" s="19" t="str">
        <v>jcleary</v>
      </c>
      <c r="C274" s="19" t="str">
        <v>PPA</v>
      </c>
      <c r="D274" s="19" t="str">
        <v>jcleary|PPA|RV_US_STIR_HEDGE|SERV6</v>
      </c>
      <c r="E274" s="19" t="str">
        <v>RV_US_STIR_HEDGE</v>
      </c>
      <c r="F274" s="19" t="str">
        <v>SERV6</v>
      </c>
      <c r="G274" s="19">
        <v>-760</v>
      </c>
      <c r="H274" s="19">
        <v>0</v>
      </c>
      <c r="I274" s="19">
        <v>-760</v>
      </c>
      <c r="J274" s="19">
        <v>0</v>
      </c>
      <c r="K274" s="19">
        <v>0</v>
      </c>
      <c r="L274" s="19">
        <v>0</v>
      </c>
      <c r="M274" s="19">
        <v>0</v>
      </c>
      <c r="N274" s="19" t="str">
        <v>RateFuture</v>
      </c>
      <c r="O274" s="6" cm="1">
        <f t="array" ref="O274">(_xll.qwPrice($A$1,F274)-_xll.qwPrice($A$4,F274))*_xll.qwMVFactor($A$1,F274)*I274*_xll.qwFXRate($A$1,F274)</f>
        <v>7917.2999999927997</v>
      </c>
      <c r="P274" s="6" cm="1">
        <f t="array" ref="P274">IF(ISNUMBER(_xll.qwDV01($A$1,F274)*I274*_xll.qwMVFactor($A$1,F274)*_xll.qwFXRate($A$1,F274)),_xll.qwDV01($A$1,F274)*I274*_xll.qwMVFactor($A$1,F274)*_xll.qwFXRate($A$1,F274),0)</f>
        <v>-17366.980645161289</v>
      </c>
      <c r="Q274" s="6" cm="1">
        <f t="array" ref="Q274">IF(ISNUMBER(_xll.qwDV01($A$1,F274)*G274*_xll.qwMVFactor($A$1,F274)*_xll.qwFXRate($A$1,F274)),_xll.qwDV01($A$1,F274)*G274*_xll.qwMVFactor($A$1,F274)*_xll.qwFXRate($A$1,F274),0)</f>
        <v>-17366.980645161289</v>
      </c>
      <c r="R274" s="6" cm="1">
        <f t="array" ref="R274">IF(ISNUMBER(_xll.qwDV01($A$1,F274)*J274*_xll.qwMVFactor($A$1,F274)*_xll.qwFXRate($A$1,F274)),_xll.qwDV01($A$1,F274)*J274*_xll.qwMVFactor($A$1,F274)*_xll.qwFXRate($A$1,F274),0)</f>
        <v>0</v>
      </c>
      <c r="S274" s="6" cm="1">
        <f t="array" ref="S274">IF(ISNUMBER(_xll.qwDV01($A$1,F274)*J274*_xll.qwMVFactor($A$1,F274)*_xll.qwFXRate($A$1,F274)),_xll.qwDV01($A$1,F274)*J274*_xll.qwMVFactor($A$1,F274)*_xll.qwFXRate($A$1,F274),0)</f>
        <v>0</v>
      </c>
      <c r="T274" s="6" cm="1">
        <f t="array" ref="T274">_xll.qwFXRate($A$1,F274)*J274*(_xll.qwPrice($A$1,F274)-M274)*_xll.qwMVFactor($A$1,F274)</f>
        <v>0</v>
      </c>
      <c r="U274" s="8" cm="1">
        <f t="array" ref="U274">_xll.qwYield($A$1,F274)</f>
        <v>3.9119260558155323E-2</v>
      </c>
      <c r="V274" s="8" cm="1">
        <f t="array" ref="V274">100*(_xll.qwYield($A$4,F274)-U274)</f>
        <v>-8.1176879049328632E-3</v>
      </c>
      <c r="W274" s="6">
        <f>IF(ISNA(G274*INDEX(_xll.qwTblData(_xll.qwCurveScenariosPerSecurity($A$1,F274,"Crv210")),2,2)),0,(G274*INDEX(_xll.qwTblData(_xll.qwCurveScenariosPerSecurity($A$1,F274,"Crv210")),2,2)))</f>
        <v>-12479.598983226022</v>
      </c>
      <c r="X274" s="6" cm="1">
        <f t="array" ref="X274">ABS(Q274/_xll.qwMV01($A$1,"CT10"))</f>
        <v>23.379273724104863</v>
      </c>
      <c r="Y274" s="6" cm="1">
        <f t="array" ref="Y274">IF(N274="BondFuture",-(_xll.qwCurveYield($A$1,_xll.qwSecVal($A$1,AA274,"CreditCurveName()"),AA274)-_xll.qwCurveYield($A$4,_xll.qwSecVal($A$4,AA274,"CreditCurveName()"),AA274))*P274*10000,IF(N274="Bond",-(_xll.qwCurveYield($A$1,_xll.qwSecVal($A$1,F274,"CreditCurveName()"),F274)-_xll.qwCurveYield($A$4,_xll.qwSecVal($A$4,F274,"CreditCurveName()"),F274))*P274*10000,O274))</f>
        <v>7917.2999999927997</v>
      </c>
      <c r="Z274" s="6" cm="1">
        <f t="array" ref="Z274">IF(OR(N274="BondFuture",N274="Bond"),P274*(_xll.qwCurveZSpread($A$4,_xll.qwSecVal($A$1,AA274,"CreditCurveName()"),AA274)-_xll.qwCurveZSpread($A$1,_xll.qwSecVal($A$1,AA274,"CreditCurveName()"),AA274)),0)</f>
        <v>0</v>
      </c>
      <c r="AA274" s="9" cm="1">
        <f t="array" ref="AA274">IF(_xll.qwSecType(F274)="Bond",F274,IF(_xll.qwSecType(F274)="BondFuture",_xll.qwFutCTD($A$1,F274),0))</f>
        <v>0</v>
      </c>
      <c r="AB274" s="6" cm="1">
        <f t="array" ref="AB274">IF(_xll.qwSecType(F274)="BondFuture",-(I274*_xll.qwDelta($A$4,F274)*_xll.qwMVFactor($A$1,F274)/_xll.qwMVFactor($A$1,_xll.qwFutCTD($A$1,F274)))*(_xll.qwFXRate($A$1,F274)*_xll.qwMVFactor($A$1,_xll.qwFutCTD($A$1,F274))*(_xll.qwIncome($A$4,_xll.qwFutCTD($A$4,F274),_xll.qwBondSettle($A$4,_xll.qwFutCTD($A$4,F274)),_xll.qwBondSettle($A$1,_xll.qwFutCTD($A$1,F274)))+(_xll.qwSecVal($A$1,AA274,"Price")-_xll.qwSecVal($A$4,AA274,"Price"))-_xll.qwBondRepoFromTo($A$1,AA274,_xll.qwBondSettle($A$4,AA274),_xll.qwBondSettle($A$1,AA274))*_xll.qwSecVal($A$1,AA274,"Price")*(_xll.qwBondSettle($A$1,AA274)-_xll.qwBondSettle($A$4,AA274))/360))+O274,0)</f>
        <v>0</v>
      </c>
      <c r="AC274" s="9" cm="1">
        <f t="array" ref="AC274">O274+T274+IF(ISNUMBER(_xll.qwIncome($A$1,F274,_xll.qwSettle($A$4,F274),_xll.qwSettle($A$1,F274))*_xll.qwMVFactor($A$1,F274)*_xll.qwFXRate($A$1,F274)*I274),_xll.qwIncome($A$1,F274,_xll.qwSettle($A$4,F274),_xll.qwSettle($A$1,F274))*_xll.qwMVFactor($A$1,F274)*_xll.qwFXRate($A$1,F274)*I274,0)+IF(ISNUMBER(-(_xll.qwBondRepoFromTo($A$1,F274,_xll.qwSettle($A$4,F274),_xll.qwSettle($A$1,F274))*_xll.qwSecVal($A$1,F274,"Price")*(_xll.qwSettle($A$1,F274)-_xll.qwSettle($A$4,F274))/360)*_xll.qwMVFactor($A$1,F274)*_xll.qwFXRate($A$1,F274)*I274),-(_xll.qwBondRepoFromTo($A$1,F274,_xll.qwSettle($A$4,F274),_xll.qwSettle($A$1,F274))*_xll.qwSecVal($A$1,F274,"Price")*(_xll.qwSettle($A$1,F274)-_xll.qwSettle($A$4,F274))/360)*_xll.qwMVFactor($A$1,F274)*_xll.qwFXRate($A$1,F274)*I274,0)</f>
        <v>7917.2999999927997</v>
      </c>
      <c r="AD274" s="6"/>
    </row>
    <row r="275" spans="2:30" s="19" customFormat="1" hidden="1" x14ac:dyDescent="0.35">
      <c r="B275" s="19" t="str">
        <v>jcleary</v>
      </c>
      <c r="C275" s="19" t="str">
        <v>PPA</v>
      </c>
      <c r="D275" s="19" t="str">
        <v>jcleary|PPA|RV_US_STIR_HEDGE|SERX6</v>
      </c>
      <c r="E275" s="19" t="str">
        <v>RV_US_STIR_HEDGE</v>
      </c>
      <c r="F275" s="19" t="str">
        <v>SERX6</v>
      </c>
      <c r="G275" s="19">
        <v>-760</v>
      </c>
      <c r="H275" s="19">
        <v>0</v>
      </c>
      <c r="I275" s="19">
        <v>-760</v>
      </c>
      <c r="J275" s="19">
        <v>0</v>
      </c>
      <c r="K275" s="19">
        <v>0</v>
      </c>
      <c r="L275" s="19">
        <v>0</v>
      </c>
      <c r="M275" s="19">
        <v>0</v>
      </c>
      <c r="N275" s="19" t="str">
        <v>RateFuture</v>
      </c>
      <c r="O275" s="6" cm="1">
        <f t="array" ref="O275">(_xll.qwPrice($A$1,F275)-_xll.qwPrice($A$4,F275))*_xll.qwMVFactor($A$1,F275)*I275*_xll.qwFXRate($A$1,F275)</f>
        <v>95007.6000000036</v>
      </c>
      <c r="P275" s="6" cm="1">
        <f t="array" ref="P275">IF(ISNUMBER(_xll.qwDV01($A$1,F275)*I275*_xll.qwMVFactor($A$1,F275)*_xll.qwFXRate($A$1,F275)),_xll.qwDV01($A$1,F275)*I275*_xll.qwMVFactor($A$1,F275)*_xll.qwFXRate($A$1,F275),0)</f>
        <v>-31669.200000000001</v>
      </c>
      <c r="Q275" s="6" cm="1">
        <f t="array" ref="Q275">IF(ISNUMBER(_xll.qwDV01($A$1,F275)*G275*_xll.qwMVFactor($A$1,F275)*_xll.qwFXRate($A$1,F275)),_xll.qwDV01($A$1,F275)*G275*_xll.qwMVFactor($A$1,F275)*_xll.qwFXRate($A$1,F275),0)</f>
        <v>-31669.200000000001</v>
      </c>
      <c r="R275" s="6" cm="1">
        <f t="array" ref="R275">IF(ISNUMBER(_xll.qwDV01($A$1,F275)*J275*_xll.qwMVFactor($A$1,F275)*_xll.qwFXRate($A$1,F275)),_xll.qwDV01($A$1,F275)*J275*_xll.qwMVFactor($A$1,F275)*_xll.qwFXRate($A$1,F275),0)</f>
        <v>0</v>
      </c>
      <c r="S275" s="6" cm="1">
        <f t="array" ref="S275">IF(ISNUMBER(_xll.qwDV01($A$1,F275)*J275*_xll.qwMVFactor($A$1,F275)*_xll.qwFXRate($A$1,F275)),_xll.qwDV01($A$1,F275)*J275*_xll.qwMVFactor($A$1,F275)*_xll.qwFXRate($A$1,F275),0)</f>
        <v>0</v>
      </c>
      <c r="T275" s="6" cm="1">
        <f t="array" ref="T275">_xll.qwFXRate($A$1,F275)*J275*(_xll.qwPrice($A$1,F275)-M275)*_xll.qwMVFactor($A$1,F275)</f>
        <v>0</v>
      </c>
      <c r="U275" s="8" cm="1">
        <f t="array" ref="U275">_xll.qwYield($A$1,F275)</f>
        <v>3.9863867494098315E-2</v>
      </c>
      <c r="V275" s="8" cm="1">
        <f t="array" ref="V275">100*(_xll.qwYield($A$4,F275)-U275)</f>
        <v>-3.0095968735022183E-2</v>
      </c>
      <c r="W275" s="6">
        <f>IF(ISNA(G275*INDEX(_xll.qwTblData(_xll.qwCurveScenariosPerSecurity($A$1,F275,"Crv210")),2,2)),0,(G275*INDEX(_xll.qwTblData(_xll.qwCurveScenariosPerSecurity($A$1,F275,"Crv210")),2,2)))</f>
        <v>-22713.131411579496</v>
      </c>
      <c r="X275" s="6" cm="1">
        <f t="array" ref="X275">ABS(Q275/_xll.qwMV01($A$1,"CT10"))</f>
        <v>42.632793261602984</v>
      </c>
      <c r="Y275" s="6" cm="1">
        <f t="array" ref="Y275">IF(N275="BondFuture",-(_xll.qwCurveYield($A$1,_xll.qwSecVal($A$1,AA275,"CreditCurveName()"),AA275)-_xll.qwCurveYield($A$4,_xll.qwSecVal($A$4,AA275,"CreditCurveName()"),AA275))*P275*10000,IF(N275="Bond",-(_xll.qwCurveYield($A$1,_xll.qwSecVal($A$1,F275,"CreditCurveName()"),F275)-_xll.qwCurveYield($A$4,_xll.qwSecVal($A$4,F275,"CreditCurveName()"),F275))*P275*10000,O275))</f>
        <v>95007.6000000036</v>
      </c>
      <c r="Z275" s="6" cm="1">
        <f t="array" ref="Z275">IF(OR(N275="BondFuture",N275="Bond"),P275*(_xll.qwCurveZSpread($A$4,_xll.qwSecVal($A$1,AA275,"CreditCurveName()"),AA275)-_xll.qwCurveZSpread($A$1,_xll.qwSecVal($A$1,AA275,"CreditCurveName()"),AA275)),0)</f>
        <v>0</v>
      </c>
      <c r="AA275" s="9" cm="1">
        <f t="array" ref="AA275">IF(_xll.qwSecType(F275)="Bond",F275,IF(_xll.qwSecType(F275)="BondFuture",_xll.qwFutCTD($A$1,F275),0))</f>
        <v>0</v>
      </c>
      <c r="AB275" s="6" cm="1">
        <f t="array" ref="AB275">IF(_xll.qwSecType(F275)="BondFuture",-(I275*_xll.qwDelta($A$4,F275)*_xll.qwMVFactor($A$1,F275)/_xll.qwMVFactor($A$1,_xll.qwFutCTD($A$1,F275)))*(_xll.qwFXRate($A$1,F275)*_xll.qwMVFactor($A$1,_xll.qwFutCTD($A$1,F275))*(_xll.qwIncome($A$4,_xll.qwFutCTD($A$4,F275),_xll.qwBondSettle($A$4,_xll.qwFutCTD($A$4,F275)),_xll.qwBondSettle($A$1,_xll.qwFutCTD($A$1,F275)))+(_xll.qwSecVal($A$1,AA275,"Price")-_xll.qwSecVal($A$4,AA275,"Price"))-_xll.qwBondRepoFromTo($A$1,AA275,_xll.qwBondSettle($A$4,AA275),_xll.qwBondSettle($A$1,AA275))*_xll.qwSecVal($A$1,AA275,"Price")*(_xll.qwBondSettle($A$1,AA275)-_xll.qwBondSettle($A$4,AA275))/360))+O275,0)</f>
        <v>0</v>
      </c>
      <c r="AC275" s="9" cm="1">
        <f t="array" ref="AC275">O275+T275+IF(ISNUMBER(_xll.qwIncome($A$1,F275,_xll.qwSettle($A$4,F275),_xll.qwSettle($A$1,F275))*_xll.qwMVFactor($A$1,F275)*_xll.qwFXRate($A$1,F275)*I275),_xll.qwIncome($A$1,F275,_xll.qwSettle($A$4,F275),_xll.qwSettle($A$1,F275))*_xll.qwMVFactor($A$1,F275)*_xll.qwFXRate($A$1,F275)*I275,0)+IF(ISNUMBER(-(_xll.qwBondRepoFromTo($A$1,F275,_xll.qwSettle($A$4,F275),_xll.qwSettle($A$1,F275))*_xll.qwSecVal($A$1,F275,"Price")*(_xll.qwSettle($A$1,F275)-_xll.qwSettle($A$4,F275))/360)*_xll.qwMVFactor($A$1,F275)*_xll.qwFXRate($A$1,F275)*I275),-(_xll.qwBondRepoFromTo($A$1,F275,_xll.qwSettle($A$4,F275),_xll.qwSettle($A$1,F275))*_xll.qwSecVal($A$1,F275,"Price")*(_xll.qwSettle($A$1,F275)-_xll.qwSettle($A$4,F275))/360)*_xll.qwMVFactor($A$1,F275)*_xll.qwFXRate($A$1,F275)*I275,0)</f>
        <v>95007.6000000036</v>
      </c>
      <c r="AD275" s="6"/>
    </row>
    <row r="276" spans="2:30" s="19" customFormat="1" hidden="1" x14ac:dyDescent="0.35">
      <c r="B276" s="19" t="str">
        <v>jcleary</v>
      </c>
      <c r="C276" s="19" t="str">
        <v>PPA</v>
      </c>
      <c r="D276" s="19" t="str">
        <v>jcleary|PPA|RV_US_STIR_HEDGE|SERZ6</v>
      </c>
      <c r="E276" s="19" t="str">
        <v>RV_US_STIR_HEDGE</v>
      </c>
      <c r="F276" s="19" t="str">
        <v>SERZ6</v>
      </c>
      <c r="G276" s="19">
        <v>-380</v>
      </c>
      <c r="H276" s="19">
        <v>0</v>
      </c>
      <c r="I276" s="19">
        <v>-380</v>
      </c>
      <c r="J276" s="19">
        <v>0</v>
      </c>
      <c r="K276" s="19">
        <v>0</v>
      </c>
      <c r="L276" s="19">
        <v>0</v>
      </c>
      <c r="M276" s="19">
        <v>0</v>
      </c>
      <c r="N276" s="19" t="str">
        <v>RateFuture</v>
      </c>
      <c r="O276" s="6" cm="1">
        <f t="array" ref="O276">(_xll.qwPrice($A$1,F276)-_xll.qwPrice($A$4,F276))*_xll.qwMVFactor($A$1,F276)*I276*_xll.qwFXRate($A$1,F276)</f>
        <v>47503.8000000018</v>
      </c>
      <c r="P276" s="6" cm="1">
        <f t="array" ref="P276">IF(ISNUMBER(_xll.qwDV01($A$1,F276)*I276*_xll.qwMVFactor($A$1,F276)*_xll.qwFXRate($A$1,F276)),_xll.qwDV01($A$1,F276)*I276*_xll.qwMVFactor($A$1,F276)*_xll.qwFXRate($A$1,F276),0)</f>
        <v>-15834.6</v>
      </c>
      <c r="Q276" s="6" cm="1">
        <f t="array" ref="Q276">IF(ISNUMBER(_xll.qwDV01($A$1,F276)*G276*_xll.qwMVFactor($A$1,F276)*_xll.qwFXRate($A$1,F276)),_xll.qwDV01($A$1,F276)*G276*_xll.qwMVFactor($A$1,F276)*_xll.qwFXRate($A$1,F276),0)</f>
        <v>-15834.6</v>
      </c>
      <c r="R276" s="6" cm="1">
        <f t="array" ref="R276">IF(ISNUMBER(_xll.qwDV01($A$1,F276)*J276*_xll.qwMVFactor($A$1,F276)*_xll.qwFXRate($A$1,F276)),_xll.qwDV01($A$1,F276)*J276*_xll.qwMVFactor($A$1,F276)*_xll.qwFXRate($A$1,F276),0)</f>
        <v>0</v>
      </c>
      <c r="S276" s="6" cm="1">
        <f t="array" ref="S276">IF(ISNUMBER(_xll.qwDV01($A$1,F276)*J276*_xll.qwMVFactor($A$1,F276)*_xll.qwFXRate($A$1,F276)),_xll.qwDV01($A$1,F276)*J276*_xll.qwMVFactor($A$1,F276)*_xll.qwFXRate($A$1,F276),0)</f>
        <v>0</v>
      </c>
      <c r="T276" s="6" cm="1">
        <f t="array" ref="T276">_xll.qwFXRate($A$1,F276)*J276*(_xll.qwPrice($A$1,F276)-M276)*_xll.qwMVFactor($A$1,F276)</f>
        <v>0</v>
      </c>
      <c r="U276" s="8" cm="1">
        <f t="array" ref="U276">_xll.qwYield($A$1,F276)</f>
        <v>4.1521667346102957E-2</v>
      </c>
      <c r="V276" s="8" cm="1">
        <f t="array" ref="V276">100*(_xll.qwYield($A$4,F276)-U276)</f>
        <v>-3.010342194256152E-2</v>
      </c>
      <c r="W276" s="6">
        <f>IF(ISNA(G276*INDEX(_xll.qwTblData(_xll.qwCurveScenariosPerSecurity($A$1,F276,"Crv210")),2,2)),0,(G276*INDEX(_xll.qwTblData(_xll.qwCurveScenariosPerSecurity($A$1,F276,"Crv210")),2,2)))</f>
        <v>-10700.960176371125</v>
      </c>
      <c r="X276" s="6" cm="1">
        <f t="array" ref="X276">ABS(Q276/_xll.qwMV01($A$1,"CT10"))</f>
        <v>21.316396630801492</v>
      </c>
      <c r="Y276" s="6" cm="1">
        <f t="array" ref="Y276">IF(N276="BondFuture",-(_xll.qwCurveYield($A$1,_xll.qwSecVal($A$1,AA276,"CreditCurveName()"),AA276)-_xll.qwCurveYield($A$4,_xll.qwSecVal($A$4,AA276,"CreditCurveName()"),AA276))*P276*10000,IF(N276="Bond",-(_xll.qwCurveYield($A$1,_xll.qwSecVal($A$1,F276,"CreditCurveName()"),F276)-_xll.qwCurveYield($A$4,_xll.qwSecVal($A$4,F276,"CreditCurveName()"),F276))*P276*10000,O276))</f>
        <v>47503.8000000018</v>
      </c>
      <c r="Z276" s="6" cm="1">
        <f t="array" ref="Z276">IF(OR(N276="BondFuture",N276="Bond"),P276*(_xll.qwCurveZSpread($A$4,_xll.qwSecVal($A$1,AA276,"CreditCurveName()"),AA276)-_xll.qwCurveZSpread($A$1,_xll.qwSecVal($A$1,AA276,"CreditCurveName()"),AA276)),0)</f>
        <v>0</v>
      </c>
      <c r="AA276" s="9" cm="1">
        <f t="array" ref="AA276">IF(_xll.qwSecType(F276)="Bond",F276,IF(_xll.qwSecType(F276)="BondFuture",_xll.qwFutCTD($A$1,F276),0))</f>
        <v>0</v>
      </c>
      <c r="AB276" s="6" cm="1">
        <f t="array" ref="AB276">IF(_xll.qwSecType(F276)="BondFuture",-(I276*_xll.qwDelta($A$4,F276)*_xll.qwMVFactor($A$1,F276)/_xll.qwMVFactor($A$1,_xll.qwFutCTD($A$1,F276)))*(_xll.qwFXRate($A$1,F276)*_xll.qwMVFactor($A$1,_xll.qwFutCTD($A$1,F276))*(_xll.qwIncome($A$4,_xll.qwFutCTD($A$4,F276),_xll.qwBondSettle($A$4,_xll.qwFutCTD($A$4,F276)),_xll.qwBondSettle($A$1,_xll.qwFutCTD($A$1,F276)))+(_xll.qwSecVal($A$1,AA276,"Price")-_xll.qwSecVal($A$4,AA276,"Price"))-_xll.qwBondRepoFromTo($A$1,AA276,_xll.qwBondSettle($A$4,AA276),_xll.qwBondSettle($A$1,AA276))*_xll.qwSecVal($A$1,AA276,"Price")*(_xll.qwBondSettle($A$1,AA276)-_xll.qwBondSettle($A$4,AA276))/360))+O276,0)</f>
        <v>0</v>
      </c>
      <c r="AC276" s="9" cm="1">
        <f t="array" ref="AC276">O276+T276+IF(ISNUMBER(_xll.qwIncome($A$1,F276,_xll.qwSettle($A$4,F276),_xll.qwSettle($A$1,F276))*_xll.qwMVFactor($A$1,F276)*_xll.qwFXRate($A$1,F276)*I276),_xll.qwIncome($A$1,F276,_xll.qwSettle($A$4,F276),_xll.qwSettle($A$1,F276))*_xll.qwMVFactor($A$1,F276)*_xll.qwFXRate($A$1,F276)*I276,0)+IF(ISNUMBER(-(_xll.qwBondRepoFromTo($A$1,F276,_xll.qwSettle($A$4,F276),_xll.qwSettle($A$1,F276))*_xll.qwSecVal($A$1,F276,"Price")*(_xll.qwSettle($A$1,F276)-_xll.qwSettle($A$4,F276))/360)*_xll.qwMVFactor($A$1,F276)*_xll.qwFXRate($A$1,F276)*I276),-(_xll.qwBondRepoFromTo($A$1,F276,_xll.qwSettle($A$4,F276),_xll.qwSettle($A$1,F276))*_xll.qwSecVal($A$1,F276,"Price")*(_xll.qwSettle($A$1,F276)-_xll.qwSettle($A$4,F276))/360)*_xll.qwMVFactor($A$1,F276)*_xll.qwFXRate($A$1,F276)*I276,0)</f>
        <v>47503.8000000018</v>
      </c>
      <c r="AD276" s="6"/>
    </row>
    <row r="277" spans="2:30" s="19" customFormat="1" x14ac:dyDescent="0.35">
      <c r="B277" s="19" t="str">
        <v>jcleary</v>
      </c>
      <c r="C277" s="19" t="str">
        <v>PPA</v>
      </c>
      <c r="D277" s="19" t="str">
        <v>jcleary|PPA|RV_US_TY_Spread|230171747</v>
      </c>
      <c r="E277" s="19" t="str">
        <v>RV_US_TY_Spread</v>
      </c>
      <c r="F277" s="19" t="str">
        <v>230171747</v>
      </c>
      <c r="G277" s="19">
        <v>55.4</v>
      </c>
      <c r="H277" s="19">
        <v>0</v>
      </c>
      <c r="I277" s="19">
        <v>55.4</v>
      </c>
      <c r="J277" s="19">
        <v>0</v>
      </c>
      <c r="K277" s="19">
        <v>0</v>
      </c>
      <c r="L277" s="19">
        <v>0</v>
      </c>
      <c r="M277" s="19">
        <v>0</v>
      </c>
      <c r="N277" s="19" t="str">
        <v>SwapTrade</v>
      </c>
      <c r="O277" s="6" cm="1">
        <f t="array" ref="O277">(_xll.qwPrice($A$1,F277)-_xll.qwPrice($A$4,F277))*_xll.qwMVFactor($A$1,F277)*I277*_xll.qwFXRate($A$1,F277)</f>
        <v>-41606.239499263451</v>
      </c>
      <c r="P277" s="6" cm="1">
        <f t="array" ref="P277">IF(ISNUMBER(_xll.qwDV01($A$1,F277)*I277*_xll.qwMVFactor($A$1,F277)*_xll.qwFXRate($A$1,F277)),_xll.qwDV01($A$1,F277)*I277*_xll.qwMVFactor($A$1,F277)*_xll.qwFXRate($A$1,F277),0)</f>
        <v>-29754.238932137905</v>
      </c>
      <c r="Q277" s="6" cm="1">
        <f t="array" ref="Q277">IF(ISNUMBER(_xll.qwDV01($A$1,F277)*G277*_xll.qwMVFactor($A$1,F277)*_xll.qwFXRate($A$1,F277)),_xll.qwDV01($A$1,F277)*G277*_xll.qwMVFactor($A$1,F277)*_xll.qwFXRate($A$1,F277),0)</f>
        <v>-29754.238932137905</v>
      </c>
      <c r="R277" s="6" cm="1">
        <f t="array" ref="R277">IF(ISNUMBER(_xll.qwDV01($A$1,F277)*J277*_xll.qwMVFactor($A$1,F277)*_xll.qwFXRate($A$1,F277)),_xll.qwDV01($A$1,F277)*J277*_xll.qwMVFactor($A$1,F277)*_xll.qwFXRate($A$1,F277),0)</f>
        <v>0</v>
      </c>
      <c r="S277" s="6" cm="1">
        <f t="array" ref="S277">IF(ISNUMBER(_xll.qwDV01($A$1,F277)*J277*_xll.qwMVFactor($A$1,F277)*_xll.qwFXRate($A$1,F277)),_xll.qwDV01($A$1,F277)*J277*_xll.qwMVFactor($A$1,F277)*_xll.qwFXRate($A$1,F277),0)</f>
        <v>0</v>
      </c>
      <c r="T277" s="6" cm="1">
        <f t="array" ref="T277">_xll.qwFXRate($A$1,F277)*J277*(_xll.qwPrice($A$1,F277)-M277)*_xll.qwMVFactor($A$1,F277)+L277</f>
        <v>0</v>
      </c>
      <c r="U277" s="8" cm="1">
        <f t="array" ref="U277">_xll.qwYield($A$1,F277)</f>
        <v>4.7303684743443895E-2</v>
      </c>
      <c r="V277" s="8" cm="1">
        <f t="array" ref="V277">100*(_xll.qwYield($A$4,F277)-U277)</f>
        <v>1.3591644081978327E-2</v>
      </c>
      <c r="W277" s="6">
        <f>IF(ISNA(G277*INDEX(_xll.qwTblData(_xll.qwCurveScenariosPerSecurity($A$1,F277,"Crv210")),2,2)),0,(G277*INDEX(_xll.qwTblData(_xll.qwCurveScenariosPerSecurity($A$1,F277,"Crv210")),2,2)))</f>
        <v>2519.4943385335691</v>
      </c>
      <c r="X277" s="6" cm="1">
        <f t="array" ref="X277">ABS(Q277/_xll.qwMV01($A$1,"CT10"))</f>
        <v>40.054889831450559</v>
      </c>
      <c r="Y277" s="6" cm="1">
        <f t="array" ref="Y277">IF(N277="BondFuture",-(_xll.qwCurveYield($A$1,_xll.qwSecVal($A$1,AA277,"CreditCurveName()"),AA277)-_xll.qwCurveYield($A$4,_xll.qwSecVal($A$4,AA277,"CreditCurveName()"),AA277))*P277*10000,IF(N277="Bond",-(_xll.qwCurveYield($A$1,_xll.qwSecVal($A$1,F277,"CreditCurveName()"),F277)-_xll.qwCurveYield($A$4,_xll.qwSecVal($A$4,F277,"CreditCurveName()"),F277))*P277*10000,O277))</f>
        <v>-41606.239499263451</v>
      </c>
      <c r="Z277" s="6" cm="1">
        <f t="array" ref="Z277">IF(OR(N277="BondFuture",N277="Bond"),P277*(_xll.qwCurveZSpread($A$4,_xll.qwSecVal($A$1,AA277,"CreditCurveName()"),AA277)-_xll.qwCurveZSpread($A$1,_xll.qwSecVal($A$1,AA277,"CreditCurveName()"),AA277)),0)</f>
        <v>0</v>
      </c>
      <c r="AA277" s="9" cm="1">
        <f t="array" ref="AA277">IF(_xll.qwSecType(F277)="Bond",F277,IF(_xll.qwSecType(F277)="BondFuture",_xll.qwFutCTD($A$1,F277),0))</f>
        <v>0</v>
      </c>
      <c r="AB277" s="6" cm="1">
        <f t="array" ref="AB277">IF(_xll.qwSecType(F277)="BondFuture",-(I277*_xll.qwDelta($A$4,F277)*_xll.qwMVFactor($A$1,F277)/_xll.qwMVFactor($A$1,_xll.qwFutCTD($A$1,F277)))*(_xll.qwFXRate($A$1,F277)*_xll.qwMVFactor($A$1,_xll.qwFutCTD($A$1,F277))*(_xll.qwIncome($A$4,_xll.qwFutCTD($A$4,F277),_xll.qwBondSettle($A$4,_xll.qwFutCTD($A$4,F277)),_xll.qwBondSettle($A$1,_xll.qwFutCTD($A$1,F277)))+(_xll.qwSecVal($A$1,AA277,"Price")-_xll.qwSecVal($A$4,AA277,"Price"))-_xll.qwBondRepoFromTo($A$1,AA277,_xll.qwBondSettle($A$4,AA277),_xll.qwBondSettle($A$1,AA277))*_xll.qwSecVal($A$1,AA277,"Price")*(_xll.qwBondSettle($A$1,AA277)-_xll.qwBondSettle($A$4,AA277))/360))+O277,0)</f>
        <v>0</v>
      </c>
      <c r="AC277" s="9" cm="1">
        <f t="array" ref="AC277">O277+T277+IF(ISNUMBER(_xll.qwIncome($A$1,F277,_xll.qwSettle($A$4,F277),_xll.qwSettle($A$1,F277))*_xll.qwMVFactor($A$1,F277)*_xll.qwFXRate($A$1,F277)*I277),_xll.qwIncome($A$1,F277,_xll.qwSettle($A$4,F277),_xll.qwSettle($A$1,F277))*_xll.qwMVFactor($A$1,F277)*_xll.qwFXRate($A$1,F277)*I277,0)+IF(ISNUMBER(-(_xll.qwBondRepoFromTo($A$1,F277,_xll.qwSettle($A$4,F277),_xll.qwSettle($A$1,F277))*_xll.qwSecVal($A$1,F277,"Price")*(_xll.qwSettle($A$1,F277)-_xll.qwSettle($A$4,F277))/360)*_xll.qwMVFactor($A$1,F277)*_xll.qwFXRate($A$1,F277)*I277),-(_xll.qwBondRepoFromTo($A$1,F277,_xll.qwSettle($A$4,F277),_xll.qwSettle($A$1,F277))*_xll.qwSecVal($A$1,F277,"Price")*(_xll.qwSettle($A$1,F277)-_xll.qwSettle($A$4,F277))/360)*_xll.qwMVFactor($A$1,F277)*_xll.qwFXRate($A$1,F277)*I277,0)</f>
        <v>-41606.239499263451</v>
      </c>
      <c r="AD277" s="6"/>
    </row>
    <row r="278" spans="2:30" s="19" customFormat="1" x14ac:dyDescent="0.35">
      <c r="B278" s="19" t="str">
        <v>jcleary</v>
      </c>
      <c r="C278" s="19" t="str">
        <v>PPA</v>
      </c>
      <c r="D278" s="19" t="str">
        <v>jcleary|PPA|RV_US_TY_Spread|231030784</v>
      </c>
      <c r="E278" s="19" t="str">
        <v>RV_US_TY_Spread</v>
      </c>
      <c r="F278" s="19" t="str">
        <v>231030784</v>
      </c>
      <c r="G278" s="19">
        <v>70.099999999999994</v>
      </c>
      <c r="H278" s="19">
        <v>0</v>
      </c>
      <c r="I278" s="19">
        <v>70.099999999999994</v>
      </c>
      <c r="J278" s="19">
        <v>0</v>
      </c>
      <c r="K278" s="19">
        <v>0</v>
      </c>
      <c r="L278" s="19">
        <v>0</v>
      </c>
      <c r="M278" s="19">
        <v>0</v>
      </c>
      <c r="N278" s="19" t="str">
        <v>SwapTrade</v>
      </c>
      <c r="O278" s="6" cm="1">
        <f t="array" ref="O278">(_xll.qwPrice($A$1,F278)-_xll.qwPrice($A$4,F278))*_xll.qwMVFactor($A$1,F278)*I278*_xll.qwFXRate($A$1,F278)</f>
        <v>-52946.317350672711</v>
      </c>
      <c r="P278" s="6" cm="1">
        <f t="array" ref="P278">IF(ISNUMBER(_xll.qwDV01($A$1,F278)*I278*_xll.qwMVFactor($A$1,F278)*_xll.qwFXRate($A$1,F278)),_xll.qwDV01($A$1,F278)*I278*_xll.qwMVFactor($A$1,F278)*_xll.qwFXRate($A$1,F278),0)</f>
        <v>-37924.027136789533</v>
      </c>
      <c r="Q278" s="6" cm="1">
        <f t="array" ref="Q278">IF(ISNUMBER(_xll.qwDV01($A$1,F278)*G278*_xll.qwMVFactor($A$1,F278)*_xll.qwFXRate($A$1,F278)),_xll.qwDV01($A$1,F278)*G278*_xll.qwMVFactor($A$1,F278)*_xll.qwFXRate($A$1,F278),0)</f>
        <v>-37924.027136789533</v>
      </c>
      <c r="R278" s="6" cm="1">
        <f t="array" ref="R278">IF(ISNUMBER(_xll.qwDV01($A$1,F278)*J278*_xll.qwMVFactor($A$1,F278)*_xll.qwFXRate($A$1,F278)),_xll.qwDV01($A$1,F278)*J278*_xll.qwMVFactor($A$1,F278)*_xll.qwFXRate($A$1,F278),0)</f>
        <v>0</v>
      </c>
      <c r="S278" s="6" cm="1">
        <f t="array" ref="S278">IF(ISNUMBER(_xll.qwDV01($A$1,F278)*J278*_xll.qwMVFactor($A$1,F278)*_xll.qwFXRate($A$1,F278)),_xll.qwDV01($A$1,F278)*J278*_xll.qwMVFactor($A$1,F278)*_xll.qwFXRate($A$1,F278),0)</f>
        <v>0</v>
      </c>
      <c r="T278" s="6" cm="1">
        <f t="array" ref="T278">_xll.qwFXRate($A$1,F278)*J278*(_xll.qwPrice($A$1,F278)-M278)*_xll.qwMVFactor($A$1,F278)+L278</f>
        <v>0</v>
      </c>
      <c r="U278" s="8" cm="1">
        <f t="array" ref="U278">_xll.qwYield($A$1,F278)</f>
        <v>4.7303684743443895E-2</v>
      </c>
      <c r="V278" s="8" cm="1">
        <f t="array" ref="V278">100*(_xll.qwYield($A$4,F278)-U278)</f>
        <v>1.3591644081978327E-2</v>
      </c>
      <c r="W278" s="6">
        <f>IF(ISNA(G278*INDEX(_xll.qwTblData(_xll.qwCurveScenariosPerSecurity($A$1,F278,"Crv210")),2,2)),0,(G278*INDEX(_xll.qwTblData(_xll.qwCurveScenariosPerSecurity($A$1,F278,"Crv210")),2,2)))</f>
        <v>3145.1787845902518</v>
      </c>
      <c r="X278" s="6" cm="1">
        <f t="array" ref="X278">ABS(Q278/_xll.qwMV01($A$1,"CT10"))</f>
        <v>51.052985505480706</v>
      </c>
      <c r="Y278" s="6" cm="1">
        <f t="array" ref="Y278">IF(N278="BondFuture",-(_xll.qwCurveYield($A$1,_xll.qwSecVal($A$1,AA278,"CreditCurveName()"),AA278)-_xll.qwCurveYield($A$4,_xll.qwSecVal($A$4,AA278,"CreditCurveName()"),AA278))*P278*10000,IF(N278="Bond",-(_xll.qwCurveYield($A$1,_xll.qwSecVal($A$1,F278,"CreditCurveName()"),F278)-_xll.qwCurveYield($A$4,_xll.qwSecVal($A$4,F278,"CreditCurveName()"),F278))*P278*10000,O278))</f>
        <v>-52946.317350672711</v>
      </c>
      <c r="Z278" s="6" cm="1">
        <f t="array" ref="Z278">IF(OR(N278="BondFuture",N278="Bond"),P278*(_xll.qwCurveZSpread($A$4,_xll.qwSecVal($A$1,AA278,"CreditCurveName()"),AA278)-_xll.qwCurveZSpread($A$1,_xll.qwSecVal($A$1,AA278,"CreditCurveName()"),AA278)),0)</f>
        <v>0</v>
      </c>
      <c r="AA278" s="9" cm="1">
        <f t="array" ref="AA278">IF(_xll.qwSecType(F278)="Bond",F278,IF(_xll.qwSecType(F278)="BondFuture",_xll.qwFutCTD($A$1,F278),0))</f>
        <v>0</v>
      </c>
      <c r="AB278" s="6" cm="1">
        <f t="array" ref="AB278">IF(_xll.qwSecType(F278)="BondFuture",-(I278*_xll.qwDelta($A$4,F278)*_xll.qwMVFactor($A$1,F278)/_xll.qwMVFactor($A$1,_xll.qwFutCTD($A$1,F278)))*(_xll.qwFXRate($A$1,F278)*_xll.qwMVFactor($A$1,_xll.qwFutCTD($A$1,F278))*(_xll.qwIncome($A$4,_xll.qwFutCTD($A$4,F278),_xll.qwBondSettle($A$4,_xll.qwFutCTD($A$4,F278)),_xll.qwBondSettle($A$1,_xll.qwFutCTD($A$1,F278)))+(_xll.qwSecVal($A$1,AA278,"Price")-_xll.qwSecVal($A$4,AA278,"Price"))-_xll.qwBondRepoFromTo($A$1,AA278,_xll.qwBondSettle($A$4,AA278),_xll.qwBondSettle($A$1,AA278))*_xll.qwSecVal($A$1,AA278,"Price")*(_xll.qwBondSettle($A$1,AA278)-_xll.qwBondSettle($A$4,AA278))/360))+O278,0)</f>
        <v>0</v>
      </c>
      <c r="AC278" s="9" cm="1">
        <f t="array" ref="AC278">O278+T278+IF(ISNUMBER(_xll.qwIncome($A$1,F278,_xll.qwSettle($A$4,F278),_xll.qwSettle($A$1,F278))*_xll.qwMVFactor($A$1,F278)*_xll.qwFXRate($A$1,F278)*I278),_xll.qwIncome($A$1,F278,_xll.qwSettle($A$4,F278),_xll.qwSettle($A$1,F278))*_xll.qwMVFactor($A$1,F278)*_xll.qwFXRate($A$1,F278)*I278,0)+IF(ISNUMBER(-(_xll.qwBondRepoFromTo($A$1,F278,_xll.qwSettle($A$4,F278),_xll.qwSettle($A$1,F278))*_xll.qwSecVal($A$1,F278,"Price")*(_xll.qwSettle($A$1,F278)-_xll.qwSettle($A$4,F278))/360)*_xll.qwMVFactor($A$1,F278)*_xll.qwFXRate($A$1,F278)*I278),-(_xll.qwBondRepoFromTo($A$1,F278,_xll.qwSettle($A$4,F278),_xll.qwSettle($A$1,F278))*_xll.qwSecVal($A$1,F278,"Price")*(_xll.qwSettle($A$1,F278)-_xll.qwSettle($A$4,F278))/360)*_xll.qwMVFactor($A$1,F278)*_xll.qwFXRate($A$1,F278)*I278,0)</f>
        <v>-52946.317350672711</v>
      </c>
      <c r="AD278" s="6"/>
    </row>
    <row r="279" spans="2:30" s="19" customFormat="1" x14ac:dyDescent="0.35">
      <c r="B279" s="19" t="str">
        <v>jcleary</v>
      </c>
      <c r="C279" s="19" t="str">
        <v>PPA</v>
      </c>
      <c r="D279" s="19" t="str">
        <v>jcleary|PPA|RV_US_TY_Spread|231211801</v>
      </c>
      <c r="E279" s="19" t="str">
        <v>RV_US_TY_Spread</v>
      </c>
      <c r="F279" s="19" t="str">
        <v>231211801</v>
      </c>
      <c r="G279" s="19">
        <v>54.5</v>
      </c>
      <c r="H279" s="19">
        <v>0</v>
      </c>
      <c r="I279" s="19">
        <v>54.5</v>
      </c>
      <c r="J279" s="19">
        <v>0</v>
      </c>
      <c r="K279" s="19">
        <v>0</v>
      </c>
      <c r="L279" s="19">
        <v>0</v>
      </c>
      <c r="M279" s="19">
        <v>0</v>
      </c>
      <c r="N279" s="19" t="str">
        <v>SwapTrade</v>
      </c>
      <c r="O279" s="6" cm="1">
        <f t="array" ref="O279">(_xll.qwPrice($A$1,F279)-_xll.qwPrice($A$4,F279))*_xll.qwMVFactor($A$1,F279)*I279*_xll.qwFXRate($A$1,F279)</f>
        <v>-43772.627123751947</v>
      </c>
      <c r="P279" s="6" cm="1">
        <f t="array" ref="P279">IF(ISNUMBER(_xll.qwDV01($A$1,F279)*I279*_xll.qwMVFactor($A$1,F279)*_xll.qwFXRate($A$1,F279)),_xll.qwDV01($A$1,F279)*I279*_xll.qwMVFactor($A$1,F279)*_xll.qwFXRate($A$1,F279),0)</f>
        <v>-30293.240125953584</v>
      </c>
      <c r="Q279" s="6" cm="1">
        <f t="array" ref="Q279">IF(ISNUMBER(_xll.qwDV01($A$1,F279)*G279*_xll.qwMVFactor($A$1,F279)*_xll.qwFXRate($A$1,F279)),_xll.qwDV01($A$1,F279)*G279*_xll.qwMVFactor($A$1,F279)*_xll.qwFXRate($A$1,F279),0)</f>
        <v>-30293.240125953584</v>
      </c>
      <c r="R279" s="6" cm="1">
        <f t="array" ref="R279">IF(ISNUMBER(_xll.qwDV01($A$1,F279)*J279*_xll.qwMVFactor($A$1,F279)*_xll.qwFXRate($A$1,F279)),_xll.qwDV01($A$1,F279)*J279*_xll.qwMVFactor($A$1,F279)*_xll.qwFXRate($A$1,F279),0)</f>
        <v>0</v>
      </c>
      <c r="S279" s="6" cm="1">
        <f t="array" ref="S279">IF(ISNUMBER(_xll.qwDV01($A$1,F279)*J279*_xll.qwMVFactor($A$1,F279)*_xll.qwFXRate($A$1,F279)),_xll.qwDV01($A$1,F279)*J279*_xll.qwMVFactor($A$1,F279)*_xll.qwFXRate($A$1,F279),0)</f>
        <v>0</v>
      </c>
      <c r="T279" s="6" cm="1">
        <f t="array" ref="T279">_xll.qwFXRate($A$1,F279)*J279*(_xll.qwPrice($A$1,F279)-M279)*_xll.qwMVFactor($A$1,F279)+L279</f>
        <v>0</v>
      </c>
      <c r="U279" s="8" cm="1">
        <f t="array" ref="U279">_xll.qwYield($A$1,F279)</f>
        <v>4.735978217866358E-2</v>
      </c>
      <c r="V279" s="8" cm="1">
        <f t="array" ref="V279">100*(_xll.qwYield($A$4,F279)-U279)</f>
        <v>1.4064238373222987E-2</v>
      </c>
      <c r="W279" s="6">
        <f>IF(ISNA(G279*INDEX(_xll.qwTblData(_xll.qwCurveScenariosPerSecurity($A$1,F279,"Crv210")),2,2)),0,(G279*INDEX(_xll.qwTblData(_xll.qwCurveScenariosPerSecurity($A$1,F279,"Crv210")),2,2)))</f>
        <v>3519.3786041031981</v>
      </c>
      <c r="X279" s="6" cm="1">
        <f t="array" ref="X279">ABS(Q279/_xll.qwMV01($A$1,"CT10"))</f>
        <v>40.780488408733881</v>
      </c>
      <c r="Y279" s="6" cm="1">
        <f t="array" ref="Y279">IF(N279="BondFuture",-(_xll.qwCurveYield($A$1,_xll.qwSecVal($A$1,AA279,"CreditCurveName()"),AA279)-_xll.qwCurveYield($A$4,_xll.qwSecVal($A$4,AA279,"CreditCurveName()"),AA279))*P279*10000,IF(N279="Bond",-(_xll.qwCurveYield($A$1,_xll.qwSecVal($A$1,F279,"CreditCurveName()"),F279)-_xll.qwCurveYield($A$4,_xll.qwSecVal($A$4,F279,"CreditCurveName()"),F279))*P279*10000,O279))</f>
        <v>-43772.627123751947</v>
      </c>
      <c r="Z279" s="6" cm="1">
        <f t="array" ref="Z279">IF(OR(N279="BondFuture",N279="Bond"),P279*(_xll.qwCurveZSpread($A$4,_xll.qwSecVal($A$1,AA279,"CreditCurveName()"),AA279)-_xll.qwCurveZSpread($A$1,_xll.qwSecVal($A$1,AA279,"CreditCurveName()"),AA279)),0)</f>
        <v>0</v>
      </c>
      <c r="AA279" s="9" cm="1">
        <f t="array" ref="AA279">IF(_xll.qwSecType(F279)="Bond",F279,IF(_xll.qwSecType(F279)="BondFuture",_xll.qwFutCTD($A$1,F279),0))</f>
        <v>0</v>
      </c>
      <c r="AB279" s="6" cm="1">
        <f t="array" ref="AB279">IF(_xll.qwSecType(F279)="BondFuture",-(I279*_xll.qwDelta($A$4,F279)*_xll.qwMVFactor($A$1,F279)/_xll.qwMVFactor($A$1,_xll.qwFutCTD($A$1,F279)))*(_xll.qwFXRate($A$1,F279)*_xll.qwMVFactor($A$1,_xll.qwFutCTD($A$1,F279))*(_xll.qwIncome($A$4,_xll.qwFutCTD($A$4,F279),_xll.qwBondSettle($A$4,_xll.qwFutCTD($A$4,F279)),_xll.qwBondSettle($A$1,_xll.qwFutCTD($A$1,F279)))+(_xll.qwSecVal($A$1,AA279,"Price")-_xll.qwSecVal($A$4,AA279,"Price"))-_xll.qwBondRepoFromTo($A$1,AA279,_xll.qwBondSettle($A$4,AA279),_xll.qwBondSettle($A$1,AA279))*_xll.qwSecVal($A$1,AA279,"Price")*(_xll.qwBondSettle($A$1,AA279)-_xll.qwBondSettle($A$4,AA279))/360))+O279,0)</f>
        <v>0</v>
      </c>
      <c r="AC279" s="9" cm="1">
        <f t="array" ref="AC279">O279+T279+IF(ISNUMBER(_xll.qwIncome($A$1,F279,_xll.qwSettle($A$4,F279),_xll.qwSettle($A$1,F279))*_xll.qwMVFactor($A$1,F279)*_xll.qwFXRate($A$1,F279)*I279),_xll.qwIncome($A$1,F279,_xll.qwSettle($A$4,F279),_xll.qwSettle($A$1,F279))*_xll.qwMVFactor($A$1,F279)*_xll.qwFXRate($A$1,F279)*I279,0)+IF(ISNUMBER(-(_xll.qwBondRepoFromTo($A$1,F279,_xll.qwSettle($A$4,F279),_xll.qwSettle($A$1,F279))*_xll.qwSecVal($A$1,F279,"Price")*(_xll.qwSettle($A$1,F279)-_xll.qwSettle($A$4,F279))/360)*_xll.qwMVFactor($A$1,F279)*_xll.qwFXRate($A$1,F279)*I279),-(_xll.qwBondRepoFromTo($A$1,F279,_xll.qwSettle($A$4,F279),_xll.qwSettle($A$1,F279))*_xll.qwSecVal($A$1,F279,"Price")*(_xll.qwSettle($A$1,F279)-_xll.qwSettle($A$4,F279))/360)*_xll.qwMVFactor($A$1,F279)*_xll.qwFXRate($A$1,F279)*I279,0)</f>
        <v>-43772.627123751947</v>
      </c>
      <c r="AD279" s="6"/>
    </row>
    <row r="280" spans="2:30" s="19" customFormat="1" x14ac:dyDescent="0.35">
      <c r="B280" s="19" t="str">
        <v>jcleary</v>
      </c>
      <c r="C280" s="19" t="str">
        <v>PPA</v>
      </c>
      <c r="D280" s="19" t="str">
        <v>jcleary|PPA|RV_US_TY_Spread|231211845</v>
      </c>
      <c r="E280" s="19" t="str">
        <v>RV_US_TY_Spread</v>
      </c>
      <c r="F280" s="19" t="str">
        <v>231211845</v>
      </c>
      <c r="G280" s="19">
        <v>54.5</v>
      </c>
      <c r="H280" s="19">
        <v>0</v>
      </c>
      <c r="I280" s="19">
        <v>54.5</v>
      </c>
      <c r="J280" s="19">
        <v>0</v>
      </c>
      <c r="K280" s="19">
        <v>0</v>
      </c>
      <c r="L280" s="19">
        <v>0</v>
      </c>
      <c r="M280" s="19">
        <v>0</v>
      </c>
      <c r="N280" s="19" t="str">
        <v>SwapTrade</v>
      </c>
      <c r="O280" s="6" cm="1">
        <f t="array" ref="O280">(_xll.qwPrice($A$1,F280)-_xll.qwPrice($A$4,F280))*_xll.qwMVFactor($A$1,F280)*I280*_xll.qwFXRate($A$1,F280)</f>
        <v>-43771.19915275379</v>
      </c>
      <c r="P280" s="6" cm="1">
        <f t="array" ref="P280">IF(ISNUMBER(_xll.qwDV01($A$1,F280)*I280*_xll.qwMVFactor($A$1,F280)*_xll.qwFXRate($A$1,F280)),_xll.qwDV01($A$1,F280)*I280*_xll.qwMVFactor($A$1,F280)*_xll.qwFXRate($A$1,F280),0)</f>
        <v>-30291.975832115997</v>
      </c>
      <c r="Q280" s="6" cm="1">
        <f t="array" ref="Q280">IF(ISNUMBER(_xll.qwDV01($A$1,F280)*G280*_xll.qwMVFactor($A$1,F280)*_xll.qwFXRate($A$1,F280)),_xll.qwDV01($A$1,F280)*G280*_xll.qwMVFactor($A$1,F280)*_xll.qwFXRate($A$1,F280),0)</f>
        <v>-30291.975832115997</v>
      </c>
      <c r="R280" s="6" cm="1">
        <f t="array" ref="R280">IF(ISNUMBER(_xll.qwDV01($A$1,F280)*J280*_xll.qwMVFactor($A$1,F280)*_xll.qwFXRate($A$1,F280)),_xll.qwDV01($A$1,F280)*J280*_xll.qwMVFactor($A$1,F280)*_xll.qwFXRate($A$1,F280),0)</f>
        <v>0</v>
      </c>
      <c r="S280" s="6" cm="1">
        <f t="array" ref="S280">IF(ISNUMBER(_xll.qwDV01($A$1,F280)*J280*_xll.qwMVFactor($A$1,F280)*_xll.qwFXRate($A$1,F280)),_xll.qwDV01($A$1,F280)*J280*_xll.qwMVFactor($A$1,F280)*_xll.qwFXRate($A$1,F280),0)</f>
        <v>0</v>
      </c>
      <c r="T280" s="6" cm="1">
        <f t="array" ref="T280">_xll.qwFXRate($A$1,F280)*J280*(_xll.qwPrice($A$1,F280)-M280)*_xll.qwMVFactor($A$1,F280)+L280</f>
        <v>0</v>
      </c>
      <c r="U280" s="8" cm="1">
        <f t="array" ref="U280">_xll.qwYield($A$1,F280)</f>
        <v>4.735978217866358E-2</v>
      </c>
      <c r="V280" s="8" cm="1">
        <f t="array" ref="V280">100*(_xll.qwYield($A$4,F280)-U280)</f>
        <v>1.4064238373222987E-2</v>
      </c>
      <c r="W280" s="6">
        <f>IF(ISNA(G280*INDEX(_xll.qwTblData(_xll.qwCurveScenariosPerSecurity($A$1,F280,"Crv210")),2,2)),0,(G280*INDEX(_xll.qwTblData(_xll.qwCurveScenariosPerSecurity($A$1,F280,"Crv210")),2,2)))</f>
        <v>3519.5463004394246</v>
      </c>
      <c r="X280" s="6" cm="1">
        <f t="array" ref="X280">ABS(Q280/_xll.qwMV01($A$1,"CT10"))</f>
        <v>40.778786427698691</v>
      </c>
      <c r="Y280" s="6" cm="1">
        <f t="array" ref="Y280">IF(N280="BondFuture",-(_xll.qwCurveYield($A$1,_xll.qwSecVal($A$1,AA280,"CreditCurveName()"),AA280)-_xll.qwCurveYield($A$4,_xll.qwSecVal($A$4,AA280,"CreditCurveName()"),AA280))*P280*10000,IF(N280="Bond",-(_xll.qwCurveYield($A$1,_xll.qwSecVal($A$1,F280,"CreditCurveName()"),F280)-_xll.qwCurveYield($A$4,_xll.qwSecVal($A$4,F280,"CreditCurveName()"),F280))*P280*10000,O280))</f>
        <v>-43771.19915275379</v>
      </c>
      <c r="Z280" s="6" cm="1">
        <f t="array" ref="Z280">IF(OR(N280="BondFuture",N280="Bond"),P280*(_xll.qwCurveZSpread($A$4,_xll.qwSecVal($A$1,AA280,"CreditCurveName()"),AA280)-_xll.qwCurveZSpread($A$1,_xll.qwSecVal($A$1,AA280,"CreditCurveName()"),AA280)),0)</f>
        <v>0</v>
      </c>
      <c r="AA280" s="9" cm="1">
        <f t="array" ref="AA280">IF(_xll.qwSecType(F280)="Bond",F280,IF(_xll.qwSecType(F280)="BondFuture",_xll.qwFutCTD($A$1,F280),0))</f>
        <v>0</v>
      </c>
      <c r="AB280" s="6" cm="1">
        <f t="array" ref="AB280">IF(_xll.qwSecType(F280)="BondFuture",-(I280*_xll.qwDelta($A$4,F280)*_xll.qwMVFactor($A$1,F280)/_xll.qwMVFactor($A$1,_xll.qwFutCTD($A$1,F280)))*(_xll.qwFXRate($A$1,F280)*_xll.qwMVFactor($A$1,_xll.qwFutCTD($A$1,F280))*(_xll.qwIncome($A$4,_xll.qwFutCTD($A$4,F280),_xll.qwBondSettle($A$4,_xll.qwFutCTD($A$4,F280)),_xll.qwBondSettle($A$1,_xll.qwFutCTD($A$1,F280)))+(_xll.qwSecVal($A$1,AA280,"Price")-_xll.qwSecVal($A$4,AA280,"Price"))-_xll.qwBondRepoFromTo($A$1,AA280,_xll.qwBondSettle($A$4,AA280),_xll.qwBondSettle($A$1,AA280))*_xll.qwSecVal($A$1,AA280,"Price")*(_xll.qwBondSettle($A$1,AA280)-_xll.qwBondSettle($A$4,AA280))/360))+O280,0)</f>
        <v>0</v>
      </c>
      <c r="AC280" s="9" cm="1">
        <f t="array" ref="AC280">O280+T280+IF(ISNUMBER(_xll.qwIncome($A$1,F280,_xll.qwSettle($A$4,F280),_xll.qwSettle($A$1,F280))*_xll.qwMVFactor($A$1,F280)*_xll.qwFXRate($A$1,F280)*I280),_xll.qwIncome($A$1,F280,_xll.qwSettle($A$4,F280),_xll.qwSettle($A$1,F280))*_xll.qwMVFactor($A$1,F280)*_xll.qwFXRate($A$1,F280)*I280,0)+IF(ISNUMBER(-(_xll.qwBondRepoFromTo($A$1,F280,_xll.qwSettle($A$4,F280),_xll.qwSettle($A$1,F280))*_xll.qwSecVal($A$1,F280,"Price")*(_xll.qwSettle($A$1,F280)-_xll.qwSettle($A$4,F280))/360)*_xll.qwMVFactor($A$1,F280)*_xll.qwFXRate($A$1,F280)*I280),-(_xll.qwBondRepoFromTo($A$1,F280,_xll.qwSettle($A$4,F280),_xll.qwSettle($A$1,F280))*_xll.qwSecVal($A$1,F280,"Price")*(_xll.qwSettle($A$1,F280)-_xll.qwSettle($A$4,F280))/360)*_xll.qwMVFactor($A$1,F280)*_xll.qwFXRate($A$1,F280)*I280,0)</f>
        <v>-43771.19915275379</v>
      </c>
      <c r="AD280" s="6"/>
    </row>
    <row r="281" spans="2:30" s="19" customFormat="1" x14ac:dyDescent="0.35">
      <c r="B281" s="19" t="str">
        <v>jcleary</v>
      </c>
      <c r="C281" s="19" t="str">
        <v>PPA</v>
      </c>
      <c r="D281" s="19" t="str">
        <v>jcleary|PPA|RV_US_TY_Spread|232257832</v>
      </c>
      <c r="E281" s="19" t="str">
        <v>RV_US_TY_Spread</v>
      </c>
      <c r="F281" s="19" t="str">
        <v>232257832</v>
      </c>
      <c r="G281" s="19">
        <v>228.4</v>
      </c>
      <c r="H281" s="19">
        <v>0</v>
      </c>
      <c r="I281" s="19">
        <v>228.4</v>
      </c>
      <c r="J281" s="19">
        <v>0</v>
      </c>
      <c r="K281" s="19">
        <v>0</v>
      </c>
      <c r="L281" s="19">
        <v>0</v>
      </c>
      <c r="M281" s="19">
        <v>0</v>
      </c>
      <c r="N281" s="19" t="str">
        <v>SwapTrade</v>
      </c>
      <c r="O281" s="6" cm="1">
        <f t="array" ref="O281">(_xll.qwPrice($A$1,F281)-_xll.qwPrice($A$4,F281))*_xll.qwMVFactor($A$1,F281)*I281*_xll.qwFXRate($A$1,F281)</f>
        <v>-136395.31260247304</v>
      </c>
      <c r="P281" s="6" cm="1">
        <f t="array" ref="P281">IF(ISNUMBER(_xll.qwDV01($A$1,F281)*I281*_xll.qwMVFactor($A$1,F281)*_xll.qwFXRate($A$1,F281)),_xll.qwDV01($A$1,F281)*I281*_xll.qwMVFactor($A$1,F281)*_xll.qwFXRate($A$1,F281),0)</f>
        <v>-111110.15114127625</v>
      </c>
      <c r="Q281" s="6" cm="1">
        <f t="array" ref="Q281">IF(ISNUMBER(_xll.qwDV01($A$1,F281)*G281*_xll.qwMVFactor($A$1,F281)*_xll.qwFXRate($A$1,F281)),_xll.qwDV01($A$1,F281)*G281*_xll.qwMVFactor($A$1,F281)*_xll.qwFXRate($A$1,F281),0)</f>
        <v>-111110.15114127625</v>
      </c>
      <c r="R281" s="6" cm="1">
        <f t="array" ref="R281">IF(ISNUMBER(_xll.qwDV01($A$1,F281)*J281*_xll.qwMVFactor($A$1,F281)*_xll.qwFXRate($A$1,F281)),_xll.qwDV01($A$1,F281)*J281*_xll.qwMVFactor($A$1,F281)*_xll.qwFXRate($A$1,F281),0)</f>
        <v>0</v>
      </c>
      <c r="S281" s="6" cm="1">
        <f t="array" ref="S281">IF(ISNUMBER(_xll.qwDV01($A$1,F281)*J281*_xll.qwMVFactor($A$1,F281)*_xll.qwFXRate($A$1,F281)),_xll.qwDV01($A$1,F281)*J281*_xll.qwMVFactor($A$1,F281)*_xll.qwFXRate($A$1,F281),0)</f>
        <v>0</v>
      </c>
      <c r="T281" s="6" cm="1">
        <f t="array" ref="T281">_xll.qwFXRate($A$1,F281)*J281*(_xll.qwPrice($A$1,F281)-M281)*_xll.qwMVFactor($A$1,F281)+L281</f>
        <v>0</v>
      </c>
      <c r="U281" s="8" cm="1">
        <f t="array" ref="U281">_xll.qwYield($A$1,F281)</f>
        <v>4.721081966519719E-2</v>
      </c>
      <c r="V281" s="8" cm="1">
        <f t="array" ref="V281">100*(_xll.qwYield($A$4,F281)-U281)</f>
        <v>1.1875651335332971E-2</v>
      </c>
      <c r="W281" s="6">
        <f>IF(ISNA(G281*INDEX(_xll.qwTblData(_xll.qwCurveScenariosPerSecurity($A$1,F281,"Crv210")),2,2)),0,(G281*INDEX(_xll.qwTblData(_xll.qwCurveScenariosPerSecurity($A$1,F281,"Crv210")),2,2)))</f>
        <v>-1301.9891825073344</v>
      </c>
      <c r="X281" s="6" cm="1">
        <f t="array" ref="X281">ABS(Q281/_xll.qwMV01($A$1,"CT10"))</f>
        <v>149.57548984096508</v>
      </c>
      <c r="Y281" s="6" cm="1">
        <f t="array" ref="Y281">IF(N281="BondFuture",-(_xll.qwCurveYield($A$1,_xll.qwSecVal($A$1,AA281,"CreditCurveName()"),AA281)-_xll.qwCurveYield($A$4,_xll.qwSecVal($A$4,AA281,"CreditCurveName()"),AA281))*P281*10000,IF(N281="Bond",-(_xll.qwCurveYield($A$1,_xll.qwSecVal($A$1,F281,"CreditCurveName()"),F281)-_xll.qwCurveYield($A$4,_xll.qwSecVal($A$4,F281,"CreditCurveName()"),F281))*P281*10000,O281))</f>
        <v>-136395.31260247304</v>
      </c>
      <c r="Z281" s="6" cm="1">
        <f t="array" ref="Z281">IF(OR(N281="BondFuture",N281="Bond"),P281*(_xll.qwCurveZSpread($A$4,_xll.qwSecVal($A$1,AA281,"CreditCurveName()"),AA281)-_xll.qwCurveZSpread($A$1,_xll.qwSecVal($A$1,AA281,"CreditCurveName()"),AA281)),0)</f>
        <v>0</v>
      </c>
      <c r="AA281" s="9" cm="1">
        <f t="array" ref="AA281">IF(_xll.qwSecType(F281)="Bond",F281,IF(_xll.qwSecType(F281)="BondFuture",_xll.qwFutCTD($A$1,F281),0))</f>
        <v>0</v>
      </c>
      <c r="AB281" s="6" cm="1">
        <f t="array" ref="AB281">IF(_xll.qwSecType(F281)="BondFuture",-(I281*_xll.qwDelta($A$4,F281)*_xll.qwMVFactor($A$1,F281)/_xll.qwMVFactor($A$1,_xll.qwFutCTD($A$1,F281)))*(_xll.qwFXRate($A$1,F281)*_xll.qwMVFactor($A$1,_xll.qwFutCTD($A$1,F281))*(_xll.qwIncome($A$4,_xll.qwFutCTD($A$4,F281),_xll.qwBondSettle($A$4,_xll.qwFutCTD($A$4,F281)),_xll.qwBondSettle($A$1,_xll.qwFutCTD($A$1,F281)))+(_xll.qwSecVal($A$1,AA281,"Price")-_xll.qwSecVal($A$4,AA281,"Price"))-_xll.qwBondRepoFromTo($A$1,AA281,_xll.qwBondSettle($A$4,AA281),_xll.qwBondSettle($A$1,AA281))*_xll.qwSecVal($A$1,AA281,"Price")*(_xll.qwBondSettle($A$1,AA281)-_xll.qwBondSettle($A$4,AA281))/360))+O281,0)</f>
        <v>0</v>
      </c>
      <c r="AC281" s="9" cm="1">
        <f t="array" ref="AC281">O281+T281+IF(ISNUMBER(_xll.qwIncome($A$1,F281,_xll.qwSettle($A$4,F281),_xll.qwSettle($A$1,F281))*_xll.qwMVFactor($A$1,F281)*_xll.qwFXRate($A$1,F281)*I281),_xll.qwIncome($A$1,F281,_xll.qwSettle($A$4,F281),_xll.qwSettle($A$1,F281))*_xll.qwMVFactor($A$1,F281)*_xll.qwFXRate($A$1,F281)*I281,0)+IF(ISNUMBER(-(_xll.qwBondRepoFromTo($A$1,F281,_xll.qwSettle($A$4,F281),_xll.qwSettle($A$1,F281))*_xll.qwSecVal($A$1,F281,"Price")*(_xll.qwSettle($A$1,F281)-_xll.qwSettle($A$4,F281))/360)*_xll.qwMVFactor($A$1,F281)*_xll.qwFXRate($A$1,F281)*I281),-(_xll.qwBondRepoFromTo($A$1,F281,_xll.qwSettle($A$4,F281),_xll.qwSettle($A$1,F281))*_xll.qwSecVal($A$1,F281,"Price")*(_xll.qwSettle($A$1,F281)-_xll.qwSettle($A$4,F281))/360)*_xll.qwMVFactor($A$1,F281)*_xll.qwFXRate($A$1,F281)*I281,0)</f>
        <v>-136395.31260247304</v>
      </c>
      <c r="AD281" s="6"/>
    </row>
    <row r="282" spans="2:30" s="19" customFormat="1" x14ac:dyDescent="0.35">
      <c r="B282" s="19" t="str">
        <v>jcleary</v>
      </c>
      <c r="C282" s="19" t="str">
        <v>PPA</v>
      </c>
      <c r="D282" s="19" t="str">
        <v>jcleary|PPA|RV_US_TY_Spread|232999148</v>
      </c>
      <c r="E282" s="19" t="str">
        <v>RV_US_TY_Spread</v>
      </c>
      <c r="F282" s="19" t="str">
        <v>232999148</v>
      </c>
      <c r="G282" s="19">
        <v>58.8</v>
      </c>
      <c r="H282" s="19">
        <v>0</v>
      </c>
      <c r="I282" s="19">
        <v>58.8</v>
      </c>
      <c r="J282" s="19">
        <v>0</v>
      </c>
      <c r="K282" s="19">
        <v>0</v>
      </c>
      <c r="L282" s="19">
        <v>0</v>
      </c>
      <c r="M282" s="19">
        <v>0</v>
      </c>
      <c r="N282" s="19" t="str">
        <v>SwapTrade</v>
      </c>
      <c r="O282" s="6" cm="1">
        <f t="array" ref="O282">(_xll.qwPrice($A$1,F282)-_xll.qwPrice($A$4,F282))*_xll.qwMVFactor($A$1,F282)*I282*_xll.qwFXRate($A$1,F282)</f>
        <v>-39153.978608878788</v>
      </c>
      <c r="P282" s="6" cm="1">
        <f t="array" ref="P282">IF(ISNUMBER(_xll.qwDV01($A$1,F282)*I282*_xll.qwMVFactor($A$1,F282)*_xll.qwFXRate($A$1,F282)),_xll.qwDV01($A$1,F282)*I282*_xll.qwMVFactor($A$1,F282)*_xll.qwFXRate($A$1,F282),0)</f>
        <v>-29952.413020692016</v>
      </c>
      <c r="Q282" s="6" cm="1">
        <f t="array" ref="Q282">IF(ISNUMBER(_xll.qwDV01($A$1,F282)*G282*_xll.qwMVFactor($A$1,F282)*_xll.qwFXRate($A$1,F282)),_xll.qwDV01($A$1,F282)*G282*_xll.qwMVFactor($A$1,F282)*_xll.qwFXRate($A$1,F282),0)</f>
        <v>-29952.413020692016</v>
      </c>
      <c r="R282" s="6" cm="1">
        <f t="array" ref="R282">IF(ISNUMBER(_xll.qwDV01($A$1,F282)*J282*_xll.qwMVFactor($A$1,F282)*_xll.qwFXRate($A$1,F282)),_xll.qwDV01($A$1,F282)*J282*_xll.qwMVFactor($A$1,F282)*_xll.qwFXRate($A$1,F282),0)</f>
        <v>0</v>
      </c>
      <c r="S282" s="6" cm="1">
        <f t="array" ref="S282">IF(ISNUMBER(_xll.qwDV01($A$1,F282)*J282*_xll.qwMVFactor($A$1,F282)*_xll.qwFXRate($A$1,F282)),_xll.qwDV01($A$1,F282)*J282*_xll.qwMVFactor($A$1,F282)*_xll.qwFXRate($A$1,F282),0)</f>
        <v>0</v>
      </c>
      <c r="T282" s="6" cm="1">
        <f t="array" ref="T282">_xll.qwFXRate($A$1,F282)*J282*(_xll.qwPrice($A$1,F282)-M282)*_xll.qwMVFactor($A$1,F282)+L282</f>
        <v>0</v>
      </c>
      <c r="U282" s="8" cm="1">
        <f t="array" ref="U282">_xll.qwYield($A$1,F282)</f>
        <v>4.7258083145303525E-2</v>
      </c>
      <c r="V282" s="8" cm="1">
        <f t="array" ref="V282">100*(_xll.qwYield($A$4,F282)-U282)</f>
        <v>1.2601246262979038E-2</v>
      </c>
      <c r="W282" s="6">
        <f>IF(ISNA(G282*INDEX(_xll.qwTblData(_xll.qwCurveScenariosPerSecurity($A$1,F282,"Crv210")),2,2)),0,(G282*INDEX(_xll.qwTblData(_xll.qwCurveScenariosPerSecurity($A$1,F282,"Crv210")),2,2)))</f>
        <v>739.01084974878722</v>
      </c>
      <c r="X282" s="6" cm="1">
        <f t="array" ref="X282">ABS(Q282/_xll.qwMV01($A$1,"CT10"))</f>
        <v>40.321670013682315</v>
      </c>
      <c r="Y282" s="6" cm="1">
        <f t="array" ref="Y282">IF(N282="BondFuture",-(_xll.qwCurveYield($A$1,_xll.qwSecVal($A$1,AA282,"CreditCurveName()"),AA282)-_xll.qwCurveYield($A$4,_xll.qwSecVal($A$4,AA282,"CreditCurveName()"),AA282))*P282*10000,IF(N282="Bond",-(_xll.qwCurveYield($A$1,_xll.qwSecVal($A$1,F282,"CreditCurveName()"),F282)-_xll.qwCurveYield($A$4,_xll.qwSecVal($A$4,F282,"CreditCurveName()"),F282))*P282*10000,O282))</f>
        <v>-39153.978608878788</v>
      </c>
      <c r="Z282" s="6" cm="1">
        <f t="array" ref="Z282">IF(OR(N282="BondFuture",N282="Bond"),P282*(_xll.qwCurveZSpread($A$4,_xll.qwSecVal($A$1,AA282,"CreditCurveName()"),AA282)-_xll.qwCurveZSpread($A$1,_xll.qwSecVal($A$1,AA282,"CreditCurveName()"),AA282)),0)</f>
        <v>0</v>
      </c>
      <c r="AA282" s="9" cm="1">
        <f t="array" ref="AA282">IF(_xll.qwSecType(F282)="Bond",F282,IF(_xll.qwSecType(F282)="BondFuture",_xll.qwFutCTD($A$1,F282),0))</f>
        <v>0</v>
      </c>
      <c r="AB282" s="6" cm="1">
        <f t="array" ref="AB282">IF(_xll.qwSecType(F282)="BondFuture",-(I282*_xll.qwDelta($A$4,F282)*_xll.qwMVFactor($A$1,F282)/_xll.qwMVFactor($A$1,_xll.qwFutCTD($A$1,F282)))*(_xll.qwFXRate($A$1,F282)*_xll.qwMVFactor($A$1,_xll.qwFutCTD($A$1,F282))*(_xll.qwIncome($A$4,_xll.qwFutCTD($A$4,F282),_xll.qwBondSettle($A$4,_xll.qwFutCTD($A$4,F282)),_xll.qwBondSettle($A$1,_xll.qwFutCTD($A$1,F282)))+(_xll.qwSecVal($A$1,AA282,"Price")-_xll.qwSecVal($A$4,AA282,"Price"))-_xll.qwBondRepoFromTo($A$1,AA282,_xll.qwBondSettle($A$4,AA282),_xll.qwBondSettle($A$1,AA282))*_xll.qwSecVal($A$1,AA282,"Price")*(_xll.qwBondSettle($A$1,AA282)-_xll.qwBondSettle($A$4,AA282))/360))+O282,0)</f>
        <v>0</v>
      </c>
      <c r="AC282" s="9" cm="1">
        <f t="array" ref="AC282">O282+T282+IF(ISNUMBER(_xll.qwIncome($A$1,F282,_xll.qwSettle($A$4,F282),_xll.qwSettle($A$1,F282))*_xll.qwMVFactor($A$1,F282)*_xll.qwFXRate($A$1,F282)*I282),_xll.qwIncome($A$1,F282,_xll.qwSettle($A$4,F282),_xll.qwSettle($A$1,F282))*_xll.qwMVFactor($A$1,F282)*_xll.qwFXRate($A$1,F282)*I282,0)+IF(ISNUMBER(-(_xll.qwBondRepoFromTo($A$1,F282,_xll.qwSettle($A$4,F282),_xll.qwSettle($A$1,F282))*_xll.qwSecVal($A$1,F282,"Price")*(_xll.qwSettle($A$1,F282)-_xll.qwSettle($A$4,F282))/360)*_xll.qwMVFactor($A$1,F282)*_xll.qwFXRate($A$1,F282)*I282),-(_xll.qwBondRepoFromTo($A$1,F282,_xll.qwSettle($A$4,F282),_xll.qwSettle($A$1,F282))*_xll.qwSecVal($A$1,F282,"Price")*(_xll.qwSettle($A$1,F282)-_xll.qwSettle($A$4,F282))/360)*_xll.qwMVFactor($A$1,F282)*_xll.qwFXRate($A$1,F282)*I282,0)</f>
        <v>-39153.978608878788</v>
      </c>
      <c r="AD282" s="6"/>
    </row>
    <row r="283" spans="2:30" s="19" customFormat="1" x14ac:dyDescent="0.35">
      <c r="B283" s="19" t="str">
        <v>jcleary</v>
      </c>
      <c r="C283" s="19" t="str">
        <v>PPA</v>
      </c>
      <c r="D283" s="19" t="str">
        <v>jcleary|PPA|RV_US_TY_Spread|234766536</v>
      </c>
      <c r="E283" s="19" t="str">
        <v>RV_US_TY_Spread</v>
      </c>
      <c r="F283" s="19" t="str">
        <v>234766536</v>
      </c>
      <c r="G283" s="19">
        <v>86.8</v>
      </c>
      <c r="H283" s="19">
        <v>0</v>
      </c>
      <c r="I283" s="19">
        <v>86.8</v>
      </c>
      <c r="J283" s="19">
        <v>0</v>
      </c>
      <c r="K283" s="19">
        <v>0</v>
      </c>
      <c r="L283" s="19">
        <v>0</v>
      </c>
      <c r="M283" s="19">
        <v>0</v>
      </c>
      <c r="N283" s="19" t="str">
        <v>SwapTrade</v>
      </c>
      <c r="O283" s="6" cm="1">
        <f t="array" ref="O283">(_xll.qwPrice($A$1,F283)-_xll.qwPrice($A$4,F283))*_xll.qwMVFactor($A$1,F283)*I283*_xll.qwFXRate($A$1,F283)</f>
        <v>-57818.363440209447</v>
      </c>
      <c r="P283" s="6" cm="1">
        <f t="array" ref="P283">IF(ISNUMBER(_xll.qwDV01($A$1,F283)*I283*_xll.qwMVFactor($A$1,F283)*_xll.qwFXRate($A$1,F283)),_xll.qwDV01($A$1,F283)*I283*_xll.qwMVFactor($A$1,F283)*_xll.qwFXRate($A$1,F283),0)</f>
        <v>-44222.829325946921</v>
      </c>
      <c r="Q283" s="6" cm="1">
        <f t="array" ref="Q283">IF(ISNUMBER(_xll.qwDV01($A$1,F283)*G283*_xll.qwMVFactor($A$1,F283)*_xll.qwFXRate($A$1,F283)),_xll.qwDV01($A$1,F283)*G283*_xll.qwMVFactor($A$1,F283)*_xll.qwFXRate($A$1,F283),0)</f>
        <v>-44222.829325946921</v>
      </c>
      <c r="R283" s="6" cm="1">
        <f t="array" ref="R283">IF(ISNUMBER(_xll.qwDV01($A$1,F283)*J283*_xll.qwMVFactor($A$1,F283)*_xll.qwFXRate($A$1,F283)),_xll.qwDV01($A$1,F283)*J283*_xll.qwMVFactor($A$1,F283)*_xll.qwFXRate($A$1,F283),0)</f>
        <v>0</v>
      </c>
      <c r="S283" s="6" cm="1">
        <f t="array" ref="S283">IF(ISNUMBER(_xll.qwDV01($A$1,F283)*J283*_xll.qwMVFactor($A$1,F283)*_xll.qwFXRate($A$1,F283)),_xll.qwDV01($A$1,F283)*J283*_xll.qwMVFactor($A$1,F283)*_xll.qwFXRate($A$1,F283),0)</f>
        <v>0</v>
      </c>
      <c r="T283" s="6" cm="1">
        <f t="array" ref="T283">_xll.qwFXRate($A$1,F283)*J283*(_xll.qwPrice($A$1,F283)-M283)*_xll.qwMVFactor($A$1,F283)+L283</f>
        <v>0</v>
      </c>
      <c r="U283" s="8" cm="1">
        <f t="array" ref="U283">_xll.qwYield($A$1,F283)</f>
        <v>4.7258083145303525E-2</v>
      </c>
      <c r="V283" s="8" cm="1">
        <f t="array" ref="V283">100*(_xll.qwYield($A$4,F283)-U283)</f>
        <v>1.2601246262979038E-2</v>
      </c>
      <c r="W283" s="6">
        <f>IF(ISNA(G283*INDEX(_xll.qwTblData(_xll.qwCurveScenariosPerSecurity($A$1,F283,"Crv210")),2,2)),0,(G283*INDEX(_xll.qwTblData(_xll.qwCurveScenariosPerSecurity($A$1,F283,"Crv210")),2,2)))</f>
        <v>1091.1993516781777</v>
      </c>
      <c r="X283" s="6" cm="1">
        <f t="array" ref="X283">ABS(Q283/_xll.qwMV01($A$1,"CT10"))</f>
        <v>59.532376570808509</v>
      </c>
      <c r="Y283" s="6" cm="1">
        <f t="array" ref="Y283">IF(N283="BondFuture",-(_xll.qwCurveYield($A$1,_xll.qwSecVal($A$1,AA283,"CreditCurveName()"),AA283)-_xll.qwCurveYield($A$4,_xll.qwSecVal($A$4,AA283,"CreditCurveName()"),AA283))*P283*10000,IF(N283="Bond",-(_xll.qwCurveYield($A$1,_xll.qwSecVal($A$1,F283,"CreditCurveName()"),F283)-_xll.qwCurveYield($A$4,_xll.qwSecVal($A$4,F283,"CreditCurveName()"),F283))*P283*10000,O283))</f>
        <v>-57818.363440209447</v>
      </c>
      <c r="Z283" s="6" cm="1">
        <f t="array" ref="Z283">IF(OR(N283="BondFuture",N283="Bond"),P283*(_xll.qwCurveZSpread($A$4,_xll.qwSecVal($A$1,AA283,"CreditCurveName()"),AA283)-_xll.qwCurveZSpread($A$1,_xll.qwSecVal($A$1,AA283,"CreditCurveName()"),AA283)),0)</f>
        <v>0</v>
      </c>
      <c r="AA283" s="9" cm="1">
        <f t="array" ref="AA283">IF(_xll.qwSecType(F283)="Bond",F283,IF(_xll.qwSecType(F283)="BondFuture",_xll.qwFutCTD($A$1,F283),0))</f>
        <v>0</v>
      </c>
      <c r="AB283" s="6" cm="1">
        <f t="array" ref="AB283">IF(_xll.qwSecType(F283)="BondFuture",-(I283*_xll.qwDelta($A$4,F283)*_xll.qwMVFactor($A$1,F283)/_xll.qwMVFactor($A$1,_xll.qwFutCTD($A$1,F283)))*(_xll.qwFXRate($A$1,F283)*_xll.qwMVFactor($A$1,_xll.qwFutCTD($A$1,F283))*(_xll.qwIncome($A$4,_xll.qwFutCTD($A$4,F283),_xll.qwBondSettle($A$4,_xll.qwFutCTD($A$4,F283)),_xll.qwBondSettle($A$1,_xll.qwFutCTD($A$1,F283)))+(_xll.qwSecVal($A$1,AA283,"Price")-_xll.qwSecVal($A$4,AA283,"Price"))-_xll.qwBondRepoFromTo($A$1,AA283,_xll.qwBondSettle($A$4,AA283),_xll.qwBondSettle($A$1,AA283))*_xll.qwSecVal($A$1,AA283,"Price")*(_xll.qwBondSettle($A$1,AA283)-_xll.qwBondSettle($A$4,AA283))/360))+O283,0)</f>
        <v>0</v>
      </c>
      <c r="AC283" s="9" cm="1">
        <f t="array" ref="AC283">O283+T283+IF(ISNUMBER(_xll.qwIncome($A$1,F283,_xll.qwSettle($A$4,F283),_xll.qwSettle($A$1,F283))*_xll.qwMVFactor($A$1,F283)*_xll.qwFXRate($A$1,F283)*I283),_xll.qwIncome($A$1,F283,_xll.qwSettle($A$4,F283),_xll.qwSettle($A$1,F283))*_xll.qwMVFactor($A$1,F283)*_xll.qwFXRate($A$1,F283)*I283,0)+IF(ISNUMBER(-(_xll.qwBondRepoFromTo($A$1,F283,_xll.qwSettle($A$4,F283),_xll.qwSettle($A$1,F283))*_xll.qwSecVal($A$1,F283,"Price")*(_xll.qwSettle($A$1,F283)-_xll.qwSettle($A$4,F283))/360)*_xll.qwMVFactor($A$1,F283)*_xll.qwFXRate($A$1,F283)*I283),-(_xll.qwBondRepoFromTo($A$1,F283,_xll.qwSettle($A$4,F283),_xll.qwSettle($A$1,F283))*_xll.qwSecVal($A$1,F283,"Price")*(_xll.qwSettle($A$1,F283)-_xll.qwSettle($A$4,F283))/360)*_xll.qwMVFactor($A$1,F283)*_xll.qwFXRate($A$1,F283)*I283,0)</f>
        <v>-57818.363440209447</v>
      </c>
      <c r="AD283" s="6"/>
    </row>
    <row r="284" spans="2:30" s="19" customFormat="1" x14ac:dyDescent="0.35">
      <c r="B284" s="19" t="str">
        <v>jcleary</v>
      </c>
      <c r="C284" s="19" t="str">
        <v>PPA</v>
      </c>
      <c r="D284" s="19" t="str">
        <v>jcleary|PPA|RV_US_TY_Spread|238464171</v>
      </c>
      <c r="E284" s="19" t="str">
        <v>RV_US_TY_Spread</v>
      </c>
      <c r="F284" s="19" t="str">
        <v>238464171</v>
      </c>
      <c r="G284" s="19">
        <v>120.065</v>
      </c>
      <c r="H284" s="19">
        <v>0</v>
      </c>
      <c r="I284" s="19">
        <v>120.065</v>
      </c>
      <c r="J284" s="19">
        <v>0</v>
      </c>
      <c r="K284" s="19">
        <v>0</v>
      </c>
      <c r="L284" s="19">
        <v>0</v>
      </c>
      <c r="M284" s="19">
        <v>0</v>
      </c>
      <c r="N284" s="19" t="str">
        <v>SwapTrade</v>
      </c>
      <c r="O284" s="6" cm="1">
        <f t="array" ref="O284">(_xll.qwPrice($A$1,F284)-_xll.qwPrice($A$4,F284))*_xll.qwMVFactor($A$1,F284)*I284*_xll.qwFXRate($A$1,F284)</f>
        <v>83700.205753750022</v>
      </c>
      <c r="P284" s="6" cm="1">
        <f t="array" ref="P284">IF(ISNUMBER(_xll.qwDV01($A$1,F284)*I284*_xll.qwMVFactor($A$1,F284)*_xll.qwFXRate($A$1,F284)),_xll.qwDV01($A$1,F284)*I284*_xll.qwMVFactor($A$1,F284)*_xll.qwFXRate($A$1,F284),0)</f>
        <v>62299.25916145544</v>
      </c>
      <c r="Q284" s="6" cm="1">
        <f t="array" ref="Q284">IF(ISNUMBER(_xll.qwDV01($A$1,F284)*G284*_xll.qwMVFactor($A$1,F284)*_xll.qwFXRate($A$1,F284)),_xll.qwDV01($A$1,F284)*G284*_xll.qwMVFactor($A$1,F284)*_xll.qwFXRate($A$1,F284),0)</f>
        <v>62299.25916145544</v>
      </c>
      <c r="R284" s="6" cm="1">
        <f t="array" ref="R284">IF(ISNUMBER(_xll.qwDV01($A$1,F284)*J284*_xll.qwMVFactor($A$1,F284)*_xll.qwFXRate($A$1,F284)),_xll.qwDV01($A$1,F284)*J284*_xll.qwMVFactor($A$1,F284)*_xll.qwFXRate($A$1,F284),0)</f>
        <v>0</v>
      </c>
      <c r="S284" s="6" cm="1">
        <f t="array" ref="S284">IF(ISNUMBER(_xll.qwDV01($A$1,F284)*J284*_xll.qwMVFactor($A$1,F284)*_xll.qwFXRate($A$1,F284)),_xll.qwDV01($A$1,F284)*J284*_xll.qwMVFactor($A$1,F284)*_xll.qwFXRate($A$1,F284),0)</f>
        <v>0</v>
      </c>
      <c r="T284" s="6" cm="1">
        <f t="array" ref="T284">_xll.qwFXRate($A$1,F284)*J284*(_xll.qwPrice($A$1,F284)-M284)*_xll.qwMVFactor($A$1,F284)+L284</f>
        <v>0</v>
      </c>
      <c r="U284" s="8" cm="1">
        <f t="array" ref="U284">_xll.qwYield($A$1,F284)</f>
        <v>4.7266079358983568E-2</v>
      </c>
      <c r="V284" s="8" cm="1">
        <f t="array" ref="V284">100*(_xll.qwYield($A$4,F284)-U284)</f>
        <v>1.2999858244428647E-2</v>
      </c>
      <c r="W284" s="6">
        <f>IF(ISNA(G284*INDEX(_xll.qwTblData(_xll.qwCurveScenariosPerSecurity($A$1,F284,"Crv210")),2,2)),0,(G284*INDEX(_xll.qwTblData(_xll.qwCurveScenariosPerSecurity($A$1,F284,"Crv210")),2,2)))</f>
        <v>-2964.7816640475216</v>
      </c>
      <c r="X284" s="6" cm="1">
        <f t="array" ref="X284">ABS(Q284/_xll.qwMV01($A$1,"CT10"))</f>
        <v>83.866704437793047</v>
      </c>
      <c r="Y284" s="6" cm="1">
        <f t="array" ref="Y284">IF(N284="BondFuture",-(_xll.qwCurveYield($A$1,_xll.qwSecVal($A$1,AA284,"CreditCurveName()"),AA284)-_xll.qwCurveYield($A$4,_xll.qwSecVal($A$4,AA284,"CreditCurveName()"),AA284))*P284*10000,IF(N284="Bond",-(_xll.qwCurveYield($A$1,_xll.qwSecVal($A$1,F284,"CreditCurveName()"),F284)-_xll.qwCurveYield($A$4,_xll.qwSecVal($A$4,F284,"CreditCurveName()"),F284))*P284*10000,O284))</f>
        <v>83700.205753750022</v>
      </c>
      <c r="Z284" s="6" cm="1">
        <f t="array" ref="Z284">IF(OR(N284="BondFuture",N284="Bond"),P284*(_xll.qwCurveZSpread($A$4,_xll.qwSecVal($A$1,AA284,"CreditCurveName()"),AA284)-_xll.qwCurveZSpread($A$1,_xll.qwSecVal($A$1,AA284,"CreditCurveName()"),AA284)),0)</f>
        <v>0</v>
      </c>
      <c r="AA284" s="9" cm="1">
        <f t="array" ref="AA284">IF(_xll.qwSecType(F284)="Bond",F284,IF(_xll.qwSecType(F284)="BondFuture",_xll.qwFutCTD($A$1,F284),0))</f>
        <v>0</v>
      </c>
      <c r="AB284" s="6" cm="1">
        <f t="array" ref="AB284">IF(_xll.qwSecType(F284)="BondFuture",-(I284*_xll.qwDelta($A$4,F284)*_xll.qwMVFactor($A$1,F284)/_xll.qwMVFactor($A$1,_xll.qwFutCTD($A$1,F284)))*(_xll.qwFXRate($A$1,F284)*_xll.qwMVFactor($A$1,_xll.qwFutCTD($A$1,F284))*(_xll.qwIncome($A$4,_xll.qwFutCTD($A$4,F284),_xll.qwBondSettle($A$4,_xll.qwFutCTD($A$4,F284)),_xll.qwBondSettle($A$1,_xll.qwFutCTD($A$1,F284)))+(_xll.qwSecVal($A$1,AA284,"Price")-_xll.qwSecVal($A$4,AA284,"Price"))-_xll.qwBondRepoFromTo($A$1,AA284,_xll.qwBondSettle($A$4,AA284),_xll.qwBondSettle($A$1,AA284))*_xll.qwSecVal($A$1,AA284,"Price")*(_xll.qwBondSettle($A$1,AA284)-_xll.qwBondSettle($A$4,AA284))/360))+O284,0)</f>
        <v>0</v>
      </c>
      <c r="AC284" s="9" cm="1">
        <f t="array" ref="AC284">O284+T284+IF(ISNUMBER(_xll.qwIncome($A$1,F284,_xll.qwSettle($A$4,F284),_xll.qwSettle($A$1,F284))*_xll.qwMVFactor($A$1,F284)*_xll.qwFXRate($A$1,F284)*I284),_xll.qwIncome($A$1,F284,_xll.qwSettle($A$4,F284),_xll.qwSettle($A$1,F284))*_xll.qwMVFactor($A$1,F284)*_xll.qwFXRate($A$1,F284)*I284,0)+IF(ISNUMBER(-(_xll.qwBondRepoFromTo($A$1,F284,_xll.qwSettle($A$4,F284),_xll.qwSettle($A$1,F284))*_xll.qwSecVal($A$1,F284,"Price")*(_xll.qwSettle($A$1,F284)-_xll.qwSettle($A$4,F284))/360)*_xll.qwMVFactor($A$1,F284)*_xll.qwFXRate($A$1,F284)*I284),-(_xll.qwBondRepoFromTo($A$1,F284,_xll.qwSettle($A$4,F284),_xll.qwSettle($A$1,F284))*_xll.qwSecVal($A$1,F284,"Price")*(_xll.qwSettle($A$1,F284)-_xll.qwSettle($A$4,F284))/360)*_xll.qwMVFactor($A$1,F284)*_xll.qwFXRate($A$1,F284)*I284,0)</f>
        <v>83700.205753750022</v>
      </c>
      <c r="AD284" s="6"/>
    </row>
    <row r="285" spans="2:30" s="19" customFormat="1" x14ac:dyDescent="0.35">
      <c r="B285" s="19" t="str">
        <v>jcleary</v>
      </c>
      <c r="C285" s="19" t="str">
        <v>PPA</v>
      </c>
      <c r="D285" s="19" t="str">
        <v>jcleary|PPA|RV_US_TY_Spread|238464172</v>
      </c>
      <c r="E285" s="19" t="str">
        <v>RV_US_TY_Spread</v>
      </c>
      <c r="F285" s="19" t="str">
        <v>238464172</v>
      </c>
      <c r="G285" s="19">
        <v>126.947</v>
      </c>
      <c r="H285" s="19">
        <v>0</v>
      </c>
      <c r="I285" s="19">
        <v>126.947</v>
      </c>
      <c r="J285" s="19">
        <v>0</v>
      </c>
      <c r="K285" s="19">
        <v>0</v>
      </c>
      <c r="L285" s="19">
        <v>0</v>
      </c>
      <c r="M285" s="19">
        <v>0</v>
      </c>
      <c r="N285" s="19" t="str">
        <v>SwapTrade</v>
      </c>
      <c r="O285" s="6" cm="1">
        <f t="array" ref="O285">(_xll.qwPrice($A$1,F285)-_xll.qwPrice($A$4,F285))*_xll.qwMVFactor($A$1,F285)*I285*_xll.qwFXRate($A$1,F285)</f>
        <v>-76982.695080047328</v>
      </c>
      <c r="P285" s="6" cm="1">
        <f t="array" ref="P285">IF(ISNUMBER(_xll.qwDV01($A$1,F285)*I285*_xll.qwMVFactor($A$1,F285)*_xll.qwFXRate($A$1,F285)),_xll.qwDV01($A$1,F285)*I285*_xll.qwMVFactor($A$1,F285)*_xll.qwFXRate($A$1,F285),0)</f>
        <v>-62117.988266281231</v>
      </c>
      <c r="Q285" s="6" cm="1">
        <f t="array" ref="Q285">IF(ISNUMBER(_xll.qwDV01($A$1,F285)*G285*_xll.qwMVFactor($A$1,F285)*_xll.qwFXRate($A$1,F285)),_xll.qwDV01($A$1,F285)*G285*_xll.qwMVFactor($A$1,F285)*_xll.qwFXRate($A$1,F285),0)</f>
        <v>-62117.988266281231</v>
      </c>
      <c r="R285" s="6" cm="1">
        <f t="array" ref="R285">IF(ISNUMBER(_xll.qwDV01($A$1,F285)*J285*_xll.qwMVFactor($A$1,F285)*_xll.qwFXRate($A$1,F285)),_xll.qwDV01($A$1,F285)*J285*_xll.qwMVFactor($A$1,F285)*_xll.qwFXRate($A$1,F285),0)</f>
        <v>0</v>
      </c>
      <c r="S285" s="6" cm="1">
        <f t="array" ref="S285">IF(ISNUMBER(_xll.qwDV01($A$1,F285)*J285*_xll.qwMVFactor($A$1,F285)*_xll.qwFXRate($A$1,F285)),_xll.qwDV01($A$1,F285)*J285*_xll.qwMVFactor($A$1,F285)*_xll.qwFXRate($A$1,F285),0)</f>
        <v>0</v>
      </c>
      <c r="T285" s="6" cm="1">
        <f t="array" ref="T285">_xll.qwFXRate($A$1,F285)*J285*(_xll.qwPrice($A$1,F285)-M285)*_xll.qwMVFactor($A$1,F285)+L285</f>
        <v>0</v>
      </c>
      <c r="U285" s="8" cm="1">
        <f t="array" ref="U285">_xll.qwYield($A$1,F285)</f>
        <v>4.7221647482079292E-2</v>
      </c>
      <c r="V285" s="8" cm="1">
        <f t="array" ref="V285">100*(_xll.qwYield($A$4,F285)-U285)</f>
        <v>1.198844363511295E-2</v>
      </c>
      <c r="W285" s="6">
        <f>IF(ISNA(G285*INDEX(_xll.qwTblData(_xll.qwCurveScenariosPerSecurity($A$1,F285,"Crv210")),2,2)),0,(G285*INDEX(_xll.qwTblData(_xll.qwCurveScenariosPerSecurity($A$1,F285,"Crv210")),2,2)))</f>
        <v>-383.03614123743415</v>
      </c>
      <c r="X285" s="6" cm="1">
        <f t="array" ref="X285">ABS(Q285/_xll.qwMV01($A$1,"CT10"))</f>
        <v>83.622679183024758</v>
      </c>
      <c r="Y285" s="6" cm="1">
        <f t="array" ref="Y285">IF(N285="BondFuture",-(_xll.qwCurveYield($A$1,_xll.qwSecVal($A$1,AA285,"CreditCurveName()"),AA285)-_xll.qwCurveYield($A$4,_xll.qwSecVal($A$4,AA285,"CreditCurveName()"),AA285))*P285*10000,IF(N285="Bond",-(_xll.qwCurveYield($A$1,_xll.qwSecVal($A$1,F285,"CreditCurveName()"),F285)-_xll.qwCurveYield($A$4,_xll.qwSecVal($A$4,F285,"CreditCurveName()"),F285))*P285*10000,O285))</f>
        <v>-76982.695080047328</v>
      </c>
      <c r="Z285" s="6" cm="1">
        <f t="array" ref="Z285">IF(OR(N285="BondFuture",N285="Bond"),P285*(_xll.qwCurveZSpread($A$4,_xll.qwSecVal($A$1,AA285,"CreditCurveName()"),AA285)-_xll.qwCurveZSpread($A$1,_xll.qwSecVal($A$1,AA285,"CreditCurveName()"),AA285)),0)</f>
        <v>0</v>
      </c>
      <c r="AA285" s="9" cm="1">
        <f t="array" ref="AA285">IF(_xll.qwSecType(F285)="Bond",F285,IF(_xll.qwSecType(F285)="BondFuture",_xll.qwFutCTD($A$1,F285),0))</f>
        <v>0</v>
      </c>
      <c r="AB285" s="6" cm="1">
        <f t="array" ref="AB285">IF(_xll.qwSecType(F285)="BondFuture",-(I285*_xll.qwDelta($A$4,F285)*_xll.qwMVFactor($A$1,F285)/_xll.qwMVFactor($A$1,_xll.qwFutCTD($A$1,F285)))*(_xll.qwFXRate($A$1,F285)*_xll.qwMVFactor($A$1,_xll.qwFutCTD($A$1,F285))*(_xll.qwIncome($A$4,_xll.qwFutCTD($A$4,F285),_xll.qwBondSettle($A$4,_xll.qwFutCTD($A$4,F285)),_xll.qwBondSettle($A$1,_xll.qwFutCTD($A$1,F285)))+(_xll.qwSecVal($A$1,AA285,"Price")-_xll.qwSecVal($A$4,AA285,"Price"))-_xll.qwBondRepoFromTo($A$1,AA285,_xll.qwBondSettle($A$4,AA285),_xll.qwBondSettle($A$1,AA285))*_xll.qwSecVal($A$1,AA285,"Price")*(_xll.qwBondSettle($A$1,AA285)-_xll.qwBondSettle($A$4,AA285))/360))+O285,0)</f>
        <v>0</v>
      </c>
      <c r="AC285" s="9" cm="1">
        <f t="array" ref="AC285">O285+T285+IF(ISNUMBER(_xll.qwIncome($A$1,F285,_xll.qwSettle($A$4,F285),_xll.qwSettle($A$1,F285))*_xll.qwMVFactor($A$1,F285)*_xll.qwFXRate($A$1,F285)*I285),_xll.qwIncome($A$1,F285,_xll.qwSettle($A$4,F285),_xll.qwSettle($A$1,F285))*_xll.qwMVFactor($A$1,F285)*_xll.qwFXRate($A$1,F285)*I285,0)+IF(ISNUMBER(-(_xll.qwBondRepoFromTo($A$1,F285,_xll.qwSettle($A$4,F285),_xll.qwSettle($A$1,F285))*_xll.qwSecVal($A$1,F285,"Price")*(_xll.qwSettle($A$1,F285)-_xll.qwSettle($A$4,F285))/360)*_xll.qwMVFactor($A$1,F285)*_xll.qwFXRate($A$1,F285)*I285),-(_xll.qwBondRepoFromTo($A$1,F285,_xll.qwSettle($A$4,F285),_xll.qwSettle($A$1,F285))*_xll.qwSecVal($A$1,F285,"Price")*(_xll.qwSettle($A$1,F285)-_xll.qwSettle($A$4,F285))/360)*_xll.qwMVFactor($A$1,F285)*_xll.qwFXRate($A$1,F285)*I285,0)</f>
        <v>-76982.695080047328</v>
      </c>
      <c r="AD285" s="6"/>
    </row>
    <row r="286" spans="2:30" s="19" customFormat="1" x14ac:dyDescent="0.35">
      <c r="B286" s="19" t="str">
        <v>jcleary</v>
      </c>
      <c r="C286" s="19" t="str">
        <v>PPA</v>
      </c>
      <c r="D286" s="19" t="str">
        <v>jcleary|PPA|RV_US_TY_Spread|238464716</v>
      </c>
      <c r="E286" s="19" t="str">
        <v>RV_US_TY_Spread</v>
      </c>
      <c r="F286" s="19" t="str">
        <v>238464716</v>
      </c>
      <c r="G286" s="19">
        <v>163</v>
      </c>
      <c r="H286" s="19">
        <v>0</v>
      </c>
      <c r="I286" s="19">
        <v>163</v>
      </c>
      <c r="J286" s="19">
        <v>0</v>
      </c>
      <c r="K286" s="19">
        <v>0</v>
      </c>
      <c r="L286" s="19">
        <v>0</v>
      </c>
      <c r="M286" s="19">
        <v>0</v>
      </c>
      <c r="N286" s="19" t="str">
        <v>SwapTrade</v>
      </c>
      <c r="O286" s="6" cm="1">
        <f t="array" ref="O286">(_xll.qwPrice($A$1,F286)-_xll.qwPrice($A$4,F286))*_xll.qwMVFactor($A$1,F286)*I286*_xll.qwFXRate($A$1,F286)</f>
        <v>-101842.07236481442</v>
      </c>
      <c r="P286" s="6" cm="1">
        <f t="array" ref="P286">IF(ISNUMBER(_xll.qwDV01($A$1,F286)*I286*_xll.qwMVFactor($A$1,F286)*_xll.qwFXRate($A$1,F286)),_xll.qwDV01($A$1,F286)*I286*_xll.qwMVFactor($A$1,F286)*_xll.qwFXRate($A$1,F286),0)</f>
        <v>-80630.306511944902</v>
      </c>
      <c r="Q286" s="6" cm="1">
        <f t="array" ref="Q286">IF(ISNUMBER(_xll.qwDV01($A$1,F286)*G286*_xll.qwMVFactor($A$1,F286)*_xll.qwFXRate($A$1,F286)),_xll.qwDV01($A$1,F286)*G286*_xll.qwMVFactor($A$1,F286)*_xll.qwFXRate($A$1,F286),0)</f>
        <v>-80630.306511944902</v>
      </c>
      <c r="R286" s="6" cm="1">
        <f t="array" ref="R286">IF(ISNUMBER(_xll.qwDV01($A$1,F286)*J286*_xll.qwMVFactor($A$1,F286)*_xll.qwFXRate($A$1,F286)),_xll.qwDV01($A$1,F286)*J286*_xll.qwMVFactor($A$1,F286)*_xll.qwFXRate($A$1,F286),0)</f>
        <v>0</v>
      </c>
      <c r="S286" s="6" cm="1">
        <f t="array" ref="S286">IF(ISNUMBER(_xll.qwDV01($A$1,F286)*J286*_xll.qwMVFactor($A$1,F286)*_xll.qwFXRate($A$1,F286)),_xll.qwDV01($A$1,F286)*J286*_xll.qwMVFactor($A$1,F286)*_xll.qwFXRate($A$1,F286),0)</f>
        <v>0</v>
      </c>
      <c r="T286" s="6" cm="1">
        <f t="array" ref="T286">_xll.qwFXRate($A$1,F286)*J286*(_xll.qwPrice($A$1,F286)-M286)*_xll.qwMVFactor($A$1,F286)+L286</f>
        <v>0</v>
      </c>
      <c r="U286" s="8" cm="1">
        <f t="array" ref="U286">_xll.qwYield($A$1,F286)</f>
        <v>4.7244720997968323E-2</v>
      </c>
      <c r="V286" s="8" cm="1">
        <f t="array" ref="V286">100*(_xll.qwYield($A$4,F286)-U286)</f>
        <v>1.221260464146709E-2</v>
      </c>
      <c r="W286" s="6">
        <f>IF(ISNA(G286*INDEX(_xll.qwTblData(_xll.qwCurveScenariosPerSecurity($A$1,F286,"Crv210")),2,2)),0,(G286*INDEX(_xll.qwTblData(_xll.qwCurveScenariosPerSecurity($A$1,F286,"Crv210")),2,2)))</f>
        <v>360.89955262299964</v>
      </c>
      <c r="X286" s="6" cm="1">
        <f t="array" ref="X286">ABS(Q286/_xll.qwMV01($A$1,"CT10"))</f>
        <v>108.54379612189219</v>
      </c>
      <c r="Y286" s="6" cm="1">
        <f t="array" ref="Y286">IF(N286="BondFuture",-(_xll.qwCurveYield($A$1,_xll.qwSecVal($A$1,AA286,"CreditCurveName()"),AA286)-_xll.qwCurveYield($A$4,_xll.qwSecVal($A$4,AA286,"CreditCurveName()"),AA286))*P286*10000,IF(N286="Bond",-(_xll.qwCurveYield($A$1,_xll.qwSecVal($A$1,F286,"CreditCurveName()"),F286)-_xll.qwCurveYield($A$4,_xll.qwSecVal($A$4,F286,"CreditCurveName()"),F286))*P286*10000,O286))</f>
        <v>-101842.07236481442</v>
      </c>
      <c r="Z286" s="6" cm="1">
        <f t="array" ref="Z286">IF(OR(N286="BondFuture",N286="Bond"),P286*(_xll.qwCurveZSpread($A$4,_xll.qwSecVal($A$1,AA286,"CreditCurveName()"),AA286)-_xll.qwCurveZSpread($A$1,_xll.qwSecVal($A$1,AA286,"CreditCurveName()"),AA286)),0)</f>
        <v>0</v>
      </c>
      <c r="AA286" s="9" cm="1">
        <f t="array" ref="AA286">IF(_xll.qwSecType(F286)="Bond",F286,IF(_xll.qwSecType(F286)="BondFuture",_xll.qwFutCTD($A$1,F286),0))</f>
        <v>0</v>
      </c>
      <c r="AB286" s="6" cm="1">
        <f t="array" ref="AB286">IF(_xll.qwSecType(F286)="BondFuture",-(I286*_xll.qwDelta($A$4,F286)*_xll.qwMVFactor($A$1,F286)/_xll.qwMVFactor($A$1,_xll.qwFutCTD($A$1,F286)))*(_xll.qwFXRate($A$1,F286)*_xll.qwMVFactor($A$1,_xll.qwFutCTD($A$1,F286))*(_xll.qwIncome($A$4,_xll.qwFutCTD($A$4,F286),_xll.qwBondSettle($A$4,_xll.qwFutCTD($A$4,F286)),_xll.qwBondSettle($A$1,_xll.qwFutCTD($A$1,F286)))+(_xll.qwSecVal($A$1,AA286,"Price")-_xll.qwSecVal($A$4,AA286,"Price"))-_xll.qwBondRepoFromTo($A$1,AA286,_xll.qwBondSettle($A$4,AA286),_xll.qwBondSettle($A$1,AA286))*_xll.qwSecVal($A$1,AA286,"Price")*(_xll.qwBondSettle($A$1,AA286)-_xll.qwBondSettle($A$4,AA286))/360))+O286,0)</f>
        <v>0</v>
      </c>
      <c r="AC286" s="9" cm="1">
        <f t="array" ref="AC286">O286+T286+IF(ISNUMBER(_xll.qwIncome($A$1,F286,_xll.qwSettle($A$4,F286),_xll.qwSettle($A$1,F286))*_xll.qwMVFactor($A$1,F286)*_xll.qwFXRate($A$1,F286)*I286),_xll.qwIncome($A$1,F286,_xll.qwSettle($A$4,F286),_xll.qwSettle($A$1,F286))*_xll.qwMVFactor($A$1,F286)*_xll.qwFXRate($A$1,F286)*I286,0)+IF(ISNUMBER(-(_xll.qwBondRepoFromTo($A$1,F286,_xll.qwSettle($A$4,F286),_xll.qwSettle($A$1,F286))*_xll.qwSecVal($A$1,F286,"Price")*(_xll.qwSettle($A$1,F286)-_xll.qwSettle($A$4,F286))/360)*_xll.qwMVFactor($A$1,F286)*_xll.qwFXRate($A$1,F286)*I286),-(_xll.qwBondRepoFromTo($A$1,F286,_xll.qwSettle($A$4,F286),_xll.qwSettle($A$1,F286))*_xll.qwSecVal($A$1,F286,"Price")*(_xll.qwSettle($A$1,F286)-_xll.qwSettle($A$4,F286))/360)*_xll.qwMVFactor($A$1,F286)*_xll.qwFXRate($A$1,F286)*I286,0)</f>
        <v>-101842.07236481442</v>
      </c>
      <c r="AD286" s="6"/>
    </row>
    <row r="287" spans="2:30" s="19" customFormat="1" x14ac:dyDescent="0.35">
      <c r="B287" s="19" t="str">
        <v>jcleary</v>
      </c>
      <c r="C287" s="19" t="str">
        <v>PPA</v>
      </c>
      <c r="D287" s="19" t="str">
        <v>jcleary|PPA|RV_US_TY_Spread|238464848</v>
      </c>
      <c r="E287" s="19" t="str">
        <v>RV_US_TY_Spread</v>
      </c>
      <c r="F287" s="19" t="str">
        <v>238464848</v>
      </c>
      <c r="G287" s="19">
        <v>156.1</v>
      </c>
      <c r="H287" s="19">
        <v>0</v>
      </c>
      <c r="I287" s="19">
        <v>156.1</v>
      </c>
      <c r="J287" s="19">
        <v>0</v>
      </c>
      <c r="K287" s="19">
        <v>0</v>
      </c>
      <c r="L287" s="19">
        <v>0</v>
      </c>
      <c r="M287" s="19">
        <v>0</v>
      </c>
      <c r="N287" s="19" t="str">
        <v>SwapTrade</v>
      </c>
      <c r="O287" s="6" cm="1">
        <f t="array" ref="O287">(_xll.qwPrice($A$1,F287)-_xll.qwPrice($A$4,F287))*_xll.qwMVFactor($A$1,F287)*I287*_xll.qwFXRate($A$1,F287)</f>
        <v>108828.47071148465</v>
      </c>
      <c r="P287" s="6" cm="1">
        <f t="array" ref="P287">IF(ISNUMBER(_xll.qwDV01($A$1,F287)*I287*_xll.qwMVFactor($A$1,F287)*_xll.qwFXRate($A$1,F287)),_xll.qwDV01($A$1,F287)*I287*_xll.qwMVFactor($A$1,F287)*_xll.qwFXRate($A$1,F287),0)</f>
        <v>81003.92943742736</v>
      </c>
      <c r="Q287" s="6" cm="1">
        <f t="array" ref="Q287">IF(ISNUMBER(_xll.qwDV01($A$1,F287)*G287*_xll.qwMVFactor($A$1,F287)*_xll.qwFXRate($A$1,F287)),_xll.qwDV01($A$1,F287)*G287*_xll.qwMVFactor($A$1,F287)*_xll.qwFXRate($A$1,F287),0)</f>
        <v>81003.92943742736</v>
      </c>
      <c r="R287" s="6" cm="1">
        <f t="array" ref="R287">IF(ISNUMBER(_xll.qwDV01($A$1,F287)*J287*_xll.qwMVFactor($A$1,F287)*_xll.qwFXRate($A$1,F287)),_xll.qwDV01($A$1,F287)*J287*_xll.qwMVFactor($A$1,F287)*_xll.qwFXRate($A$1,F287),0)</f>
        <v>0</v>
      </c>
      <c r="S287" s="6" cm="1">
        <f t="array" ref="S287">IF(ISNUMBER(_xll.qwDV01($A$1,F287)*J287*_xll.qwMVFactor($A$1,F287)*_xll.qwFXRate($A$1,F287)),_xll.qwDV01($A$1,F287)*J287*_xll.qwMVFactor($A$1,F287)*_xll.qwFXRate($A$1,F287),0)</f>
        <v>0</v>
      </c>
      <c r="T287" s="6" cm="1">
        <f t="array" ref="T287">_xll.qwFXRate($A$1,F287)*J287*(_xll.qwPrice($A$1,F287)-M287)*_xll.qwMVFactor($A$1,F287)+L287</f>
        <v>0</v>
      </c>
      <c r="U287" s="8" cm="1">
        <f t="array" ref="U287">_xll.qwYield($A$1,F287)</f>
        <v>4.7266079358983568E-2</v>
      </c>
      <c r="V287" s="8" cm="1">
        <f t="array" ref="V287">100*(_xll.qwYield($A$4,F287)-U287)</f>
        <v>1.2999858244428647E-2</v>
      </c>
      <c r="W287" s="6">
        <f>IF(ISNA(G287*INDEX(_xll.qwTblData(_xll.qwCurveScenariosPerSecurity($A$1,F287,"Crv210")),2,2)),0,(G287*INDEX(_xll.qwTblData(_xll.qwCurveScenariosPerSecurity($A$1,F287,"Crv210")),2,2)))</f>
        <v>-3853.3691238547103</v>
      </c>
      <c r="X287" s="6" cm="1">
        <f t="array" ref="X287">ABS(Q287/_xll.qwMV01($A$1,"CT10"))</f>
        <v>109.0467639562514</v>
      </c>
      <c r="Y287" s="6" cm="1">
        <f t="array" ref="Y287">IF(N287="BondFuture",-(_xll.qwCurveYield($A$1,_xll.qwSecVal($A$1,AA287,"CreditCurveName()"),AA287)-_xll.qwCurveYield($A$4,_xll.qwSecVal($A$4,AA287,"CreditCurveName()"),AA287))*P287*10000,IF(N287="Bond",-(_xll.qwCurveYield($A$1,_xll.qwSecVal($A$1,F287,"CreditCurveName()"),F287)-_xll.qwCurveYield($A$4,_xll.qwSecVal($A$4,F287,"CreditCurveName()"),F287))*P287*10000,O287))</f>
        <v>108828.47071148465</v>
      </c>
      <c r="Z287" s="6" cm="1">
        <f t="array" ref="Z287">IF(OR(N287="BondFuture",N287="Bond"),P287*(_xll.qwCurveZSpread($A$4,_xll.qwSecVal($A$1,AA287,"CreditCurveName()"),AA287)-_xll.qwCurveZSpread($A$1,_xll.qwSecVal($A$1,AA287,"CreditCurveName()"),AA287)),0)</f>
        <v>0</v>
      </c>
      <c r="AA287" s="9" cm="1">
        <f t="array" ref="AA287">IF(_xll.qwSecType(F287)="Bond",F287,IF(_xll.qwSecType(F287)="BondFuture",_xll.qwFutCTD($A$1,F287),0))</f>
        <v>0</v>
      </c>
      <c r="AB287" s="6" cm="1">
        <f t="array" ref="AB287">IF(_xll.qwSecType(F287)="BondFuture",-(I287*_xll.qwDelta($A$4,F287)*_xll.qwMVFactor($A$1,F287)/_xll.qwMVFactor($A$1,_xll.qwFutCTD($A$1,F287)))*(_xll.qwFXRate($A$1,F287)*_xll.qwMVFactor($A$1,_xll.qwFutCTD($A$1,F287))*(_xll.qwIncome($A$4,_xll.qwFutCTD($A$4,F287),_xll.qwBondSettle($A$4,_xll.qwFutCTD($A$4,F287)),_xll.qwBondSettle($A$1,_xll.qwFutCTD($A$1,F287)))+(_xll.qwSecVal($A$1,AA287,"Price")-_xll.qwSecVal($A$4,AA287,"Price"))-_xll.qwBondRepoFromTo($A$1,AA287,_xll.qwBondSettle($A$4,AA287),_xll.qwBondSettle($A$1,AA287))*_xll.qwSecVal($A$1,AA287,"Price")*(_xll.qwBondSettle($A$1,AA287)-_xll.qwBondSettle($A$4,AA287))/360))+O287,0)</f>
        <v>0</v>
      </c>
      <c r="AC287" s="9" cm="1">
        <f t="array" ref="AC287">O287+T287+IF(ISNUMBER(_xll.qwIncome($A$1,F287,_xll.qwSettle($A$4,F287),_xll.qwSettle($A$1,F287))*_xll.qwMVFactor($A$1,F287)*_xll.qwFXRate($A$1,F287)*I287),_xll.qwIncome($A$1,F287,_xll.qwSettle($A$4,F287),_xll.qwSettle($A$1,F287))*_xll.qwMVFactor($A$1,F287)*_xll.qwFXRate($A$1,F287)*I287,0)+IF(ISNUMBER(-(_xll.qwBondRepoFromTo($A$1,F287,_xll.qwSettle($A$4,F287),_xll.qwSettle($A$1,F287))*_xll.qwSecVal($A$1,F287,"Price")*(_xll.qwSettle($A$1,F287)-_xll.qwSettle($A$4,F287))/360)*_xll.qwMVFactor($A$1,F287)*_xll.qwFXRate($A$1,F287)*I287),-(_xll.qwBondRepoFromTo($A$1,F287,_xll.qwSettle($A$4,F287),_xll.qwSettle($A$1,F287))*_xll.qwSecVal($A$1,F287,"Price")*(_xll.qwSettle($A$1,F287)-_xll.qwSettle($A$4,F287))/360)*_xll.qwMVFactor($A$1,F287)*_xll.qwFXRate($A$1,F287)*I287,0)</f>
        <v>108828.47071148465</v>
      </c>
      <c r="AD287" s="6"/>
    </row>
    <row r="288" spans="2:30" s="19" customFormat="1" x14ac:dyDescent="0.35">
      <c r="B288" s="19" t="str">
        <v>jcleary</v>
      </c>
      <c r="C288" s="19" t="str">
        <v>PPA</v>
      </c>
      <c r="D288" s="19" t="str">
        <v>jcleary|PPA|RV_US_TY_Spread|238675137</v>
      </c>
      <c r="E288" s="19" t="str">
        <v>RV_US_TY_Spread</v>
      </c>
      <c r="F288" s="19" t="str">
        <v>238675137</v>
      </c>
      <c r="G288" s="19">
        <v>419.8</v>
      </c>
      <c r="H288" s="19">
        <v>0</v>
      </c>
      <c r="I288" s="19">
        <v>419.8</v>
      </c>
      <c r="J288" s="19">
        <v>0</v>
      </c>
      <c r="K288" s="19">
        <v>0</v>
      </c>
      <c r="L288" s="19">
        <v>0</v>
      </c>
      <c r="M288" s="19">
        <v>0</v>
      </c>
      <c r="N288" s="19" t="str">
        <v>SwapTrade</v>
      </c>
      <c r="O288" s="6" cm="1">
        <f t="array" ref="O288">(_xll.qwPrice($A$1,F288)-_xll.qwPrice($A$4,F288))*_xll.qwMVFactor($A$1,F288)*I288*_xll.qwFXRate($A$1,F288)</f>
        <v>292093.90864028485</v>
      </c>
      <c r="P288" s="6" cm="1">
        <f t="array" ref="P288">IF(ISNUMBER(_xll.qwDV01($A$1,F288)*I288*_xll.qwMVFactor($A$1,F288)*_xll.qwFXRate($A$1,F288)),_xll.qwDV01($A$1,F288)*I288*_xll.qwMVFactor($A$1,F288)*_xll.qwFXRate($A$1,F288),0)</f>
        <v>217291.48531645627</v>
      </c>
      <c r="Q288" s="6" cm="1">
        <f t="array" ref="Q288">IF(ISNUMBER(_xll.qwDV01($A$1,F288)*G288*_xll.qwMVFactor($A$1,F288)*_xll.qwFXRate($A$1,F288)),_xll.qwDV01($A$1,F288)*G288*_xll.qwMVFactor($A$1,F288)*_xll.qwFXRate($A$1,F288),0)</f>
        <v>217291.48531645627</v>
      </c>
      <c r="R288" s="6" cm="1">
        <f t="array" ref="R288">IF(ISNUMBER(_xll.qwDV01($A$1,F288)*J288*_xll.qwMVFactor($A$1,F288)*_xll.qwFXRate($A$1,F288)),_xll.qwDV01($A$1,F288)*J288*_xll.qwMVFactor($A$1,F288)*_xll.qwFXRate($A$1,F288),0)</f>
        <v>0</v>
      </c>
      <c r="S288" s="6" cm="1">
        <f t="array" ref="S288">IF(ISNUMBER(_xll.qwDV01($A$1,F288)*J288*_xll.qwMVFactor($A$1,F288)*_xll.qwFXRate($A$1,F288)),_xll.qwDV01($A$1,F288)*J288*_xll.qwMVFactor($A$1,F288)*_xll.qwFXRate($A$1,F288),0)</f>
        <v>0</v>
      </c>
      <c r="T288" s="6" cm="1">
        <f t="array" ref="T288">_xll.qwFXRate($A$1,F288)*J288*(_xll.qwPrice($A$1,F288)-M288)*_xll.qwMVFactor($A$1,F288)+L288</f>
        <v>0</v>
      </c>
      <c r="U288" s="8" cm="1">
        <f t="array" ref="U288">_xll.qwYield($A$1,F288)</f>
        <v>4.7266079358983568E-2</v>
      </c>
      <c r="V288" s="8" cm="1">
        <f t="array" ref="V288">100*(_xll.qwYield($A$4,F288)-U288)</f>
        <v>1.2999858244428647E-2</v>
      </c>
      <c r="W288" s="6">
        <f>IF(ISNA(G288*INDEX(_xll.qwTblData(_xll.qwCurveScenariosPerSecurity($A$1,F288,"Crv210")),2,2)),0,(G288*INDEX(_xll.qwTblData(_xll.qwCurveScenariosPerSecurity($A$1,F288,"Crv210")),2,2)))</f>
        <v>-10464.472175551184</v>
      </c>
      <c r="X288" s="6" cm="1">
        <f t="array" ref="X288">ABS(Q288/_xll.qwMV01($A$1,"CT10"))</f>
        <v>292.51585044785219</v>
      </c>
      <c r="Y288" s="6" cm="1">
        <f t="array" ref="Y288">IF(N288="BondFuture",-(_xll.qwCurveYield($A$1,_xll.qwSecVal($A$1,AA288,"CreditCurveName()"),AA288)-_xll.qwCurveYield($A$4,_xll.qwSecVal($A$4,AA288,"CreditCurveName()"),AA288))*P288*10000,IF(N288="Bond",-(_xll.qwCurveYield($A$1,_xll.qwSecVal($A$1,F288,"CreditCurveName()"),F288)-_xll.qwCurveYield($A$4,_xll.qwSecVal($A$4,F288,"CreditCurveName()"),F288))*P288*10000,O288))</f>
        <v>292093.90864028485</v>
      </c>
      <c r="Z288" s="6" cm="1">
        <f t="array" ref="Z288">IF(OR(N288="BondFuture",N288="Bond"),P288*(_xll.qwCurveZSpread($A$4,_xll.qwSecVal($A$1,AA288,"CreditCurveName()"),AA288)-_xll.qwCurveZSpread($A$1,_xll.qwSecVal($A$1,AA288,"CreditCurveName()"),AA288)),0)</f>
        <v>0</v>
      </c>
      <c r="AA288" s="9" cm="1">
        <f t="array" ref="AA288">IF(_xll.qwSecType(F288)="Bond",F288,IF(_xll.qwSecType(F288)="BondFuture",_xll.qwFutCTD($A$1,F288),0))</f>
        <v>0</v>
      </c>
      <c r="AB288" s="6" cm="1">
        <f t="array" ref="AB288">IF(_xll.qwSecType(F288)="BondFuture",-(I288*_xll.qwDelta($A$4,F288)*_xll.qwMVFactor($A$1,F288)/_xll.qwMVFactor($A$1,_xll.qwFutCTD($A$1,F288)))*(_xll.qwFXRate($A$1,F288)*_xll.qwMVFactor($A$1,_xll.qwFutCTD($A$1,F288))*(_xll.qwIncome($A$4,_xll.qwFutCTD($A$4,F288),_xll.qwBondSettle($A$4,_xll.qwFutCTD($A$4,F288)),_xll.qwBondSettle($A$1,_xll.qwFutCTD($A$1,F288)))+(_xll.qwSecVal($A$1,AA288,"Price")-_xll.qwSecVal($A$4,AA288,"Price"))-_xll.qwBondRepoFromTo($A$1,AA288,_xll.qwBondSettle($A$4,AA288),_xll.qwBondSettle($A$1,AA288))*_xll.qwSecVal($A$1,AA288,"Price")*(_xll.qwBondSettle($A$1,AA288)-_xll.qwBondSettle($A$4,AA288))/360))+O288,0)</f>
        <v>0</v>
      </c>
      <c r="AC288" s="9" cm="1">
        <f t="array" ref="AC288">O288+T288+IF(ISNUMBER(_xll.qwIncome($A$1,F288,_xll.qwSettle($A$4,F288),_xll.qwSettle($A$1,F288))*_xll.qwMVFactor($A$1,F288)*_xll.qwFXRate($A$1,F288)*I288),_xll.qwIncome($A$1,F288,_xll.qwSettle($A$4,F288),_xll.qwSettle($A$1,F288))*_xll.qwMVFactor($A$1,F288)*_xll.qwFXRate($A$1,F288)*I288,0)+IF(ISNUMBER(-(_xll.qwBondRepoFromTo($A$1,F288,_xll.qwSettle($A$4,F288),_xll.qwSettle($A$1,F288))*_xll.qwSecVal($A$1,F288,"Price")*(_xll.qwSettle($A$1,F288)-_xll.qwSettle($A$4,F288))/360)*_xll.qwMVFactor($A$1,F288)*_xll.qwFXRate($A$1,F288)*I288),-(_xll.qwBondRepoFromTo($A$1,F288,_xll.qwSettle($A$4,F288),_xll.qwSettle($A$1,F288))*_xll.qwSecVal($A$1,F288,"Price")*(_xll.qwSettle($A$1,F288)-_xll.qwSettle($A$4,F288))/360)*_xll.qwMVFactor($A$1,F288)*_xll.qwFXRate($A$1,F288)*I288,0)</f>
        <v>292093.90864028485</v>
      </c>
      <c r="AD288" s="6"/>
    </row>
    <row r="289" spans="2:30" s="19" customFormat="1" x14ac:dyDescent="0.35">
      <c r="B289" s="19" t="str">
        <v>jcleary</v>
      </c>
      <c r="C289" s="19" t="str">
        <v>PPA</v>
      </c>
      <c r="D289" s="19" t="str">
        <v>jcleary|PPA|RV_US_TY_Spread|239173834</v>
      </c>
      <c r="E289" s="19" t="str">
        <v>RV_US_TY_Spread</v>
      </c>
      <c r="F289" s="19" t="str">
        <v>239173834</v>
      </c>
      <c r="G289" s="19">
        <v>477.4</v>
      </c>
      <c r="H289" s="19">
        <v>0</v>
      </c>
      <c r="I289" s="19">
        <v>477.4</v>
      </c>
      <c r="J289" s="19">
        <v>0</v>
      </c>
      <c r="K289" s="19">
        <v>0</v>
      </c>
      <c r="L289" s="19">
        <v>0</v>
      </c>
      <c r="M289" s="19">
        <v>0</v>
      </c>
      <c r="N289" s="19" t="str">
        <v>SwapTrade</v>
      </c>
      <c r="O289" s="6" cm="1">
        <f t="array" ref="O289">(_xll.qwPrice($A$1,F289)-_xll.qwPrice($A$4,F289))*_xll.qwMVFactor($A$1,F289)*I289*_xll.qwFXRate($A$1,F289)</f>
        <v>333203.58155112976</v>
      </c>
      <c r="P289" s="6" cm="1">
        <f t="array" ref="P289">IF(ISNUMBER(_xll.qwDV01($A$1,F289)*I289*_xll.qwMVFactor($A$1,F289)*_xll.qwFXRate($A$1,F289)),_xll.qwDV01($A$1,F289)*I289*_xll.qwMVFactor($A$1,F289)*_xll.qwFXRate($A$1,F289),0)</f>
        <v>248028.36084322431</v>
      </c>
      <c r="Q289" s="6" cm="1">
        <f t="array" ref="Q289">IF(ISNUMBER(_xll.qwDV01($A$1,F289)*G289*_xll.qwMVFactor($A$1,F289)*_xll.qwFXRate($A$1,F289)),_xll.qwDV01($A$1,F289)*G289*_xll.qwMVFactor($A$1,F289)*_xll.qwFXRate($A$1,F289),0)</f>
        <v>248028.36084322431</v>
      </c>
      <c r="R289" s="6" cm="1">
        <f t="array" ref="R289">IF(ISNUMBER(_xll.qwDV01($A$1,F289)*J289*_xll.qwMVFactor($A$1,F289)*_xll.qwFXRate($A$1,F289)),_xll.qwDV01($A$1,F289)*J289*_xll.qwMVFactor($A$1,F289)*_xll.qwFXRate($A$1,F289),0)</f>
        <v>0</v>
      </c>
      <c r="S289" s="6" cm="1">
        <f t="array" ref="S289">IF(ISNUMBER(_xll.qwDV01($A$1,F289)*J289*_xll.qwMVFactor($A$1,F289)*_xll.qwFXRate($A$1,F289)),_xll.qwDV01($A$1,F289)*J289*_xll.qwMVFactor($A$1,F289)*_xll.qwFXRate($A$1,F289),0)</f>
        <v>0</v>
      </c>
      <c r="T289" s="6" cm="1">
        <f t="array" ref="T289">_xll.qwFXRate($A$1,F289)*J289*(_xll.qwPrice($A$1,F289)-M289)*_xll.qwMVFactor($A$1,F289)+L289</f>
        <v>0</v>
      </c>
      <c r="U289" s="8" cm="1">
        <f t="array" ref="U289">_xll.qwYield($A$1,F289)</f>
        <v>4.7266079358983568E-2</v>
      </c>
      <c r="V289" s="8" cm="1">
        <f t="array" ref="V289">100*(_xll.qwYield($A$4,F289)-U289)</f>
        <v>1.2999858244428647E-2</v>
      </c>
      <c r="W289" s="6">
        <f>IF(ISNA(G289*INDEX(_xll.qwTblData(_xll.qwCurveScenariosPerSecurity($A$1,F289,"Crv210")),2,2)),0,(G289*INDEX(_xll.qwTblData(_xll.qwCurveScenariosPerSecurity($A$1,F289,"Crv210")),2,2)))</f>
        <v>-11739.653991674702</v>
      </c>
      <c r="X289" s="6" cm="1">
        <f t="array" ref="X289">ABS(Q289/_xll.qwMV01($A$1,"CT10"))</f>
        <v>333.89355685787598</v>
      </c>
      <c r="Y289" s="6" cm="1">
        <f t="array" ref="Y289">IF(N289="BondFuture",-(_xll.qwCurveYield($A$1,_xll.qwSecVal($A$1,AA289,"CreditCurveName()"),AA289)-_xll.qwCurveYield($A$4,_xll.qwSecVal($A$4,AA289,"CreditCurveName()"),AA289))*P289*10000,IF(N289="Bond",-(_xll.qwCurveYield($A$1,_xll.qwSecVal($A$1,F289,"CreditCurveName()"),F289)-_xll.qwCurveYield($A$4,_xll.qwSecVal($A$4,F289,"CreditCurveName()"),F289))*P289*10000,O289))</f>
        <v>333203.58155112976</v>
      </c>
      <c r="Z289" s="6" cm="1">
        <f t="array" ref="Z289">IF(OR(N289="BondFuture",N289="Bond"),P289*(_xll.qwCurveZSpread($A$4,_xll.qwSecVal($A$1,AA289,"CreditCurveName()"),AA289)-_xll.qwCurveZSpread($A$1,_xll.qwSecVal($A$1,AA289,"CreditCurveName()"),AA289)),0)</f>
        <v>0</v>
      </c>
      <c r="AA289" s="9" cm="1">
        <f t="array" ref="AA289">IF(_xll.qwSecType(F289)="Bond",F289,IF(_xll.qwSecType(F289)="BondFuture",_xll.qwFutCTD($A$1,F289),0))</f>
        <v>0</v>
      </c>
      <c r="AB289" s="6" cm="1">
        <f t="array" ref="AB289">IF(_xll.qwSecType(F289)="BondFuture",-(I289*_xll.qwDelta($A$4,F289)*_xll.qwMVFactor($A$1,F289)/_xll.qwMVFactor($A$1,_xll.qwFutCTD($A$1,F289)))*(_xll.qwFXRate($A$1,F289)*_xll.qwMVFactor($A$1,_xll.qwFutCTD($A$1,F289))*(_xll.qwIncome($A$4,_xll.qwFutCTD($A$4,F289),_xll.qwBondSettle($A$4,_xll.qwFutCTD($A$4,F289)),_xll.qwBondSettle($A$1,_xll.qwFutCTD($A$1,F289)))+(_xll.qwSecVal($A$1,AA289,"Price")-_xll.qwSecVal($A$4,AA289,"Price"))-_xll.qwBondRepoFromTo($A$1,AA289,_xll.qwBondSettle($A$4,AA289),_xll.qwBondSettle($A$1,AA289))*_xll.qwSecVal($A$1,AA289,"Price")*(_xll.qwBondSettle($A$1,AA289)-_xll.qwBondSettle($A$4,AA289))/360))+O289,0)</f>
        <v>0</v>
      </c>
      <c r="AC289" s="9" cm="1">
        <f t="array" ref="AC289">O289+T289+IF(ISNUMBER(_xll.qwIncome($A$1,F289,_xll.qwSettle($A$4,F289),_xll.qwSettle($A$1,F289))*_xll.qwMVFactor($A$1,F289)*_xll.qwFXRate($A$1,F289)*I289),_xll.qwIncome($A$1,F289,_xll.qwSettle($A$4,F289),_xll.qwSettle($A$1,F289))*_xll.qwMVFactor($A$1,F289)*_xll.qwFXRate($A$1,F289)*I289,0)+IF(ISNUMBER(-(_xll.qwBondRepoFromTo($A$1,F289,_xll.qwSettle($A$4,F289),_xll.qwSettle($A$1,F289))*_xll.qwSecVal($A$1,F289,"Price")*(_xll.qwSettle($A$1,F289)-_xll.qwSettle($A$4,F289))/360)*_xll.qwMVFactor($A$1,F289)*_xll.qwFXRate($A$1,F289)*I289),-(_xll.qwBondRepoFromTo($A$1,F289,_xll.qwSettle($A$4,F289),_xll.qwSettle($A$1,F289))*_xll.qwSecVal($A$1,F289,"Price")*(_xll.qwSettle($A$1,F289)-_xll.qwSettle($A$4,F289))/360)*_xll.qwMVFactor($A$1,F289)*_xll.qwFXRate($A$1,F289)*I289,0)</f>
        <v>333203.58155112976</v>
      </c>
      <c r="AD289" s="6"/>
    </row>
    <row r="290" spans="2:30" s="19" customFormat="1" x14ac:dyDescent="0.35">
      <c r="B290" s="19" t="str">
        <v>jcleary</v>
      </c>
      <c r="C290" s="19" t="str">
        <v>PPA</v>
      </c>
      <c r="D290" s="19" t="str">
        <v>jcleary|PPA|RV_US_TY_Spread|239798372</v>
      </c>
      <c r="E290" s="19" t="str">
        <v>RV_US_TY_Spread</v>
      </c>
      <c r="F290" s="19" t="str">
        <v>239798372</v>
      </c>
      <c r="G290" s="19">
        <v>90.3</v>
      </c>
      <c r="H290" s="19">
        <v>0</v>
      </c>
      <c r="I290" s="19">
        <v>90.3</v>
      </c>
      <c r="J290" s="19">
        <v>0</v>
      </c>
      <c r="K290" s="19">
        <v>0</v>
      </c>
      <c r="L290" s="19">
        <v>0</v>
      </c>
      <c r="M290" s="19">
        <v>0</v>
      </c>
      <c r="N290" s="19" t="str">
        <v>SwapTrade</v>
      </c>
      <c r="O290" s="6" cm="1">
        <f t="array" ref="O290">(_xll.qwPrice($A$1,F290)-_xll.qwPrice($A$4,F290))*_xll.qwMVFactor($A$1,F290)*I290*_xll.qwFXRate($A$1,F290)</f>
        <v>64533.622061589223</v>
      </c>
      <c r="P290" s="6" cm="1">
        <f t="array" ref="P290">IF(ISNUMBER(_xll.qwDV01($A$1,F290)*I290*_xll.qwMVFactor($A$1,F290)*_xll.qwFXRate($A$1,F290)),_xll.qwDV01($A$1,F290)*I290*_xll.qwMVFactor($A$1,F290)*_xll.qwFXRate($A$1,F290),0)</f>
        <v>47571.315085771355</v>
      </c>
      <c r="Q290" s="6" cm="1">
        <f t="array" ref="Q290">IF(ISNUMBER(_xll.qwDV01($A$1,F290)*G290*_xll.qwMVFactor($A$1,F290)*_xll.qwFXRate($A$1,F290)),_xll.qwDV01($A$1,F290)*G290*_xll.qwMVFactor($A$1,F290)*_xll.qwFXRate($A$1,F290),0)</f>
        <v>47571.315085771355</v>
      </c>
      <c r="R290" s="6" cm="1">
        <f t="array" ref="R290">IF(ISNUMBER(_xll.qwDV01($A$1,F290)*J290*_xll.qwMVFactor($A$1,F290)*_xll.qwFXRate($A$1,F290)),_xll.qwDV01($A$1,F290)*J290*_xll.qwMVFactor($A$1,F290)*_xll.qwFXRate($A$1,F290),0)</f>
        <v>0</v>
      </c>
      <c r="S290" s="6" cm="1">
        <f t="array" ref="S290">IF(ISNUMBER(_xll.qwDV01($A$1,F290)*J290*_xll.qwMVFactor($A$1,F290)*_xll.qwFXRate($A$1,F290)),_xll.qwDV01($A$1,F290)*J290*_xll.qwMVFactor($A$1,F290)*_xll.qwFXRate($A$1,F290),0)</f>
        <v>0</v>
      </c>
      <c r="T290" s="6" cm="1">
        <f t="array" ref="T290">_xll.qwFXRate($A$1,F290)*J290*(_xll.qwPrice($A$1,F290)-M290)*_xll.qwMVFactor($A$1,F290)+L290</f>
        <v>0</v>
      </c>
      <c r="U290" s="8" cm="1">
        <f t="array" ref="U290">_xll.qwYield($A$1,F290)</f>
        <v>4.7273302273789487E-2</v>
      </c>
      <c r="V290" s="8" cm="1">
        <f t="array" ref="V290">100*(_xll.qwYield($A$4,F290)-U290)</f>
        <v>1.3163714084580419E-2</v>
      </c>
      <c r="W290" s="6">
        <f>IF(ISNA(G290*INDEX(_xll.qwTblData(_xll.qwCurveScenariosPerSecurity($A$1,F290,"Crv210")),2,2)),0,(G290*INDEX(_xll.qwTblData(_xll.qwCurveScenariosPerSecurity($A$1,F290,"Crv210")),2,2)))</f>
        <v>-2671.7151082897094</v>
      </c>
      <c r="X290" s="6" cm="1">
        <f t="array" ref="X290">ABS(Q290/_xll.qwMV01($A$1,"CT10"))</f>
        <v>64.040078095887026</v>
      </c>
      <c r="Y290" s="6" cm="1">
        <f t="array" ref="Y290">IF(N290="BondFuture",-(_xll.qwCurveYield($A$1,_xll.qwSecVal($A$1,AA290,"CreditCurveName()"),AA290)-_xll.qwCurveYield($A$4,_xll.qwSecVal($A$4,AA290,"CreditCurveName()"),AA290))*P290*10000,IF(N290="Bond",-(_xll.qwCurveYield($A$1,_xll.qwSecVal($A$1,F290,"CreditCurveName()"),F290)-_xll.qwCurveYield($A$4,_xll.qwSecVal($A$4,F290,"CreditCurveName()"),F290))*P290*10000,O290))</f>
        <v>64533.622061589223</v>
      </c>
      <c r="Z290" s="6" cm="1">
        <f t="array" ref="Z290">IF(OR(N290="BondFuture",N290="Bond"),P290*(_xll.qwCurveZSpread($A$4,_xll.qwSecVal($A$1,AA290,"CreditCurveName()"),AA290)-_xll.qwCurveZSpread($A$1,_xll.qwSecVal($A$1,AA290,"CreditCurveName()"),AA290)),0)</f>
        <v>0</v>
      </c>
      <c r="AA290" s="9" cm="1">
        <f t="array" ref="AA290">IF(_xll.qwSecType(F290)="Bond",F290,IF(_xll.qwSecType(F290)="BondFuture",_xll.qwFutCTD($A$1,F290),0))</f>
        <v>0</v>
      </c>
      <c r="AB290" s="6" cm="1">
        <f t="array" ref="AB290">IF(_xll.qwSecType(F290)="BondFuture",-(I290*_xll.qwDelta($A$4,F290)*_xll.qwMVFactor($A$1,F290)/_xll.qwMVFactor($A$1,_xll.qwFutCTD($A$1,F290)))*(_xll.qwFXRate($A$1,F290)*_xll.qwMVFactor($A$1,_xll.qwFutCTD($A$1,F290))*(_xll.qwIncome($A$4,_xll.qwFutCTD($A$4,F290),_xll.qwBondSettle($A$4,_xll.qwFutCTD($A$4,F290)),_xll.qwBondSettle($A$1,_xll.qwFutCTD($A$1,F290)))+(_xll.qwSecVal($A$1,AA290,"Price")-_xll.qwSecVal($A$4,AA290,"Price"))-_xll.qwBondRepoFromTo($A$1,AA290,_xll.qwBondSettle($A$4,AA290),_xll.qwBondSettle($A$1,AA290))*_xll.qwSecVal($A$1,AA290,"Price")*(_xll.qwBondSettle($A$1,AA290)-_xll.qwBondSettle($A$4,AA290))/360))+O290,0)</f>
        <v>0</v>
      </c>
      <c r="AC290" s="9" cm="1">
        <f t="array" ref="AC290">O290+T290+IF(ISNUMBER(_xll.qwIncome($A$1,F290,_xll.qwSettle($A$4,F290),_xll.qwSettle($A$1,F290))*_xll.qwMVFactor($A$1,F290)*_xll.qwFXRate($A$1,F290)*I290),_xll.qwIncome($A$1,F290,_xll.qwSettle($A$4,F290),_xll.qwSettle($A$1,F290))*_xll.qwMVFactor($A$1,F290)*_xll.qwFXRate($A$1,F290)*I290,0)+IF(ISNUMBER(-(_xll.qwBondRepoFromTo($A$1,F290,_xll.qwSettle($A$4,F290),_xll.qwSettle($A$1,F290))*_xll.qwSecVal($A$1,F290,"Price")*(_xll.qwSettle($A$1,F290)-_xll.qwSettle($A$4,F290))/360)*_xll.qwMVFactor($A$1,F290)*_xll.qwFXRate($A$1,F290)*I290),-(_xll.qwBondRepoFromTo($A$1,F290,_xll.qwSettle($A$4,F290),_xll.qwSettle($A$1,F290))*_xll.qwSecVal($A$1,F290,"Price")*(_xll.qwSettle($A$1,F290)-_xll.qwSettle($A$4,F290))/360)*_xll.qwMVFactor($A$1,F290)*_xll.qwFXRate($A$1,F290)*I290,0)</f>
        <v>64533.622061589223</v>
      </c>
      <c r="AD290" s="6"/>
    </row>
    <row r="291" spans="2:30" s="19" customFormat="1" x14ac:dyDescent="0.35">
      <c r="B291" s="19" t="str">
        <v>jcleary</v>
      </c>
      <c r="C291" s="19" t="str">
        <v>PPA</v>
      </c>
      <c r="D291" s="19" t="str">
        <v>jcleary|PPA|RV_US_TY_Spread|239798376</v>
      </c>
      <c r="E291" s="19" t="str">
        <v>RV_US_TY_Spread</v>
      </c>
      <c r="F291" s="19" t="str">
        <v>239798376</v>
      </c>
      <c r="G291" s="19">
        <v>66.8</v>
      </c>
      <c r="H291" s="19">
        <v>0</v>
      </c>
      <c r="I291" s="19">
        <v>66.8</v>
      </c>
      <c r="J291" s="19">
        <v>0</v>
      </c>
      <c r="K291" s="19">
        <v>0</v>
      </c>
      <c r="L291" s="19">
        <v>0</v>
      </c>
      <c r="M291" s="19">
        <v>0</v>
      </c>
      <c r="N291" s="19" t="str">
        <v>SwapTrade</v>
      </c>
      <c r="O291" s="6" cm="1">
        <f t="array" ref="O291">(_xll.qwPrice($A$1,F291)-_xll.qwPrice($A$4,F291))*_xll.qwMVFactor($A$1,F291)*I291*_xll.qwFXRate($A$1,F291)</f>
        <v>-91520.153551819196</v>
      </c>
      <c r="P291" s="6" cm="1">
        <f t="array" ref="P291">IF(ISNUMBER(_xll.qwDV01($A$1,F291)*I291*_xll.qwMVFactor($A$1,F291)*_xll.qwFXRate($A$1,F291)),_xll.qwDV01($A$1,F291)*I291*_xll.qwMVFactor($A$1,F291)*_xll.qwFXRate($A$1,F291),0)</f>
        <v>-47722.413379601596</v>
      </c>
      <c r="Q291" s="6" cm="1">
        <f t="array" ref="Q291">IF(ISNUMBER(_xll.qwDV01($A$1,F291)*G291*_xll.qwMVFactor($A$1,F291)*_xll.qwFXRate($A$1,F291)),_xll.qwDV01($A$1,F291)*G291*_xll.qwMVFactor($A$1,F291)*_xll.qwFXRate($A$1,F291),0)</f>
        <v>-47722.413379601596</v>
      </c>
      <c r="R291" s="6" cm="1">
        <f t="array" ref="R291">IF(ISNUMBER(_xll.qwDV01($A$1,F291)*J291*_xll.qwMVFactor($A$1,F291)*_xll.qwFXRate($A$1,F291)),_xll.qwDV01($A$1,F291)*J291*_xll.qwMVFactor($A$1,F291)*_xll.qwFXRate($A$1,F291),0)</f>
        <v>0</v>
      </c>
      <c r="S291" s="6" cm="1">
        <f t="array" ref="S291">IF(ISNUMBER(_xll.qwDV01($A$1,F291)*J291*_xll.qwMVFactor($A$1,F291)*_xll.qwFXRate($A$1,F291)),_xll.qwDV01($A$1,F291)*J291*_xll.qwMVFactor($A$1,F291)*_xll.qwFXRate($A$1,F291),0)</f>
        <v>0</v>
      </c>
      <c r="T291" s="6" cm="1">
        <f t="array" ref="T291">_xll.qwFXRate($A$1,F291)*J291*(_xll.qwPrice($A$1,F291)-M291)*_xll.qwMVFactor($A$1,F291)+L291</f>
        <v>0</v>
      </c>
      <c r="U291" s="8" cm="1">
        <f t="array" ref="U291">_xll.qwYield($A$1,F291)</f>
        <v>4.7851017302089398E-2</v>
      </c>
      <c r="V291" s="8" cm="1">
        <f t="array" ref="V291">100*(_xll.qwYield($A$4,F291)-U291)</f>
        <v>1.8766414244699575E-2</v>
      </c>
      <c r="W291" s="6">
        <f>IF(ISNA(G291*INDEX(_xll.qwTblData(_xll.qwCurveScenariosPerSecurity($A$1,F291,"Crv210")),2,2)),0,(G291*INDEX(_xll.qwTblData(_xll.qwCurveScenariosPerSecurity($A$1,F291,"Crv210")),2,2)))</f>
        <v>20892.809367565031</v>
      </c>
      <c r="X291" s="6" cm="1">
        <f t="array" ref="X291">ABS(Q291/_xll.qwMV01($A$1,"CT10"))</f>
        <v>64.243485265093881</v>
      </c>
      <c r="Y291" s="6" cm="1">
        <f t="array" ref="Y291">IF(N291="BondFuture",-(_xll.qwCurveYield($A$1,_xll.qwSecVal($A$1,AA291,"CreditCurveName()"),AA291)-_xll.qwCurveYield($A$4,_xll.qwSecVal($A$4,AA291,"CreditCurveName()"),AA291))*P291*10000,IF(N291="Bond",-(_xll.qwCurveYield($A$1,_xll.qwSecVal($A$1,F291,"CreditCurveName()"),F291)-_xll.qwCurveYield($A$4,_xll.qwSecVal($A$4,F291,"CreditCurveName()"),F291))*P291*10000,O291))</f>
        <v>-91520.153551819196</v>
      </c>
      <c r="Z291" s="6" cm="1">
        <f t="array" ref="Z291">IF(OR(N291="BondFuture",N291="Bond"),P291*(_xll.qwCurveZSpread($A$4,_xll.qwSecVal($A$1,AA291,"CreditCurveName()"),AA291)-_xll.qwCurveZSpread($A$1,_xll.qwSecVal($A$1,AA291,"CreditCurveName()"),AA291)),0)</f>
        <v>0</v>
      </c>
      <c r="AA291" s="9" cm="1">
        <f t="array" ref="AA291">IF(_xll.qwSecType(F291)="Bond",F291,IF(_xll.qwSecType(F291)="BondFuture",_xll.qwFutCTD($A$1,F291),0))</f>
        <v>0</v>
      </c>
      <c r="AB291" s="6" cm="1">
        <f t="array" ref="AB291">IF(_xll.qwSecType(F291)="BondFuture",-(I291*_xll.qwDelta($A$4,F291)*_xll.qwMVFactor($A$1,F291)/_xll.qwMVFactor($A$1,_xll.qwFutCTD($A$1,F291)))*(_xll.qwFXRate($A$1,F291)*_xll.qwMVFactor($A$1,_xll.qwFutCTD($A$1,F291))*(_xll.qwIncome($A$4,_xll.qwFutCTD($A$4,F291),_xll.qwBondSettle($A$4,_xll.qwFutCTD($A$4,F291)),_xll.qwBondSettle($A$1,_xll.qwFutCTD($A$1,F291)))+(_xll.qwSecVal($A$1,AA291,"Price")-_xll.qwSecVal($A$4,AA291,"Price"))-_xll.qwBondRepoFromTo($A$1,AA291,_xll.qwBondSettle($A$4,AA291),_xll.qwBondSettle($A$1,AA291))*_xll.qwSecVal($A$1,AA291,"Price")*(_xll.qwBondSettle($A$1,AA291)-_xll.qwBondSettle($A$4,AA291))/360))+O291,0)</f>
        <v>0</v>
      </c>
      <c r="AC291" s="9" cm="1">
        <f t="array" ref="AC291">O291+T291+IF(ISNUMBER(_xll.qwIncome($A$1,F291,_xll.qwSettle($A$4,F291),_xll.qwSettle($A$1,F291))*_xll.qwMVFactor($A$1,F291)*_xll.qwFXRate($A$1,F291)*I291),_xll.qwIncome($A$1,F291,_xll.qwSettle($A$4,F291),_xll.qwSettle($A$1,F291))*_xll.qwMVFactor($A$1,F291)*_xll.qwFXRate($A$1,F291)*I291,0)+IF(ISNUMBER(-(_xll.qwBondRepoFromTo($A$1,F291,_xll.qwSettle($A$4,F291),_xll.qwSettle($A$1,F291))*_xll.qwSecVal($A$1,F291,"Price")*(_xll.qwSettle($A$1,F291)-_xll.qwSettle($A$4,F291))/360)*_xll.qwMVFactor($A$1,F291)*_xll.qwFXRate($A$1,F291)*I291),-(_xll.qwBondRepoFromTo($A$1,F291,_xll.qwSettle($A$4,F291),_xll.qwSettle($A$1,F291))*_xll.qwSecVal($A$1,F291,"Price")*(_xll.qwSettle($A$1,F291)-_xll.qwSettle($A$4,F291))/360)*_xll.qwMVFactor($A$1,F291)*_xll.qwFXRate($A$1,F291)*I291,0)</f>
        <v>-91520.153551819196</v>
      </c>
      <c r="AD291" s="6"/>
    </row>
    <row r="292" spans="2:30" s="19" customFormat="1" x14ac:dyDescent="0.35">
      <c r="B292" s="19" t="str">
        <v>jcleary</v>
      </c>
      <c r="C292" s="19" t="str">
        <v>PPA</v>
      </c>
      <c r="D292" s="19" t="str">
        <v>jcleary|PPA|RV_US_TY_Spread|239799484</v>
      </c>
      <c r="E292" s="19" t="str">
        <v>RV_US_TY_Spread</v>
      </c>
      <c r="F292" s="19" t="str">
        <v>239799484</v>
      </c>
      <c r="G292" s="19">
        <v>109.4</v>
      </c>
      <c r="H292" s="19">
        <v>0</v>
      </c>
      <c r="I292" s="19">
        <v>109.4</v>
      </c>
      <c r="J292" s="19">
        <v>0</v>
      </c>
      <c r="K292" s="19">
        <v>0</v>
      </c>
      <c r="L292" s="19">
        <v>0</v>
      </c>
      <c r="M292" s="19">
        <v>0</v>
      </c>
      <c r="N292" s="19" t="str">
        <v>SwapTrade</v>
      </c>
      <c r="O292" s="6" cm="1">
        <f t="array" ref="O292">(_xll.qwPrice($A$1,F292)-_xll.qwPrice($A$4,F292))*_xll.qwMVFactor($A$1,F292)*I292*_xll.qwFXRate($A$1,F292)</f>
        <v>-76567.393591333413</v>
      </c>
      <c r="P292" s="6" cm="1">
        <f t="array" ref="P292">IF(ISNUMBER(_xll.qwDV01($A$1,F292)*I292*_xll.qwMVFactor($A$1,F292)*_xll.qwFXRate($A$1,F292)),_xll.qwDV01($A$1,F292)*I292*_xll.qwMVFactor($A$1,F292)*_xll.qwFXRate($A$1,F292),0)</f>
        <v>-57023.570182184245</v>
      </c>
      <c r="Q292" s="6" cm="1">
        <f t="array" ref="Q292">IF(ISNUMBER(_xll.qwDV01($A$1,F292)*G292*_xll.qwMVFactor($A$1,F292)*_xll.qwFXRate($A$1,F292)),_xll.qwDV01($A$1,F292)*G292*_xll.qwMVFactor($A$1,F292)*_xll.qwFXRate($A$1,F292),0)</f>
        <v>-57023.570182184245</v>
      </c>
      <c r="R292" s="6" cm="1">
        <f t="array" ref="R292">IF(ISNUMBER(_xll.qwDV01($A$1,F292)*J292*_xll.qwMVFactor($A$1,F292)*_xll.qwFXRate($A$1,F292)),_xll.qwDV01($A$1,F292)*J292*_xll.qwMVFactor($A$1,F292)*_xll.qwFXRate($A$1,F292),0)</f>
        <v>0</v>
      </c>
      <c r="S292" s="6" cm="1">
        <f t="array" ref="S292">IF(ISNUMBER(_xll.qwDV01($A$1,F292)*J292*_xll.qwMVFactor($A$1,F292)*_xll.qwFXRate($A$1,F292)),_xll.qwDV01($A$1,F292)*J292*_xll.qwMVFactor($A$1,F292)*_xll.qwFXRate($A$1,F292),0)</f>
        <v>0</v>
      </c>
      <c r="T292" s="6" cm="1">
        <f t="array" ref="T292">_xll.qwFXRate($A$1,F292)*J292*(_xll.qwPrice($A$1,F292)-M292)*_xll.qwMVFactor($A$1,F292)+L292</f>
        <v>0</v>
      </c>
      <c r="U292" s="8" cm="1">
        <f t="array" ref="U292">_xll.qwYield($A$1,F292)</f>
        <v>4.7266079358983568E-2</v>
      </c>
      <c r="V292" s="8" cm="1">
        <f t="array" ref="V292">100*(_xll.qwYield($A$4,F292)-U292)</f>
        <v>1.2999858244428647E-2</v>
      </c>
      <c r="W292" s="6">
        <f>IF(ISNA(G292*INDEX(_xll.qwTblData(_xll.qwCurveScenariosPerSecurity($A$1,F292,"Crv210")),2,2)),0,(G292*INDEX(_xll.qwTblData(_xll.qwCurveScenariosPerSecurity($A$1,F292,"Crv210")),2,2)))</f>
        <v>2658.401757506635</v>
      </c>
      <c r="X292" s="6" cm="1">
        <f t="array" ref="X292">ABS(Q292/_xll.qwMV01($A$1,"CT10"))</f>
        <v>76.764619207797139</v>
      </c>
      <c r="Y292" s="6" cm="1">
        <f t="array" ref="Y292">IF(N292="BondFuture",-(_xll.qwCurveYield($A$1,_xll.qwSecVal($A$1,AA292,"CreditCurveName()"),AA292)-_xll.qwCurveYield($A$4,_xll.qwSecVal($A$4,AA292,"CreditCurveName()"),AA292))*P292*10000,IF(N292="Bond",-(_xll.qwCurveYield($A$1,_xll.qwSecVal($A$1,F292,"CreditCurveName()"),F292)-_xll.qwCurveYield($A$4,_xll.qwSecVal($A$4,F292,"CreditCurveName()"),F292))*P292*10000,O292))</f>
        <v>-76567.393591333413</v>
      </c>
      <c r="Z292" s="6" cm="1">
        <f t="array" ref="Z292">IF(OR(N292="BondFuture",N292="Bond"),P292*(_xll.qwCurveZSpread($A$4,_xll.qwSecVal($A$1,AA292,"CreditCurveName()"),AA292)-_xll.qwCurveZSpread($A$1,_xll.qwSecVal($A$1,AA292,"CreditCurveName()"),AA292)),0)</f>
        <v>0</v>
      </c>
      <c r="AA292" s="9" cm="1">
        <f t="array" ref="AA292">IF(_xll.qwSecType(F292)="Bond",F292,IF(_xll.qwSecType(F292)="BondFuture",_xll.qwFutCTD($A$1,F292),0))</f>
        <v>0</v>
      </c>
      <c r="AB292" s="6" cm="1">
        <f t="array" ref="AB292">IF(_xll.qwSecType(F292)="BondFuture",-(I292*_xll.qwDelta($A$4,F292)*_xll.qwMVFactor($A$1,F292)/_xll.qwMVFactor($A$1,_xll.qwFutCTD($A$1,F292)))*(_xll.qwFXRate($A$1,F292)*_xll.qwMVFactor($A$1,_xll.qwFutCTD($A$1,F292))*(_xll.qwIncome($A$4,_xll.qwFutCTD($A$4,F292),_xll.qwBondSettle($A$4,_xll.qwFutCTD($A$4,F292)),_xll.qwBondSettle($A$1,_xll.qwFutCTD($A$1,F292)))+(_xll.qwSecVal($A$1,AA292,"Price")-_xll.qwSecVal($A$4,AA292,"Price"))-_xll.qwBondRepoFromTo($A$1,AA292,_xll.qwBondSettle($A$4,AA292),_xll.qwBondSettle($A$1,AA292))*_xll.qwSecVal($A$1,AA292,"Price")*(_xll.qwBondSettle($A$1,AA292)-_xll.qwBondSettle($A$4,AA292))/360))+O292,0)</f>
        <v>0</v>
      </c>
      <c r="AC292" s="9" cm="1">
        <f t="array" ref="AC292">O292+T292+IF(ISNUMBER(_xll.qwIncome($A$1,F292,_xll.qwSettle($A$4,F292),_xll.qwSettle($A$1,F292))*_xll.qwMVFactor($A$1,F292)*_xll.qwFXRate($A$1,F292)*I292),_xll.qwIncome($A$1,F292,_xll.qwSettle($A$4,F292),_xll.qwSettle($A$1,F292))*_xll.qwMVFactor($A$1,F292)*_xll.qwFXRate($A$1,F292)*I292,0)+IF(ISNUMBER(-(_xll.qwBondRepoFromTo($A$1,F292,_xll.qwSettle($A$4,F292),_xll.qwSettle($A$1,F292))*_xll.qwSecVal($A$1,F292,"Price")*(_xll.qwSettle($A$1,F292)-_xll.qwSettle($A$4,F292))/360)*_xll.qwMVFactor($A$1,F292)*_xll.qwFXRate($A$1,F292)*I292),-(_xll.qwBondRepoFromTo($A$1,F292,_xll.qwSettle($A$4,F292),_xll.qwSettle($A$1,F292))*_xll.qwSecVal($A$1,F292,"Price")*(_xll.qwSettle($A$1,F292)-_xll.qwSettle($A$4,F292))/360)*_xll.qwMVFactor($A$1,F292)*_xll.qwFXRate($A$1,F292)*I292,0)</f>
        <v>-76567.393591333413</v>
      </c>
      <c r="AD292" s="6"/>
    </row>
    <row r="293" spans="2:30" s="19" customFormat="1" x14ac:dyDescent="0.35">
      <c r="B293" s="19" t="str">
        <v>jcleary</v>
      </c>
      <c r="C293" s="19" t="str">
        <v>PPA</v>
      </c>
      <c r="D293" s="19" t="str">
        <v>jcleary|PPA|RV_US_TY_Spread|240101479</v>
      </c>
      <c r="E293" s="19" t="str">
        <v>RV_US_TY_Spread</v>
      </c>
      <c r="F293" s="19" t="str">
        <v>240101479</v>
      </c>
      <c r="G293" s="19">
        <v>74</v>
      </c>
      <c r="H293" s="19">
        <v>0</v>
      </c>
      <c r="I293" s="19">
        <v>74</v>
      </c>
      <c r="J293" s="19">
        <v>0</v>
      </c>
      <c r="K293" s="19">
        <v>0</v>
      </c>
      <c r="L293" s="19">
        <v>0</v>
      </c>
      <c r="M293" s="19">
        <v>0</v>
      </c>
      <c r="N293" s="19" t="str">
        <v>SwapTrade</v>
      </c>
      <c r="O293" s="6" cm="1">
        <f t="array" ref="O293">(_xll.qwPrice($A$1,F293)-_xll.qwPrice($A$4,F293))*_xll.qwMVFactor($A$1,F293)*I293*_xll.qwFXRate($A$1,F293)</f>
        <v>-53002.434455436123</v>
      </c>
      <c r="P293" s="6" cm="1">
        <f t="array" ref="P293">IF(ISNUMBER(_xll.qwDV01($A$1,F293)*I293*_xll.qwMVFactor($A$1,F293)*_xll.qwFXRate($A$1,F293)),_xll.qwDV01($A$1,F293)*I293*_xll.qwMVFactor($A$1,F293)*_xll.qwFXRate($A$1,F293),0)</f>
        <v>-39089.309095418968</v>
      </c>
      <c r="Q293" s="6" cm="1">
        <f t="array" ref="Q293">IF(ISNUMBER(_xll.qwDV01($A$1,F293)*G293*_xll.qwMVFactor($A$1,F293)*_xll.qwFXRate($A$1,F293)),_xll.qwDV01($A$1,F293)*G293*_xll.qwMVFactor($A$1,F293)*_xll.qwFXRate($A$1,F293),0)</f>
        <v>-39089.309095418968</v>
      </c>
      <c r="R293" s="6" cm="1">
        <f t="array" ref="R293">IF(ISNUMBER(_xll.qwDV01($A$1,F293)*J293*_xll.qwMVFactor($A$1,F293)*_xll.qwFXRate($A$1,F293)),_xll.qwDV01($A$1,F293)*J293*_xll.qwMVFactor($A$1,F293)*_xll.qwFXRate($A$1,F293),0)</f>
        <v>0</v>
      </c>
      <c r="S293" s="6" cm="1">
        <f t="array" ref="S293">IF(ISNUMBER(_xll.qwDV01($A$1,F293)*J293*_xll.qwMVFactor($A$1,F293)*_xll.qwFXRate($A$1,F293)),_xll.qwDV01($A$1,F293)*J293*_xll.qwMVFactor($A$1,F293)*_xll.qwFXRate($A$1,F293),0)</f>
        <v>0</v>
      </c>
      <c r="T293" s="6" cm="1">
        <f t="array" ref="T293">_xll.qwFXRate($A$1,F293)*J293*(_xll.qwPrice($A$1,F293)-M293)*_xll.qwMVFactor($A$1,F293)+L293</f>
        <v>0</v>
      </c>
      <c r="U293" s="8" cm="1">
        <f t="array" ref="U293">_xll.qwYield($A$1,F293)</f>
        <v>4.7273302273789487E-2</v>
      </c>
      <c r="V293" s="8" cm="1">
        <f t="array" ref="V293">100*(_xll.qwYield($A$4,F293)-U293)</f>
        <v>1.3163714084580419E-2</v>
      </c>
      <c r="W293" s="6">
        <f>IF(ISNA(G293*INDEX(_xll.qwTblData(_xll.qwCurveScenariosPerSecurity($A$1,F293,"Crv210")),2,2)),0,(G293*INDEX(_xll.qwTblData(_xll.qwCurveScenariosPerSecurity($A$1,F293,"Crv210")),2,2)))</f>
        <v>2171.7668993279558</v>
      </c>
      <c r="X293" s="6" cm="1">
        <f t="array" ref="X293">ABS(Q293/_xll.qwMV01($A$1,"CT10"))</f>
        <v>52.62167763643837</v>
      </c>
      <c r="Y293" s="6" cm="1">
        <f t="array" ref="Y293">IF(N293="BondFuture",-(_xll.qwCurveYield($A$1,_xll.qwSecVal($A$1,AA293,"CreditCurveName()"),AA293)-_xll.qwCurveYield($A$4,_xll.qwSecVal($A$4,AA293,"CreditCurveName()"),AA293))*P293*10000,IF(N293="Bond",-(_xll.qwCurveYield($A$1,_xll.qwSecVal($A$1,F293,"CreditCurveName()"),F293)-_xll.qwCurveYield($A$4,_xll.qwSecVal($A$4,F293,"CreditCurveName()"),F293))*P293*10000,O293))</f>
        <v>-53002.434455436123</v>
      </c>
      <c r="Z293" s="6" cm="1">
        <f t="array" ref="Z293">IF(OR(N293="BondFuture",N293="Bond"),P293*(_xll.qwCurveZSpread($A$4,_xll.qwSecVal($A$1,AA293,"CreditCurveName()"),AA293)-_xll.qwCurveZSpread($A$1,_xll.qwSecVal($A$1,AA293,"CreditCurveName()"),AA293)),0)</f>
        <v>0</v>
      </c>
      <c r="AA293" s="9" cm="1">
        <f t="array" ref="AA293">IF(_xll.qwSecType(F293)="Bond",F293,IF(_xll.qwSecType(F293)="BondFuture",_xll.qwFutCTD($A$1,F293),0))</f>
        <v>0</v>
      </c>
      <c r="AB293" s="6" cm="1">
        <f t="array" ref="AB293">IF(_xll.qwSecType(F293)="BondFuture",-(I293*_xll.qwDelta($A$4,F293)*_xll.qwMVFactor($A$1,F293)/_xll.qwMVFactor($A$1,_xll.qwFutCTD($A$1,F293)))*(_xll.qwFXRate($A$1,F293)*_xll.qwMVFactor($A$1,_xll.qwFutCTD($A$1,F293))*(_xll.qwIncome($A$4,_xll.qwFutCTD($A$4,F293),_xll.qwBondSettle($A$4,_xll.qwFutCTD($A$4,F293)),_xll.qwBondSettle($A$1,_xll.qwFutCTD($A$1,F293)))+(_xll.qwSecVal($A$1,AA293,"Price")-_xll.qwSecVal($A$4,AA293,"Price"))-_xll.qwBondRepoFromTo($A$1,AA293,_xll.qwBondSettle($A$4,AA293),_xll.qwBondSettle($A$1,AA293))*_xll.qwSecVal($A$1,AA293,"Price")*(_xll.qwBondSettle($A$1,AA293)-_xll.qwBondSettle($A$4,AA293))/360))+O293,0)</f>
        <v>0</v>
      </c>
      <c r="AC293" s="9" cm="1">
        <f t="array" ref="AC293">O293+T293+IF(ISNUMBER(_xll.qwIncome($A$1,F293,_xll.qwSettle($A$4,F293),_xll.qwSettle($A$1,F293))*_xll.qwMVFactor($A$1,F293)*_xll.qwFXRate($A$1,F293)*I293),_xll.qwIncome($A$1,F293,_xll.qwSettle($A$4,F293),_xll.qwSettle($A$1,F293))*_xll.qwMVFactor($A$1,F293)*_xll.qwFXRate($A$1,F293)*I293,0)+IF(ISNUMBER(-(_xll.qwBondRepoFromTo($A$1,F293,_xll.qwSettle($A$4,F293),_xll.qwSettle($A$1,F293))*_xll.qwSecVal($A$1,F293,"Price")*(_xll.qwSettle($A$1,F293)-_xll.qwSettle($A$4,F293))/360)*_xll.qwMVFactor($A$1,F293)*_xll.qwFXRate($A$1,F293)*I293),-(_xll.qwBondRepoFromTo($A$1,F293,_xll.qwSettle($A$4,F293),_xll.qwSettle($A$1,F293))*_xll.qwSecVal($A$1,F293,"Price")*(_xll.qwSettle($A$1,F293)-_xll.qwSettle($A$4,F293))/360)*_xll.qwMVFactor($A$1,F293)*_xll.qwFXRate($A$1,F293)*I293,0)</f>
        <v>-53002.434455436123</v>
      </c>
      <c r="AD293" s="6"/>
    </row>
    <row r="294" spans="2:30" s="19" customFormat="1" x14ac:dyDescent="0.35">
      <c r="B294" s="19" t="str">
        <v>jcleary</v>
      </c>
      <c r="C294" s="19" t="str">
        <v>PPA</v>
      </c>
      <c r="D294" s="19" t="str">
        <v>jcleary|PPA|RV_US_TY_Spread|240189575</v>
      </c>
      <c r="E294" s="19" t="str">
        <v>RV_US_TY_Spread</v>
      </c>
      <c r="F294" s="19" t="str">
        <v>240189575</v>
      </c>
      <c r="G294" s="19">
        <v>84</v>
      </c>
      <c r="H294" s="19">
        <v>0</v>
      </c>
      <c r="I294" s="19">
        <v>84</v>
      </c>
      <c r="J294" s="19">
        <v>0</v>
      </c>
      <c r="K294" s="19">
        <v>0</v>
      </c>
      <c r="L294" s="19">
        <v>0</v>
      </c>
      <c r="M294" s="19">
        <v>0</v>
      </c>
      <c r="N294" s="19" t="str">
        <v>SwapTrade</v>
      </c>
      <c r="O294" s="6" cm="1">
        <f t="array" ref="O294">(_xll.qwPrice($A$1,F294)-_xll.qwPrice($A$4,F294))*_xll.qwMVFactor($A$1,F294)*I294*_xll.qwFXRate($A$1,F294)</f>
        <v>-56073.967573762857</v>
      </c>
      <c r="P294" s="6" cm="1">
        <f t="array" ref="P294">IF(ISNUMBER(_xll.qwDV01($A$1,F294)*I294*_xll.qwMVFactor($A$1,F294)*_xll.qwFXRate($A$1,F294)),_xll.qwDV01($A$1,F294)*I294*_xll.qwMVFactor($A$1,F294)*_xll.qwFXRate($A$1,F294),0)</f>
        <v>-42884.060817259997</v>
      </c>
      <c r="Q294" s="6" cm="1">
        <f t="array" ref="Q294">IF(ISNUMBER(_xll.qwDV01($A$1,F294)*G294*_xll.qwMVFactor($A$1,F294)*_xll.qwFXRate($A$1,F294)),_xll.qwDV01($A$1,F294)*G294*_xll.qwMVFactor($A$1,F294)*_xll.qwFXRate($A$1,F294),0)</f>
        <v>-42884.060817259997</v>
      </c>
      <c r="R294" s="6" cm="1">
        <f t="array" ref="R294">IF(ISNUMBER(_xll.qwDV01($A$1,F294)*J294*_xll.qwMVFactor($A$1,F294)*_xll.qwFXRate($A$1,F294)),_xll.qwDV01($A$1,F294)*J294*_xll.qwMVFactor($A$1,F294)*_xll.qwFXRate($A$1,F294),0)</f>
        <v>0</v>
      </c>
      <c r="S294" s="6" cm="1">
        <f t="array" ref="S294">IF(ISNUMBER(_xll.qwDV01($A$1,F294)*J294*_xll.qwMVFactor($A$1,F294)*_xll.qwFXRate($A$1,F294)),_xll.qwDV01($A$1,F294)*J294*_xll.qwMVFactor($A$1,F294)*_xll.qwFXRate($A$1,F294),0)</f>
        <v>0</v>
      </c>
      <c r="T294" s="6" cm="1">
        <f t="array" ref="T294">_xll.qwFXRate($A$1,F294)*J294*(_xll.qwPrice($A$1,F294)-M294)*_xll.qwMVFactor($A$1,F294)+L294</f>
        <v>0</v>
      </c>
      <c r="U294" s="8" cm="1">
        <f t="array" ref="U294">_xll.qwYield($A$1,F294)</f>
        <v>4.7258083145303525E-2</v>
      </c>
      <c r="V294" s="8" cm="1">
        <f t="array" ref="V294">100*(_xll.qwYield($A$4,F294)-U294)</f>
        <v>1.2601246262979038E-2</v>
      </c>
      <c r="W294" s="6">
        <f>IF(ISNA(G294*INDEX(_xll.qwTblData(_xll.qwCurveScenariosPerSecurity($A$1,F294,"Crv210")),2,2)),0,(G294*INDEX(_xll.qwTblData(_xll.qwCurveScenariosPerSecurity($A$1,F294,"Crv210")),2,2)))</f>
        <v>1043.3681677498184</v>
      </c>
      <c r="X294" s="6" cm="1">
        <f t="array" ref="X294">ABS(Q294/_xll.qwMV01($A$1,"CT10"))</f>
        <v>57.730138400725451</v>
      </c>
      <c r="Y294" s="6" cm="1">
        <f t="array" ref="Y294">IF(N294="BondFuture",-(_xll.qwCurveYield($A$1,_xll.qwSecVal($A$1,AA294,"CreditCurveName()"),AA294)-_xll.qwCurveYield($A$4,_xll.qwSecVal($A$4,AA294,"CreditCurveName()"),AA294))*P294*10000,IF(N294="Bond",-(_xll.qwCurveYield($A$1,_xll.qwSecVal($A$1,F294,"CreditCurveName()"),F294)-_xll.qwCurveYield($A$4,_xll.qwSecVal($A$4,F294,"CreditCurveName()"),F294))*P294*10000,O294))</f>
        <v>-56073.967573762857</v>
      </c>
      <c r="Z294" s="6" cm="1">
        <f t="array" ref="Z294">IF(OR(N294="BondFuture",N294="Bond"),P294*(_xll.qwCurveZSpread($A$4,_xll.qwSecVal($A$1,AA294,"CreditCurveName()"),AA294)-_xll.qwCurveZSpread($A$1,_xll.qwSecVal($A$1,AA294,"CreditCurveName()"),AA294)),0)</f>
        <v>0</v>
      </c>
      <c r="AA294" s="9" cm="1">
        <f t="array" ref="AA294">IF(_xll.qwSecType(F294)="Bond",F294,IF(_xll.qwSecType(F294)="BondFuture",_xll.qwFutCTD($A$1,F294),0))</f>
        <v>0</v>
      </c>
      <c r="AB294" s="6" cm="1">
        <f t="array" ref="AB294">IF(_xll.qwSecType(F294)="BondFuture",-(I294*_xll.qwDelta($A$4,F294)*_xll.qwMVFactor($A$1,F294)/_xll.qwMVFactor($A$1,_xll.qwFutCTD($A$1,F294)))*(_xll.qwFXRate($A$1,F294)*_xll.qwMVFactor($A$1,_xll.qwFutCTD($A$1,F294))*(_xll.qwIncome($A$4,_xll.qwFutCTD($A$4,F294),_xll.qwBondSettle($A$4,_xll.qwFutCTD($A$4,F294)),_xll.qwBondSettle($A$1,_xll.qwFutCTD($A$1,F294)))+(_xll.qwSecVal($A$1,AA294,"Price")-_xll.qwSecVal($A$4,AA294,"Price"))-_xll.qwBondRepoFromTo($A$1,AA294,_xll.qwBondSettle($A$4,AA294),_xll.qwBondSettle($A$1,AA294))*_xll.qwSecVal($A$1,AA294,"Price")*(_xll.qwBondSettle($A$1,AA294)-_xll.qwBondSettle($A$4,AA294))/360))+O294,0)</f>
        <v>0</v>
      </c>
      <c r="AC294" s="9" cm="1">
        <f t="array" ref="AC294">O294+T294+IF(ISNUMBER(_xll.qwIncome($A$1,F294,_xll.qwSettle($A$4,F294),_xll.qwSettle($A$1,F294))*_xll.qwMVFactor($A$1,F294)*_xll.qwFXRate($A$1,F294)*I294),_xll.qwIncome($A$1,F294,_xll.qwSettle($A$4,F294),_xll.qwSettle($A$1,F294))*_xll.qwMVFactor($A$1,F294)*_xll.qwFXRate($A$1,F294)*I294,0)+IF(ISNUMBER(-(_xll.qwBondRepoFromTo($A$1,F294,_xll.qwSettle($A$4,F294),_xll.qwSettle($A$1,F294))*_xll.qwSecVal($A$1,F294,"Price")*(_xll.qwSettle($A$1,F294)-_xll.qwSettle($A$4,F294))/360)*_xll.qwMVFactor($A$1,F294)*_xll.qwFXRate($A$1,F294)*I294),-(_xll.qwBondRepoFromTo($A$1,F294,_xll.qwSettle($A$4,F294),_xll.qwSettle($A$1,F294))*_xll.qwSecVal($A$1,F294,"Price")*(_xll.qwSettle($A$1,F294)-_xll.qwSettle($A$4,F294))/360)*_xll.qwMVFactor($A$1,F294)*_xll.qwFXRate($A$1,F294)*I294,0)</f>
        <v>-56073.967573762857</v>
      </c>
      <c r="AD294" s="6"/>
    </row>
    <row r="295" spans="2:30" s="19" customFormat="1" x14ac:dyDescent="0.35">
      <c r="B295" s="19" t="str">
        <v>jcleary</v>
      </c>
      <c r="C295" s="19" t="str">
        <v>PPA</v>
      </c>
      <c r="D295" s="19" t="str">
        <v>jcleary|PPA|RV_US_TY_Spread|242040051</v>
      </c>
      <c r="E295" s="19" t="str">
        <v>RV_US_TY_Spread</v>
      </c>
      <c r="F295" s="19" t="str">
        <v>242040051</v>
      </c>
      <c r="G295" s="19">
        <v>93</v>
      </c>
      <c r="H295" s="19">
        <v>0</v>
      </c>
      <c r="I295" s="19">
        <v>93</v>
      </c>
      <c r="J295" s="19">
        <v>0</v>
      </c>
      <c r="K295" s="19">
        <v>0</v>
      </c>
      <c r="L295" s="19">
        <v>0</v>
      </c>
      <c r="M295" s="19">
        <v>0</v>
      </c>
      <c r="N295" s="19" t="str">
        <v>SwapTrade</v>
      </c>
      <c r="O295" s="6" cm="1">
        <f t="array" ref="O295">(_xll.qwPrice($A$1,F295)-_xll.qwPrice($A$4,F295))*_xll.qwMVFactor($A$1,F295)*I295*_xll.qwFXRate($A$1,F295)</f>
        <v>65306.296112480763</v>
      </c>
      <c r="P295" s="6" cm="1">
        <f t="array" ref="P295">IF(ISNUMBER(_xll.qwDV01($A$1,F295)*I295*_xll.qwMVFactor($A$1,F295)*_xll.qwFXRate($A$1,F295)),_xll.qwDV01($A$1,F295)*I295*_xll.qwMVFactor($A$1,F295)*_xll.qwFXRate($A$1,F295),0)</f>
        <v>48584.107138466163</v>
      </c>
      <c r="Q295" s="6" cm="1">
        <f t="array" ref="Q295">IF(ISNUMBER(_xll.qwDV01($A$1,F295)*G295*_xll.qwMVFactor($A$1,F295)*_xll.qwFXRate($A$1,F295)),_xll.qwDV01($A$1,F295)*G295*_xll.qwMVFactor($A$1,F295)*_xll.qwFXRate($A$1,F295),0)</f>
        <v>48584.107138466163</v>
      </c>
      <c r="R295" s="6" cm="1">
        <f t="array" ref="R295">IF(ISNUMBER(_xll.qwDV01($A$1,F295)*J295*_xll.qwMVFactor($A$1,F295)*_xll.qwFXRate($A$1,F295)),_xll.qwDV01($A$1,F295)*J295*_xll.qwMVFactor($A$1,F295)*_xll.qwFXRate($A$1,F295),0)</f>
        <v>0</v>
      </c>
      <c r="S295" s="6" cm="1">
        <f t="array" ref="S295">IF(ISNUMBER(_xll.qwDV01($A$1,F295)*J295*_xll.qwMVFactor($A$1,F295)*_xll.qwFXRate($A$1,F295)),_xll.qwDV01($A$1,F295)*J295*_xll.qwMVFactor($A$1,F295)*_xll.qwFXRate($A$1,F295),0)</f>
        <v>0</v>
      </c>
      <c r="T295" s="6" cm="1">
        <f t="array" ref="T295">_xll.qwFXRate($A$1,F295)*J295*(_xll.qwPrice($A$1,F295)-M295)*_xll.qwMVFactor($A$1,F295)+L295</f>
        <v>0</v>
      </c>
      <c r="U295" s="8" cm="1">
        <f t="array" ref="U295">_xll.qwYield($A$1,F295)</f>
        <v>4.7266079358983568E-2</v>
      </c>
      <c r="V295" s="8" cm="1">
        <f t="array" ref="V295">100*(_xll.qwYield($A$4,F295)-U295)</f>
        <v>1.2999858244428647E-2</v>
      </c>
      <c r="W295" s="6">
        <f>IF(ISNA(G295*INDEX(_xll.qwTblData(_xll.qwCurveScenariosPerSecurity($A$1,F295,"Crv210")),2,2)),0,(G295*INDEX(_xll.qwTblData(_xll.qwCurveScenariosPerSecurity($A$1,F295,"Crv210")),2,2)))</f>
        <v>-2255.2651191065197</v>
      </c>
      <c r="X295" s="6" cm="1">
        <f t="array" ref="X295">ABS(Q295/_xll.qwMV01($A$1,"CT10"))</f>
        <v>65.403489681892736</v>
      </c>
      <c r="Y295" s="6" cm="1">
        <f t="array" ref="Y295">IF(N295="BondFuture",-(_xll.qwCurveYield($A$1,_xll.qwSecVal($A$1,AA295,"CreditCurveName()"),AA295)-_xll.qwCurveYield($A$4,_xll.qwSecVal($A$4,AA295,"CreditCurveName()"),AA295))*P295*10000,IF(N295="Bond",-(_xll.qwCurveYield($A$1,_xll.qwSecVal($A$1,F295,"CreditCurveName()"),F295)-_xll.qwCurveYield($A$4,_xll.qwSecVal($A$4,F295,"CreditCurveName()"),F295))*P295*10000,O295))</f>
        <v>65306.296112480763</v>
      </c>
      <c r="Z295" s="6" cm="1">
        <f t="array" ref="Z295">IF(OR(N295="BondFuture",N295="Bond"),P295*(_xll.qwCurveZSpread($A$4,_xll.qwSecVal($A$1,AA295,"CreditCurveName()"),AA295)-_xll.qwCurveZSpread($A$1,_xll.qwSecVal($A$1,AA295,"CreditCurveName()"),AA295)),0)</f>
        <v>0</v>
      </c>
      <c r="AA295" s="9" cm="1">
        <f t="array" ref="AA295">IF(_xll.qwSecType(F295)="Bond",F295,IF(_xll.qwSecType(F295)="BondFuture",_xll.qwFutCTD($A$1,F295),0))</f>
        <v>0</v>
      </c>
      <c r="AB295" s="6" cm="1">
        <f t="array" ref="AB295">IF(_xll.qwSecType(F295)="BondFuture",-(I295*_xll.qwDelta($A$4,F295)*_xll.qwMVFactor($A$1,F295)/_xll.qwMVFactor($A$1,_xll.qwFutCTD($A$1,F295)))*(_xll.qwFXRate($A$1,F295)*_xll.qwMVFactor($A$1,_xll.qwFutCTD($A$1,F295))*(_xll.qwIncome($A$4,_xll.qwFutCTD($A$4,F295),_xll.qwBondSettle($A$4,_xll.qwFutCTD($A$4,F295)),_xll.qwBondSettle($A$1,_xll.qwFutCTD($A$1,F295)))+(_xll.qwSecVal($A$1,AA295,"Price")-_xll.qwSecVal($A$4,AA295,"Price"))-_xll.qwBondRepoFromTo($A$1,AA295,_xll.qwBondSettle($A$4,AA295),_xll.qwBondSettle($A$1,AA295))*_xll.qwSecVal($A$1,AA295,"Price")*(_xll.qwBondSettle($A$1,AA295)-_xll.qwBondSettle($A$4,AA295))/360))+O295,0)</f>
        <v>0</v>
      </c>
      <c r="AC295" s="9" cm="1">
        <f t="array" ref="AC295">O295+T295+IF(ISNUMBER(_xll.qwIncome($A$1,F295,_xll.qwSettle($A$4,F295),_xll.qwSettle($A$1,F295))*_xll.qwMVFactor($A$1,F295)*_xll.qwFXRate($A$1,F295)*I295),_xll.qwIncome($A$1,F295,_xll.qwSettle($A$4,F295),_xll.qwSettle($A$1,F295))*_xll.qwMVFactor($A$1,F295)*_xll.qwFXRate($A$1,F295)*I295,0)+IF(ISNUMBER(-(_xll.qwBondRepoFromTo($A$1,F295,_xll.qwSettle($A$4,F295),_xll.qwSettle($A$1,F295))*_xll.qwSecVal($A$1,F295,"Price")*(_xll.qwSettle($A$1,F295)-_xll.qwSettle($A$4,F295))/360)*_xll.qwMVFactor($A$1,F295)*_xll.qwFXRate($A$1,F295)*I295),-(_xll.qwBondRepoFromTo($A$1,F295,_xll.qwSettle($A$4,F295),_xll.qwSettle($A$1,F295))*_xll.qwSecVal($A$1,F295,"Price")*(_xll.qwSettle($A$1,F295)-_xll.qwSettle($A$4,F295))/360)*_xll.qwMVFactor($A$1,F295)*_xll.qwFXRate($A$1,F295)*I295,0)</f>
        <v>65306.296112480763</v>
      </c>
      <c r="AD295" s="6"/>
    </row>
    <row r="296" spans="2:30" s="19" customFormat="1" x14ac:dyDescent="0.35">
      <c r="B296" s="19" t="str">
        <v>jcleary</v>
      </c>
      <c r="C296" s="19" t="str">
        <v>PPA</v>
      </c>
      <c r="D296" s="19" t="str">
        <v>jcleary|PPA|RV_US_TY_Spread|243759093</v>
      </c>
      <c r="E296" s="19" t="str">
        <v>RV_US_TY_Spread</v>
      </c>
      <c r="F296" s="19" t="str">
        <v>243759093</v>
      </c>
      <c r="G296" s="19">
        <v>59</v>
      </c>
      <c r="H296" s="19">
        <v>0</v>
      </c>
      <c r="I296" s="19">
        <v>59</v>
      </c>
      <c r="J296" s="19">
        <v>0</v>
      </c>
      <c r="K296" s="19">
        <v>0</v>
      </c>
      <c r="L296" s="19">
        <v>0</v>
      </c>
      <c r="M296" s="19">
        <v>0</v>
      </c>
      <c r="N296" s="19" t="str">
        <v>SwapTrade</v>
      </c>
      <c r="O296" s="6" cm="1">
        <f t="array" ref="O296">(_xll.qwPrice($A$1,F296)-_xll.qwPrice($A$4,F296))*_xll.qwMVFactor($A$1,F296)*I296*_xll.qwFXRate($A$1,F296)</f>
        <v>-44548.361621235483</v>
      </c>
      <c r="P296" s="6" cm="1">
        <f t="array" ref="P296">IF(ISNUMBER(_xll.qwDV01($A$1,F296)*I296*_xll.qwMVFactor($A$1,F296)*_xll.qwFXRate($A$1,F296)),_xll.qwDV01($A$1,F296)*I296*_xll.qwMVFactor($A$1,F296)*_xll.qwFXRate($A$1,F296),0)</f>
        <v>-32142.62232166608</v>
      </c>
      <c r="Q296" s="6" cm="1">
        <f t="array" ref="Q296">IF(ISNUMBER(_xll.qwDV01($A$1,F296)*G296*_xll.qwMVFactor($A$1,F296)*_xll.qwFXRate($A$1,F296)),_xll.qwDV01($A$1,F296)*G296*_xll.qwMVFactor($A$1,F296)*_xll.qwFXRate($A$1,F296),0)</f>
        <v>-32142.62232166608</v>
      </c>
      <c r="R296" s="6" cm="1">
        <f t="array" ref="R296">IF(ISNUMBER(_xll.qwDV01($A$1,F296)*J296*_xll.qwMVFactor($A$1,F296)*_xll.qwFXRate($A$1,F296)),_xll.qwDV01($A$1,F296)*J296*_xll.qwMVFactor($A$1,F296)*_xll.qwFXRate($A$1,F296),0)</f>
        <v>0</v>
      </c>
      <c r="S296" s="6" cm="1">
        <f t="array" ref="S296">IF(ISNUMBER(_xll.qwDV01($A$1,F296)*J296*_xll.qwMVFactor($A$1,F296)*_xll.qwFXRate($A$1,F296)),_xll.qwDV01($A$1,F296)*J296*_xll.qwMVFactor($A$1,F296)*_xll.qwFXRate($A$1,F296),0)</f>
        <v>0</v>
      </c>
      <c r="T296" s="6" cm="1">
        <f t="array" ref="T296">_xll.qwFXRate($A$1,F296)*J296*(_xll.qwPrice($A$1,F296)-M296)*_xll.qwMVFactor($A$1,F296)+L296</f>
        <v>0</v>
      </c>
      <c r="U296" s="8" cm="1">
        <f t="array" ref="U296">_xll.qwYield($A$1,F296)</f>
        <v>4.729840377612602E-2</v>
      </c>
      <c r="V296" s="8" cm="1">
        <f t="array" ref="V296">100*(_xll.qwYield($A$4,F296)-U296)</f>
        <v>1.3514691007774499E-2</v>
      </c>
      <c r="W296" s="6">
        <f>IF(ISNA(G296*INDEX(_xll.qwTblData(_xll.qwCurveScenariosPerSecurity($A$1,F296,"Crv210")),2,2)),0,(G296*INDEX(_xll.qwTblData(_xll.qwCurveScenariosPerSecurity($A$1,F296,"Crv210")),2,2)))</f>
        <v>2406.3857674651244</v>
      </c>
      <c r="X296" s="6" cm="1">
        <f t="array" ref="X296">ABS(Q296/_xll.qwMV01($A$1,"CT10"))</f>
        <v>43.270110148831527</v>
      </c>
      <c r="Y296" s="6" cm="1">
        <f t="array" ref="Y296">IF(N296="BondFuture",-(_xll.qwCurveYield($A$1,_xll.qwSecVal($A$1,AA296,"CreditCurveName()"),AA296)-_xll.qwCurveYield($A$4,_xll.qwSecVal($A$4,AA296,"CreditCurveName()"),AA296))*P296*10000,IF(N296="Bond",-(_xll.qwCurveYield($A$1,_xll.qwSecVal($A$1,F296,"CreditCurveName()"),F296)-_xll.qwCurveYield($A$4,_xll.qwSecVal($A$4,F296,"CreditCurveName()"),F296))*P296*10000,O296))</f>
        <v>-44548.361621235483</v>
      </c>
      <c r="Z296" s="6" cm="1">
        <f t="array" ref="Z296">IF(OR(N296="BondFuture",N296="Bond"),P296*(_xll.qwCurveZSpread($A$4,_xll.qwSecVal($A$1,AA296,"CreditCurveName()"),AA296)-_xll.qwCurveZSpread($A$1,_xll.qwSecVal($A$1,AA296,"CreditCurveName()"),AA296)),0)</f>
        <v>0</v>
      </c>
      <c r="AA296" s="9" cm="1">
        <f t="array" ref="AA296">IF(_xll.qwSecType(F296)="Bond",F296,IF(_xll.qwSecType(F296)="BondFuture",_xll.qwFutCTD($A$1,F296),0))</f>
        <v>0</v>
      </c>
      <c r="AB296" s="6" cm="1">
        <f t="array" ref="AB296">IF(_xll.qwSecType(F296)="BondFuture",-(I296*_xll.qwDelta($A$4,F296)*_xll.qwMVFactor($A$1,F296)/_xll.qwMVFactor($A$1,_xll.qwFutCTD($A$1,F296)))*(_xll.qwFXRate($A$1,F296)*_xll.qwMVFactor($A$1,_xll.qwFutCTD($A$1,F296))*(_xll.qwIncome($A$4,_xll.qwFutCTD($A$4,F296),_xll.qwBondSettle($A$4,_xll.qwFutCTD($A$4,F296)),_xll.qwBondSettle($A$1,_xll.qwFutCTD($A$1,F296)))+(_xll.qwSecVal($A$1,AA296,"Price")-_xll.qwSecVal($A$4,AA296,"Price"))-_xll.qwBondRepoFromTo($A$1,AA296,_xll.qwBondSettle($A$4,AA296),_xll.qwBondSettle($A$1,AA296))*_xll.qwSecVal($A$1,AA296,"Price")*(_xll.qwBondSettle($A$1,AA296)-_xll.qwBondSettle($A$4,AA296))/360))+O296,0)</f>
        <v>0</v>
      </c>
      <c r="AC296" s="9" cm="1">
        <f t="array" ref="AC296">O296+T296+IF(ISNUMBER(_xll.qwIncome($A$1,F296,_xll.qwSettle($A$4,F296),_xll.qwSettle($A$1,F296))*_xll.qwMVFactor($A$1,F296)*_xll.qwFXRate($A$1,F296)*I296),_xll.qwIncome($A$1,F296,_xll.qwSettle($A$4,F296),_xll.qwSettle($A$1,F296))*_xll.qwMVFactor($A$1,F296)*_xll.qwFXRate($A$1,F296)*I296,0)+IF(ISNUMBER(-(_xll.qwBondRepoFromTo($A$1,F296,_xll.qwSettle($A$4,F296),_xll.qwSettle($A$1,F296))*_xll.qwSecVal($A$1,F296,"Price")*(_xll.qwSettle($A$1,F296)-_xll.qwSettle($A$4,F296))/360)*_xll.qwMVFactor($A$1,F296)*_xll.qwFXRate($A$1,F296)*I296),-(_xll.qwBondRepoFromTo($A$1,F296,_xll.qwSettle($A$4,F296),_xll.qwSettle($A$1,F296))*_xll.qwSecVal($A$1,F296,"Price")*(_xll.qwSettle($A$1,F296)-_xll.qwSettle($A$4,F296))/360)*_xll.qwMVFactor($A$1,F296)*_xll.qwFXRate($A$1,F296)*I296,0)</f>
        <v>-44548.361621235483</v>
      </c>
      <c r="AD296" s="6"/>
    </row>
    <row r="297" spans="2:30" s="19" customFormat="1" x14ac:dyDescent="0.35">
      <c r="B297" s="19" t="str">
        <v>jcleary</v>
      </c>
      <c r="C297" s="19" t="str">
        <v>PPA</v>
      </c>
      <c r="D297" s="19" t="str">
        <v>jcleary|PPA|RV_US_TY_Spread|244130620</v>
      </c>
      <c r="E297" s="19" t="str">
        <v>RV_US_TY_Spread</v>
      </c>
      <c r="F297" s="19" t="str">
        <v>244130620</v>
      </c>
      <c r="G297" s="19">
        <v>66.7</v>
      </c>
      <c r="H297" s="19">
        <v>0</v>
      </c>
      <c r="I297" s="19">
        <v>66.7</v>
      </c>
      <c r="J297" s="19">
        <v>0</v>
      </c>
      <c r="K297" s="19">
        <v>0</v>
      </c>
      <c r="L297" s="19">
        <v>0</v>
      </c>
      <c r="M297" s="19">
        <v>0</v>
      </c>
      <c r="N297" s="19" t="str">
        <v>SwapTrade</v>
      </c>
      <c r="O297" s="6" cm="1">
        <f t="array" ref="O297">(_xll.qwPrice($A$1,F297)-_xll.qwPrice($A$4,F297))*_xll.qwMVFactor($A$1,F297)*I297*_xll.qwFXRate($A$1,F297)</f>
        <v>-50522.076412213275</v>
      </c>
      <c r="P297" s="6" cm="1">
        <f t="array" ref="P297">IF(ISNUMBER(_xll.qwDV01($A$1,F297)*I297*_xll.qwMVFactor($A$1,F297)*_xll.qwFXRate($A$1,F297)),_xll.qwDV01($A$1,F297)*I297*_xll.qwMVFactor($A$1,F297)*_xll.qwFXRate($A$1,F297),0)</f>
        <v>-36477.206032841445</v>
      </c>
      <c r="Q297" s="6" cm="1">
        <f t="array" ref="Q297">IF(ISNUMBER(_xll.qwDV01($A$1,F297)*G297*_xll.qwMVFactor($A$1,F297)*_xll.qwFXRate($A$1,F297)),_xll.qwDV01($A$1,F297)*G297*_xll.qwMVFactor($A$1,F297)*_xll.qwFXRate($A$1,F297),0)</f>
        <v>-36477.206032841445</v>
      </c>
      <c r="R297" s="6" cm="1">
        <f t="array" ref="R297">IF(ISNUMBER(_xll.qwDV01($A$1,F297)*J297*_xll.qwMVFactor($A$1,F297)*_xll.qwFXRate($A$1,F297)),_xll.qwDV01($A$1,F297)*J297*_xll.qwMVFactor($A$1,F297)*_xll.qwFXRate($A$1,F297),0)</f>
        <v>0</v>
      </c>
      <c r="S297" s="6" cm="1">
        <f t="array" ref="S297">IF(ISNUMBER(_xll.qwDV01($A$1,F297)*J297*_xll.qwMVFactor($A$1,F297)*_xll.qwFXRate($A$1,F297)),_xll.qwDV01($A$1,F297)*J297*_xll.qwMVFactor($A$1,F297)*_xll.qwFXRate($A$1,F297),0)</f>
        <v>0</v>
      </c>
      <c r="T297" s="6" cm="1">
        <f t="array" ref="T297">_xll.qwFXRate($A$1,F297)*J297*(_xll.qwPrice($A$1,F297)-M297)*_xll.qwMVFactor($A$1,F297)+L297</f>
        <v>0</v>
      </c>
      <c r="U297" s="8" cm="1">
        <f t="array" ref="U297">_xll.qwYield($A$1,F297)</f>
        <v>4.729840377612602E-2</v>
      </c>
      <c r="V297" s="8" cm="1">
        <f t="array" ref="V297">100*(_xll.qwYield($A$4,F297)-U297)</f>
        <v>1.3514691007774499E-2</v>
      </c>
      <c r="W297" s="6">
        <f>IF(ISNA(G297*INDEX(_xll.qwTblData(_xll.qwCurveScenariosPerSecurity($A$1,F297,"Crv210")),2,2)),0,(G297*INDEX(_xll.qwTblData(_xll.qwCurveScenariosPerSecurity($A$1,F297,"Crv210")),2,2)))</f>
        <v>2699.2391908261789</v>
      </c>
      <c r="X297" s="6" cm="1">
        <f t="array" ref="X297">ABS(Q297/_xll.qwMV01($A$1,"CT10"))</f>
        <v>49.105287899884637</v>
      </c>
      <c r="Y297" s="6" cm="1">
        <f t="array" ref="Y297">IF(N297="BondFuture",-(_xll.qwCurveYield($A$1,_xll.qwSecVal($A$1,AA297,"CreditCurveName()"),AA297)-_xll.qwCurveYield($A$4,_xll.qwSecVal($A$4,AA297,"CreditCurveName()"),AA297))*P297*10000,IF(N297="Bond",-(_xll.qwCurveYield($A$1,_xll.qwSecVal($A$1,F297,"CreditCurveName()"),F297)-_xll.qwCurveYield($A$4,_xll.qwSecVal($A$4,F297,"CreditCurveName()"),F297))*P297*10000,O297))</f>
        <v>-50522.076412213275</v>
      </c>
      <c r="Z297" s="6" cm="1">
        <f t="array" ref="Z297">IF(OR(N297="BondFuture",N297="Bond"),P297*(_xll.qwCurveZSpread($A$4,_xll.qwSecVal($A$1,AA297,"CreditCurveName()"),AA297)-_xll.qwCurveZSpread($A$1,_xll.qwSecVal($A$1,AA297,"CreditCurveName()"),AA297)),0)</f>
        <v>0</v>
      </c>
      <c r="AA297" s="9" cm="1">
        <f t="array" ref="AA297">IF(_xll.qwSecType(F297)="Bond",F297,IF(_xll.qwSecType(F297)="BondFuture",_xll.qwFutCTD($A$1,F297),0))</f>
        <v>0</v>
      </c>
      <c r="AB297" s="6" cm="1">
        <f t="array" ref="AB297">IF(_xll.qwSecType(F297)="BondFuture",-(I297*_xll.qwDelta($A$4,F297)*_xll.qwMVFactor($A$1,F297)/_xll.qwMVFactor($A$1,_xll.qwFutCTD($A$1,F297)))*(_xll.qwFXRate($A$1,F297)*_xll.qwMVFactor($A$1,_xll.qwFutCTD($A$1,F297))*(_xll.qwIncome($A$4,_xll.qwFutCTD($A$4,F297),_xll.qwBondSettle($A$4,_xll.qwFutCTD($A$4,F297)),_xll.qwBondSettle($A$1,_xll.qwFutCTD($A$1,F297)))+(_xll.qwSecVal($A$1,AA297,"Price")-_xll.qwSecVal($A$4,AA297,"Price"))-_xll.qwBondRepoFromTo($A$1,AA297,_xll.qwBondSettle($A$4,AA297),_xll.qwBondSettle($A$1,AA297))*_xll.qwSecVal($A$1,AA297,"Price")*(_xll.qwBondSettle($A$1,AA297)-_xll.qwBondSettle($A$4,AA297))/360))+O297,0)</f>
        <v>0</v>
      </c>
      <c r="AC297" s="9" cm="1">
        <f t="array" ref="AC297">O297+T297+IF(ISNUMBER(_xll.qwIncome($A$1,F297,_xll.qwSettle($A$4,F297),_xll.qwSettle($A$1,F297))*_xll.qwMVFactor($A$1,F297)*_xll.qwFXRate($A$1,F297)*I297),_xll.qwIncome($A$1,F297,_xll.qwSettle($A$4,F297),_xll.qwSettle($A$1,F297))*_xll.qwMVFactor($A$1,F297)*_xll.qwFXRate($A$1,F297)*I297,0)+IF(ISNUMBER(-(_xll.qwBondRepoFromTo($A$1,F297,_xll.qwSettle($A$4,F297),_xll.qwSettle($A$1,F297))*_xll.qwSecVal($A$1,F297,"Price")*(_xll.qwSettle($A$1,F297)-_xll.qwSettle($A$4,F297))/360)*_xll.qwMVFactor($A$1,F297)*_xll.qwFXRate($A$1,F297)*I297),-(_xll.qwBondRepoFromTo($A$1,F297,_xll.qwSettle($A$4,F297),_xll.qwSettle($A$1,F297))*_xll.qwSecVal($A$1,F297,"Price")*(_xll.qwSettle($A$1,F297)-_xll.qwSettle($A$4,F297))/360)*_xll.qwMVFactor($A$1,F297)*_xll.qwFXRate($A$1,F297)*I297,0)</f>
        <v>-50522.076412213275</v>
      </c>
      <c r="AD297" s="6"/>
    </row>
    <row r="298" spans="2:30" s="19" customFormat="1" x14ac:dyDescent="0.35">
      <c r="B298" s="19" t="str">
        <v>jcleary</v>
      </c>
      <c r="C298" s="19" t="str">
        <v>PPA</v>
      </c>
      <c r="D298" s="19" t="str">
        <v>jcleary|PPA|RV_US_TY_Spread|244135123</v>
      </c>
      <c r="E298" s="19" t="str">
        <v>RV_US_TY_Spread</v>
      </c>
      <c r="F298" s="19" t="str">
        <v>244135123</v>
      </c>
      <c r="G298" s="19">
        <v>44.1</v>
      </c>
      <c r="H298" s="19">
        <v>0</v>
      </c>
      <c r="I298" s="19">
        <v>44.1</v>
      </c>
      <c r="J298" s="19">
        <v>0</v>
      </c>
      <c r="K298" s="19">
        <v>0</v>
      </c>
      <c r="L298" s="19">
        <v>0</v>
      </c>
      <c r="M298" s="19">
        <v>0</v>
      </c>
      <c r="N298" s="19" t="str">
        <v>SwapTrade</v>
      </c>
      <c r="O298" s="6" cm="1">
        <f t="array" ref="O298">(_xll.qwPrice($A$1,F298)-_xll.qwPrice($A$4,F298))*_xll.qwMVFactor($A$1,F298)*I298*_xll.qwFXRate($A$1,F298)</f>
        <v>-33431.809935703452</v>
      </c>
      <c r="P298" s="6" cm="1">
        <f t="array" ref="P298">IF(ISNUMBER(_xll.qwDV01($A$1,F298)*I298*_xll.qwMVFactor($A$1,F298)*_xll.qwFXRate($A$1,F298)),_xll.qwDV01($A$1,F298)*I298*_xll.qwMVFactor($A$1,F298)*_xll.qwFXRate($A$1,F298),0)</f>
        <v>-24143.398231529227</v>
      </c>
      <c r="Q298" s="6" cm="1">
        <f t="array" ref="Q298">IF(ISNUMBER(_xll.qwDV01($A$1,F298)*G298*_xll.qwMVFactor($A$1,F298)*_xll.qwFXRate($A$1,F298)),_xll.qwDV01($A$1,F298)*G298*_xll.qwMVFactor($A$1,F298)*_xll.qwFXRate($A$1,F298),0)</f>
        <v>-24143.398231529227</v>
      </c>
      <c r="R298" s="6" cm="1">
        <f t="array" ref="R298">IF(ISNUMBER(_xll.qwDV01($A$1,F298)*J298*_xll.qwMVFactor($A$1,F298)*_xll.qwFXRate($A$1,F298)),_xll.qwDV01($A$1,F298)*J298*_xll.qwMVFactor($A$1,F298)*_xll.qwFXRate($A$1,F298),0)</f>
        <v>0</v>
      </c>
      <c r="S298" s="6" cm="1">
        <f t="array" ref="S298">IF(ISNUMBER(_xll.qwDV01($A$1,F298)*J298*_xll.qwMVFactor($A$1,F298)*_xll.qwFXRate($A$1,F298)),_xll.qwDV01($A$1,F298)*J298*_xll.qwMVFactor($A$1,F298)*_xll.qwFXRate($A$1,F298),0)</f>
        <v>0</v>
      </c>
      <c r="T298" s="6" cm="1">
        <f t="array" ref="T298">_xll.qwFXRate($A$1,F298)*J298*(_xll.qwPrice($A$1,F298)-M298)*_xll.qwMVFactor($A$1,F298)+L298</f>
        <v>0</v>
      </c>
      <c r="U298" s="8" cm="1">
        <f t="array" ref="U298">_xll.qwYield($A$1,F298)</f>
        <v>4.729840377612602E-2</v>
      </c>
      <c r="V298" s="8" cm="1">
        <f t="array" ref="V298">100*(_xll.qwYield($A$4,F298)-U298)</f>
        <v>1.3514691007774499E-2</v>
      </c>
      <c r="W298" s="6">
        <f>IF(ISNA(G298*INDEX(_xll.qwTblData(_xll.qwCurveScenariosPerSecurity($A$1,F298,"Crv210")),2,2)),0,(G298*INDEX(_xll.qwTblData(_xll.qwCurveScenariosPerSecurity($A$1,F298,"Crv210")),2,2)))</f>
        <v>1780.558716636275</v>
      </c>
      <c r="X298" s="6" cm="1">
        <f t="array" ref="X298">ABS(Q298/_xll.qwMV01($A$1,"CT10"))</f>
        <v>32.50162635738625</v>
      </c>
      <c r="Y298" s="6" cm="1">
        <f t="array" ref="Y298">IF(N298="BondFuture",-(_xll.qwCurveYield($A$1,_xll.qwSecVal($A$1,AA298,"CreditCurveName()"),AA298)-_xll.qwCurveYield($A$4,_xll.qwSecVal($A$4,AA298,"CreditCurveName()"),AA298))*P298*10000,IF(N298="Bond",-(_xll.qwCurveYield($A$1,_xll.qwSecVal($A$1,F298,"CreditCurveName()"),F298)-_xll.qwCurveYield($A$4,_xll.qwSecVal($A$4,F298,"CreditCurveName()"),F298))*P298*10000,O298))</f>
        <v>-33431.809935703452</v>
      </c>
      <c r="Z298" s="6" cm="1">
        <f t="array" ref="Z298">IF(OR(N298="BondFuture",N298="Bond"),P298*(_xll.qwCurveZSpread($A$4,_xll.qwSecVal($A$1,AA298,"CreditCurveName()"),AA298)-_xll.qwCurveZSpread($A$1,_xll.qwSecVal($A$1,AA298,"CreditCurveName()"),AA298)),0)</f>
        <v>0</v>
      </c>
      <c r="AA298" s="9" cm="1">
        <f t="array" ref="AA298">IF(_xll.qwSecType(F298)="Bond",F298,IF(_xll.qwSecType(F298)="BondFuture",_xll.qwFutCTD($A$1,F298),0))</f>
        <v>0</v>
      </c>
      <c r="AB298" s="6" cm="1">
        <f t="array" ref="AB298">IF(_xll.qwSecType(F298)="BondFuture",-(I298*_xll.qwDelta($A$4,F298)*_xll.qwMVFactor($A$1,F298)/_xll.qwMVFactor($A$1,_xll.qwFutCTD($A$1,F298)))*(_xll.qwFXRate($A$1,F298)*_xll.qwMVFactor($A$1,_xll.qwFutCTD($A$1,F298))*(_xll.qwIncome($A$4,_xll.qwFutCTD($A$4,F298),_xll.qwBondSettle($A$4,_xll.qwFutCTD($A$4,F298)),_xll.qwBondSettle($A$1,_xll.qwFutCTD($A$1,F298)))+(_xll.qwSecVal($A$1,AA298,"Price")-_xll.qwSecVal($A$4,AA298,"Price"))-_xll.qwBondRepoFromTo($A$1,AA298,_xll.qwBondSettle($A$4,AA298),_xll.qwBondSettle($A$1,AA298))*_xll.qwSecVal($A$1,AA298,"Price")*(_xll.qwBondSettle($A$1,AA298)-_xll.qwBondSettle($A$4,AA298))/360))+O298,0)</f>
        <v>0</v>
      </c>
      <c r="AC298" s="9" cm="1">
        <f t="array" ref="AC298">O298+T298+IF(ISNUMBER(_xll.qwIncome($A$1,F298,_xll.qwSettle($A$4,F298),_xll.qwSettle($A$1,F298))*_xll.qwMVFactor($A$1,F298)*_xll.qwFXRate($A$1,F298)*I298),_xll.qwIncome($A$1,F298,_xll.qwSettle($A$4,F298),_xll.qwSettle($A$1,F298))*_xll.qwMVFactor($A$1,F298)*_xll.qwFXRate($A$1,F298)*I298,0)+IF(ISNUMBER(-(_xll.qwBondRepoFromTo($A$1,F298,_xll.qwSettle($A$4,F298),_xll.qwSettle($A$1,F298))*_xll.qwSecVal($A$1,F298,"Price")*(_xll.qwSettle($A$1,F298)-_xll.qwSettle($A$4,F298))/360)*_xll.qwMVFactor($A$1,F298)*_xll.qwFXRate($A$1,F298)*I298),-(_xll.qwBondRepoFromTo($A$1,F298,_xll.qwSettle($A$4,F298),_xll.qwSettle($A$1,F298))*_xll.qwSecVal($A$1,F298,"Price")*(_xll.qwSettle($A$1,F298)-_xll.qwSettle($A$4,F298))/360)*_xll.qwMVFactor($A$1,F298)*_xll.qwFXRate($A$1,F298)*I298,0)</f>
        <v>-33431.809935703452</v>
      </c>
      <c r="AD298" s="6"/>
    </row>
    <row r="299" spans="2:30" s="19" customFormat="1" x14ac:dyDescent="0.35">
      <c r="B299" s="19" t="str">
        <v>jcleary</v>
      </c>
      <c r="C299" s="19" t="str">
        <v>PPA</v>
      </c>
      <c r="D299" s="19" t="str">
        <v>jcleary|PPA|RV_US_TY_Spread|244608809</v>
      </c>
      <c r="E299" s="19" t="str">
        <v>RV_US_TY_Spread</v>
      </c>
      <c r="F299" s="19" t="str">
        <v>244608809</v>
      </c>
      <c r="G299" s="19">
        <v>488.6</v>
      </c>
      <c r="H299" s="19">
        <v>0</v>
      </c>
      <c r="I299" s="19">
        <v>488.6</v>
      </c>
      <c r="J299" s="19">
        <v>0</v>
      </c>
      <c r="K299" s="19">
        <v>0</v>
      </c>
      <c r="L299" s="19">
        <v>0</v>
      </c>
      <c r="M299" s="19">
        <v>0</v>
      </c>
      <c r="N299" s="19" t="str">
        <v>SwapTrade</v>
      </c>
      <c r="O299" s="6" cm="1">
        <f t="array" ref="O299">(_xll.qwPrice($A$1,F299)-_xll.qwPrice($A$4,F299))*_xll.qwMVFactor($A$1,F299)*I299*_xll.qwFXRate($A$1,F299)</f>
        <v>-346783.90794183622</v>
      </c>
      <c r="P299" s="6" cm="1">
        <f t="array" ref="P299">IF(ISNUMBER(_xll.qwDV01($A$1,F299)*I299*_xll.qwMVFactor($A$1,F299)*_xll.qwFXRate($A$1,F299)),_xll.qwDV01($A$1,F299)*I299*_xll.qwMVFactor($A$1,F299)*_xll.qwFXRate($A$1,F299),0)</f>
        <v>-258819.9434672216</v>
      </c>
      <c r="Q299" s="6" cm="1">
        <f t="array" ref="Q299">IF(ISNUMBER(_xll.qwDV01($A$1,F299)*G299*_xll.qwMVFactor($A$1,F299)*_xll.qwFXRate($A$1,F299)),_xll.qwDV01($A$1,F299)*G299*_xll.qwMVFactor($A$1,F299)*_xll.qwFXRate($A$1,F299),0)</f>
        <v>-258819.9434672216</v>
      </c>
      <c r="R299" s="6" cm="1">
        <f t="array" ref="R299">IF(ISNUMBER(_xll.qwDV01($A$1,F299)*J299*_xll.qwMVFactor($A$1,F299)*_xll.qwFXRate($A$1,F299)),_xll.qwDV01($A$1,F299)*J299*_xll.qwMVFactor($A$1,F299)*_xll.qwFXRate($A$1,F299),0)</f>
        <v>0</v>
      </c>
      <c r="S299" s="6" cm="1">
        <f t="array" ref="S299">IF(ISNUMBER(_xll.qwDV01($A$1,F299)*J299*_xll.qwMVFactor($A$1,F299)*_xll.qwFXRate($A$1,F299)),_xll.qwDV01($A$1,F299)*J299*_xll.qwMVFactor($A$1,F299)*_xll.qwFXRate($A$1,F299),0)</f>
        <v>0</v>
      </c>
      <c r="T299" s="6" cm="1">
        <f t="array" ref="T299">_xll.qwFXRate($A$1,F299)*J299*(_xll.qwPrice($A$1,F299)-M299)*_xll.qwMVFactor($A$1,F299)+L299</f>
        <v>0</v>
      </c>
      <c r="U299" s="8" cm="1">
        <f t="array" ref="U299">_xll.qwYield($A$1,F299)</f>
        <v>4.7266079358983568E-2</v>
      </c>
      <c r="V299" s="8" cm="1">
        <f t="array" ref="V299">100*(_xll.qwYield($A$4,F299)-U299)</f>
        <v>1.2999858244428647E-2</v>
      </c>
      <c r="W299" s="6">
        <f>IF(ISNA(G299*INDEX(_xll.qwTblData(_xll.qwCurveScenariosPerSecurity($A$1,F299,"Crv210")),2,2)),0,(G299*INDEX(_xll.qwTblData(_xll.qwCurveScenariosPerSecurity($A$1,F299,"Crv210")),2,2)))</f>
        <v>11189.098447537712</v>
      </c>
      <c r="X299" s="6" cm="1">
        <f t="array" ref="X299">ABS(Q299/_xll.qwMV01($A$1,"CT10"))</f>
        <v>348.42108868609978</v>
      </c>
      <c r="Y299" s="6" cm="1">
        <f t="array" ref="Y299">IF(N299="BondFuture",-(_xll.qwCurveYield($A$1,_xll.qwSecVal($A$1,AA299,"CreditCurveName()"),AA299)-_xll.qwCurveYield($A$4,_xll.qwSecVal($A$4,AA299,"CreditCurveName()"),AA299))*P299*10000,IF(N299="Bond",-(_xll.qwCurveYield($A$1,_xll.qwSecVal($A$1,F299,"CreditCurveName()"),F299)-_xll.qwCurveYield($A$4,_xll.qwSecVal($A$4,F299,"CreditCurveName()"),F299))*P299*10000,O299))</f>
        <v>-346783.90794183622</v>
      </c>
      <c r="Z299" s="6" cm="1">
        <f t="array" ref="Z299">IF(OR(N299="BondFuture",N299="Bond"),P299*(_xll.qwCurveZSpread($A$4,_xll.qwSecVal($A$1,AA299,"CreditCurveName()"),AA299)-_xll.qwCurveZSpread($A$1,_xll.qwSecVal($A$1,AA299,"CreditCurveName()"),AA299)),0)</f>
        <v>0</v>
      </c>
      <c r="AA299" s="9" cm="1">
        <f t="array" ref="AA299">IF(_xll.qwSecType(F299)="Bond",F299,IF(_xll.qwSecType(F299)="BondFuture",_xll.qwFutCTD($A$1,F299),0))</f>
        <v>0</v>
      </c>
      <c r="AB299" s="6" cm="1">
        <f t="array" ref="AB299">IF(_xll.qwSecType(F299)="BondFuture",-(I299*_xll.qwDelta($A$4,F299)*_xll.qwMVFactor($A$1,F299)/_xll.qwMVFactor($A$1,_xll.qwFutCTD($A$1,F299)))*(_xll.qwFXRate($A$1,F299)*_xll.qwMVFactor($A$1,_xll.qwFutCTD($A$1,F299))*(_xll.qwIncome($A$4,_xll.qwFutCTD($A$4,F299),_xll.qwBondSettle($A$4,_xll.qwFutCTD($A$4,F299)),_xll.qwBondSettle($A$1,_xll.qwFutCTD($A$1,F299)))+(_xll.qwSecVal($A$1,AA299,"Price")-_xll.qwSecVal($A$4,AA299,"Price"))-_xll.qwBondRepoFromTo($A$1,AA299,_xll.qwBondSettle($A$4,AA299),_xll.qwBondSettle($A$1,AA299))*_xll.qwSecVal($A$1,AA299,"Price")*(_xll.qwBondSettle($A$1,AA299)-_xll.qwBondSettle($A$4,AA299))/360))+O299,0)</f>
        <v>0</v>
      </c>
      <c r="AC299" s="9" cm="1">
        <f t="array" ref="AC299">O299+T299+IF(ISNUMBER(_xll.qwIncome($A$1,F299,_xll.qwSettle($A$4,F299),_xll.qwSettle($A$1,F299))*_xll.qwMVFactor($A$1,F299)*_xll.qwFXRate($A$1,F299)*I299),_xll.qwIncome($A$1,F299,_xll.qwSettle($A$4,F299),_xll.qwSettle($A$1,F299))*_xll.qwMVFactor($A$1,F299)*_xll.qwFXRate($A$1,F299)*I299,0)+IF(ISNUMBER(-(_xll.qwBondRepoFromTo($A$1,F299,_xll.qwSettle($A$4,F299),_xll.qwSettle($A$1,F299))*_xll.qwSecVal($A$1,F299,"Price")*(_xll.qwSettle($A$1,F299)-_xll.qwSettle($A$4,F299))/360)*_xll.qwMVFactor($A$1,F299)*_xll.qwFXRate($A$1,F299)*I299),-(_xll.qwBondRepoFromTo($A$1,F299,_xll.qwSettle($A$4,F299),_xll.qwSettle($A$1,F299))*_xll.qwSecVal($A$1,F299,"Price")*(_xll.qwSettle($A$1,F299)-_xll.qwSettle($A$4,F299))/360)*_xll.qwMVFactor($A$1,F299)*_xll.qwFXRate($A$1,F299)*I299,0)</f>
        <v>-346783.90794183622</v>
      </c>
      <c r="AD299" s="6"/>
    </row>
    <row r="300" spans="2:30" s="19" customFormat="1" x14ac:dyDescent="0.35">
      <c r="B300" s="19" t="str">
        <v>jcleary</v>
      </c>
      <c r="C300" s="19" t="str">
        <v>PPA</v>
      </c>
      <c r="D300" s="19" t="str">
        <v>jcleary|PPA|RV_US_TY_Spread|244608812</v>
      </c>
      <c r="E300" s="19" t="str">
        <v>RV_US_TY_Spread</v>
      </c>
      <c r="F300" s="19" t="str">
        <v>244608812</v>
      </c>
      <c r="G300" s="19">
        <v>469.1</v>
      </c>
      <c r="H300" s="19">
        <v>0</v>
      </c>
      <c r="I300" s="19">
        <v>469.1</v>
      </c>
      <c r="J300" s="19">
        <v>0</v>
      </c>
      <c r="K300" s="19">
        <v>0</v>
      </c>
      <c r="L300" s="19">
        <v>0</v>
      </c>
      <c r="M300" s="19">
        <v>0</v>
      </c>
      <c r="N300" s="19" t="str">
        <v>SwapTrade</v>
      </c>
      <c r="O300" s="6" cm="1">
        <f t="array" ref="O300">(_xll.qwPrice($A$1,F300)-_xll.qwPrice($A$4,F300))*_xll.qwMVFactor($A$1,F300)*I300*_xll.qwFXRate($A$1,F300)</f>
        <v>363033.18505656213</v>
      </c>
      <c r="P300" s="6" cm="1">
        <f t="array" ref="P300">IF(ISNUMBER(_xll.qwDV01($A$1,F300)*I300*_xll.qwMVFactor($A$1,F300)*_xll.qwFXRate($A$1,F300)),_xll.qwDV01($A$1,F300)*I300*_xll.qwMVFactor($A$1,F300)*_xll.qwFXRate($A$1,F300),0)</f>
        <v>259594.44748631903</v>
      </c>
      <c r="Q300" s="6" cm="1">
        <f t="array" ref="Q300">IF(ISNUMBER(_xll.qwDV01($A$1,F300)*G300*_xll.qwMVFactor($A$1,F300)*_xll.qwFXRate($A$1,F300)),_xll.qwDV01($A$1,F300)*G300*_xll.qwMVFactor($A$1,F300)*_xll.qwFXRate($A$1,F300),0)</f>
        <v>259594.44748631903</v>
      </c>
      <c r="R300" s="6" cm="1">
        <f t="array" ref="R300">IF(ISNUMBER(_xll.qwDV01($A$1,F300)*J300*_xll.qwMVFactor($A$1,F300)*_xll.qwFXRate($A$1,F300)),_xll.qwDV01($A$1,F300)*J300*_xll.qwMVFactor($A$1,F300)*_xll.qwFXRate($A$1,F300),0)</f>
        <v>0</v>
      </c>
      <c r="S300" s="6" cm="1">
        <f t="array" ref="S300">IF(ISNUMBER(_xll.qwDV01($A$1,F300)*J300*_xll.qwMVFactor($A$1,F300)*_xll.qwFXRate($A$1,F300)),_xll.qwDV01($A$1,F300)*J300*_xll.qwMVFactor($A$1,F300)*_xll.qwFXRate($A$1,F300),0)</f>
        <v>0</v>
      </c>
      <c r="T300" s="6" cm="1">
        <f t="array" ref="T300">_xll.qwFXRate($A$1,F300)*J300*(_xll.qwPrice($A$1,F300)-M300)*_xll.qwMVFactor($A$1,F300)+L300</f>
        <v>0</v>
      </c>
      <c r="U300" s="8" cm="1">
        <f t="array" ref="U300">_xll.qwYield($A$1,F300)</f>
        <v>4.7311560297563941E-2</v>
      </c>
      <c r="V300" s="8" cm="1">
        <f t="array" ref="V300">100*(_xll.qwYield($A$4,F300)-U300)</f>
        <v>1.3670566246419547E-2</v>
      </c>
      <c r="W300" s="6">
        <f>IF(ISNA(G300*INDEX(_xll.qwTblData(_xll.qwCurveScenariosPerSecurity($A$1,F300,"Crv210")),2,2)),0,(G300*INDEX(_xll.qwTblData(_xll.qwCurveScenariosPerSecurity($A$1,F300,"Crv210")),2,2)))</f>
        <v>-21912.909807052496</v>
      </c>
      <c r="X300" s="6" cm="1">
        <f t="array" ref="X300">ABS(Q300/_xll.qwMV01($A$1,"CT10"))</f>
        <v>349.46371905650574</v>
      </c>
      <c r="Y300" s="6" cm="1">
        <f t="array" ref="Y300">IF(N300="BondFuture",-(_xll.qwCurveYield($A$1,_xll.qwSecVal($A$1,AA300,"CreditCurveName()"),AA300)-_xll.qwCurveYield($A$4,_xll.qwSecVal($A$4,AA300,"CreditCurveName()"),AA300))*P300*10000,IF(N300="Bond",-(_xll.qwCurveYield($A$1,_xll.qwSecVal($A$1,F300,"CreditCurveName()"),F300)-_xll.qwCurveYield($A$4,_xll.qwSecVal($A$4,F300,"CreditCurveName()"),F300))*P300*10000,O300))</f>
        <v>363033.18505656213</v>
      </c>
      <c r="Z300" s="6" cm="1">
        <f t="array" ref="Z300">IF(OR(N300="BondFuture",N300="Bond"),P300*(_xll.qwCurveZSpread($A$4,_xll.qwSecVal($A$1,AA300,"CreditCurveName()"),AA300)-_xll.qwCurveZSpread($A$1,_xll.qwSecVal($A$1,AA300,"CreditCurveName()"),AA300)),0)</f>
        <v>0</v>
      </c>
      <c r="AA300" s="9" cm="1">
        <f t="array" ref="AA300">IF(_xll.qwSecType(F300)="Bond",F300,IF(_xll.qwSecType(F300)="BondFuture",_xll.qwFutCTD($A$1,F300),0))</f>
        <v>0</v>
      </c>
      <c r="AB300" s="6" cm="1">
        <f t="array" ref="AB300">IF(_xll.qwSecType(F300)="BondFuture",-(I300*_xll.qwDelta($A$4,F300)*_xll.qwMVFactor($A$1,F300)/_xll.qwMVFactor($A$1,_xll.qwFutCTD($A$1,F300)))*(_xll.qwFXRate($A$1,F300)*_xll.qwMVFactor($A$1,_xll.qwFutCTD($A$1,F300))*(_xll.qwIncome($A$4,_xll.qwFutCTD($A$4,F300),_xll.qwBondSettle($A$4,_xll.qwFutCTD($A$4,F300)),_xll.qwBondSettle($A$1,_xll.qwFutCTD($A$1,F300)))+(_xll.qwSecVal($A$1,AA300,"Price")-_xll.qwSecVal($A$4,AA300,"Price"))-_xll.qwBondRepoFromTo($A$1,AA300,_xll.qwBondSettle($A$4,AA300),_xll.qwBondSettle($A$1,AA300))*_xll.qwSecVal($A$1,AA300,"Price")*(_xll.qwBondSettle($A$1,AA300)-_xll.qwBondSettle($A$4,AA300))/360))+O300,0)</f>
        <v>0</v>
      </c>
      <c r="AC300" s="9" cm="1">
        <f t="array" ref="AC300">O300+T300+IF(ISNUMBER(_xll.qwIncome($A$1,F300,_xll.qwSettle($A$4,F300),_xll.qwSettle($A$1,F300))*_xll.qwMVFactor($A$1,F300)*_xll.qwFXRate($A$1,F300)*I300),_xll.qwIncome($A$1,F300,_xll.qwSettle($A$4,F300),_xll.qwSettle($A$1,F300))*_xll.qwMVFactor($A$1,F300)*_xll.qwFXRate($A$1,F300)*I300,0)+IF(ISNUMBER(-(_xll.qwBondRepoFromTo($A$1,F300,_xll.qwSettle($A$4,F300),_xll.qwSettle($A$1,F300))*_xll.qwSecVal($A$1,F300,"Price")*(_xll.qwSettle($A$1,F300)-_xll.qwSettle($A$4,F300))/360)*_xll.qwMVFactor($A$1,F300)*_xll.qwFXRate($A$1,F300)*I300),-(_xll.qwBondRepoFromTo($A$1,F300,_xll.qwSettle($A$4,F300),_xll.qwSettle($A$1,F300))*_xll.qwSecVal($A$1,F300,"Price")*(_xll.qwSettle($A$1,F300)-_xll.qwSettle($A$4,F300))/360)*_xll.qwMVFactor($A$1,F300)*_xll.qwFXRate($A$1,F300)*I300,0)</f>
        <v>363033.18505656213</v>
      </c>
      <c r="AD300" s="6"/>
    </row>
    <row r="301" spans="2:30" s="19" customFormat="1" x14ac:dyDescent="0.35">
      <c r="B301" s="19" t="str">
        <v>jcleary</v>
      </c>
      <c r="C301" s="19" t="str">
        <v>PPA</v>
      </c>
      <c r="D301" s="19" t="str">
        <v>jcleary|PPA|RV_US_TY_Spread|244847475</v>
      </c>
      <c r="E301" s="19" t="str">
        <v>RV_US_TY_Spread</v>
      </c>
      <c r="F301" s="19" t="str">
        <v>244847475</v>
      </c>
      <c r="G301" s="19">
        <v>451.4</v>
      </c>
      <c r="H301" s="19">
        <v>0</v>
      </c>
      <c r="I301" s="19">
        <v>451.4</v>
      </c>
      <c r="J301" s="19">
        <v>0</v>
      </c>
      <c r="K301" s="19">
        <v>0</v>
      </c>
      <c r="L301" s="19">
        <v>0</v>
      </c>
      <c r="M301" s="19">
        <v>0</v>
      </c>
      <c r="N301" s="19" t="str">
        <v>SwapTrade</v>
      </c>
      <c r="O301" s="6" cm="1">
        <f t="array" ref="O301">(_xll.qwPrice($A$1,F301)-_xll.qwPrice($A$4,F301))*_xll.qwMVFactor($A$1,F301)*I301*_xll.qwFXRate($A$1,F301)</f>
        <v>348421.51080478006</v>
      </c>
      <c r="P301" s="6" cm="1">
        <f t="array" ref="P301">IF(ISNUMBER(_xll.qwDV01($A$1,F301)*I301*_xll.qwMVFactor($A$1,F301)*_xll.qwFXRate($A$1,F301)),_xll.qwDV01($A$1,F301)*I301*_xll.qwMVFactor($A$1,F301)*_xll.qwFXRate($A$1,F301),0)</f>
        <v>248965.64673372201</v>
      </c>
      <c r="Q301" s="6" cm="1">
        <f t="array" ref="Q301">IF(ISNUMBER(_xll.qwDV01($A$1,F301)*G301*_xll.qwMVFactor($A$1,F301)*_xll.qwFXRate($A$1,F301)),_xll.qwDV01($A$1,F301)*G301*_xll.qwMVFactor($A$1,F301)*_xll.qwFXRate($A$1,F301),0)</f>
        <v>248965.64673372201</v>
      </c>
      <c r="R301" s="6" cm="1">
        <f t="array" ref="R301">IF(ISNUMBER(_xll.qwDV01($A$1,F301)*J301*_xll.qwMVFactor($A$1,F301)*_xll.qwFXRate($A$1,F301)),_xll.qwDV01($A$1,F301)*J301*_xll.qwMVFactor($A$1,F301)*_xll.qwFXRate($A$1,F301),0)</f>
        <v>0</v>
      </c>
      <c r="S301" s="6" cm="1">
        <f t="array" ref="S301">IF(ISNUMBER(_xll.qwDV01($A$1,F301)*J301*_xll.qwMVFactor($A$1,F301)*_xll.qwFXRate($A$1,F301)),_xll.qwDV01($A$1,F301)*J301*_xll.qwMVFactor($A$1,F301)*_xll.qwFXRate($A$1,F301),0)</f>
        <v>0</v>
      </c>
      <c r="T301" s="6" cm="1">
        <f t="array" ref="T301">_xll.qwFXRate($A$1,F301)*J301*(_xll.qwPrice($A$1,F301)-M301)*_xll.qwMVFactor($A$1,F301)+L301</f>
        <v>0</v>
      </c>
      <c r="U301" s="8" cm="1">
        <f t="array" ref="U301">_xll.qwYield($A$1,F301)</f>
        <v>4.7311560297563941E-2</v>
      </c>
      <c r="V301" s="8" cm="1">
        <f t="array" ref="V301">100*(_xll.qwYield($A$4,F301)-U301)</f>
        <v>1.3670566246419547E-2</v>
      </c>
      <c r="W301" s="6">
        <f>IF(ISNA(G301*INDEX(_xll.qwTblData(_xll.qwCurveScenariosPerSecurity($A$1,F301,"Crv210")),2,2)),0,(G301*INDEX(_xll.qwTblData(_xll.qwCurveScenariosPerSecurity($A$1,F301,"Crv210")),2,2)))</f>
        <v>-21212.956571052906</v>
      </c>
      <c r="X301" s="6" cm="1">
        <f t="array" ref="X301">ABS(Q301/_xll.qwMV01($A$1,"CT10"))</f>
        <v>335.1553227249205</v>
      </c>
      <c r="Y301" s="6" cm="1">
        <f t="array" ref="Y301">IF(N301="BondFuture",-(_xll.qwCurveYield($A$1,_xll.qwSecVal($A$1,AA301,"CreditCurveName()"),AA301)-_xll.qwCurveYield($A$4,_xll.qwSecVal($A$4,AA301,"CreditCurveName()"),AA301))*P301*10000,IF(N301="Bond",-(_xll.qwCurveYield($A$1,_xll.qwSecVal($A$1,F301,"CreditCurveName()"),F301)-_xll.qwCurveYield($A$4,_xll.qwSecVal($A$4,F301,"CreditCurveName()"),F301))*P301*10000,O301))</f>
        <v>348421.51080478006</v>
      </c>
      <c r="Z301" s="6" cm="1">
        <f t="array" ref="Z301">IF(OR(N301="BondFuture",N301="Bond"),P301*(_xll.qwCurveZSpread($A$4,_xll.qwSecVal($A$1,AA301,"CreditCurveName()"),AA301)-_xll.qwCurveZSpread($A$1,_xll.qwSecVal($A$1,AA301,"CreditCurveName()"),AA301)),0)</f>
        <v>0</v>
      </c>
      <c r="AA301" s="9" cm="1">
        <f t="array" ref="AA301">IF(_xll.qwSecType(F301)="Bond",F301,IF(_xll.qwSecType(F301)="BondFuture",_xll.qwFutCTD($A$1,F301),0))</f>
        <v>0</v>
      </c>
      <c r="AB301" s="6" cm="1">
        <f t="array" ref="AB301">IF(_xll.qwSecType(F301)="BondFuture",-(I301*_xll.qwDelta($A$4,F301)*_xll.qwMVFactor($A$1,F301)/_xll.qwMVFactor($A$1,_xll.qwFutCTD($A$1,F301)))*(_xll.qwFXRate($A$1,F301)*_xll.qwMVFactor($A$1,_xll.qwFutCTD($A$1,F301))*(_xll.qwIncome($A$4,_xll.qwFutCTD($A$4,F301),_xll.qwBondSettle($A$4,_xll.qwFutCTD($A$4,F301)),_xll.qwBondSettle($A$1,_xll.qwFutCTD($A$1,F301)))+(_xll.qwSecVal($A$1,AA301,"Price")-_xll.qwSecVal($A$4,AA301,"Price"))-_xll.qwBondRepoFromTo($A$1,AA301,_xll.qwBondSettle($A$4,AA301),_xll.qwBondSettle($A$1,AA301))*_xll.qwSecVal($A$1,AA301,"Price")*(_xll.qwBondSettle($A$1,AA301)-_xll.qwBondSettle($A$4,AA301))/360))+O301,0)</f>
        <v>0</v>
      </c>
      <c r="AC301" s="9" cm="1">
        <f t="array" ref="AC301">O301+T301+IF(ISNUMBER(_xll.qwIncome($A$1,F301,_xll.qwSettle($A$4,F301),_xll.qwSettle($A$1,F301))*_xll.qwMVFactor($A$1,F301)*_xll.qwFXRate($A$1,F301)*I301),_xll.qwIncome($A$1,F301,_xll.qwSettle($A$4,F301),_xll.qwSettle($A$1,F301))*_xll.qwMVFactor($A$1,F301)*_xll.qwFXRate($A$1,F301)*I301,0)+IF(ISNUMBER(-(_xll.qwBondRepoFromTo($A$1,F301,_xll.qwSettle($A$4,F301),_xll.qwSettle($A$1,F301))*_xll.qwSecVal($A$1,F301,"Price")*(_xll.qwSettle($A$1,F301)-_xll.qwSettle($A$4,F301))/360)*_xll.qwMVFactor($A$1,F301)*_xll.qwFXRate($A$1,F301)*I301),-(_xll.qwBondRepoFromTo($A$1,F301,_xll.qwSettle($A$4,F301),_xll.qwSettle($A$1,F301))*_xll.qwSecVal($A$1,F301,"Price")*(_xll.qwSettle($A$1,F301)-_xll.qwSettle($A$4,F301))/360)*_xll.qwMVFactor($A$1,F301)*_xll.qwFXRate($A$1,F301)*I301,0)</f>
        <v>348421.51080478006</v>
      </c>
      <c r="AD301" s="6"/>
    </row>
    <row r="302" spans="2:30" s="19" customFormat="1" x14ac:dyDescent="0.35">
      <c r="B302" s="19" t="str">
        <v>jcleary</v>
      </c>
      <c r="C302" s="19" t="str">
        <v>PPA</v>
      </c>
      <c r="D302" s="19" t="str">
        <v>jcleary|PPA|RV_US_TY_Spread|244847476</v>
      </c>
      <c r="E302" s="19" t="str">
        <v>RV_US_TY_Spread</v>
      </c>
      <c r="F302" s="19" t="str">
        <v>244847476</v>
      </c>
      <c r="G302" s="19">
        <v>134.69999999999999</v>
      </c>
      <c r="H302" s="19">
        <v>0</v>
      </c>
      <c r="I302" s="19">
        <v>134.69999999999999</v>
      </c>
      <c r="J302" s="19">
        <v>0</v>
      </c>
      <c r="K302" s="19">
        <v>0</v>
      </c>
      <c r="L302" s="19">
        <v>0</v>
      </c>
      <c r="M302" s="19">
        <v>0</v>
      </c>
      <c r="N302" s="19" t="str">
        <v>SwapTrade</v>
      </c>
      <c r="O302" s="6" cm="1">
        <f t="array" ref="O302">(_xll.qwPrice($A$1,F302)-_xll.qwPrice($A$4,F302))*_xll.qwMVFactor($A$1,F302)*I302*_xll.qwFXRate($A$1,F302)</f>
        <v>81554.901944812271</v>
      </c>
      <c r="P302" s="6" cm="1">
        <f t="array" ref="P302">IF(ISNUMBER(_xll.qwDV01($A$1,F302)*I302*_xll.qwMVFactor($A$1,F302)*_xll.qwFXRate($A$1,F302)),_xll.qwDV01($A$1,F302)*I302*_xll.qwMVFactor($A$1,F302)*_xll.qwFXRate($A$1,F302),0)</f>
        <v>66699.56094075799</v>
      </c>
      <c r="Q302" s="6" cm="1">
        <f t="array" ref="Q302">IF(ISNUMBER(_xll.qwDV01($A$1,F302)*G302*_xll.qwMVFactor($A$1,F302)*_xll.qwFXRate($A$1,F302)),_xll.qwDV01($A$1,F302)*G302*_xll.qwMVFactor($A$1,F302)*_xll.qwFXRate($A$1,F302),0)</f>
        <v>66699.56094075799</v>
      </c>
      <c r="R302" s="6" cm="1">
        <f t="array" ref="R302">IF(ISNUMBER(_xll.qwDV01($A$1,F302)*J302*_xll.qwMVFactor($A$1,F302)*_xll.qwFXRate($A$1,F302)),_xll.qwDV01($A$1,F302)*J302*_xll.qwMVFactor($A$1,F302)*_xll.qwFXRate($A$1,F302),0)</f>
        <v>0</v>
      </c>
      <c r="S302" s="6" cm="1">
        <f t="array" ref="S302">IF(ISNUMBER(_xll.qwDV01($A$1,F302)*J302*_xll.qwMVFactor($A$1,F302)*_xll.qwFXRate($A$1,F302)),_xll.qwDV01($A$1,F302)*J302*_xll.qwMVFactor($A$1,F302)*_xll.qwFXRate($A$1,F302),0)</f>
        <v>0</v>
      </c>
      <c r="T302" s="6" cm="1">
        <f t="array" ref="T302">_xll.qwFXRate($A$1,F302)*J302*(_xll.qwPrice($A$1,F302)-M302)*_xll.qwMVFactor($A$1,F302)+L302</f>
        <v>0</v>
      </c>
      <c r="U302" s="8" cm="1">
        <f t="array" ref="U302">_xll.qwYield($A$1,F302)</f>
        <v>4.721081966519719E-2</v>
      </c>
      <c r="V302" s="8" cm="1">
        <f t="array" ref="V302">100*(_xll.qwYield($A$4,F302)-U302)</f>
        <v>1.1875651335332971E-2</v>
      </c>
      <c r="W302" s="6">
        <f>IF(ISNA(G302*INDEX(_xll.qwTblData(_xll.qwCurveScenariosPerSecurity($A$1,F302,"Crv210")),2,2)),0,(G302*INDEX(_xll.qwTblData(_xll.qwCurveScenariosPerSecurity($A$1,F302,"Crv210")),2,2)))</f>
        <v>1024.1870437833115</v>
      </c>
      <c r="X302" s="6" cm="1">
        <f t="array" ref="X302">ABS(Q302/_xll.qwMV01($A$1,"CT10"))</f>
        <v>89.790351263278666</v>
      </c>
      <c r="Y302" s="6" cm="1">
        <f t="array" ref="Y302">IF(N302="BondFuture",-(_xll.qwCurveYield($A$1,_xll.qwSecVal($A$1,AA302,"CreditCurveName()"),AA302)-_xll.qwCurveYield($A$4,_xll.qwSecVal($A$4,AA302,"CreditCurveName()"),AA302))*P302*10000,IF(N302="Bond",-(_xll.qwCurveYield($A$1,_xll.qwSecVal($A$1,F302,"CreditCurveName()"),F302)-_xll.qwCurveYield($A$4,_xll.qwSecVal($A$4,F302,"CreditCurveName()"),F302))*P302*10000,O302))</f>
        <v>81554.901944812271</v>
      </c>
      <c r="Z302" s="6" cm="1">
        <f t="array" ref="Z302">IF(OR(N302="BondFuture",N302="Bond"),P302*(_xll.qwCurveZSpread($A$4,_xll.qwSecVal($A$1,AA302,"CreditCurveName()"),AA302)-_xll.qwCurveZSpread($A$1,_xll.qwSecVal($A$1,AA302,"CreditCurveName()"),AA302)),0)</f>
        <v>0</v>
      </c>
      <c r="AA302" s="9" cm="1">
        <f t="array" ref="AA302">IF(_xll.qwSecType(F302)="Bond",F302,IF(_xll.qwSecType(F302)="BondFuture",_xll.qwFutCTD($A$1,F302),0))</f>
        <v>0</v>
      </c>
      <c r="AB302" s="6" cm="1">
        <f t="array" ref="AB302">IF(_xll.qwSecType(F302)="BondFuture",-(I302*_xll.qwDelta($A$4,F302)*_xll.qwMVFactor($A$1,F302)/_xll.qwMVFactor($A$1,_xll.qwFutCTD($A$1,F302)))*(_xll.qwFXRate($A$1,F302)*_xll.qwMVFactor($A$1,_xll.qwFutCTD($A$1,F302))*(_xll.qwIncome($A$4,_xll.qwFutCTD($A$4,F302),_xll.qwBondSettle($A$4,_xll.qwFutCTD($A$4,F302)),_xll.qwBondSettle($A$1,_xll.qwFutCTD($A$1,F302)))+(_xll.qwSecVal($A$1,AA302,"Price")-_xll.qwSecVal($A$4,AA302,"Price"))-_xll.qwBondRepoFromTo($A$1,AA302,_xll.qwBondSettle($A$4,AA302),_xll.qwBondSettle($A$1,AA302))*_xll.qwSecVal($A$1,AA302,"Price")*(_xll.qwBondSettle($A$1,AA302)-_xll.qwBondSettle($A$4,AA302))/360))+O302,0)</f>
        <v>0</v>
      </c>
      <c r="AC302" s="9" cm="1">
        <f t="array" ref="AC302">O302+T302+IF(ISNUMBER(_xll.qwIncome($A$1,F302,_xll.qwSettle($A$4,F302),_xll.qwSettle($A$1,F302))*_xll.qwMVFactor($A$1,F302)*_xll.qwFXRate($A$1,F302)*I302),_xll.qwIncome($A$1,F302,_xll.qwSettle($A$4,F302),_xll.qwSettle($A$1,F302))*_xll.qwMVFactor($A$1,F302)*_xll.qwFXRate($A$1,F302)*I302,0)+IF(ISNUMBER(-(_xll.qwBondRepoFromTo($A$1,F302,_xll.qwSettle($A$4,F302),_xll.qwSettle($A$1,F302))*_xll.qwSecVal($A$1,F302,"Price")*(_xll.qwSettle($A$1,F302)-_xll.qwSettle($A$4,F302))/360)*_xll.qwMVFactor($A$1,F302)*_xll.qwFXRate($A$1,F302)*I302),-(_xll.qwBondRepoFromTo($A$1,F302,_xll.qwSettle($A$4,F302),_xll.qwSettle($A$1,F302))*_xll.qwSecVal($A$1,F302,"Price")*(_xll.qwSettle($A$1,F302)-_xll.qwSettle($A$4,F302))/360)*_xll.qwMVFactor($A$1,F302)*_xll.qwFXRate($A$1,F302)*I302,0)</f>
        <v>81554.901944812271</v>
      </c>
      <c r="AD302" s="6"/>
    </row>
    <row r="303" spans="2:30" s="19" customFormat="1" x14ac:dyDescent="0.35">
      <c r="B303" s="19" t="str">
        <v>jcleary</v>
      </c>
      <c r="C303" s="19" t="str">
        <v>PPA</v>
      </c>
      <c r="D303" s="19" t="str">
        <v>jcleary|PPA|RV_US_TY_Spread|244847477</v>
      </c>
      <c r="E303" s="19" t="str">
        <v>RV_US_TY_Spread</v>
      </c>
      <c r="F303" s="19" t="str">
        <v>244847477</v>
      </c>
      <c r="G303" s="19">
        <v>125.5</v>
      </c>
      <c r="H303" s="19">
        <v>0</v>
      </c>
      <c r="I303" s="19">
        <v>125.5</v>
      </c>
      <c r="J303" s="19">
        <v>0</v>
      </c>
      <c r="K303" s="19">
        <v>0</v>
      </c>
      <c r="L303" s="19">
        <v>0</v>
      </c>
      <c r="M303" s="19">
        <v>0</v>
      </c>
      <c r="N303" s="19" t="str">
        <v>SwapTrade</v>
      </c>
      <c r="O303" s="6" cm="1">
        <f t="array" ref="O303">(_xll.qwPrice($A$1,F303)-_xll.qwPrice($A$4,F303))*_xll.qwMVFactor($A$1,F303)*I303*_xll.qwFXRate($A$1,F303)</f>
        <v>-90736.681469057163</v>
      </c>
      <c r="P303" s="6" cm="1">
        <f t="array" ref="P303">IF(ISNUMBER(_xll.qwDV01($A$1,F303)*I303*_xll.qwMVFactor($A$1,F303)*_xll.qwFXRate($A$1,F303)),_xll.qwDV01($A$1,F303)*I303*_xll.qwMVFactor($A$1,F303)*_xll.qwFXRate($A$1,F303),0)</f>
        <v>-66967.132638042793</v>
      </c>
      <c r="Q303" s="6" cm="1">
        <f t="array" ref="Q303">IF(ISNUMBER(_xll.qwDV01($A$1,F303)*G303*_xll.qwMVFactor($A$1,F303)*_xll.qwFXRate($A$1,F303)),_xll.qwDV01($A$1,F303)*G303*_xll.qwMVFactor($A$1,F303)*_xll.qwFXRate($A$1,F303),0)</f>
        <v>-66967.132638042793</v>
      </c>
      <c r="R303" s="6" cm="1">
        <f t="array" ref="R303">IF(ISNUMBER(_xll.qwDV01($A$1,F303)*J303*_xll.qwMVFactor($A$1,F303)*_xll.qwFXRate($A$1,F303)),_xll.qwDV01($A$1,F303)*J303*_xll.qwMVFactor($A$1,F303)*_xll.qwFXRate($A$1,F303),0)</f>
        <v>0</v>
      </c>
      <c r="S303" s="6" cm="1">
        <f t="array" ref="S303">IF(ISNUMBER(_xll.qwDV01($A$1,F303)*J303*_xll.qwMVFactor($A$1,F303)*_xll.qwFXRate($A$1,F303)),_xll.qwDV01($A$1,F303)*J303*_xll.qwMVFactor($A$1,F303)*_xll.qwFXRate($A$1,F303),0)</f>
        <v>0</v>
      </c>
      <c r="T303" s="6" cm="1">
        <f t="array" ref="T303">_xll.qwFXRate($A$1,F303)*J303*(_xll.qwPrice($A$1,F303)-M303)*_xll.qwMVFactor($A$1,F303)+L303</f>
        <v>0</v>
      </c>
      <c r="U303" s="8" cm="1">
        <f t="array" ref="U303">_xll.qwYield($A$1,F303)</f>
        <v>4.7273302273789487E-2</v>
      </c>
      <c r="V303" s="8" cm="1">
        <f t="array" ref="V303">100*(_xll.qwYield($A$4,F303)-U303)</f>
        <v>1.3163714084580419E-2</v>
      </c>
      <c r="W303" s="6">
        <f>IF(ISNA(G303*INDEX(_xll.qwTblData(_xll.qwCurveScenariosPerSecurity($A$1,F303,"Crv210")),2,2)),0,(G303*INDEX(_xll.qwTblData(_xll.qwCurveScenariosPerSecurity($A$1,F303,"Crv210")),2,2)))</f>
        <v>3583.8245435026674</v>
      </c>
      <c r="X303" s="6" cm="1">
        <f t="array" ref="X303">ABS(Q303/_xll.qwMV01($A$1,"CT10"))</f>
        <v>90.150553884532101</v>
      </c>
      <c r="Y303" s="6" cm="1">
        <f t="array" ref="Y303">IF(N303="BondFuture",-(_xll.qwCurveYield($A$1,_xll.qwSecVal($A$1,AA303,"CreditCurveName()"),AA303)-_xll.qwCurveYield($A$4,_xll.qwSecVal($A$4,AA303,"CreditCurveName()"),AA303))*P303*10000,IF(N303="Bond",-(_xll.qwCurveYield($A$1,_xll.qwSecVal($A$1,F303,"CreditCurveName()"),F303)-_xll.qwCurveYield($A$4,_xll.qwSecVal($A$4,F303,"CreditCurveName()"),F303))*P303*10000,O303))</f>
        <v>-90736.681469057163</v>
      </c>
      <c r="Z303" s="6" cm="1">
        <f t="array" ref="Z303">IF(OR(N303="BondFuture",N303="Bond"),P303*(_xll.qwCurveZSpread($A$4,_xll.qwSecVal($A$1,AA303,"CreditCurveName()"),AA303)-_xll.qwCurveZSpread($A$1,_xll.qwSecVal($A$1,AA303,"CreditCurveName()"),AA303)),0)</f>
        <v>0</v>
      </c>
      <c r="AA303" s="9" cm="1">
        <f t="array" ref="AA303">IF(_xll.qwSecType(F303)="Bond",F303,IF(_xll.qwSecType(F303)="BondFuture",_xll.qwFutCTD($A$1,F303),0))</f>
        <v>0</v>
      </c>
      <c r="AB303" s="6" cm="1">
        <f t="array" ref="AB303">IF(_xll.qwSecType(F303)="BondFuture",-(I303*_xll.qwDelta($A$4,F303)*_xll.qwMVFactor($A$1,F303)/_xll.qwMVFactor($A$1,_xll.qwFutCTD($A$1,F303)))*(_xll.qwFXRate($A$1,F303)*_xll.qwMVFactor($A$1,_xll.qwFutCTD($A$1,F303))*(_xll.qwIncome($A$4,_xll.qwFutCTD($A$4,F303),_xll.qwBondSettle($A$4,_xll.qwFutCTD($A$4,F303)),_xll.qwBondSettle($A$1,_xll.qwFutCTD($A$1,F303)))+(_xll.qwSecVal($A$1,AA303,"Price")-_xll.qwSecVal($A$4,AA303,"Price"))-_xll.qwBondRepoFromTo($A$1,AA303,_xll.qwBondSettle($A$4,AA303),_xll.qwBondSettle($A$1,AA303))*_xll.qwSecVal($A$1,AA303,"Price")*(_xll.qwBondSettle($A$1,AA303)-_xll.qwBondSettle($A$4,AA303))/360))+O303,0)</f>
        <v>0</v>
      </c>
      <c r="AC303" s="9" cm="1">
        <f t="array" ref="AC303">O303+T303+IF(ISNUMBER(_xll.qwIncome($A$1,F303,_xll.qwSettle($A$4,F303),_xll.qwSettle($A$1,F303))*_xll.qwMVFactor($A$1,F303)*_xll.qwFXRate($A$1,F303)*I303),_xll.qwIncome($A$1,F303,_xll.qwSettle($A$4,F303),_xll.qwSettle($A$1,F303))*_xll.qwMVFactor($A$1,F303)*_xll.qwFXRate($A$1,F303)*I303,0)+IF(ISNUMBER(-(_xll.qwBondRepoFromTo($A$1,F303,_xll.qwSettle($A$4,F303),_xll.qwSettle($A$1,F303))*_xll.qwSecVal($A$1,F303,"Price")*(_xll.qwSettle($A$1,F303)-_xll.qwSettle($A$4,F303))/360)*_xll.qwMVFactor($A$1,F303)*_xll.qwFXRate($A$1,F303)*I303),-(_xll.qwBondRepoFromTo($A$1,F303,_xll.qwSettle($A$4,F303),_xll.qwSettle($A$1,F303))*_xll.qwSecVal($A$1,F303,"Price")*(_xll.qwSettle($A$1,F303)-_xll.qwSettle($A$4,F303))/360)*_xll.qwMVFactor($A$1,F303)*_xll.qwFXRate($A$1,F303)*I303,0)</f>
        <v>-90736.681469057163</v>
      </c>
      <c r="AD303" s="6"/>
    </row>
    <row r="304" spans="2:30" s="19" customFormat="1" x14ac:dyDescent="0.35">
      <c r="B304" s="19" t="str">
        <v>jcleary</v>
      </c>
      <c r="C304" s="19" t="str">
        <v>PPA</v>
      </c>
      <c r="D304" s="19" t="str">
        <v>jcleary|PPA|RV_US_TY_Spread|245404667</v>
      </c>
      <c r="E304" s="19" t="str">
        <v>RV_US_TY_Spread</v>
      </c>
      <c r="F304" s="19" t="str">
        <v>245404667</v>
      </c>
      <c r="G304" s="19">
        <v>312.20800000000003</v>
      </c>
      <c r="H304" s="19">
        <v>0</v>
      </c>
      <c r="I304" s="19">
        <v>312.20800000000003</v>
      </c>
      <c r="J304" s="19">
        <v>0</v>
      </c>
      <c r="K304" s="19">
        <v>0</v>
      </c>
      <c r="L304" s="19">
        <v>0</v>
      </c>
      <c r="M304" s="19">
        <v>0</v>
      </c>
      <c r="N304" s="19" t="str">
        <v>SwapTrade</v>
      </c>
      <c r="O304" s="6" cm="1">
        <f t="array" ref="O304">(_xll.qwPrice($A$1,F304)-_xll.qwPrice($A$4,F304))*_xll.qwMVFactor($A$1,F304)*I304*_xll.qwFXRate($A$1,F304)</f>
        <v>240868.30242073644</v>
      </c>
      <c r="P304" s="6" cm="1">
        <f t="array" ref="P304">IF(ISNUMBER(_xll.qwDV01($A$1,F304)*I304*_xll.qwMVFactor($A$1,F304)*_xll.qwFXRate($A$1,F304)),_xll.qwDV01($A$1,F304)*I304*_xll.qwMVFactor($A$1,F304)*_xll.qwFXRate($A$1,F304),0)</f>
        <v>172067.69568554949</v>
      </c>
      <c r="Q304" s="6" cm="1">
        <f t="array" ref="Q304">IF(ISNUMBER(_xll.qwDV01($A$1,F304)*G304*_xll.qwMVFactor($A$1,F304)*_xll.qwFXRate($A$1,F304)),_xll.qwDV01($A$1,F304)*G304*_xll.qwMVFactor($A$1,F304)*_xll.qwFXRate($A$1,F304),0)</f>
        <v>172067.69568554949</v>
      </c>
      <c r="R304" s="6" cm="1">
        <f t="array" ref="R304">IF(ISNUMBER(_xll.qwDV01($A$1,F304)*J304*_xll.qwMVFactor($A$1,F304)*_xll.qwFXRate($A$1,F304)),_xll.qwDV01($A$1,F304)*J304*_xll.qwMVFactor($A$1,F304)*_xll.qwFXRate($A$1,F304),0)</f>
        <v>0</v>
      </c>
      <c r="S304" s="6" cm="1">
        <f t="array" ref="S304">IF(ISNUMBER(_xll.qwDV01($A$1,F304)*J304*_xll.qwMVFactor($A$1,F304)*_xll.qwFXRate($A$1,F304)),_xll.qwDV01($A$1,F304)*J304*_xll.qwMVFactor($A$1,F304)*_xll.qwFXRate($A$1,F304),0)</f>
        <v>0</v>
      </c>
      <c r="T304" s="6" cm="1">
        <f t="array" ref="T304">_xll.qwFXRate($A$1,F304)*J304*(_xll.qwPrice($A$1,F304)-M304)*_xll.qwMVFactor($A$1,F304)+L304</f>
        <v>0</v>
      </c>
      <c r="U304" s="8" cm="1">
        <f t="array" ref="U304">_xll.qwYield($A$1,F304)</f>
        <v>4.7311560297563941E-2</v>
      </c>
      <c r="V304" s="8" cm="1">
        <f t="array" ref="V304">100*(_xll.qwYield($A$4,F304)-U304)</f>
        <v>1.3670566246419547E-2</v>
      </c>
      <c r="W304" s="6">
        <f>IF(ISNA(G304*INDEX(_xll.qwTblData(_xll.qwCurveScenariosPerSecurity($A$1,F304,"Crv210")),2,2)),0,(G304*INDEX(_xll.qwTblData(_xll.qwCurveScenariosPerSecurity($A$1,F304,"Crv210")),2,2)))</f>
        <v>-14694.447964829405</v>
      </c>
      <c r="X304" s="6" cm="1">
        <f t="array" ref="X304">ABS(Q304/_xll.qwMV01($A$1,"CT10"))</f>
        <v>231.63599008381794</v>
      </c>
      <c r="Y304" s="6" cm="1">
        <f t="array" ref="Y304">IF(N304="BondFuture",-(_xll.qwCurveYield($A$1,_xll.qwSecVal($A$1,AA304,"CreditCurveName()"),AA304)-_xll.qwCurveYield($A$4,_xll.qwSecVal($A$4,AA304,"CreditCurveName()"),AA304))*P304*10000,IF(N304="Bond",-(_xll.qwCurveYield($A$1,_xll.qwSecVal($A$1,F304,"CreditCurveName()"),F304)-_xll.qwCurveYield($A$4,_xll.qwSecVal($A$4,F304,"CreditCurveName()"),F304))*P304*10000,O304))</f>
        <v>240868.30242073644</v>
      </c>
      <c r="Z304" s="6" cm="1">
        <f t="array" ref="Z304">IF(OR(N304="BondFuture",N304="Bond"),P304*(_xll.qwCurveZSpread($A$4,_xll.qwSecVal($A$1,AA304,"CreditCurveName()"),AA304)-_xll.qwCurveZSpread($A$1,_xll.qwSecVal($A$1,AA304,"CreditCurveName()"),AA304)),0)</f>
        <v>0</v>
      </c>
      <c r="AA304" s="9" cm="1">
        <f t="array" ref="AA304">IF(_xll.qwSecType(F304)="Bond",F304,IF(_xll.qwSecType(F304)="BondFuture",_xll.qwFutCTD($A$1,F304),0))</f>
        <v>0</v>
      </c>
      <c r="AB304" s="6" cm="1">
        <f t="array" ref="AB304">IF(_xll.qwSecType(F304)="BondFuture",-(I304*_xll.qwDelta($A$4,F304)*_xll.qwMVFactor($A$1,F304)/_xll.qwMVFactor($A$1,_xll.qwFutCTD($A$1,F304)))*(_xll.qwFXRate($A$1,F304)*_xll.qwMVFactor($A$1,_xll.qwFutCTD($A$1,F304))*(_xll.qwIncome($A$4,_xll.qwFutCTD($A$4,F304),_xll.qwBondSettle($A$4,_xll.qwFutCTD($A$4,F304)),_xll.qwBondSettle($A$1,_xll.qwFutCTD($A$1,F304)))+(_xll.qwSecVal($A$1,AA304,"Price")-_xll.qwSecVal($A$4,AA304,"Price"))-_xll.qwBondRepoFromTo($A$1,AA304,_xll.qwBondSettle($A$4,AA304),_xll.qwBondSettle($A$1,AA304))*_xll.qwSecVal($A$1,AA304,"Price")*(_xll.qwBondSettle($A$1,AA304)-_xll.qwBondSettle($A$4,AA304))/360))+O304,0)</f>
        <v>0</v>
      </c>
      <c r="AC304" s="9" cm="1">
        <f t="array" ref="AC304">O304+T304+IF(ISNUMBER(_xll.qwIncome($A$1,F304,_xll.qwSettle($A$4,F304),_xll.qwSettle($A$1,F304))*_xll.qwMVFactor($A$1,F304)*_xll.qwFXRate($A$1,F304)*I304),_xll.qwIncome($A$1,F304,_xll.qwSettle($A$4,F304),_xll.qwSettle($A$1,F304))*_xll.qwMVFactor($A$1,F304)*_xll.qwFXRate($A$1,F304)*I304,0)+IF(ISNUMBER(-(_xll.qwBondRepoFromTo($A$1,F304,_xll.qwSettle($A$4,F304),_xll.qwSettle($A$1,F304))*_xll.qwSecVal($A$1,F304,"Price")*(_xll.qwSettle($A$1,F304)-_xll.qwSettle($A$4,F304))/360)*_xll.qwMVFactor($A$1,F304)*_xll.qwFXRate($A$1,F304)*I304),-(_xll.qwBondRepoFromTo($A$1,F304,_xll.qwSettle($A$4,F304),_xll.qwSettle($A$1,F304))*_xll.qwSecVal($A$1,F304,"Price")*(_xll.qwSettle($A$1,F304)-_xll.qwSettle($A$4,F304))/360)*_xll.qwMVFactor($A$1,F304)*_xll.qwFXRate($A$1,F304)*I304,0)</f>
        <v>240868.30242073644</v>
      </c>
      <c r="AD304" s="6"/>
    </row>
    <row r="305" spans="2:30" s="19" customFormat="1" x14ac:dyDescent="0.35">
      <c r="B305" s="19" t="str">
        <v>jcleary</v>
      </c>
      <c r="C305" s="19" t="str">
        <v>PPA</v>
      </c>
      <c r="D305" s="19" t="str">
        <v>jcleary|PPA|RV_US_TY_Spread|245404668</v>
      </c>
      <c r="E305" s="19" t="str">
        <v>RV_US_TY_Spread</v>
      </c>
      <c r="F305" s="19" t="str">
        <v>245404668</v>
      </c>
      <c r="G305" s="19">
        <v>325.73599999999999</v>
      </c>
      <c r="H305" s="19">
        <v>0</v>
      </c>
      <c r="I305" s="19">
        <v>325.73599999999999</v>
      </c>
      <c r="J305" s="19">
        <v>0</v>
      </c>
      <c r="K305" s="19">
        <v>0</v>
      </c>
      <c r="L305" s="19">
        <v>0</v>
      </c>
      <c r="M305" s="19">
        <v>0</v>
      </c>
      <c r="N305" s="19" t="str">
        <v>SwapTrade</v>
      </c>
      <c r="O305" s="6" cm="1">
        <f t="array" ref="O305">(_xll.qwPrice($A$1,F305)-_xll.qwPrice($A$4,F305))*_xll.qwMVFactor($A$1,F305)*I305*_xll.qwFXRate($A$1,F305)</f>
        <v>-230498.54447607478</v>
      </c>
      <c r="P305" s="6" cm="1">
        <f t="array" ref="P305">IF(ISNUMBER(_xll.qwDV01($A$1,F305)*I305*_xll.qwMVFactor($A$1,F305)*_xll.qwFXRate($A$1,F305)),_xll.qwDV01($A$1,F305)*I305*_xll.qwMVFactor($A$1,F305)*_xll.qwFXRate($A$1,F305),0)</f>
        <v>-171881.15062396633</v>
      </c>
      <c r="Q305" s="6" cm="1">
        <f t="array" ref="Q305">IF(ISNUMBER(_xll.qwDV01($A$1,F305)*G305*_xll.qwMVFactor($A$1,F305)*_xll.qwFXRate($A$1,F305)),_xll.qwDV01($A$1,F305)*G305*_xll.qwMVFactor($A$1,F305)*_xll.qwFXRate($A$1,F305),0)</f>
        <v>-171881.15062396633</v>
      </c>
      <c r="R305" s="6" cm="1">
        <f t="array" ref="R305">IF(ISNUMBER(_xll.qwDV01($A$1,F305)*J305*_xll.qwMVFactor($A$1,F305)*_xll.qwFXRate($A$1,F305)),_xll.qwDV01($A$1,F305)*J305*_xll.qwMVFactor($A$1,F305)*_xll.qwFXRate($A$1,F305),0)</f>
        <v>0</v>
      </c>
      <c r="S305" s="6" cm="1">
        <f t="array" ref="S305">IF(ISNUMBER(_xll.qwDV01($A$1,F305)*J305*_xll.qwMVFactor($A$1,F305)*_xll.qwFXRate($A$1,F305)),_xll.qwDV01($A$1,F305)*J305*_xll.qwMVFactor($A$1,F305)*_xll.qwFXRate($A$1,F305),0)</f>
        <v>0</v>
      </c>
      <c r="T305" s="6" cm="1">
        <f t="array" ref="T305">_xll.qwFXRate($A$1,F305)*J305*(_xll.qwPrice($A$1,F305)-M305)*_xll.qwMVFactor($A$1,F305)+L305</f>
        <v>0</v>
      </c>
      <c r="U305" s="8" cm="1">
        <f t="array" ref="U305">_xll.qwYield($A$1,F305)</f>
        <v>4.7266079358983568E-2</v>
      </c>
      <c r="V305" s="8" cm="1">
        <f t="array" ref="V305">100*(_xll.qwYield($A$4,F305)-U305)</f>
        <v>1.2999858244428647E-2</v>
      </c>
      <c r="W305" s="6">
        <f>IF(ISNA(G305*INDEX(_xll.qwTblData(_xll.qwCurveScenariosPerSecurity($A$1,F305,"Crv210")),2,2)),0,(G305*INDEX(_xll.qwTblData(_xll.qwCurveScenariosPerSecurity($A$1,F305,"Crv210")),2,2)))</f>
        <v>7582.1850216593748</v>
      </c>
      <c r="X305" s="6" cm="1">
        <f t="array" ref="X305">ABS(Q305/_xll.qwMV01($A$1,"CT10"))</f>
        <v>231.38486479349018</v>
      </c>
      <c r="Y305" s="6" cm="1">
        <f t="array" ref="Y305">IF(N305="BondFuture",-(_xll.qwCurveYield($A$1,_xll.qwSecVal($A$1,AA305,"CreditCurveName()"),AA305)-_xll.qwCurveYield($A$4,_xll.qwSecVal($A$4,AA305,"CreditCurveName()"),AA305))*P305*10000,IF(N305="Bond",-(_xll.qwCurveYield($A$1,_xll.qwSecVal($A$1,F305,"CreditCurveName()"),F305)-_xll.qwCurveYield($A$4,_xll.qwSecVal($A$4,F305,"CreditCurveName()"),F305))*P305*10000,O305))</f>
        <v>-230498.54447607478</v>
      </c>
      <c r="Z305" s="6" cm="1">
        <f t="array" ref="Z305">IF(OR(N305="BondFuture",N305="Bond"),P305*(_xll.qwCurveZSpread($A$4,_xll.qwSecVal($A$1,AA305,"CreditCurveName()"),AA305)-_xll.qwCurveZSpread($A$1,_xll.qwSecVal($A$1,AA305,"CreditCurveName()"),AA305)),0)</f>
        <v>0</v>
      </c>
      <c r="AA305" s="9" cm="1">
        <f t="array" ref="AA305">IF(_xll.qwSecType(F305)="Bond",F305,IF(_xll.qwSecType(F305)="BondFuture",_xll.qwFutCTD($A$1,F305),0))</f>
        <v>0</v>
      </c>
      <c r="AB305" s="6" cm="1">
        <f t="array" ref="AB305">IF(_xll.qwSecType(F305)="BondFuture",-(I305*_xll.qwDelta($A$4,F305)*_xll.qwMVFactor($A$1,F305)/_xll.qwMVFactor($A$1,_xll.qwFutCTD($A$1,F305)))*(_xll.qwFXRate($A$1,F305)*_xll.qwMVFactor($A$1,_xll.qwFutCTD($A$1,F305))*(_xll.qwIncome($A$4,_xll.qwFutCTD($A$4,F305),_xll.qwBondSettle($A$4,_xll.qwFutCTD($A$4,F305)),_xll.qwBondSettle($A$1,_xll.qwFutCTD($A$1,F305)))+(_xll.qwSecVal($A$1,AA305,"Price")-_xll.qwSecVal($A$4,AA305,"Price"))-_xll.qwBondRepoFromTo($A$1,AA305,_xll.qwBondSettle($A$4,AA305),_xll.qwBondSettle($A$1,AA305))*_xll.qwSecVal($A$1,AA305,"Price")*(_xll.qwBondSettle($A$1,AA305)-_xll.qwBondSettle($A$4,AA305))/360))+O305,0)</f>
        <v>0</v>
      </c>
      <c r="AC305" s="9" cm="1">
        <f t="array" ref="AC305">O305+T305+IF(ISNUMBER(_xll.qwIncome($A$1,F305,_xll.qwSettle($A$4,F305),_xll.qwSettle($A$1,F305))*_xll.qwMVFactor($A$1,F305)*_xll.qwFXRate($A$1,F305)*I305),_xll.qwIncome($A$1,F305,_xll.qwSettle($A$4,F305),_xll.qwSettle($A$1,F305))*_xll.qwMVFactor($A$1,F305)*_xll.qwFXRate($A$1,F305)*I305,0)+IF(ISNUMBER(-(_xll.qwBondRepoFromTo($A$1,F305,_xll.qwSettle($A$4,F305),_xll.qwSettle($A$1,F305))*_xll.qwSecVal($A$1,F305,"Price")*(_xll.qwSettle($A$1,F305)-_xll.qwSettle($A$4,F305))/360)*_xll.qwMVFactor($A$1,F305)*_xll.qwFXRate($A$1,F305)*I305),-(_xll.qwBondRepoFromTo($A$1,F305,_xll.qwSettle($A$4,F305),_xll.qwSettle($A$1,F305))*_xll.qwSecVal($A$1,F305,"Price")*(_xll.qwSettle($A$1,F305)-_xll.qwSettle($A$4,F305))/360)*_xll.qwMVFactor($A$1,F305)*_xll.qwFXRate($A$1,F305)*I305,0)</f>
        <v>-230498.54447607478</v>
      </c>
      <c r="AD305" s="6"/>
    </row>
    <row r="306" spans="2:30" s="19" customFormat="1" x14ac:dyDescent="0.35">
      <c r="B306" s="19" t="str">
        <v>jcleary</v>
      </c>
      <c r="C306" s="19" t="str">
        <v>PPA</v>
      </c>
      <c r="D306" s="19" t="str">
        <v>jcleary|PPA|RV_US_TY_Spread|245570646</v>
      </c>
      <c r="E306" s="19" t="str">
        <v>RV_US_TY_Spread</v>
      </c>
      <c r="F306" s="19" t="str">
        <v>245570646</v>
      </c>
      <c r="G306" s="19">
        <v>326.3</v>
      </c>
      <c r="H306" s="19">
        <v>0</v>
      </c>
      <c r="I306" s="19">
        <v>326.3</v>
      </c>
      <c r="J306" s="19">
        <v>0</v>
      </c>
      <c r="K306" s="19">
        <v>0</v>
      </c>
      <c r="L306" s="19">
        <v>0</v>
      </c>
      <c r="M306" s="19">
        <v>0</v>
      </c>
      <c r="N306" s="19" t="str">
        <v>SwapTrade</v>
      </c>
      <c r="O306" s="6" cm="1">
        <f t="array" ref="O306">(_xll.qwPrice($A$1,F306)-_xll.qwPrice($A$4,F306))*_xll.qwMVFactor($A$1,F306)*I306*_xll.qwFXRate($A$1,F306)</f>
        <v>-230991.99313649864</v>
      </c>
      <c r="P306" s="6" cm="1">
        <f t="array" ref="P306">IF(ISNUMBER(_xll.qwDV01($A$1,F306)*I306*_xll.qwMVFactor($A$1,F306)*_xll.qwFXRate($A$1,F306)),_xll.qwDV01($A$1,F306)*I306*_xll.qwMVFactor($A$1,F306)*_xll.qwFXRate($A$1,F306),0)</f>
        <v>-172253.73362470762</v>
      </c>
      <c r="Q306" s="6" cm="1">
        <f t="array" ref="Q306">IF(ISNUMBER(_xll.qwDV01($A$1,F306)*G306*_xll.qwMVFactor($A$1,F306)*_xll.qwFXRate($A$1,F306)),_xll.qwDV01($A$1,F306)*G306*_xll.qwMVFactor($A$1,F306)*_xll.qwFXRate($A$1,F306),0)</f>
        <v>-172253.73362470762</v>
      </c>
      <c r="R306" s="6" cm="1">
        <f t="array" ref="R306">IF(ISNUMBER(_xll.qwDV01($A$1,F306)*J306*_xll.qwMVFactor($A$1,F306)*_xll.qwFXRate($A$1,F306)),_xll.qwDV01($A$1,F306)*J306*_xll.qwMVFactor($A$1,F306)*_xll.qwFXRate($A$1,F306),0)</f>
        <v>0</v>
      </c>
      <c r="S306" s="6" cm="1">
        <f t="array" ref="S306">IF(ISNUMBER(_xll.qwDV01($A$1,F306)*J306*_xll.qwMVFactor($A$1,F306)*_xll.qwFXRate($A$1,F306)),_xll.qwDV01($A$1,F306)*J306*_xll.qwMVFactor($A$1,F306)*_xll.qwFXRate($A$1,F306),0)</f>
        <v>0</v>
      </c>
      <c r="T306" s="6" cm="1">
        <f t="array" ref="T306">_xll.qwFXRate($A$1,F306)*J306*(_xll.qwPrice($A$1,F306)-M306)*_xll.qwMVFactor($A$1,F306)+L306</f>
        <v>0</v>
      </c>
      <c r="U306" s="8" cm="1">
        <f t="array" ref="U306">_xll.qwYield($A$1,F306)</f>
        <v>4.7266079358983568E-2</v>
      </c>
      <c r="V306" s="8" cm="1">
        <f t="array" ref="V306">100*(_xll.qwYield($A$4,F306)-U306)</f>
        <v>1.2999858244428647E-2</v>
      </c>
      <c r="W306" s="6">
        <f>IF(ISNA(G306*INDEX(_xll.qwTblData(_xll.qwCurveScenariosPerSecurity($A$1,F306,"Crv210")),2,2)),0,(G306*INDEX(_xll.qwTblData(_xll.qwCurveScenariosPerSecurity($A$1,F306,"Crv210")),2,2)))</f>
        <v>7584.219494758132</v>
      </c>
      <c r="X306" s="6" cm="1">
        <f t="array" ref="X306">ABS(Q306/_xll.qwMV01($A$1,"CT10"))</f>
        <v>231.88643269048129</v>
      </c>
      <c r="Y306" s="6" cm="1">
        <f t="array" ref="Y306">IF(N306="BondFuture",-(_xll.qwCurveYield($A$1,_xll.qwSecVal($A$1,AA306,"CreditCurveName()"),AA306)-_xll.qwCurveYield($A$4,_xll.qwSecVal($A$4,AA306,"CreditCurveName()"),AA306))*P306*10000,IF(N306="Bond",-(_xll.qwCurveYield($A$1,_xll.qwSecVal($A$1,F306,"CreditCurveName()"),F306)-_xll.qwCurveYield($A$4,_xll.qwSecVal($A$4,F306,"CreditCurveName()"),F306))*P306*10000,O306))</f>
        <v>-230991.99313649864</v>
      </c>
      <c r="Z306" s="6" cm="1">
        <f t="array" ref="Z306">IF(OR(N306="BondFuture",N306="Bond"),P306*(_xll.qwCurveZSpread($A$4,_xll.qwSecVal($A$1,AA306,"CreditCurveName()"),AA306)-_xll.qwCurveZSpread($A$1,_xll.qwSecVal($A$1,AA306,"CreditCurveName()"),AA306)),0)</f>
        <v>0</v>
      </c>
      <c r="AA306" s="9" cm="1">
        <f t="array" ref="AA306">IF(_xll.qwSecType(F306)="Bond",F306,IF(_xll.qwSecType(F306)="BondFuture",_xll.qwFutCTD($A$1,F306),0))</f>
        <v>0</v>
      </c>
      <c r="AB306" s="6" cm="1">
        <f t="array" ref="AB306">IF(_xll.qwSecType(F306)="BondFuture",-(I306*_xll.qwDelta($A$4,F306)*_xll.qwMVFactor($A$1,F306)/_xll.qwMVFactor($A$1,_xll.qwFutCTD($A$1,F306)))*(_xll.qwFXRate($A$1,F306)*_xll.qwMVFactor($A$1,_xll.qwFutCTD($A$1,F306))*(_xll.qwIncome($A$4,_xll.qwFutCTD($A$4,F306),_xll.qwBondSettle($A$4,_xll.qwFutCTD($A$4,F306)),_xll.qwBondSettle($A$1,_xll.qwFutCTD($A$1,F306)))+(_xll.qwSecVal($A$1,AA306,"Price")-_xll.qwSecVal($A$4,AA306,"Price"))-_xll.qwBondRepoFromTo($A$1,AA306,_xll.qwBondSettle($A$4,AA306),_xll.qwBondSettle($A$1,AA306))*_xll.qwSecVal($A$1,AA306,"Price")*(_xll.qwBondSettle($A$1,AA306)-_xll.qwBondSettle($A$4,AA306))/360))+O306,0)</f>
        <v>0</v>
      </c>
      <c r="AC306" s="9" cm="1">
        <f t="array" ref="AC306">O306+T306+IF(ISNUMBER(_xll.qwIncome($A$1,F306,_xll.qwSettle($A$4,F306),_xll.qwSettle($A$1,F306))*_xll.qwMVFactor($A$1,F306)*_xll.qwFXRate($A$1,F306)*I306),_xll.qwIncome($A$1,F306,_xll.qwSettle($A$4,F306),_xll.qwSettle($A$1,F306))*_xll.qwMVFactor($A$1,F306)*_xll.qwFXRate($A$1,F306)*I306,0)+IF(ISNUMBER(-(_xll.qwBondRepoFromTo($A$1,F306,_xll.qwSettle($A$4,F306),_xll.qwSettle($A$1,F306))*_xll.qwSecVal($A$1,F306,"Price")*(_xll.qwSettle($A$1,F306)-_xll.qwSettle($A$4,F306))/360)*_xll.qwMVFactor($A$1,F306)*_xll.qwFXRate($A$1,F306)*I306),-(_xll.qwBondRepoFromTo($A$1,F306,_xll.qwSettle($A$4,F306),_xll.qwSettle($A$1,F306))*_xll.qwSecVal($A$1,F306,"Price")*(_xll.qwSettle($A$1,F306)-_xll.qwSettle($A$4,F306))/360)*_xll.qwMVFactor($A$1,F306)*_xll.qwFXRate($A$1,F306)*I306,0)</f>
        <v>-230991.99313649864</v>
      </c>
      <c r="AD306" s="6"/>
    </row>
    <row r="307" spans="2:30" s="19" customFormat="1" x14ac:dyDescent="0.35">
      <c r="B307" s="19" t="str">
        <v>jcleary</v>
      </c>
      <c r="C307" s="19" t="str">
        <v>PPA</v>
      </c>
      <c r="D307" s="19" t="str">
        <v>jcleary|PPA|RV_US_TY_Spread|245570681</v>
      </c>
      <c r="E307" s="19" t="str">
        <v>RV_US_TY_Spread</v>
      </c>
      <c r="F307" s="19" t="str">
        <v>245570681</v>
      </c>
      <c r="G307" s="19">
        <v>312.3</v>
      </c>
      <c r="H307" s="19">
        <v>0</v>
      </c>
      <c r="I307" s="19">
        <v>312.3</v>
      </c>
      <c r="J307" s="19">
        <v>0</v>
      </c>
      <c r="K307" s="19">
        <v>0</v>
      </c>
      <c r="L307" s="19">
        <v>0</v>
      </c>
      <c r="M307" s="19">
        <v>0</v>
      </c>
      <c r="N307" s="19" t="str">
        <v>SwapTrade</v>
      </c>
      <c r="O307" s="6" cm="1">
        <f t="array" ref="O307">(_xll.qwPrice($A$1,F307)-_xll.qwPrice($A$4,F307))*_xll.qwMVFactor($A$1,F307)*I307*_xll.qwFXRate($A$1,F307)</f>
        <v>241055.71179183089</v>
      </c>
      <c r="P307" s="6" cm="1">
        <f t="array" ref="P307">IF(ISNUMBER(_xll.qwDV01($A$1,F307)*I307*_xll.qwMVFactor($A$1,F307)*_xll.qwFXRate($A$1,F307)),_xll.qwDV01($A$1,F307)*I307*_xll.qwMVFactor($A$1,F307)*_xll.qwFXRate($A$1,F307),0)</f>
        <v>172194.33059736888</v>
      </c>
      <c r="Q307" s="6" cm="1">
        <f t="array" ref="Q307">IF(ISNUMBER(_xll.qwDV01($A$1,F307)*G307*_xll.qwMVFactor($A$1,F307)*_xll.qwFXRate($A$1,F307)),_xll.qwDV01($A$1,F307)*G307*_xll.qwMVFactor($A$1,F307)*_xll.qwFXRate($A$1,F307),0)</f>
        <v>172194.33059736888</v>
      </c>
      <c r="R307" s="6" cm="1">
        <f t="array" ref="R307">IF(ISNUMBER(_xll.qwDV01($A$1,F307)*J307*_xll.qwMVFactor($A$1,F307)*_xll.qwFXRate($A$1,F307)),_xll.qwDV01($A$1,F307)*J307*_xll.qwMVFactor($A$1,F307)*_xll.qwFXRate($A$1,F307),0)</f>
        <v>0</v>
      </c>
      <c r="S307" s="6" cm="1">
        <f t="array" ref="S307">IF(ISNUMBER(_xll.qwDV01($A$1,F307)*J307*_xll.qwMVFactor($A$1,F307)*_xll.qwFXRate($A$1,F307)),_xll.qwDV01($A$1,F307)*J307*_xll.qwMVFactor($A$1,F307)*_xll.qwFXRate($A$1,F307),0)</f>
        <v>0</v>
      </c>
      <c r="T307" s="6" cm="1">
        <f t="array" ref="T307">_xll.qwFXRate($A$1,F307)*J307*(_xll.qwPrice($A$1,F307)-M307)*_xll.qwMVFactor($A$1,F307)+L307</f>
        <v>0</v>
      </c>
      <c r="U307" s="8" cm="1">
        <f t="array" ref="U307">_xll.qwYield($A$1,F307)</f>
        <v>4.7311560297563941E-2</v>
      </c>
      <c r="V307" s="8" cm="1">
        <f t="array" ref="V307">100*(_xll.qwYield($A$4,F307)-U307)</f>
        <v>1.3670566246419547E-2</v>
      </c>
      <c r="W307" s="6">
        <f>IF(ISNA(G307*INDEX(_xll.qwTblData(_xll.qwCurveScenariosPerSecurity($A$1,F307,"Crv210")),2,2)),0,(G307*INDEX(_xll.qwTblData(_xll.qwCurveScenariosPerSecurity($A$1,F307,"Crv210")),2,2)))</f>
        <v>-14691.503009780714</v>
      </c>
      <c r="X307" s="6" cm="1">
        <f t="array" ref="X307">ABS(Q307/_xll.qwMV01($A$1,"CT10"))</f>
        <v>231.80646486737098</v>
      </c>
      <c r="Y307" s="6" cm="1">
        <f t="array" ref="Y307">IF(N307="BondFuture",-(_xll.qwCurveYield($A$1,_xll.qwSecVal($A$1,AA307,"CreditCurveName()"),AA307)-_xll.qwCurveYield($A$4,_xll.qwSecVal($A$4,AA307,"CreditCurveName()"),AA307))*P307*10000,IF(N307="Bond",-(_xll.qwCurveYield($A$1,_xll.qwSecVal($A$1,F307,"CreditCurveName()"),F307)-_xll.qwCurveYield($A$4,_xll.qwSecVal($A$4,F307,"CreditCurveName()"),F307))*P307*10000,O307))</f>
        <v>241055.71179183089</v>
      </c>
      <c r="Z307" s="6" cm="1">
        <f t="array" ref="Z307">IF(OR(N307="BondFuture",N307="Bond"),P307*(_xll.qwCurveZSpread($A$4,_xll.qwSecVal($A$1,AA307,"CreditCurveName()"),AA307)-_xll.qwCurveZSpread($A$1,_xll.qwSecVal($A$1,AA307,"CreditCurveName()"),AA307)),0)</f>
        <v>0</v>
      </c>
      <c r="AA307" s="9" cm="1">
        <f t="array" ref="AA307">IF(_xll.qwSecType(F307)="Bond",F307,IF(_xll.qwSecType(F307)="BondFuture",_xll.qwFutCTD($A$1,F307),0))</f>
        <v>0</v>
      </c>
      <c r="AB307" s="6" cm="1">
        <f t="array" ref="AB307">IF(_xll.qwSecType(F307)="BondFuture",-(I307*_xll.qwDelta($A$4,F307)*_xll.qwMVFactor($A$1,F307)/_xll.qwMVFactor($A$1,_xll.qwFutCTD($A$1,F307)))*(_xll.qwFXRate($A$1,F307)*_xll.qwMVFactor($A$1,_xll.qwFutCTD($A$1,F307))*(_xll.qwIncome($A$4,_xll.qwFutCTD($A$4,F307),_xll.qwBondSettle($A$4,_xll.qwFutCTD($A$4,F307)),_xll.qwBondSettle($A$1,_xll.qwFutCTD($A$1,F307)))+(_xll.qwSecVal($A$1,AA307,"Price")-_xll.qwSecVal($A$4,AA307,"Price"))-_xll.qwBondRepoFromTo($A$1,AA307,_xll.qwBondSettle($A$4,AA307),_xll.qwBondSettle($A$1,AA307))*_xll.qwSecVal($A$1,AA307,"Price")*(_xll.qwBondSettle($A$1,AA307)-_xll.qwBondSettle($A$4,AA307))/360))+O307,0)</f>
        <v>0</v>
      </c>
      <c r="AC307" s="9" cm="1">
        <f t="array" ref="AC307">O307+T307+IF(ISNUMBER(_xll.qwIncome($A$1,F307,_xll.qwSettle($A$4,F307),_xll.qwSettle($A$1,F307))*_xll.qwMVFactor($A$1,F307)*_xll.qwFXRate($A$1,F307)*I307),_xll.qwIncome($A$1,F307,_xll.qwSettle($A$4,F307),_xll.qwSettle($A$1,F307))*_xll.qwMVFactor($A$1,F307)*_xll.qwFXRate($A$1,F307)*I307,0)+IF(ISNUMBER(-(_xll.qwBondRepoFromTo($A$1,F307,_xll.qwSettle($A$4,F307),_xll.qwSettle($A$1,F307))*_xll.qwSecVal($A$1,F307,"Price")*(_xll.qwSettle($A$1,F307)-_xll.qwSettle($A$4,F307))/360)*_xll.qwMVFactor($A$1,F307)*_xll.qwFXRate($A$1,F307)*I307),-(_xll.qwBondRepoFromTo($A$1,F307,_xll.qwSettle($A$4,F307),_xll.qwSettle($A$1,F307))*_xll.qwSecVal($A$1,F307,"Price")*(_xll.qwSettle($A$1,F307)-_xll.qwSettle($A$4,F307))/360)*_xll.qwMVFactor($A$1,F307)*_xll.qwFXRate($A$1,F307)*I307,0)</f>
        <v>241055.71179183089</v>
      </c>
      <c r="AD307" s="6"/>
    </row>
    <row r="308" spans="2:30" s="19" customFormat="1" x14ac:dyDescent="0.35">
      <c r="B308" s="19" t="str">
        <v>jcleary</v>
      </c>
      <c r="C308" s="19" t="str">
        <v>PPA</v>
      </c>
      <c r="D308" s="19" t="str">
        <v>jcleary|PPA|RV_US_TY_Spread|245652779</v>
      </c>
      <c r="E308" s="19" t="str">
        <v>RV_US_TY_Spread</v>
      </c>
      <c r="F308" s="19" t="str">
        <v>245652779</v>
      </c>
      <c r="G308" s="19">
        <v>66.099999999999994</v>
      </c>
      <c r="H308" s="19">
        <v>0</v>
      </c>
      <c r="I308" s="19">
        <v>66.099999999999994</v>
      </c>
      <c r="J308" s="19">
        <v>0</v>
      </c>
      <c r="K308" s="19">
        <v>0</v>
      </c>
      <c r="L308" s="19">
        <v>0</v>
      </c>
      <c r="M308" s="19">
        <v>0</v>
      </c>
      <c r="N308" s="19" t="str">
        <v>SwapTrade</v>
      </c>
      <c r="O308" s="6" cm="1">
        <f t="array" ref="O308">(_xll.qwPrice($A$1,F308)-_xll.qwPrice($A$4,F308))*_xll.qwMVFactor($A$1,F308)*I308*_xll.qwFXRate($A$1,F308)</f>
        <v>-51294.660898554612</v>
      </c>
      <c r="P308" s="6" cm="1">
        <f t="array" ref="P308">IF(ISNUMBER(_xll.qwDV01($A$1,F308)*I308*_xll.qwMVFactor($A$1,F308)*_xll.qwFXRate($A$1,F308)),_xll.qwDV01($A$1,F308)*I308*_xll.qwMVFactor($A$1,F308)*_xll.qwFXRate($A$1,F308),0)</f>
        <v>-36510.570396780866</v>
      </c>
      <c r="Q308" s="6" cm="1">
        <f t="array" ref="Q308">IF(ISNUMBER(_xll.qwDV01($A$1,F308)*G308*_xll.qwMVFactor($A$1,F308)*_xll.qwFXRate($A$1,F308)),_xll.qwDV01($A$1,F308)*G308*_xll.qwMVFactor($A$1,F308)*_xll.qwFXRate($A$1,F308),0)</f>
        <v>-36510.570396780866</v>
      </c>
      <c r="R308" s="6" cm="1">
        <f t="array" ref="R308">IF(ISNUMBER(_xll.qwDV01($A$1,F308)*J308*_xll.qwMVFactor($A$1,F308)*_xll.qwFXRate($A$1,F308)),_xll.qwDV01($A$1,F308)*J308*_xll.qwMVFactor($A$1,F308)*_xll.qwFXRate($A$1,F308),0)</f>
        <v>0</v>
      </c>
      <c r="S308" s="6" cm="1">
        <f t="array" ref="S308">IF(ISNUMBER(_xll.qwDV01($A$1,F308)*J308*_xll.qwMVFactor($A$1,F308)*_xll.qwFXRate($A$1,F308)),_xll.qwDV01($A$1,F308)*J308*_xll.qwMVFactor($A$1,F308)*_xll.qwFXRate($A$1,F308),0)</f>
        <v>0</v>
      </c>
      <c r="T308" s="6" cm="1">
        <f t="array" ref="T308">_xll.qwFXRate($A$1,F308)*J308*(_xll.qwPrice($A$1,F308)-M308)*_xll.qwMVFactor($A$1,F308)+L308</f>
        <v>0</v>
      </c>
      <c r="U308" s="8" cm="1">
        <f t="array" ref="U308">_xll.qwYield($A$1,F308)</f>
        <v>4.7311560297563941E-2</v>
      </c>
      <c r="V308" s="8" cm="1">
        <f t="array" ref="V308">100*(_xll.qwYield($A$4,F308)-U308)</f>
        <v>1.3670566246419547E-2</v>
      </c>
      <c r="W308" s="6">
        <f>IF(ISNA(G308*INDEX(_xll.qwTblData(_xll.qwCurveScenariosPerSecurity($A$1,F308,"Crv210")),2,2)),0,(G308*INDEX(_xll.qwTblData(_xll.qwCurveScenariosPerSecurity($A$1,F308,"Crv210")),2,2)))</f>
        <v>3126.0264268213109</v>
      </c>
      <c r="X308" s="6" cm="1">
        <f t="array" ref="X308">ABS(Q308/_xll.qwMV01($A$1,"CT10"))</f>
        <v>49.150202707651623</v>
      </c>
      <c r="Y308" s="6" cm="1">
        <f t="array" ref="Y308">IF(N308="BondFuture",-(_xll.qwCurveYield($A$1,_xll.qwSecVal($A$1,AA308,"CreditCurveName()"),AA308)-_xll.qwCurveYield($A$4,_xll.qwSecVal($A$4,AA308,"CreditCurveName()"),AA308))*P308*10000,IF(N308="Bond",-(_xll.qwCurveYield($A$1,_xll.qwSecVal($A$1,F308,"CreditCurveName()"),F308)-_xll.qwCurveYield($A$4,_xll.qwSecVal($A$4,F308,"CreditCurveName()"),F308))*P308*10000,O308))</f>
        <v>-51294.660898554612</v>
      </c>
      <c r="Z308" s="6" cm="1">
        <f t="array" ref="Z308">IF(OR(N308="BondFuture",N308="Bond"),P308*(_xll.qwCurveZSpread($A$4,_xll.qwSecVal($A$1,AA308,"CreditCurveName()"),AA308)-_xll.qwCurveZSpread($A$1,_xll.qwSecVal($A$1,AA308,"CreditCurveName()"),AA308)),0)</f>
        <v>0</v>
      </c>
      <c r="AA308" s="9" cm="1">
        <f t="array" ref="AA308">IF(_xll.qwSecType(F308)="Bond",F308,IF(_xll.qwSecType(F308)="BondFuture",_xll.qwFutCTD($A$1,F308),0))</f>
        <v>0</v>
      </c>
      <c r="AB308" s="6" cm="1">
        <f t="array" ref="AB308">IF(_xll.qwSecType(F308)="BondFuture",-(I308*_xll.qwDelta($A$4,F308)*_xll.qwMVFactor($A$1,F308)/_xll.qwMVFactor($A$1,_xll.qwFutCTD($A$1,F308)))*(_xll.qwFXRate($A$1,F308)*_xll.qwMVFactor($A$1,_xll.qwFutCTD($A$1,F308))*(_xll.qwIncome($A$4,_xll.qwFutCTD($A$4,F308),_xll.qwBondSettle($A$4,_xll.qwFutCTD($A$4,F308)),_xll.qwBondSettle($A$1,_xll.qwFutCTD($A$1,F308)))+(_xll.qwSecVal($A$1,AA308,"Price")-_xll.qwSecVal($A$4,AA308,"Price"))-_xll.qwBondRepoFromTo($A$1,AA308,_xll.qwBondSettle($A$4,AA308),_xll.qwBondSettle($A$1,AA308))*_xll.qwSecVal($A$1,AA308,"Price")*(_xll.qwBondSettle($A$1,AA308)-_xll.qwBondSettle($A$4,AA308))/360))+O308,0)</f>
        <v>0</v>
      </c>
      <c r="AC308" s="9" cm="1">
        <f t="array" ref="AC308">O308+T308+IF(ISNUMBER(_xll.qwIncome($A$1,F308,_xll.qwSettle($A$4,F308),_xll.qwSettle($A$1,F308))*_xll.qwMVFactor($A$1,F308)*_xll.qwFXRate($A$1,F308)*I308),_xll.qwIncome($A$1,F308,_xll.qwSettle($A$4,F308),_xll.qwSettle($A$1,F308))*_xll.qwMVFactor($A$1,F308)*_xll.qwFXRate($A$1,F308)*I308,0)+IF(ISNUMBER(-(_xll.qwBondRepoFromTo($A$1,F308,_xll.qwSettle($A$4,F308),_xll.qwSettle($A$1,F308))*_xll.qwSecVal($A$1,F308,"Price")*(_xll.qwSettle($A$1,F308)-_xll.qwSettle($A$4,F308))/360)*_xll.qwMVFactor($A$1,F308)*_xll.qwFXRate($A$1,F308)*I308),-(_xll.qwBondRepoFromTo($A$1,F308,_xll.qwSettle($A$4,F308),_xll.qwSettle($A$1,F308))*_xll.qwSecVal($A$1,F308,"Price")*(_xll.qwSettle($A$1,F308)-_xll.qwSettle($A$4,F308))/360)*_xll.qwMVFactor($A$1,F308)*_xll.qwFXRate($A$1,F308)*I308,0)</f>
        <v>-51294.660898554612</v>
      </c>
      <c r="AD308" s="6"/>
    </row>
    <row r="309" spans="2:30" s="19" customFormat="1" x14ac:dyDescent="0.35">
      <c r="B309" s="19" t="str">
        <v>jcleary</v>
      </c>
      <c r="C309" s="19" t="str">
        <v>PPA</v>
      </c>
      <c r="D309" s="19" t="str">
        <v>jcleary|PPA|RV_US_TY_Spread|245819675</v>
      </c>
      <c r="E309" s="19" t="str">
        <v>RV_US_TY_Spread</v>
      </c>
      <c r="F309" s="19" t="str">
        <v>245819675</v>
      </c>
      <c r="G309" s="19">
        <v>76.900000000000006</v>
      </c>
      <c r="H309" s="19">
        <v>0</v>
      </c>
      <c r="I309" s="19">
        <v>76.900000000000006</v>
      </c>
      <c r="J309" s="19">
        <v>0</v>
      </c>
      <c r="K309" s="19">
        <v>0</v>
      </c>
      <c r="L309" s="19">
        <v>0</v>
      </c>
      <c r="M309" s="19">
        <v>0</v>
      </c>
      <c r="N309" s="19" t="str">
        <v>SwapTrade</v>
      </c>
      <c r="O309" s="6" cm="1">
        <f t="array" ref="O309">(_xll.qwPrice($A$1,F309)-_xll.qwPrice($A$4,F309))*_xll.qwMVFactor($A$1,F309)*I309*_xll.qwFXRate($A$1,F309)</f>
        <v>-59470.117216036</v>
      </c>
      <c r="P309" s="6" cm="1">
        <f t="array" ref="P309">IF(ISNUMBER(_xll.qwDV01($A$1,F309)*I309*_xll.qwMVFactor($A$1,F309)*_xll.qwFXRate($A$1,F309)),_xll.qwDV01($A$1,F309)*I309*_xll.qwMVFactor($A$1,F309)*_xll.qwFXRate($A$1,F309),0)</f>
        <v>-42498.208240485328</v>
      </c>
      <c r="Q309" s="6" cm="1">
        <f t="array" ref="Q309">IF(ISNUMBER(_xll.qwDV01($A$1,F309)*G309*_xll.qwMVFactor($A$1,F309)*_xll.qwFXRate($A$1,F309)),_xll.qwDV01($A$1,F309)*G309*_xll.qwMVFactor($A$1,F309)*_xll.qwFXRate($A$1,F309),0)</f>
        <v>-42498.208240485328</v>
      </c>
      <c r="R309" s="6" cm="1">
        <f t="array" ref="R309">IF(ISNUMBER(_xll.qwDV01($A$1,F309)*J309*_xll.qwMVFactor($A$1,F309)*_xll.qwFXRate($A$1,F309)),_xll.qwDV01($A$1,F309)*J309*_xll.qwMVFactor($A$1,F309)*_xll.qwFXRate($A$1,F309),0)</f>
        <v>0</v>
      </c>
      <c r="S309" s="6" cm="1">
        <f t="array" ref="S309">IF(ISNUMBER(_xll.qwDV01($A$1,F309)*J309*_xll.qwMVFactor($A$1,F309)*_xll.qwFXRate($A$1,F309)),_xll.qwDV01($A$1,F309)*J309*_xll.qwMVFactor($A$1,F309)*_xll.qwFXRate($A$1,F309),0)</f>
        <v>0</v>
      </c>
      <c r="T309" s="6" cm="1">
        <f t="array" ref="T309">_xll.qwFXRate($A$1,F309)*J309*(_xll.qwPrice($A$1,F309)-M309)*_xll.qwMVFactor($A$1,F309)+L309</f>
        <v>0</v>
      </c>
      <c r="U309" s="8" cm="1">
        <f t="array" ref="U309">_xll.qwYield($A$1,F309)</f>
        <v>4.7311560297563941E-2</v>
      </c>
      <c r="V309" s="8" cm="1">
        <f t="array" ref="V309">100*(_xll.qwYield($A$4,F309)-U309)</f>
        <v>1.3670566246419547E-2</v>
      </c>
      <c r="W309" s="6">
        <f>IF(ISNA(G309*INDEX(_xll.qwTblData(_xll.qwCurveScenariosPerSecurity($A$1,F309,"Crv210")),2,2)),0,(G309*INDEX(_xll.qwTblData(_xll.qwCurveScenariosPerSecurity($A$1,F309,"Crv210")),2,2)))</f>
        <v>3603.5982216899802</v>
      </c>
      <c r="X309" s="6" cm="1">
        <f t="array" ref="X309">ABS(Q309/_xll.qwMV01($A$1,"CT10"))</f>
        <v>57.210707119382974</v>
      </c>
      <c r="Y309" s="6" cm="1">
        <f t="array" ref="Y309">IF(N309="BondFuture",-(_xll.qwCurveYield($A$1,_xll.qwSecVal($A$1,AA309,"CreditCurveName()"),AA309)-_xll.qwCurveYield($A$4,_xll.qwSecVal($A$4,AA309,"CreditCurveName()"),AA309))*P309*10000,IF(N309="Bond",-(_xll.qwCurveYield($A$1,_xll.qwSecVal($A$1,F309,"CreditCurveName()"),F309)-_xll.qwCurveYield($A$4,_xll.qwSecVal($A$4,F309,"CreditCurveName()"),F309))*P309*10000,O309))</f>
        <v>-59470.117216036</v>
      </c>
      <c r="Z309" s="6" cm="1">
        <f t="array" ref="Z309">IF(OR(N309="BondFuture",N309="Bond"),P309*(_xll.qwCurveZSpread($A$4,_xll.qwSecVal($A$1,AA309,"CreditCurveName()"),AA309)-_xll.qwCurveZSpread($A$1,_xll.qwSecVal($A$1,AA309,"CreditCurveName()"),AA309)),0)</f>
        <v>0</v>
      </c>
      <c r="AA309" s="9" cm="1">
        <f t="array" ref="AA309">IF(_xll.qwSecType(F309)="Bond",F309,IF(_xll.qwSecType(F309)="BondFuture",_xll.qwFutCTD($A$1,F309),0))</f>
        <v>0</v>
      </c>
      <c r="AB309" s="6" cm="1">
        <f t="array" ref="AB309">IF(_xll.qwSecType(F309)="BondFuture",-(I309*_xll.qwDelta($A$4,F309)*_xll.qwMVFactor($A$1,F309)/_xll.qwMVFactor($A$1,_xll.qwFutCTD($A$1,F309)))*(_xll.qwFXRate($A$1,F309)*_xll.qwMVFactor($A$1,_xll.qwFutCTD($A$1,F309))*(_xll.qwIncome($A$4,_xll.qwFutCTD($A$4,F309),_xll.qwBondSettle($A$4,_xll.qwFutCTD($A$4,F309)),_xll.qwBondSettle($A$1,_xll.qwFutCTD($A$1,F309)))+(_xll.qwSecVal($A$1,AA309,"Price")-_xll.qwSecVal($A$4,AA309,"Price"))-_xll.qwBondRepoFromTo($A$1,AA309,_xll.qwBondSettle($A$4,AA309),_xll.qwBondSettle($A$1,AA309))*_xll.qwSecVal($A$1,AA309,"Price")*(_xll.qwBondSettle($A$1,AA309)-_xll.qwBondSettle($A$4,AA309))/360))+O309,0)</f>
        <v>0</v>
      </c>
      <c r="AC309" s="9" cm="1">
        <f t="array" ref="AC309">O309+T309+IF(ISNUMBER(_xll.qwIncome($A$1,F309,_xll.qwSettle($A$4,F309),_xll.qwSettle($A$1,F309))*_xll.qwMVFactor($A$1,F309)*_xll.qwFXRate($A$1,F309)*I309),_xll.qwIncome($A$1,F309,_xll.qwSettle($A$4,F309),_xll.qwSettle($A$1,F309))*_xll.qwMVFactor($A$1,F309)*_xll.qwFXRate($A$1,F309)*I309,0)+IF(ISNUMBER(-(_xll.qwBondRepoFromTo($A$1,F309,_xll.qwSettle($A$4,F309),_xll.qwSettle($A$1,F309))*_xll.qwSecVal($A$1,F309,"Price")*(_xll.qwSettle($A$1,F309)-_xll.qwSettle($A$4,F309))/360)*_xll.qwMVFactor($A$1,F309)*_xll.qwFXRate($A$1,F309)*I309),-(_xll.qwBondRepoFromTo($A$1,F309,_xll.qwSettle($A$4,F309),_xll.qwSettle($A$1,F309))*_xll.qwSecVal($A$1,F309,"Price")*(_xll.qwSettle($A$1,F309)-_xll.qwSettle($A$4,F309))/360)*_xll.qwMVFactor($A$1,F309)*_xll.qwFXRate($A$1,F309)*I309,0)</f>
        <v>-59470.117216036</v>
      </c>
      <c r="AD309" s="6"/>
    </row>
    <row r="310" spans="2:30" s="19" customFormat="1" x14ac:dyDescent="0.35">
      <c r="B310" s="19" t="str">
        <v>jcleary</v>
      </c>
      <c r="C310" s="19" t="str">
        <v>PPA</v>
      </c>
      <c r="D310" s="19" t="str">
        <v>jcleary|PPA|RV_US_TY_Spread|245887458</v>
      </c>
      <c r="E310" s="19" t="str">
        <v>RV_US_TY_Spread</v>
      </c>
      <c r="F310" s="19" t="str">
        <v>245887458</v>
      </c>
      <c r="G310" s="19">
        <v>78.7</v>
      </c>
      <c r="H310" s="19">
        <v>0</v>
      </c>
      <c r="I310" s="19">
        <v>78.7</v>
      </c>
      <c r="J310" s="19">
        <v>0</v>
      </c>
      <c r="K310" s="19">
        <v>0</v>
      </c>
      <c r="L310" s="19">
        <v>0</v>
      </c>
      <c r="M310" s="19">
        <v>0</v>
      </c>
      <c r="N310" s="19" t="str">
        <v>SwapTrade</v>
      </c>
      <c r="O310" s="6" cm="1">
        <f t="array" ref="O310">(_xll.qwPrice($A$1,F310)-_xll.qwPrice($A$4,F310))*_xll.qwMVFactor($A$1,F310)*I310*_xll.qwFXRate($A$1,F310)</f>
        <v>-73305.692312434461</v>
      </c>
      <c r="P310" s="6" cm="1">
        <f t="array" ref="P310">IF(ISNUMBER(_xll.qwDV01($A$1,F310)*I310*_xll.qwMVFactor($A$1,F310)*_xll.qwFXRate($A$1,F310)),_xll.qwDV01($A$1,F310)*I310*_xll.qwMVFactor($A$1,F310)*_xll.qwFXRate($A$1,F310),0)</f>
        <v>-47239.177884093522</v>
      </c>
      <c r="Q310" s="6" cm="1">
        <f t="array" ref="Q310">IF(ISNUMBER(_xll.qwDV01($A$1,F310)*G310*_xll.qwMVFactor($A$1,F310)*_xll.qwFXRate($A$1,F310)),_xll.qwDV01($A$1,F310)*G310*_xll.qwMVFactor($A$1,F310)*_xll.qwFXRate($A$1,F310),0)</f>
        <v>-47239.177884093522</v>
      </c>
      <c r="R310" s="6" cm="1">
        <f t="array" ref="R310">IF(ISNUMBER(_xll.qwDV01($A$1,F310)*J310*_xll.qwMVFactor($A$1,F310)*_xll.qwFXRate($A$1,F310)),_xll.qwDV01($A$1,F310)*J310*_xll.qwMVFactor($A$1,F310)*_xll.qwFXRate($A$1,F310),0)</f>
        <v>0</v>
      </c>
      <c r="S310" s="6" cm="1">
        <f t="array" ref="S310">IF(ISNUMBER(_xll.qwDV01($A$1,F310)*J310*_xll.qwMVFactor($A$1,F310)*_xll.qwFXRate($A$1,F310)),_xll.qwDV01($A$1,F310)*J310*_xll.qwMVFactor($A$1,F310)*_xll.qwFXRate($A$1,F310),0)</f>
        <v>0</v>
      </c>
      <c r="T310" s="6" cm="1">
        <f t="array" ref="T310">_xll.qwFXRate($A$1,F310)*J310*(_xll.qwPrice($A$1,F310)-M310)*_xll.qwMVFactor($A$1,F310)+L310</f>
        <v>0</v>
      </c>
      <c r="U310" s="8" cm="1">
        <f t="array" ref="U310">_xll.qwYield($A$1,F310)</f>
        <v>4.7436467458888645E-2</v>
      </c>
      <c r="V310" s="8" cm="1">
        <f t="array" ref="V310">100*(_xll.qwYield($A$4,F310)-U310)</f>
        <v>1.5142692694201237E-2</v>
      </c>
      <c r="W310" s="6">
        <f>IF(ISNA(G310*INDEX(_xll.qwTblData(_xll.qwCurveScenariosPerSecurity($A$1,F310,"Crv210")),2,2)),0,(G310*INDEX(_xll.qwTblData(_xll.qwCurveScenariosPerSecurity($A$1,F310,"Crv210")),2,2)))</f>
        <v>8337.7613290396166</v>
      </c>
      <c r="X310" s="6" cm="1">
        <f t="array" ref="X310">ABS(Q310/_xll.qwMV01($A$1,"CT10"))</f>
        <v>63.592957971172211</v>
      </c>
      <c r="Y310" s="6" cm="1">
        <f t="array" ref="Y310">IF(N310="BondFuture",-(_xll.qwCurveYield($A$1,_xll.qwSecVal($A$1,AA310,"CreditCurveName()"),AA310)-_xll.qwCurveYield($A$4,_xll.qwSecVal($A$4,AA310,"CreditCurveName()"),AA310))*P310*10000,IF(N310="Bond",-(_xll.qwCurveYield($A$1,_xll.qwSecVal($A$1,F310,"CreditCurveName()"),F310)-_xll.qwCurveYield($A$4,_xll.qwSecVal($A$4,F310,"CreditCurveName()"),F310))*P310*10000,O310))</f>
        <v>-73305.692312434461</v>
      </c>
      <c r="Z310" s="6" cm="1">
        <f t="array" ref="Z310">IF(OR(N310="BondFuture",N310="Bond"),P310*(_xll.qwCurveZSpread($A$4,_xll.qwSecVal($A$1,AA310,"CreditCurveName()"),AA310)-_xll.qwCurveZSpread($A$1,_xll.qwSecVal($A$1,AA310,"CreditCurveName()"),AA310)),0)</f>
        <v>0</v>
      </c>
      <c r="AA310" s="9" cm="1">
        <f t="array" ref="AA310">IF(_xll.qwSecType(F310)="Bond",F310,IF(_xll.qwSecType(F310)="BondFuture",_xll.qwFutCTD($A$1,F310),0))</f>
        <v>0</v>
      </c>
      <c r="AB310" s="6" cm="1">
        <f t="array" ref="AB310">IF(_xll.qwSecType(F310)="BondFuture",-(I310*_xll.qwDelta($A$4,F310)*_xll.qwMVFactor($A$1,F310)/_xll.qwMVFactor($A$1,_xll.qwFutCTD($A$1,F310)))*(_xll.qwFXRate($A$1,F310)*_xll.qwMVFactor($A$1,_xll.qwFutCTD($A$1,F310))*(_xll.qwIncome($A$4,_xll.qwFutCTD($A$4,F310),_xll.qwBondSettle($A$4,_xll.qwFutCTD($A$4,F310)),_xll.qwBondSettle($A$1,_xll.qwFutCTD($A$1,F310)))+(_xll.qwSecVal($A$1,AA310,"Price")-_xll.qwSecVal($A$4,AA310,"Price"))-_xll.qwBondRepoFromTo($A$1,AA310,_xll.qwBondSettle($A$4,AA310),_xll.qwBondSettle($A$1,AA310))*_xll.qwSecVal($A$1,AA310,"Price")*(_xll.qwBondSettle($A$1,AA310)-_xll.qwBondSettle($A$4,AA310))/360))+O310,0)</f>
        <v>0</v>
      </c>
      <c r="AC310" s="9" cm="1">
        <f t="array" ref="AC310">O310+T310+IF(ISNUMBER(_xll.qwIncome($A$1,F310,_xll.qwSettle($A$4,F310),_xll.qwSettle($A$1,F310))*_xll.qwMVFactor($A$1,F310)*_xll.qwFXRate($A$1,F310)*I310),_xll.qwIncome($A$1,F310,_xll.qwSettle($A$4,F310),_xll.qwSettle($A$1,F310))*_xll.qwMVFactor($A$1,F310)*_xll.qwFXRate($A$1,F310)*I310,0)+IF(ISNUMBER(-(_xll.qwBondRepoFromTo($A$1,F310,_xll.qwSettle($A$4,F310),_xll.qwSettle($A$1,F310))*_xll.qwSecVal($A$1,F310,"Price")*(_xll.qwSettle($A$1,F310)-_xll.qwSettle($A$4,F310))/360)*_xll.qwMVFactor($A$1,F310)*_xll.qwFXRate($A$1,F310)*I310),-(_xll.qwBondRepoFromTo($A$1,F310,_xll.qwSettle($A$4,F310),_xll.qwSettle($A$1,F310))*_xll.qwSecVal($A$1,F310,"Price")*(_xll.qwSettle($A$1,F310)-_xll.qwSettle($A$4,F310))/360)*_xll.qwMVFactor($A$1,F310)*_xll.qwFXRate($A$1,F310)*I310,0)</f>
        <v>-73305.692312434461</v>
      </c>
      <c r="AD310" s="6"/>
    </row>
    <row r="311" spans="2:30" s="19" customFormat="1" x14ac:dyDescent="0.35">
      <c r="B311" s="19" t="str">
        <v>jcleary</v>
      </c>
      <c r="C311" s="19" t="str">
        <v>PPA</v>
      </c>
      <c r="D311" s="19" t="str">
        <v>jcleary|PPA|RV_US_TY_Spread|248308134</v>
      </c>
      <c r="E311" s="19" t="str">
        <v>RV_US_TY_Spread</v>
      </c>
      <c r="F311" s="19" t="str">
        <v>248308134</v>
      </c>
      <c r="G311" s="19">
        <v>76.8</v>
      </c>
      <c r="H311" s="19">
        <v>0</v>
      </c>
      <c r="I311" s="19">
        <v>76.8</v>
      </c>
      <c r="J311" s="19">
        <v>0</v>
      </c>
      <c r="K311" s="19">
        <v>0</v>
      </c>
      <c r="L311" s="19">
        <v>0</v>
      </c>
      <c r="M311" s="19">
        <v>0</v>
      </c>
      <c r="N311" s="19" t="str">
        <v>SwapTrade</v>
      </c>
      <c r="O311" s="6" cm="1">
        <f t="array" ref="O311">(_xll.qwPrice($A$1,F311)-_xll.qwPrice($A$4,F311))*_xll.qwMVFactor($A$1,F311)*I311*_xll.qwFXRate($A$1,F311)</f>
        <v>-80503.015111135261</v>
      </c>
      <c r="P311" s="6" cm="1">
        <f t="array" ref="P311">IF(ISNUMBER(_xll.qwDV01($A$1,F311)*I311*_xll.qwMVFactor($A$1,F311)*_xll.qwFXRate($A$1,F311)),_xll.qwDV01($A$1,F311)*I311*_xll.qwMVFactor($A$1,F311)*_xll.qwFXRate($A$1,F311),0)</f>
        <v>-48627.982583768411</v>
      </c>
      <c r="Q311" s="6" cm="1">
        <f t="array" ref="Q311">IF(ISNUMBER(_xll.qwDV01($A$1,F311)*G311*_xll.qwMVFactor($A$1,F311)*_xll.qwFXRate($A$1,F311)),_xll.qwDV01($A$1,F311)*G311*_xll.qwMVFactor($A$1,F311)*_xll.qwFXRate($A$1,F311),0)</f>
        <v>-48627.982583768411</v>
      </c>
      <c r="R311" s="6" cm="1">
        <f t="array" ref="R311">IF(ISNUMBER(_xll.qwDV01($A$1,F311)*J311*_xll.qwMVFactor($A$1,F311)*_xll.qwFXRate($A$1,F311)),_xll.qwDV01($A$1,F311)*J311*_xll.qwMVFactor($A$1,F311)*_xll.qwFXRate($A$1,F311),0)</f>
        <v>0</v>
      </c>
      <c r="S311" s="6" cm="1">
        <f t="array" ref="S311">IF(ISNUMBER(_xll.qwDV01($A$1,F311)*J311*_xll.qwMVFactor($A$1,F311)*_xll.qwFXRate($A$1,F311)),_xll.qwDV01($A$1,F311)*J311*_xll.qwMVFactor($A$1,F311)*_xll.qwFXRate($A$1,F311),0)</f>
        <v>0</v>
      </c>
      <c r="T311" s="6" cm="1">
        <f t="array" ref="T311">_xll.qwFXRate($A$1,F311)*J311*(_xll.qwPrice($A$1,F311)-M311)*_xll.qwMVFactor($A$1,F311)+L311</f>
        <v>0</v>
      </c>
      <c r="U311" s="8" cm="1">
        <f t="array" ref="U311">_xll.qwYield($A$1,F311)</f>
        <v>4.7538222331360527E-2</v>
      </c>
      <c r="V311" s="8" cm="1">
        <f t="array" ref="V311">100*(_xll.qwYield($A$4,F311)-U311)</f>
        <v>1.6233519294874682E-2</v>
      </c>
      <c r="W311" s="6">
        <f>IF(ISNA(G311*INDEX(_xll.qwTblData(_xll.qwCurveScenariosPerSecurity($A$1,F311,"Crv210")),2,2)),0,(G311*INDEX(_xll.qwTblData(_xll.qwCurveScenariosPerSecurity($A$1,F311,"Crv210")),2,2)))</f>
        <v>11646.222367584414</v>
      </c>
      <c r="X311" s="6" cm="1">
        <f t="array" ref="X311">ABS(Q311/_xll.qwMV01($A$1,"CT10"))</f>
        <v>65.462554413203648</v>
      </c>
      <c r="Y311" s="6" cm="1">
        <f t="array" ref="Y311">IF(N311="BondFuture",-(_xll.qwCurveYield($A$1,_xll.qwSecVal($A$1,AA311,"CreditCurveName()"),AA311)-_xll.qwCurveYield($A$4,_xll.qwSecVal($A$4,AA311,"CreditCurveName()"),AA311))*P311*10000,IF(N311="Bond",-(_xll.qwCurveYield($A$1,_xll.qwSecVal($A$1,F311,"CreditCurveName()"),F311)-_xll.qwCurveYield($A$4,_xll.qwSecVal($A$4,F311,"CreditCurveName()"),F311))*P311*10000,O311))</f>
        <v>-80503.015111135261</v>
      </c>
      <c r="Z311" s="6" cm="1">
        <f t="array" ref="Z311">IF(OR(N311="BondFuture",N311="Bond"),P311*(_xll.qwCurveZSpread($A$4,_xll.qwSecVal($A$1,AA311,"CreditCurveName()"),AA311)-_xll.qwCurveZSpread($A$1,_xll.qwSecVal($A$1,AA311,"CreditCurveName()"),AA311)),0)</f>
        <v>0</v>
      </c>
      <c r="AA311" s="9" cm="1">
        <f t="array" ref="AA311">IF(_xll.qwSecType(F311)="Bond",F311,IF(_xll.qwSecType(F311)="BondFuture",_xll.qwFutCTD($A$1,F311),0))</f>
        <v>0</v>
      </c>
      <c r="AB311" s="6" cm="1">
        <f t="array" ref="AB311">IF(_xll.qwSecType(F311)="BondFuture",-(I311*_xll.qwDelta($A$4,F311)*_xll.qwMVFactor($A$1,F311)/_xll.qwMVFactor($A$1,_xll.qwFutCTD($A$1,F311)))*(_xll.qwFXRate($A$1,F311)*_xll.qwMVFactor($A$1,_xll.qwFutCTD($A$1,F311))*(_xll.qwIncome($A$4,_xll.qwFutCTD($A$4,F311),_xll.qwBondSettle($A$4,_xll.qwFutCTD($A$4,F311)),_xll.qwBondSettle($A$1,_xll.qwFutCTD($A$1,F311)))+(_xll.qwSecVal($A$1,AA311,"Price")-_xll.qwSecVal($A$4,AA311,"Price"))-_xll.qwBondRepoFromTo($A$1,AA311,_xll.qwBondSettle($A$4,AA311),_xll.qwBondSettle($A$1,AA311))*_xll.qwSecVal($A$1,AA311,"Price")*(_xll.qwBondSettle($A$1,AA311)-_xll.qwBondSettle($A$4,AA311))/360))+O311,0)</f>
        <v>0</v>
      </c>
      <c r="AC311" s="9" cm="1">
        <f t="array" ref="AC311">O311+T311+IF(ISNUMBER(_xll.qwIncome($A$1,F311,_xll.qwSettle($A$4,F311),_xll.qwSettle($A$1,F311))*_xll.qwMVFactor($A$1,F311)*_xll.qwFXRate($A$1,F311)*I311),_xll.qwIncome($A$1,F311,_xll.qwSettle($A$4,F311),_xll.qwSettle($A$1,F311))*_xll.qwMVFactor($A$1,F311)*_xll.qwFXRate($A$1,F311)*I311,0)+IF(ISNUMBER(-(_xll.qwBondRepoFromTo($A$1,F311,_xll.qwSettle($A$4,F311),_xll.qwSettle($A$1,F311))*_xll.qwSecVal($A$1,F311,"Price")*(_xll.qwSettle($A$1,F311)-_xll.qwSettle($A$4,F311))/360)*_xll.qwMVFactor($A$1,F311)*_xll.qwFXRate($A$1,F311)*I311),-(_xll.qwBondRepoFromTo($A$1,F311,_xll.qwSettle($A$4,F311),_xll.qwSettle($A$1,F311))*_xll.qwSecVal($A$1,F311,"Price")*(_xll.qwSettle($A$1,F311)-_xll.qwSettle($A$4,F311))/360)*_xll.qwMVFactor($A$1,F311)*_xll.qwFXRate($A$1,F311)*I311,0)</f>
        <v>-80503.015111135261</v>
      </c>
      <c r="AD311" s="6"/>
    </row>
    <row r="312" spans="2:30" s="19" customFormat="1" x14ac:dyDescent="0.35">
      <c r="B312" s="19" t="str">
        <v>jcleary</v>
      </c>
      <c r="C312" s="19" t="str">
        <v>PPA</v>
      </c>
      <c r="D312" s="19" t="str">
        <v>jcleary|PPA|RV_US_TY_Spread|249069902</v>
      </c>
      <c r="E312" s="19" t="str">
        <v>RV_US_TY_Spread</v>
      </c>
      <c r="F312" s="19" t="str">
        <v>249069902</v>
      </c>
      <c r="G312" s="19">
        <v>108.4</v>
      </c>
      <c r="H312" s="19">
        <v>0</v>
      </c>
      <c r="I312" s="19">
        <v>108.4</v>
      </c>
      <c r="J312" s="19">
        <v>0</v>
      </c>
      <c r="K312" s="19">
        <v>0</v>
      </c>
      <c r="L312" s="19">
        <v>0</v>
      </c>
      <c r="M312" s="19">
        <v>0</v>
      </c>
      <c r="N312" s="19" t="str">
        <v>SwapTrade</v>
      </c>
      <c r="O312" s="6" cm="1">
        <f t="array" ref="O312">(_xll.qwPrice($A$1,F312)-_xll.qwPrice($A$4,F312))*_xll.qwMVFactor($A$1,F312)*I312*_xll.qwFXRate($A$1,F312)</f>
        <v>-107789.82785902024</v>
      </c>
      <c r="P312" s="6" cm="1">
        <f t="array" ref="P312">IF(ISNUMBER(_xll.qwDV01($A$1,F312)*I312*_xll.qwMVFactor($A$1,F312)*_xll.qwFXRate($A$1,F312)),_xll.qwDV01($A$1,F312)*I312*_xll.qwMVFactor($A$1,F312)*_xll.qwFXRate($A$1,F312),0)</f>
        <v>-67286.185473287987</v>
      </c>
      <c r="Q312" s="6" cm="1">
        <f t="array" ref="Q312">IF(ISNUMBER(_xll.qwDV01($A$1,F312)*G312*_xll.qwMVFactor($A$1,F312)*_xll.qwFXRate($A$1,F312)),_xll.qwDV01($A$1,F312)*G312*_xll.qwMVFactor($A$1,F312)*_xll.qwFXRate($A$1,F312),0)</f>
        <v>-67286.185473287987</v>
      </c>
      <c r="R312" s="6" cm="1">
        <f t="array" ref="R312">IF(ISNUMBER(_xll.qwDV01($A$1,F312)*J312*_xll.qwMVFactor($A$1,F312)*_xll.qwFXRate($A$1,F312)),_xll.qwDV01($A$1,F312)*J312*_xll.qwMVFactor($A$1,F312)*_xll.qwFXRate($A$1,F312),0)</f>
        <v>0</v>
      </c>
      <c r="S312" s="6" cm="1">
        <f t="array" ref="S312">IF(ISNUMBER(_xll.qwDV01($A$1,F312)*J312*_xll.qwMVFactor($A$1,F312)*_xll.qwFXRate($A$1,F312)),_xll.qwDV01($A$1,F312)*J312*_xll.qwMVFactor($A$1,F312)*_xll.qwFXRate($A$1,F312),0)</f>
        <v>0</v>
      </c>
      <c r="T312" s="6" cm="1">
        <f t="array" ref="T312">_xll.qwFXRate($A$1,F312)*J312*(_xll.qwPrice($A$1,F312)-M312)*_xll.qwMVFactor($A$1,F312)+L312</f>
        <v>0</v>
      </c>
      <c r="U312" s="8" cm="1">
        <f t="array" ref="U312">_xll.qwYield($A$1,F312)</f>
        <v>4.7476822292721238E-2</v>
      </c>
      <c r="V312" s="8" cm="1">
        <f t="array" ref="V312">100*(_xll.qwYield($A$4,F312)-U312)</f>
        <v>1.5697009637031384E-2</v>
      </c>
      <c r="W312" s="6">
        <f>IF(ISNA(G312*INDEX(_xll.qwTblData(_xll.qwCurveScenariosPerSecurity($A$1,F312,"Crv210")),2,2)),0,(G312*INDEX(_xll.qwTblData(_xll.qwCurveScenariosPerSecurity($A$1,F312,"Crv210")),2,2)))</f>
        <v>13826.659062231791</v>
      </c>
      <c r="X312" s="6" cm="1">
        <f t="array" ref="X312">ABS(Q312/_xll.qwMV01($A$1,"CT10"))</f>
        <v>90.580059952400461</v>
      </c>
      <c r="Y312" s="6" cm="1">
        <f t="array" ref="Y312">IF(N312="BondFuture",-(_xll.qwCurveYield($A$1,_xll.qwSecVal($A$1,AA312,"CreditCurveName()"),AA312)-_xll.qwCurveYield($A$4,_xll.qwSecVal($A$4,AA312,"CreditCurveName()"),AA312))*P312*10000,IF(N312="Bond",-(_xll.qwCurveYield($A$1,_xll.qwSecVal($A$1,F312,"CreditCurveName()"),F312)-_xll.qwCurveYield($A$4,_xll.qwSecVal($A$4,F312,"CreditCurveName()"),F312))*P312*10000,O312))</f>
        <v>-107789.82785902024</v>
      </c>
      <c r="Z312" s="6" cm="1">
        <f t="array" ref="Z312">IF(OR(N312="BondFuture",N312="Bond"),P312*(_xll.qwCurveZSpread($A$4,_xll.qwSecVal($A$1,AA312,"CreditCurveName()"),AA312)-_xll.qwCurveZSpread($A$1,_xll.qwSecVal($A$1,AA312,"CreditCurveName()"),AA312)),0)</f>
        <v>0</v>
      </c>
      <c r="AA312" s="9" cm="1">
        <f t="array" ref="AA312">IF(_xll.qwSecType(F312)="Bond",F312,IF(_xll.qwSecType(F312)="BondFuture",_xll.qwFutCTD($A$1,F312),0))</f>
        <v>0</v>
      </c>
      <c r="AB312" s="6" cm="1">
        <f t="array" ref="AB312">IF(_xll.qwSecType(F312)="BondFuture",-(I312*_xll.qwDelta($A$4,F312)*_xll.qwMVFactor($A$1,F312)/_xll.qwMVFactor($A$1,_xll.qwFutCTD($A$1,F312)))*(_xll.qwFXRate($A$1,F312)*_xll.qwMVFactor($A$1,_xll.qwFutCTD($A$1,F312))*(_xll.qwIncome($A$4,_xll.qwFutCTD($A$4,F312),_xll.qwBondSettle($A$4,_xll.qwFutCTD($A$4,F312)),_xll.qwBondSettle($A$1,_xll.qwFutCTD($A$1,F312)))+(_xll.qwSecVal($A$1,AA312,"Price")-_xll.qwSecVal($A$4,AA312,"Price"))-_xll.qwBondRepoFromTo($A$1,AA312,_xll.qwBondSettle($A$4,AA312),_xll.qwBondSettle($A$1,AA312))*_xll.qwSecVal($A$1,AA312,"Price")*(_xll.qwBondSettle($A$1,AA312)-_xll.qwBondSettle($A$4,AA312))/360))+O312,0)</f>
        <v>0</v>
      </c>
      <c r="AC312" s="9" cm="1">
        <f t="array" ref="AC312">O312+T312+IF(ISNUMBER(_xll.qwIncome($A$1,F312,_xll.qwSettle($A$4,F312),_xll.qwSettle($A$1,F312))*_xll.qwMVFactor($A$1,F312)*_xll.qwFXRate($A$1,F312)*I312),_xll.qwIncome($A$1,F312,_xll.qwSettle($A$4,F312),_xll.qwSettle($A$1,F312))*_xll.qwMVFactor($A$1,F312)*_xll.qwFXRate($A$1,F312)*I312,0)+IF(ISNUMBER(-(_xll.qwBondRepoFromTo($A$1,F312,_xll.qwSettle($A$4,F312),_xll.qwSettle($A$1,F312))*_xll.qwSecVal($A$1,F312,"Price")*(_xll.qwSettle($A$1,F312)-_xll.qwSettle($A$4,F312))/360)*_xll.qwMVFactor($A$1,F312)*_xll.qwFXRate($A$1,F312)*I312),-(_xll.qwBondRepoFromTo($A$1,F312,_xll.qwSettle($A$4,F312),_xll.qwSettle($A$1,F312))*_xll.qwSecVal($A$1,F312,"Price")*(_xll.qwSettle($A$1,F312)-_xll.qwSettle($A$4,F312))/360)*_xll.qwMVFactor($A$1,F312)*_xll.qwFXRate($A$1,F312)*I312,0)</f>
        <v>-107789.82785902024</v>
      </c>
      <c r="AD312" s="6"/>
    </row>
    <row r="313" spans="2:30" s="19" customFormat="1" x14ac:dyDescent="0.35">
      <c r="B313" s="19" t="str">
        <v>jcleary</v>
      </c>
      <c r="C313" s="19" t="str">
        <v>PPA</v>
      </c>
      <c r="D313" s="19" t="str">
        <v>jcleary|PPA|RV_US_TY_Spread|251001574</v>
      </c>
      <c r="E313" s="19" t="str">
        <v>RV_US_TY_Spread</v>
      </c>
      <c r="F313" s="19" t="str">
        <v>251001574</v>
      </c>
      <c r="G313" s="19">
        <v>18</v>
      </c>
      <c r="H313" s="19">
        <v>0</v>
      </c>
      <c r="I313" s="19">
        <v>18</v>
      </c>
      <c r="J313" s="19">
        <v>0</v>
      </c>
      <c r="K313" s="19">
        <v>0</v>
      </c>
      <c r="L313" s="19">
        <v>0</v>
      </c>
      <c r="M313" s="19">
        <v>0</v>
      </c>
      <c r="N313" s="19" t="str">
        <v>SwapTrade</v>
      </c>
      <c r="O313" s="6" cm="1">
        <f t="array" ref="O313">(_xll.qwPrice($A$1,F313)-_xll.qwPrice($A$4,F313))*_xll.qwMVFactor($A$1,F313)*I313*_xll.qwFXRate($A$1,F313)</f>
        <v>-14021.046768469665</v>
      </c>
      <c r="P313" s="6" cm="1">
        <f t="array" ref="P313">IF(ISNUMBER(_xll.qwDV01($A$1,F313)*I313*_xll.qwMVFactor($A$1,F313)*_xll.qwFXRate($A$1,F313)),_xll.qwDV01($A$1,F313)*I313*_xll.qwMVFactor($A$1,F313)*_xll.qwFXRate($A$1,F313),0)</f>
        <v>-9989.4926517467902</v>
      </c>
      <c r="Q313" s="6" cm="1">
        <f t="array" ref="Q313">IF(ISNUMBER(_xll.qwDV01($A$1,F313)*G313*_xll.qwMVFactor($A$1,F313)*_xll.qwFXRate($A$1,F313)),_xll.qwDV01($A$1,F313)*G313*_xll.qwMVFactor($A$1,F313)*_xll.qwFXRate($A$1,F313),0)</f>
        <v>-9989.4926517467902</v>
      </c>
      <c r="R313" s="6" cm="1">
        <f t="array" ref="R313">IF(ISNUMBER(_xll.qwDV01($A$1,F313)*J313*_xll.qwMVFactor($A$1,F313)*_xll.qwFXRate($A$1,F313)),_xll.qwDV01($A$1,F313)*J313*_xll.qwMVFactor($A$1,F313)*_xll.qwFXRate($A$1,F313),0)</f>
        <v>0</v>
      </c>
      <c r="S313" s="6" cm="1">
        <f t="array" ref="S313">IF(ISNUMBER(_xll.qwDV01($A$1,F313)*J313*_xll.qwMVFactor($A$1,F313)*_xll.qwFXRate($A$1,F313)),_xll.qwDV01($A$1,F313)*J313*_xll.qwMVFactor($A$1,F313)*_xll.qwFXRate($A$1,F313),0)</f>
        <v>0</v>
      </c>
      <c r="T313" s="6" cm="1">
        <f t="array" ref="T313">_xll.qwFXRate($A$1,F313)*J313*(_xll.qwPrice($A$1,F313)-M313)*_xll.qwMVFactor($A$1,F313)+L313</f>
        <v>0</v>
      </c>
      <c r="U313" s="8" cm="1">
        <f t="array" ref="U313">_xll.qwYield($A$1,F313)</f>
        <v>4.7311560297563941E-2</v>
      </c>
      <c r="V313" s="8" cm="1">
        <f t="array" ref="V313">100*(_xll.qwYield($A$4,F313)-U313)</f>
        <v>1.3670566246419547E-2</v>
      </c>
      <c r="W313" s="6">
        <f>IF(ISNA(G313*INDEX(_xll.qwTblData(_xll.qwCurveScenariosPerSecurity($A$1,F313,"Crv210")),2,2)),0,(G313*INDEX(_xll.qwTblData(_xll.qwCurveScenariosPerSecurity($A$1,F313,"Crv210")),2,2)))</f>
        <v>844.33966155769372</v>
      </c>
      <c r="X313" s="6" cm="1">
        <f t="array" ref="X313">ABS(Q313/_xll.qwMV01($A$1,"CT10"))</f>
        <v>13.447765494872717</v>
      </c>
      <c r="Y313" s="6" cm="1">
        <f t="array" ref="Y313">IF(N313="BondFuture",-(_xll.qwCurveYield($A$1,_xll.qwSecVal($A$1,AA313,"CreditCurveName()"),AA313)-_xll.qwCurveYield($A$4,_xll.qwSecVal($A$4,AA313,"CreditCurveName()"),AA313))*P313*10000,IF(N313="Bond",-(_xll.qwCurveYield($A$1,_xll.qwSecVal($A$1,F313,"CreditCurveName()"),F313)-_xll.qwCurveYield($A$4,_xll.qwSecVal($A$4,F313,"CreditCurveName()"),F313))*P313*10000,O313))</f>
        <v>-14021.046768469665</v>
      </c>
      <c r="Z313" s="6" cm="1">
        <f t="array" ref="Z313">IF(OR(N313="BondFuture",N313="Bond"),P313*(_xll.qwCurveZSpread($A$4,_xll.qwSecVal($A$1,AA313,"CreditCurveName()"),AA313)-_xll.qwCurveZSpread($A$1,_xll.qwSecVal($A$1,AA313,"CreditCurveName()"),AA313)),0)</f>
        <v>0</v>
      </c>
      <c r="AA313" s="9" cm="1">
        <f t="array" ref="AA313">IF(_xll.qwSecType(F313)="Bond",F313,IF(_xll.qwSecType(F313)="BondFuture",_xll.qwFutCTD($A$1,F313),0))</f>
        <v>0</v>
      </c>
      <c r="AB313" s="6" cm="1">
        <f t="array" ref="AB313">IF(_xll.qwSecType(F313)="BondFuture",-(I313*_xll.qwDelta($A$4,F313)*_xll.qwMVFactor($A$1,F313)/_xll.qwMVFactor($A$1,_xll.qwFutCTD($A$1,F313)))*(_xll.qwFXRate($A$1,F313)*_xll.qwMVFactor($A$1,_xll.qwFutCTD($A$1,F313))*(_xll.qwIncome($A$4,_xll.qwFutCTD($A$4,F313),_xll.qwBondSettle($A$4,_xll.qwFutCTD($A$4,F313)),_xll.qwBondSettle($A$1,_xll.qwFutCTD($A$1,F313)))+(_xll.qwSecVal($A$1,AA313,"Price")-_xll.qwSecVal($A$4,AA313,"Price"))-_xll.qwBondRepoFromTo($A$1,AA313,_xll.qwBondSettle($A$4,AA313),_xll.qwBondSettle($A$1,AA313))*_xll.qwSecVal($A$1,AA313,"Price")*(_xll.qwBondSettle($A$1,AA313)-_xll.qwBondSettle($A$4,AA313))/360))+O313,0)</f>
        <v>0</v>
      </c>
      <c r="AC313" s="9" cm="1">
        <f t="array" ref="AC313">O313+T313+IF(ISNUMBER(_xll.qwIncome($A$1,F313,_xll.qwSettle($A$4,F313),_xll.qwSettle($A$1,F313))*_xll.qwMVFactor($A$1,F313)*_xll.qwFXRate($A$1,F313)*I313),_xll.qwIncome($A$1,F313,_xll.qwSettle($A$4,F313),_xll.qwSettle($A$1,F313))*_xll.qwMVFactor($A$1,F313)*_xll.qwFXRate($A$1,F313)*I313,0)+IF(ISNUMBER(-(_xll.qwBondRepoFromTo($A$1,F313,_xll.qwSettle($A$4,F313),_xll.qwSettle($A$1,F313))*_xll.qwSecVal($A$1,F313,"Price")*(_xll.qwSettle($A$1,F313)-_xll.qwSettle($A$4,F313))/360)*_xll.qwMVFactor($A$1,F313)*_xll.qwFXRate($A$1,F313)*I313),-(_xll.qwBondRepoFromTo($A$1,F313,_xll.qwSettle($A$4,F313),_xll.qwSettle($A$1,F313))*_xll.qwSecVal($A$1,F313,"Price")*(_xll.qwSettle($A$1,F313)-_xll.qwSettle($A$4,F313))/360)*_xll.qwMVFactor($A$1,F313)*_xll.qwFXRate($A$1,F313)*I313,0)</f>
        <v>-14021.046768469665</v>
      </c>
      <c r="AD313" s="6"/>
    </row>
    <row r="314" spans="2:30" s="19" customFormat="1" x14ac:dyDescent="0.35">
      <c r="B314" s="19" t="str">
        <v>jcleary</v>
      </c>
      <c r="C314" s="19" t="str">
        <v>PPA</v>
      </c>
      <c r="D314" s="19" t="str">
        <v>jcleary|PPA|RV_US_TY_Spread|251001581</v>
      </c>
      <c r="E314" s="19" t="str">
        <v>RV_US_TY_Spread</v>
      </c>
      <c r="F314" s="19" t="str">
        <v>251001581</v>
      </c>
      <c r="G314" s="19">
        <v>12.8</v>
      </c>
      <c r="H314" s="19">
        <v>0</v>
      </c>
      <c r="I314" s="19">
        <v>12.8</v>
      </c>
      <c r="J314" s="19">
        <v>0</v>
      </c>
      <c r="K314" s="19">
        <v>0</v>
      </c>
      <c r="L314" s="19">
        <v>0</v>
      </c>
      <c r="M314" s="19">
        <v>0</v>
      </c>
      <c r="N314" s="19" t="str">
        <v>SwapTrade</v>
      </c>
      <c r="O314" s="6" cm="1">
        <f t="array" ref="O314">(_xll.qwPrice($A$1,F314)-_xll.qwPrice($A$4,F314))*_xll.qwMVFactor($A$1,F314)*I314*_xll.qwFXRate($A$1,F314)</f>
        <v>19169.633361126045</v>
      </c>
      <c r="P314" s="6" cm="1">
        <f t="array" ref="P314">IF(ISNUMBER(_xll.qwDV01($A$1,F314)*I314*_xll.qwMVFactor($A$1,F314)*_xll.qwFXRate($A$1,F314)),_xll.qwDV01($A$1,F314)*I314*_xll.qwMVFactor($A$1,F314)*_xll.qwFXRate($A$1,F314),0)</f>
        <v>9759.7177085594249</v>
      </c>
      <c r="Q314" s="6" cm="1">
        <f t="array" ref="Q314">IF(ISNUMBER(_xll.qwDV01($A$1,F314)*G314*_xll.qwMVFactor($A$1,F314)*_xll.qwFXRate($A$1,F314)),_xll.qwDV01($A$1,F314)*G314*_xll.qwMVFactor($A$1,F314)*_xll.qwFXRate($A$1,F314),0)</f>
        <v>9759.7177085594249</v>
      </c>
      <c r="R314" s="6" cm="1">
        <f t="array" ref="R314">IF(ISNUMBER(_xll.qwDV01($A$1,F314)*J314*_xll.qwMVFactor($A$1,F314)*_xll.qwFXRate($A$1,F314)),_xll.qwDV01($A$1,F314)*J314*_xll.qwMVFactor($A$1,F314)*_xll.qwFXRate($A$1,F314),0)</f>
        <v>0</v>
      </c>
      <c r="S314" s="6" cm="1">
        <f t="array" ref="S314">IF(ISNUMBER(_xll.qwDV01($A$1,F314)*J314*_xll.qwMVFactor($A$1,F314)*_xll.qwFXRate($A$1,F314)),_xll.qwDV01($A$1,F314)*J314*_xll.qwMVFactor($A$1,F314)*_xll.qwFXRate($A$1,F314),0)</f>
        <v>0</v>
      </c>
      <c r="T314" s="6" cm="1">
        <f t="array" ref="T314">_xll.qwFXRate($A$1,F314)*J314*(_xll.qwPrice($A$1,F314)-M314)*_xll.qwMVFactor($A$1,F314)+L314</f>
        <v>0</v>
      </c>
      <c r="U314" s="8" cm="1">
        <f t="array" ref="U314">_xll.qwYield($A$1,F314)</f>
        <v>4.797921380245114E-2</v>
      </c>
      <c r="V314" s="8" cm="1">
        <f t="array" ref="V314">100*(_xll.qwYield($A$4,F314)-U314)</f>
        <v>1.9357502412116478E-2</v>
      </c>
      <c r="W314" s="6">
        <f>IF(ISNA(G314*INDEX(_xll.qwTblData(_xll.qwCurveScenariosPerSecurity($A$1,F314,"Crv210")),2,2)),0,(G314*INDEX(_xll.qwTblData(_xll.qwCurveScenariosPerSecurity($A$1,F314,"Crv210")),2,2)))</f>
        <v>-4805.3153376430946</v>
      </c>
      <c r="X314" s="6" cm="1">
        <f t="array" ref="X314">ABS(Q314/_xll.qwMV01($A$1,"CT10"))</f>
        <v>13.138444525299647</v>
      </c>
      <c r="Y314" s="6" cm="1">
        <f t="array" ref="Y314">IF(N314="BondFuture",-(_xll.qwCurveYield($A$1,_xll.qwSecVal($A$1,AA314,"CreditCurveName()"),AA314)-_xll.qwCurveYield($A$4,_xll.qwSecVal($A$4,AA314,"CreditCurveName()"),AA314))*P314*10000,IF(N314="Bond",-(_xll.qwCurveYield($A$1,_xll.qwSecVal($A$1,F314,"CreditCurveName()"),F314)-_xll.qwCurveYield($A$4,_xll.qwSecVal($A$4,F314,"CreditCurveName()"),F314))*P314*10000,O314))</f>
        <v>19169.633361126045</v>
      </c>
      <c r="Z314" s="6" cm="1">
        <f t="array" ref="Z314">IF(OR(N314="BondFuture",N314="Bond"),P314*(_xll.qwCurveZSpread($A$4,_xll.qwSecVal($A$1,AA314,"CreditCurveName()"),AA314)-_xll.qwCurveZSpread($A$1,_xll.qwSecVal($A$1,AA314,"CreditCurveName()"),AA314)),0)</f>
        <v>0</v>
      </c>
      <c r="AA314" s="9" cm="1">
        <f t="array" ref="AA314">IF(_xll.qwSecType(F314)="Bond",F314,IF(_xll.qwSecType(F314)="BondFuture",_xll.qwFutCTD($A$1,F314),0))</f>
        <v>0</v>
      </c>
      <c r="AB314" s="6" cm="1">
        <f t="array" ref="AB314">IF(_xll.qwSecType(F314)="BondFuture",-(I314*_xll.qwDelta($A$4,F314)*_xll.qwMVFactor($A$1,F314)/_xll.qwMVFactor($A$1,_xll.qwFutCTD($A$1,F314)))*(_xll.qwFXRate($A$1,F314)*_xll.qwMVFactor($A$1,_xll.qwFutCTD($A$1,F314))*(_xll.qwIncome($A$4,_xll.qwFutCTD($A$4,F314),_xll.qwBondSettle($A$4,_xll.qwFutCTD($A$4,F314)),_xll.qwBondSettle($A$1,_xll.qwFutCTD($A$1,F314)))+(_xll.qwSecVal($A$1,AA314,"Price")-_xll.qwSecVal($A$4,AA314,"Price"))-_xll.qwBondRepoFromTo($A$1,AA314,_xll.qwBondSettle($A$4,AA314),_xll.qwBondSettle($A$1,AA314))*_xll.qwSecVal($A$1,AA314,"Price")*(_xll.qwBondSettle($A$1,AA314)-_xll.qwBondSettle($A$4,AA314))/360))+O314,0)</f>
        <v>0</v>
      </c>
      <c r="AC314" s="9" cm="1">
        <f t="array" ref="AC314">O314+T314+IF(ISNUMBER(_xll.qwIncome($A$1,F314,_xll.qwSettle($A$4,F314),_xll.qwSettle($A$1,F314))*_xll.qwMVFactor($A$1,F314)*_xll.qwFXRate($A$1,F314)*I314),_xll.qwIncome($A$1,F314,_xll.qwSettle($A$4,F314),_xll.qwSettle($A$1,F314))*_xll.qwMVFactor($A$1,F314)*_xll.qwFXRate($A$1,F314)*I314,0)+IF(ISNUMBER(-(_xll.qwBondRepoFromTo($A$1,F314,_xll.qwSettle($A$4,F314),_xll.qwSettle($A$1,F314))*_xll.qwSecVal($A$1,F314,"Price")*(_xll.qwSettle($A$1,F314)-_xll.qwSettle($A$4,F314))/360)*_xll.qwMVFactor($A$1,F314)*_xll.qwFXRate($A$1,F314)*I314),-(_xll.qwBondRepoFromTo($A$1,F314,_xll.qwSettle($A$4,F314),_xll.qwSettle($A$1,F314))*_xll.qwSecVal($A$1,F314,"Price")*(_xll.qwSettle($A$1,F314)-_xll.qwSettle($A$4,F314))/360)*_xll.qwMVFactor($A$1,F314)*_xll.qwFXRate($A$1,F314)*I314,0)</f>
        <v>19169.633361126045</v>
      </c>
      <c r="AD314" s="6"/>
    </row>
    <row r="315" spans="2:30" s="19" customFormat="1" x14ac:dyDescent="0.35">
      <c r="B315" s="19" t="str">
        <v>jcleary</v>
      </c>
      <c r="C315" s="19" t="str">
        <v>PPA</v>
      </c>
      <c r="D315" s="19" t="str">
        <v>jcleary|PPA|RV_US_TY_Spread|251394776</v>
      </c>
      <c r="E315" s="19" t="str">
        <v>RV_US_TY_Spread</v>
      </c>
      <c r="F315" s="19" t="str">
        <v>251394776</v>
      </c>
      <c r="G315" s="19">
        <v>388.6</v>
      </c>
      <c r="H315" s="19">
        <v>0</v>
      </c>
      <c r="I315" s="19">
        <v>388.6</v>
      </c>
      <c r="J315" s="19">
        <v>0</v>
      </c>
      <c r="K315" s="19">
        <v>0</v>
      </c>
      <c r="L315" s="19">
        <v>0</v>
      </c>
      <c r="M315" s="19">
        <v>0</v>
      </c>
      <c r="N315" s="19" t="str">
        <v>SwapTrade</v>
      </c>
      <c r="O315" s="6" cm="1">
        <f t="array" ref="O315">(_xll.qwPrice($A$1,F315)-_xll.qwPrice($A$4,F315))*_xll.qwMVFactor($A$1,F315)*I315*_xll.qwFXRate($A$1,F315)</f>
        <v>-302040.53442770598</v>
      </c>
      <c r="P315" s="6" cm="1">
        <f t="array" ref="P315">IF(ISNUMBER(_xll.qwDV01($A$1,F315)*I315*_xll.qwMVFactor($A$1,F315)*_xll.qwFXRate($A$1,F315)),_xll.qwDV01($A$1,F315)*I315*_xll.qwMVFactor($A$1,F315)*_xll.qwFXRate($A$1,F315),0)</f>
        <v>-215399.64059297353</v>
      </c>
      <c r="Q315" s="6" cm="1">
        <f t="array" ref="Q315">IF(ISNUMBER(_xll.qwDV01($A$1,F315)*G315*_xll.qwMVFactor($A$1,F315)*_xll.qwFXRate($A$1,F315)),_xll.qwDV01($A$1,F315)*G315*_xll.qwMVFactor($A$1,F315)*_xll.qwFXRate($A$1,F315),0)</f>
        <v>-215399.64059297353</v>
      </c>
      <c r="R315" s="6" cm="1">
        <f t="array" ref="R315">IF(ISNUMBER(_xll.qwDV01($A$1,F315)*J315*_xll.qwMVFactor($A$1,F315)*_xll.qwFXRate($A$1,F315)),_xll.qwDV01($A$1,F315)*J315*_xll.qwMVFactor($A$1,F315)*_xll.qwFXRate($A$1,F315),0)</f>
        <v>0</v>
      </c>
      <c r="S315" s="6" cm="1">
        <f t="array" ref="S315">IF(ISNUMBER(_xll.qwDV01($A$1,F315)*J315*_xll.qwMVFactor($A$1,F315)*_xll.qwFXRate($A$1,F315)),_xll.qwDV01($A$1,F315)*J315*_xll.qwMVFactor($A$1,F315)*_xll.qwFXRate($A$1,F315),0)</f>
        <v>0</v>
      </c>
      <c r="T315" s="6" cm="1">
        <f t="array" ref="T315">_xll.qwFXRate($A$1,F315)*J315*(_xll.qwPrice($A$1,F315)-M315)*_xll.qwMVFactor($A$1,F315)+L315</f>
        <v>0</v>
      </c>
      <c r="U315" s="8" cm="1">
        <f t="array" ref="U315">_xll.qwYield($A$1,F315)</f>
        <v>4.7311560297563941E-2</v>
      </c>
      <c r="V315" s="8" cm="1">
        <f t="array" ref="V315">100*(_xll.qwYield($A$4,F315)-U315)</f>
        <v>1.3670566246419547E-2</v>
      </c>
      <c r="W315" s="6">
        <f>IF(ISNA(G315*INDEX(_xll.qwTblData(_xll.qwCurveScenariosPerSecurity($A$1,F315,"Crv210")),2,2)),0,(G315*INDEX(_xll.qwTblData(_xll.qwCurveScenariosPerSecurity($A$1,F315,"Crv210")),2,2)))</f>
        <v>18219.340261168545</v>
      </c>
      <c r="X315" s="6" cm="1">
        <f t="array" ref="X315">ABS(Q315/_xll.qwMV01($A$1,"CT10"))</f>
        <v>289.96906603336447</v>
      </c>
      <c r="Y315" s="6" cm="1">
        <f t="array" ref="Y315">IF(N315="BondFuture",-(_xll.qwCurveYield($A$1,_xll.qwSecVal($A$1,AA315,"CreditCurveName()"),AA315)-_xll.qwCurveYield($A$4,_xll.qwSecVal($A$4,AA315,"CreditCurveName()"),AA315))*P315*10000,IF(N315="Bond",-(_xll.qwCurveYield($A$1,_xll.qwSecVal($A$1,F315,"CreditCurveName()"),F315)-_xll.qwCurveYield($A$4,_xll.qwSecVal($A$4,F315,"CreditCurveName()"),F315))*P315*10000,O315))</f>
        <v>-302040.53442770598</v>
      </c>
      <c r="Z315" s="6" cm="1">
        <f t="array" ref="Z315">IF(OR(N315="BondFuture",N315="Bond"),P315*(_xll.qwCurveZSpread($A$4,_xll.qwSecVal($A$1,AA315,"CreditCurveName()"),AA315)-_xll.qwCurveZSpread($A$1,_xll.qwSecVal($A$1,AA315,"CreditCurveName()"),AA315)),0)</f>
        <v>0</v>
      </c>
      <c r="AA315" s="9" cm="1">
        <f t="array" ref="AA315">IF(_xll.qwSecType(F315)="Bond",F315,IF(_xll.qwSecType(F315)="BondFuture",_xll.qwFutCTD($A$1,F315),0))</f>
        <v>0</v>
      </c>
      <c r="AB315" s="6" cm="1">
        <f t="array" ref="AB315">IF(_xll.qwSecType(F315)="BondFuture",-(I315*_xll.qwDelta($A$4,F315)*_xll.qwMVFactor($A$1,F315)/_xll.qwMVFactor($A$1,_xll.qwFutCTD($A$1,F315)))*(_xll.qwFXRate($A$1,F315)*_xll.qwMVFactor($A$1,_xll.qwFutCTD($A$1,F315))*(_xll.qwIncome($A$4,_xll.qwFutCTD($A$4,F315),_xll.qwBondSettle($A$4,_xll.qwFutCTD($A$4,F315)),_xll.qwBondSettle($A$1,_xll.qwFutCTD($A$1,F315)))+(_xll.qwSecVal($A$1,AA315,"Price")-_xll.qwSecVal($A$4,AA315,"Price"))-_xll.qwBondRepoFromTo($A$1,AA315,_xll.qwBondSettle($A$4,AA315),_xll.qwBondSettle($A$1,AA315))*_xll.qwSecVal($A$1,AA315,"Price")*(_xll.qwBondSettle($A$1,AA315)-_xll.qwBondSettle($A$4,AA315))/360))+O315,0)</f>
        <v>0</v>
      </c>
      <c r="AC315" s="9" cm="1">
        <f t="array" ref="AC315">O315+T315+IF(ISNUMBER(_xll.qwIncome($A$1,F315,_xll.qwSettle($A$4,F315),_xll.qwSettle($A$1,F315))*_xll.qwMVFactor($A$1,F315)*_xll.qwFXRate($A$1,F315)*I315),_xll.qwIncome($A$1,F315,_xll.qwSettle($A$4,F315),_xll.qwSettle($A$1,F315))*_xll.qwMVFactor($A$1,F315)*_xll.qwFXRate($A$1,F315)*I315,0)+IF(ISNUMBER(-(_xll.qwBondRepoFromTo($A$1,F315,_xll.qwSettle($A$4,F315),_xll.qwSettle($A$1,F315))*_xll.qwSecVal($A$1,F315,"Price")*(_xll.qwSettle($A$1,F315)-_xll.qwSettle($A$4,F315))/360)*_xll.qwMVFactor($A$1,F315)*_xll.qwFXRate($A$1,F315)*I315),-(_xll.qwBondRepoFromTo($A$1,F315,_xll.qwSettle($A$4,F315),_xll.qwSettle($A$1,F315))*_xll.qwSecVal($A$1,F315,"Price")*(_xll.qwSettle($A$1,F315)-_xll.qwSettle($A$4,F315))/360)*_xll.qwMVFactor($A$1,F315)*_xll.qwFXRate($A$1,F315)*I315,0)</f>
        <v>-302040.53442770598</v>
      </c>
      <c r="AD315" s="6"/>
    </row>
    <row r="316" spans="2:30" s="19" customFormat="1" x14ac:dyDescent="0.35">
      <c r="B316" s="19" t="str">
        <v>jcleary</v>
      </c>
      <c r="C316" s="19" t="str">
        <v>PPA</v>
      </c>
      <c r="D316" s="19" t="str">
        <v>jcleary|PPA|RV_US_TY_Spread|251394867</v>
      </c>
      <c r="E316" s="19" t="str">
        <v>RV_US_TY_Spread</v>
      </c>
      <c r="F316" s="19" t="str">
        <v>251394867</v>
      </c>
      <c r="G316" s="19">
        <v>376.3</v>
      </c>
      <c r="H316" s="19">
        <v>0</v>
      </c>
      <c r="I316" s="19">
        <v>376.3</v>
      </c>
      <c r="J316" s="19">
        <v>0</v>
      </c>
      <c r="K316" s="19">
        <v>0</v>
      </c>
      <c r="L316" s="19">
        <v>0</v>
      </c>
      <c r="M316" s="19">
        <v>0</v>
      </c>
      <c r="N316" s="19" t="str">
        <v>SwapTrade</v>
      </c>
      <c r="O316" s="6" cm="1">
        <f t="array" ref="O316">(_xll.qwPrice($A$1,F316)-_xll.qwPrice($A$4,F316))*_xll.qwMVFactor($A$1,F316)*I316*_xll.qwFXRate($A$1,F316)</f>
        <v>311038.29536855704</v>
      </c>
      <c r="P316" s="6" cm="1">
        <f t="array" ref="P316">IF(ISNUMBER(_xll.qwDV01($A$1,F316)*I316*_xll.qwMVFactor($A$1,F316)*_xll.qwFXRate($A$1,F316)),_xll.qwDV01($A$1,F316)*I316*_xll.qwMVFactor($A$1,F316)*_xll.qwFXRate($A$1,F316),0)</f>
        <v>215096.53441952626</v>
      </c>
      <c r="Q316" s="6" cm="1">
        <f t="array" ref="Q316">IF(ISNUMBER(_xll.qwDV01($A$1,F316)*G316*_xll.qwMVFactor($A$1,F316)*_xll.qwFXRate($A$1,F316)),_xll.qwDV01($A$1,F316)*G316*_xll.qwMVFactor($A$1,F316)*_xll.qwFXRate($A$1,F316),0)</f>
        <v>215096.53441952626</v>
      </c>
      <c r="R316" s="6" cm="1">
        <f t="array" ref="R316">IF(ISNUMBER(_xll.qwDV01($A$1,F316)*J316*_xll.qwMVFactor($A$1,F316)*_xll.qwFXRate($A$1,F316)),_xll.qwDV01($A$1,F316)*J316*_xll.qwMVFactor($A$1,F316)*_xll.qwFXRate($A$1,F316),0)</f>
        <v>0</v>
      </c>
      <c r="S316" s="6" cm="1">
        <f t="array" ref="S316">IF(ISNUMBER(_xll.qwDV01($A$1,F316)*J316*_xll.qwMVFactor($A$1,F316)*_xll.qwFXRate($A$1,F316)),_xll.qwDV01($A$1,F316)*J316*_xll.qwMVFactor($A$1,F316)*_xll.qwFXRate($A$1,F316),0)</f>
        <v>0</v>
      </c>
      <c r="T316" s="6" cm="1">
        <f t="array" ref="T316">_xll.qwFXRate($A$1,F316)*J316*(_xll.qwPrice($A$1,F316)-M316)*_xll.qwMVFactor($A$1,F316)+L316</f>
        <v>0</v>
      </c>
      <c r="U316" s="8" cm="1">
        <f t="array" ref="U316">_xll.qwYield($A$1,F316)</f>
        <v>4.737192108643079E-2</v>
      </c>
      <c r="V316" s="8" cm="1">
        <f t="array" ref="V316">100*(_xll.qwYield($A$4,F316)-U316)</f>
        <v>1.4142820691610825E-2</v>
      </c>
      <c r="W316" s="6">
        <f>IF(ISNA(G316*INDEX(_xll.qwTblData(_xll.qwCurveScenariosPerSecurity($A$1,F316,"Crv210")),2,2)),0,(G316*INDEX(_xll.qwTblData(_xll.qwCurveScenariosPerSecurity($A$1,F316,"Crv210")),2,2)))</f>
        <v>-25023.544311277506</v>
      </c>
      <c r="X316" s="6" cm="1">
        <f t="array" ref="X316">ABS(Q316/_xll.qwMV01($A$1,"CT10"))</f>
        <v>289.56102721871514</v>
      </c>
      <c r="Y316" s="6" cm="1">
        <f t="array" ref="Y316">IF(N316="BondFuture",-(_xll.qwCurveYield($A$1,_xll.qwSecVal($A$1,AA316,"CreditCurveName()"),AA316)-_xll.qwCurveYield($A$4,_xll.qwSecVal($A$4,AA316,"CreditCurveName()"),AA316))*P316*10000,IF(N316="Bond",-(_xll.qwCurveYield($A$1,_xll.qwSecVal($A$1,F316,"CreditCurveName()"),F316)-_xll.qwCurveYield($A$4,_xll.qwSecVal($A$4,F316,"CreditCurveName()"),F316))*P316*10000,O316))</f>
        <v>311038.29536855704</v>
      </c>
      <c r="Z316" s="6" cm="1">
        <f t="array" ref="Z316">IF(OR(N316="BondFuture",N316="Bond"),P316*(_xll.qwCurveZSpread($A$4,_xll.qwSecVal($A$1,AA316,"CreditCurveName()"),AA316)-_xll.qwCurveZSpread($A$1,_xll.qwSecVal($A$1,AA316,"CreditCurveName()"),AA316)),0)</f>
        <v>0</v>
      </c>
      <c r="AA316" s="9" cm="1">
        <f t="array" ref="AA316">IF(_xll.qwSecType(F316)="Bond",F316,IF(_xll.qwSecType(F316)="BondFuture",_xll.qwFutCTD($A$1,F316),0))</f>
        <v>0</v>
      </c>
      <c r="AB316" s="6" cm="1">
        <f t="array" ref="AB316">IF(_xll.qwSecType(F316)="BondFuture",-(I316*_xll.qwDelta($A$4,F316)*_xll.qwMVFactor($A$1,F316)/_xll.qwMVFactor($A$1,_xll.qwFutCTD($A$1,F316)))*(_xll.qwFXRate($A$1,F316)*_xll.qwMVFactor($A$1,_xll.qwFutCTD($A$1,F316))*(_xll.qwIncome($A$4,_xll.qwFutCTD($A$4,F316),_xll.qwBondSettle($A$4,_xll.qwFutCTD($A$4,F316)),_xll.qwBondSettle($A$1,_xll.qwFutCTD($A$1,F316)))+(_xll.qwSecVal($A$1,AA316,"Price")-_xll.qwSecVal($A$4,AA316,"Price"))-_xll.qwBondRepoFromTo($A$1,AA316,_xll.qwBondSettle($A$4,AA316),_xll.qwBondSettle($A$1,AA316))*_xll.qwSecVal($A$1,AA316,"Price")*(_xll.qwBondSettle($A$1,AA316)-_xll.qwBondSettle($A$4,AA316))/360))+O316,0)</f>
        <v>0</v>
      </c>
      <c r="AC316" s="9" cm="1">
        <f t="array" ref="AC316">O316+T316+IF(ISNUMBER(_xll.qwIncome($A$1,F316,_xll.qwSettle($A$4,F316),_xll.qwSettle($A$1,F316))*_xll.qwMVFactor($A$1,F316)*_xll.qwFXRate($A$1,F316)*I316),_xll.qwIncome($A$1,F316,_xll.qwSettle($A$4,F316),_xll.qwSettle($A$1,F316))*_xll.qwMVFactor($A$1,F316)*_xll.qwFXRate($A$1,F316)*I316,0)+IF(ISNUMBER(-(_xll.qwBondRepoFromTo($A$1,F316,_xll.qwSettle($A$4,F316),_xll.qwSettle($A$1,F316))*_xll.qwSecVal($A$1,F316,"Price")*(_xll.qwSettle($A$1,F316)-_xll.qwSettle($A$4,F316))/360)*_xll.qwMVFactor($A$1,F316)*_xll.qwFXRate($A$1,F316)*I316),-(_xll.qwBondRepoFromTo($A$1,F316,_xll.qwSettle($A$4,F316),_xll.qwSettle($A$1,F316))*_xll.qwSecVal($A$1,F316,"Price")*(_xll.qwSettle($A$1,F316)-_xll.qwSettle($A$4,F316))/360)*_xll.qwMVFactor($A$1,F316)*_xll.qwFXRate($A$1,F316)*I316,0)</f>
        <v>311038.29536855704</v>
      </c>
      <c r="AD316" s="6"/>
    </row>
    <row r="317" spans="2:30" s="19" customFormat="1" x14ac:dyDescent="0.35">
      <c r="B317" s="19" t="str">
        <v>jcleary</v>
      </c>
      <c r="C317" s="19" t="str">
        <v>PPA</v>
      </c>
      <c r="D317" s="19" t="str">
        <v>jcleary|PPA|RV_US_TY_Spread|254740986</v>
      </c>
      <c r="E317" s="19" t="str">
        <v>RV_US_TY_Spread</v>
      </c>
      <c r="F317" s="19" t="str">
        <v>254740986</v>
      </c>
      <c r="G317" s="19">
        <v>90.3</v>
      </c>
      <c r="H317" s="19">
        <v>0</v>
      </c>
      <c r="I317" s="19">
        <v>90.3</v>
      </c>
      <c r="J317" s="19">
        <v>0</v>
      </c>
      <c r="K317" s="19">
        <v>0</v>
      </c>
      <c r="L317" s="19">
        <v>0</v>
      </c>
      <c r="M317" s="19">
        <v>0</v>
      </c>
      <c r="N317" s="19" t="str">
        <v>SwapTrade</v>
      </c>
      <c r="O317" s="6" cm="1">
        <f t="array" ref="O317">(_xll.qwPrice($A$1,F317)-_xll.qwPrice($A$4,F317))*_xll.qwMVFactor($A$1,F317)*I317*_xll.qwFXRate($A$1,F317)</f>
        <v>-71657.987585832961</v>
      </c>
      <c r="P317" s="6" cm="1">
        <f t="array" ref="P317">IF(ISNUMBER(_xll.qwDV01($A$1,F317)*I317*_xll.qwMVFactor($A$1,F317)*_xll.qwFXRate($A$1,F317)),_xll.qwDV01($A$1,F317)*I317*_xll.qwMVFactor($A$1,F317)*_xll.qwFXRate($A$1,F317),0)</f>
        <v>-51260.076089190879</v>
      </c>
      <c r="Q317" s="6" cm="1">
        <f t="array" ref="Q317">IF(ISNUMBER(_xll.qwDV01($A$1,F317)*G317*_xll.qwMVFactor($A$1,F317)*_xll.qwFXRate($A$1,F317)),_xll.qwDV01($A$1,F317)*G317*_xll.qwMVFactor($A$1,F317)*_xll.qwFXRate($A$1,F317),0)</f>
        <v>-51260.076089190879</v>
      </c>
      <c r="R317" s="6" cm="1">
        <f t="array" ref="R317">IF(ISNUMBER(_xll.qwDV01($A$1,F317)*J317*_xll.qwMVFactor($A$1,F317)*_xll.qwFXRate($A$1,F317)),_xll.qwDV01($A$1,F317)*J317*_xll.qwMVFactor($A$1,F317)*_xll.qwFXRate($A$1,F317),0)</f>
        <v>0</v>
      </c>
      <c r="S317" s="6" cm="1">
        <f t="array" ref="S317">IF(ISNUMBER(_xll.qwDV01($A$1,F317)*J317*_xll.qwMVFactor($A$1,F317)*_xll.qwFXRate($A$1,F317)),_xll.qwDV01($A$1,F317)*J317*_xll.qwMVFactor($A$1,F317)*_xll.qwFXRate($A$1,F317),0)</f>
        <v>0</v>
      </c>
      <c r="T317" s="6" cm="1">
        <f t="array" ref="T317">_xll.qwFXRate($A$1,F317)*J317*(_xll.qwPrice($A$1,F317)-M317)*_xll.qwMVFactor($A$1,F317)+L317</f>
        <v>0</v>
      </c>
      <c r="U317" s="8" cm="1">
        <f t="array" ref="U317">_xll.qwYield($A$1,F317)</f>
        <v>4.7311560297563941E-2</v>
      </c>
      <c r="V317" s="8" cm="1">
        <f t="array" ref="V317">100*(_xll.qwYield($A$4,F317)-U317)</f>
        <v>9.1354209692265376E-3</v>
      </c>
      <c r="W317" s="6">
        <f>IF(ISNA(G317*INDEX(_xll.qwTblData(_xll.qwCurveScenariosPerSecurity($A$1,F317,"Crv210")),2,2)),0,(G317*INDEX(_xll.qwTblData(_xll.qwCurveScenariosPerSecurity($A$1,F317,"Crv210")),2,2)))</f>
        <v>4072.3343597451717</v>
      </c>
      <c r="X317" s="6" cm="1">
        <f t="array" ref="X317">ABS(Q317/_xll.qwMV01($A$1,"CT10"))</f>
        <v>69.005855104786775</v>
      </c>
      <c r="Y317" s="6" cm="1">
        <f t="array" ref="Y317">IF(N317="BondFuture",-(_xll.qwCurveYield($A$1,_xll.qwSecVal($A$1,AA317,"CreditCurveName()"),AA317)-_xll.qwCurveYield($A$4,_xll.qwSecVal($A$4,AA317,"CreditCurveName()"),AA317))*P317*10000,IF(N317="Bond",-(_xll.qwCurveYield($A$1,_xll.qwSecVal($A$1,F317,"CreditCurveName()"),F317)-_xll.qwCurveYield($A$4,_xll.qwSecVal($A$4,F317,"CreditCurveName()"),F317))*P317*10000,O317))</f>
        <v>-71657.987585832961</v>
      </c>
      <c r="Z317" s="6" cm="1">
        <f t="array" ref="Z317">IF(OR(N317="BondFuture",N317="Bond"),P317*(_xll.qwCurveZSpread($A$4,_xll.qwSecVal($A$1,AA317,"CreditCurveName()"),AA317)-_xll.qwCurveZSpread($A$1,_xll.qwSecVal($A$1,AA317,"CreditCurveName()"),AA317)),0)</f>
        <v>0</v>
      </c>
      <c r="AA317" s="9" cm="1">
        <f t="array" ref="AA317">IF(_xll.qwSecType(F317)="Bond",F317,IF(_xll.qwSecType(F317)="BondFuture",_xll.qwFutCTD($A$1,F317),0))</f>
        <v>0</v>
      </c>
      <c r="AB317" s="6" cm="1">
        <f t="array" ref="AB317">IF(_xll.qwSecType(F317)="BondFuture",-(I317*_xll.qwDelta($A$4,F317)*_xll.qwMVFactor($A$1,F317)/_xll.qwMVFactor($A$1,_xll.qwFutCTD($A$1,F317)))*(_xll.qwFXRate($A$1,F317)*_xll.qwMVFactor($A$1,_xll.qwFutCTD($A$1,F317))*(_xll.qwIncome($A$4,_xll.qwFutCTD($A$4,F317),_xll.qwBondSettle($A$4,_xll.qwFutCTD($A$4,F317)),_xll.qwBondSettle($A$1,_xll.qwFutCTD($A$1,F317)))+(_xll.qwSecVal($A$1,AA317,"Price")-_xll.qwSecVal($A$4,AA317,"Price"))-_xll.qwBondRepoFromTo($A$1,AA317,_xll.qwBondSettle($A$4,AA317),_xll.qwBondSettle($A$1,AA317))*_xll.qwSecVal($A$1,AA317,"Price")*(_xll.qwBondSettle($A$1,AA317)-_xll.qwBondSettle($A$4,AA317))/360))+O317,0)</f>
        <v>0</v>
      </c>
      <c r="AC317" s="9" cm="1">
        <f t="array" ref="AC317">O317+T317+IF(ISNUMBER(_xll.qwIncome($A$1,F317,_xll.qwSettle($A$4,F317),_xll.qwSettle($A$1,F317))*_xll.qwMVFactor($A$1,F317)*_xll.qwFXRate($A$1,F317)*I317),_xll.qwIncome($A$1,F317,_xll.qwSettle($A$4,F317),_xll.qwSettle($A$1,F317))*_xll.qwMVFactor($A$1,F317)*_xll.qwFXRate($A$1,F317)*I317,0)+IF(ISNUMBER(-(_xll.qwBondRepoFromTo($A$1,F317,_xll.qwSettle($A$4,F317),_xll.qwSettle($A$1,F317))*_xll.qwSecVal($A$1,F317,"Price")*(_xll.qwSettle($A$1,F317)-_xll.qwSettle($A$4,F317))/360)*_xll.qwMVFactor($A$1,F317)*_xll.qwFXRate($A$1,F317)*I317),-(_xll.qwBondRepoFromTo($A$1,F317,_xll.qwSettle($A$4,F317),_xll.qwSettle($A$1,F317))*_xll.qwSecVal($A$1,F317,"Price")*(_xll.qwSettle($A$1,F317)-_xll.qwSettle($A$4,F317))/360)*_xll.qwMVFactor($A$1,F317)*_xll.qwFXRate($A$1,F317)*I317,0)</f>
        <v>-71657.987585832961</v>
      </c>
      <c r="AD317" s="6"/>
    </row>
    <row r="318" spans="2:30" s="19" customFormat="1" x14ac:dyDescent="0.35">
      <c r="B318" s="19" t="str">
        <v>jcleary</v>
      </c>
      <c r="C318" s="19" t="str">
        <v>PPA</v>
      </c>
      <c r="D318" s="19" t="str">
        <v>jcleary|PPA|RV_US_TY_Spread|254740991</v>
      </c>
      <c r="E318" s="19" t="str">
        <v>RV_US_TY_Spread</v>
      </c>
      <c r="F318" s="19" t="str">
        <v>254740991</v>
      </c>
      <c r="G318" s="19">
        <v>78.599999999999994</v>
      </c>
      <c r="H318" s="19">
        <v>0</v>
      </c>
      <c r="I318" s="19">
        <v>78.599999999999994</v>
      </c>
      <c r="J318" s="19">
        <v>0</v>
      </c>
      <c r="K318" s="19">
        <v>0</v>
      </c>
      <c r="L318" s="19">
        <v>0</v>
      </c>
      <c r="M318" s="19">
        <v>0</v>
      </c>
      <c r="N318" s="19" t="str">
        <v>SwapTrade</v>
      </c>
      <c r="O318" s="6" cm="1">
        <f t="array" ref="O318">(_xll.qwPrice($A$1,F318)-_xll.qwPrice($A$4,F318))*_xll.qwMVFactor($A$1,F318)*I318*_xll.qwFXRate($A$1,F318)</f>
        <v>84642.18149756745</v>
      </c>
      <c r="P318" s="6" cm="1">
        <f t="array" ref="P318">IF(ISNUMBER(_xll.qwDV01($A$1,F318)*I318*_xll.qwMVFactor($A$1,F318)*_xll.qwFXRate($A$1,F318)),_xll.qwDV01($A$1,F318)*I318*_xll.qwMVFactor($A$1,F318)*_xll.qwFXRate($A$1,F318),0)</f>
        <v>51367.351191210779</v>
      </c>
      <c r="Q318" s="6" cm="1">
        <f t="array" ref="Q318">IF(ISNUMBER(_xll.qwDV01($A$1,F318)*G318*_xll.qwMVFactor($A$1,F318)*_xll.qwFXRate($A$1,F318)),_xll.qwDV01($A$1,F318)*G318*_xll.qwMVFactor($A$1,F318)*_xll.qwFXRate($A$1,F318),0)</f>
        <v>51367.351191210779</v>
      </c>
      <c r="R318" s="6" cm="1">
        <f t="array" ref="R318">IF(ISNUMBER(_xll.qwDV01($A$1,F318)*J318*_xll.qwMVFactor($A$1,F318)*_xll.qwFXRate($A$1,F318)),_xll.qwDV01($A$1,F318)*J318*_xll.qwMVFactor($A$1,F318)*_xll.qwFXRate($A$1,F318),0)</f>
        <v>0</v>
      </c>
      <c r="S318" s="6" cm="1">
        <f t="array" ref="S318">IF(ISNUMBER(_xll.qwDV01($A$1,F318)*J318*_xll.qwMVFactor($A$1,F318)*_xll.qwFXRate($A$1,F318)),_xll.qwDV01($A$1,F318)*J318*_xll.qwMVFactor($A$1,F318)*_xll.qwFXRate($A$1,F318),0)</f>
        <v>0</v>
      </c>
      <c r="T318" s="6" cm="1">
        <f t="array" ref="T318">_xll.qwFXRate($A$1,F318)*J318*(_xll.qwPrice($A$1,F318)-M318)*_xll.qwMVFactor($A$1,F318)+L318</f>
        <v>0</v>
      </c>
      <c r="U318" s="8" cm="1">
        <f t="array" ref="U318">_xll.qwYield($A$1,F318)</f>
        <v>4.7538222331360527E-2</v>
      </c>
      <c r="V318" s="8" cm="1">
        <f t="array" ref="V318">100*(_xll.qwYield($A$4,F318)-U318)</f>
        <v>1.2306724939274705E-2</v>
      </c>
      <c r="W318" s="6">
        <f>IF(ISNA(G318*INDEX(_xll.qwTblData(_xll.qwCurveScenariosPerSecurity($A$1,F318,"Crv210")),2,2)),0,(G318*INDEX(_xll.qwTblData(_xll.qwCurveScenariosPerSecurity($A$1,F318,"Crv210")),2,2)))</f>
        <v>-11874.489253494154</v>
      </c>
      <c r="X318" s="6" cm="1">
        <f t="array" ref="X318">ABS(Q318/_xll.qwMV01($A$1,"CT10"))</f>
        <v>69.15026788586529</v>
      </c>
      <c r="Y318" s="6" cm="1">
        <f t="array" ref="Y318">IF(N318="BondFuture",-(_xll.qwCurveYield($A$1,_xll.qwSecVal($A$1,AA318,"CreditCurveName()"),AA318)-_xll.qwCurveYield($A$4,_xll.qwSecVal($A$4,AA318,"CreditCurveName()"),AA318))*P318*10000,IF(N318="Bond",-(_xll.qwCurveYield($A$1,_xll.qwSecVal($A$1,F318,"CreditCurveName()"),F318)-_xll.qwCurveYield($A$4,_xll.qwSecVal($A$4,F318,"CreditCurveName()"),F318))*P318*10000,O318))</f>
        <v>84642.18149756745</v>
      </c>
      <c r="Z318" s="6" cm="1">
        <f t="array" ref="Z318">IF(OR(N318="BondFuture",N318="Bond"),P318*(_xll.qwCurveZSpread($A$4,_xll.qwSecVal($A$1,AA318,"CreditCurveName()"),AA318)-_xll.qwCurveZSpread($A$1,_xll.qwSecVal($A$1,AA318,"CreditCurveName()"),AA318)),0)</f>
        <v>0</v>
      </c>
      <c r="AA318" s="9" cm="1">
        <f t="array" ref="AA318">IF(_xll.qwSecType(F318)="Bond",F318,IF(_xll.qwSecType(F318)="BondFuture",_xll.qwFutCTD($A$1,F318),0))</f>
        <v>0</v>
      </c>
      <c r="AB318" s="6" cm="1">
        <f t="array" ref="AB318">IF(_xll.qwSecType(F318)="BondFuture",-(I318*_xll.qwDelta($A$4,F318)*_xll.qwMVFactor($A$1,F318)/_xll.qwMVFactor($A$1,_xll.qwFutCTD($A$1,F318)))*(_xll.qwFXRate($A$1,F318)*_xll.qwMVFactor($A$1,_xll.qwFutCTD($A$1,F318))*(_xll.qwIncome($A$4,_xll.qwFutCTD($A$4,F318),_xll.qwBondSettle($A$4,_xll.qwFutCTD($A$4,F318)),_xll.qwBondSettle($A$1,_xll.qwFutCTD($A$1,F318)))+(_xll.qwSecVal($A$1,AA318,"Price")-_xll.qwSecVal($A$4,AA318,"Price"))-_xll.qwBondRepoFromTo($A$1,AA318,_xll.qwBondSettle($A$4,AA318),_xll.qwBondSettle($A$1,AA318))*_xll.qwSecVal($A$1,AA318,"Price")*(_xll.qwBondSettle($A$1,AA318)-_xll.qwBondSettle($A$4,AA318))/360))+O318,0)</f>
        <v>0</v>
      </c>
      <c r="AC318" s="9" cm="1">
        <f t="array" ref="AC318">O318+T318+IF(ISNUMBER(_xll.qwIncome($A$1,F318,_xll.qwSettle($A$4,F318),_xll.qwSettle($A$1,F318))*_xll.qwMVFactor($A$1,F318)*_xll.qwFXRate($A$1,F318)*I318),_xll.qwIncome($A$1,F318,_xll.qwSettle($A$4,F318),_xll.qwSettle($A$1,F318))*_xll.qwMVFactor($A$1,F318)*_xll.qwFXRate($A$1,F318)*I318,0)+IF(ISNUMBER(-(_xll.qwBondRepoFromTo($A$1,F318,_xll.qwSettle($A$4,F318),_xll.qwSettle($A$1,F318))*_xll.qwSecVal($A$1,F318,"Price")*(_xll.qwSettle($A$1,F318)-_xll.qwSettle($A$4,F318))/360)*_xll.qwMVFactor($A$1,F318)*_xll.qwFXRate($A$1,F318)*I318),-(_xll.qwBondRepoFromTo($A$1,F318,_xll.qwSettle($A$4,F318),_xll.qwSettle($A$1,F318))*_xll.qwSecVal($A$1,F318,"Price")*(_xll.qwSettle($A$1,F318)-_xll.qwSettle($A$4,F318))/360)*_xll.qwMVFactor($A$1,F318)*_xll.qwFXRate($A$1,F318)*I318,0)</f>
        <v>84642.18149756745</v>
      </c>
      <c r="AD318" s="6"/>
    </row>
    <row r="319" spans="2:30" s="19" customFormat="1" x14ac:dyDescent="0.35">
      <c r="B319" s="19" t="str">
        <v>jcleary</v>
      </c>
      <c r="C319" s="19" t="str">
        <v>PPA</v>
      </c>
      <c r="D319" s="19" t="str">
        <v>jcleary|PPA|RV_US_TY_Spread|91282CFF3</v>
      </c>
      <c r="E319" s="19" t="str">
        <v>RV_US_TY_Spread</v>
      </c>
      <c r="F319" s="19" t="str">
        <v>91282CFF3</v>
      </c>
      <c r="G319" s="19">
        <v>92.5</v>
      </c>
      <c r="H319" s="19">
        <v>0</v>
      </c>
      <c r="I319" s="19">
        <v>92.5</v>
      </c>
      <c r="J319" s="19">
        <v>0</v>
      </c>
      <c r="K319" s="19">
        <v>0</v>
      </c>
      <c r="L319" s="19">
        <v>0</v>
      </c>
      <c r="M319" s="19">
        <v>0</v>
      </c>
      <c r="N319" s="19" t="str">
        <v>Bond</v>
      </c>
      <c r="O319" s="6" cm="1">
        <f t="array" ref="O319">(_xll.qwPrice($A$1,F319)-_xll.qwPrice($A$4,F319))*_xll.qwMVFactor($A$1,F319)*I319*_xll.qwFXRate($A$1,F319)</f>
        <v>75878.906250144602</v>
      </c>
      <c r="P319" s="6" cm="1">
        <f t="array" ref="P319">IF(ISNUMBER(_xll.qwDV01($A$1,F319)*I319*_xll.qwMVFactor($A$1,F319)*_xll.qwFXRate($A$1,F319)),_xll.qwDV01($A$1,F319)*I319*_xll.qwMVFactor($A$1,F319)*_xll.qwFXRate($A$1,F319),0)</f>
        <v>43093.636392654844</v>
      </c>
      <c r="Q319" s="6" cm="1">
        <f t="array" ref="Q319">IF(ISNUMBER(_xll.qwDV01($A$1,F319)*G319*_xll.qwMVFactor($A$1,F319)*_xll.qwFXRate($A$1,F319)),_xll.qwDV01($A$1,F319)*G319*_xll.qwMVFactor($A$1,F319)*_xll.qwFXRate($A$1,F319),0)</f>
        <v>43093.636392654844</v>
      </c>
      <c r="R319" s="6" cm="1">
        <f t="array" ref="R319">IF(ISNUMBER(_xll.qwDV01($A$1,F319)*J319*_xll.qwMVFactor($A$1,F319)*_xll.qwFXRate($A$1,F319)),_xll.qwDV01($A$1,F319)*J319*_xll.qwMVFactor($A$1,F319)*_xll.qwFXRate($A$1,F319),0)</f>
        <v>0</v>
      </c>
      <c r="S319" s="6" cm="1">
        <f t="array" ref="S319">IF(ISNUMBER(_xll.qwDV01($A$1,F319)*J319*_xll.qwMVFactor($A$1,F319)*_xll.qwFXRate($A$1,F319)),_xll.qwDV01($A$1,F319)*J319*_xll.qwMVFactor($A$1,F319)*_xll.qwFXRate($A$1,F319),0)</f>
        <v>0</v>
      </c>
      <c r="T319" s="6" cm="1">
        <f t="array" ref="T319">_xll.qwFXRate($A$1,F319)*J319*(_xll.qwPrice($A$1,F319)-M319)*_xll.qwMVFactor($A$1,F319)+L319</f>
        <v>0</v>
      </c>
      <c r="U319" s="8" cm="1">
        <f t="array" ref="U319">_xll.qwYield($A$1,F319)</f>
        <v>5.0562586162677989E-2</v>
      </c>
      <c r="V319" s="8" cm="1">
        <f t="array" ref="V319">100*(_xll.qwYield($A$4,F319)-U319)</f>
        <v>1.6624281392151052E-2</v>
      </c>
      <c r="W319" s="6">
        <f>IF(ISNA(G319*INDEX(_xll.qwTblData(_xll.qwCurveScenariosPerSecurity($A$1,F319,"Crv210")),2,2)),0,(G319*INDEX(_xll.qwTblData(_xll.qwCurveScenariosPerSecurity($A$1,F319,"Crv210")),2,2)))</f>
        <v>196.24851025454859</v>
      </c>
      <c r="X319" s="6" cm="1">
        <f t="array" ref="X319">ABS(Q319/_xll.qwMV01($A$1,"CT10"))</f>
        <v>58.012267162376837</v>
      </c>
      <c r="Y319" s="6" cm="1">
        <f t="array" ref="Y319">IF(N319="BondFuture",-(_xll.qwCurveYield($A$1,_xll.qwSecVal($A$1,AA319,"CreditCurveName()"),AA319)-_xll.qwCurveYield($A$4,_xll.qwSecVal($A$4,AA319,"CreditCurveName()"),AA319))*P319*10000,IF(N319="Bond",-(_xll.qwCurveYield($A$1,_xll.qwSecVal($A$1,F319,"CreditCurveName()"),F319)-_xll.qwCurveYield($A$4,_xll.qwSecVal($A$4,F319,"CreditCurveName()"),F319))*P319*10000,O319))</f>
        <v>76516.339213089188</v>
      </c>
      <c r="Z319" s="6" cm="1">
        <f t="array" ref="Z319">IF(OR(N319="BondFuture",N319="Bond"),P319*(_xll.qwCurveZSpread($A$4,_xll.qwSecVal($A$1,AA319,"CreditCurveName()"),AA319)-_xll.qwCurveZSpread($A$1,_xll.qwSecVal($A$1,AA319,"CreditCurveName()"),AA319)),0)</f>
        <v>-4876.2654528356525</v>
      </c>
      <c r="AA319" s="9" t="str" cm="1">
        <f t="array" ref="AA319">IF(_xll.qwSecType(F319)="Bond",F319,IF(_xll.qwSecType(F319)="BondFuture",_xll.qwFutCTD($A$1,F319),0))</f>
        <v>91282CFF3</v>
      </c>
      <c r="AB319" s="6" cm="1">
        <f t="array" ref="AB319">IF(_xll.qwSecType(F319)="BondFuture",-(I319*_xll.qwDelta($A$4,F319)*_xll.qwMVFactor($A$1,F319)/_xll.qwMVFactor($A$1,_xll.qwFutCTD($A$1,F319)))*(_xll.qwFXRate($A$1,F319)*_xll.qwMVFactor($A$1,_xll.qwFutCTD($A$1,F319))*(_xll.qwIncome($A$4,_xll.qwFutCTD($A$4,F319),_xll.qwBondSettle($A$4,_xll.qwFutCTD($A$4,F319)),_xll.qwBondSettle($A$1,_xll.qwFutCTD($A$1,F319)))+(_xll.qwSecVal($A$1,AA319,"Price")-_xll.qwSecVal($A$4,AA319,"Price"))-_xll.qwBondRepoFromTo($A$1,AA319,_xll.qwBondSettle($A$4,AA319),_xll.qwBondSettle($A$1,AA319))*_xll.qwSecVal($A$1,AA319,"Price")*(_xll.qwBondSettle($A$1,AA319)-_xll.qwBondSettle($A$4,AA319))/360))+O319,0)</f>
        <v>0</v>
      </c>
      <c r="AC319" s="9" cm="1">
        <f t="array" ref="AC319">O319+T319+IF(ISNUMBER(_xll.qwIncome($A$1,F319,_xll.qwSettle($A$4,F319),_xll.qwSettle($A$1,F319))*_xll.qwMVFactor($A$1,F319)*_xll.qwFXRate($A$1,F319)*I319),_xll.qwIncome($A$1,F319,_xll.qwSettle($A$4,F319),_xll.qwSettle($A$1,F319))*_xll.qwMVFactor($A$1,F319)*_xll.qwFXRate($A$1,F319)*I319,0)+IF(ISNUMBER(-(_xll.qwBondRepoFromTo($A$1,F319,_xll.qwSettle($A$4,F319),_xll.qwSettle($A$1,F319))*_xll.qwSecVal($A$1,F319,"Price")*(_xll.qwSettle($A$1,F319)-_xll.qwSettle($A$4,F319))/360)*_xll.qwMVFactor($A$1,F319)*_xll.qwFXRate($A$1,F319)*I319),-(_xll.qwBondRepoFromTo($A$1,F319,_xll.qwSettle($A$4,F319),_xll.qwSettle($A$1,F319))*_xll.qwSecVal($A$1,F319,"Price")*(_xll.qwSettle($A$1,F319)-_xll.qwSettle($A$4,F319))/360)*_xll.qwMVFactor($A$1,F319)*_xll.qwFXRate($A$1,F319)*I319,0)</f>
        <v>73915.267189203922</v>
      </c>
      <c r="AD319" s="6"/>
    </row>
    <row r="320" spans="2:30" s="19" customFormat="1" x14ac:dyDescent="0.35">
      <c r="B320" s="19" t="str">
        <v>jcleary</v>
      </c>
      <c r="C320" s="19" t="str">
        <v>PPA</v>
      </c>
      <c r="D320" s="19" t="str">
        <v>jcleary|PPA|RV_US_TY_Spread|91282CJZ5</v>
      </c>
      <c r="E320" s="19" t="str">
        <v>RV_US_TY_Spread</v>
      </c>
      <c r="F320" s="19" t="str">
        <v>91282CJZ5</v>
      </c>
      <c r="G320" s="19">
        <v>80.5</v>
      </c>
      <c r="H320" s="19">
        <v>0</v>
      </c>
      <c r="I320" s="19">
        <v>80.5</v>
      </c>
      <c r="J320" s="19">
        <v>0</v>
      </c>
      <c r="K320" s="19">
        <v>0</v>
      </c>
      <c r="L320" s="19">
        <v>0</v>
      </c>
      <c r="M320" s="19">
        <v>0</v>
      </c>
      <c r="N320" s="19" t="str">
        <v>Bond</v>
      </c>
      <c r="O320" s="6" cm="1">
        <f t="array" ref="O320">(_xll.qwPrice($A$1,F320)-_xll.qwPrice($A$4,F320))*_xll.qwMVFactor($A$1,F320)*I320*_xll.qwFXRate($A$1,F320)</f>
        <v>106914.06249985128</v>
      </c>
      <c r="P320" s="6" cm="1">
        <f t="array" ref="P320">IF(ISNUMBER(_xll.qwDV01($A$1,F320)*I320*_xll.qwMVFactor($A$1,F320)*_xll.qwFXRate($A$1,F320)),_xll.qwDV01($A$1,F320)*I320*_xll.qwMVFactor($A$1,F320)*_xll.qwFXRate($A$1,F320),0)</f>
        <v>46762.617600393241</v>
      </c>
      <c r="Q320" s="6" cm="1">
        <f t="array" ref="Q320">IF(ISNUMBER(_xll.qwDV01($A$1,F320)*G320*_xll.qwMVFactor($A$1,F320)*_xll.qwFXRate($A$1,F320)),_xll.qwDV01($A$1,F320)*G320*_xll.qwMVFactor($A$1,F320)*_xll.qwFXRate($A$1,F320),0)</f>
        <v>46762.617600393241</v>
      </c>
      <c r="R320" s="6" cm="1">
        <f t="array" ref="R320">IF(ISNUMBER(_xll.qwDV01($A$1,F320)*J320*_xll.qwMVFactor($A$1,F320)*_xll.qwFXRate($A$1,F320)),_xll.qwDV01($A$1,F320)*J320*_xll.qwMVFactor($A$1,F320)*_xll.qwFXRate($A$1,F320),0)</f>
        <v>0</v>
      </c>
      <c r="S320" s="6" cm="1">
        <f t="array" ref="S320">IF(ISNUMBER(_xll.qwDV01($A$1,F320)*J320*_xll.qwMVFactor($A$1,F320)*_xll.qwFXRate($A$1,F320)),_xll.qwDV01($A$1,F320)*J320*_xll.qwMVFactor($A$1,F320)*_xll.qwFXRate($A$1,F320),0)</f>
        <v>0</v>
      </c>
      <c r="T320" s="6" cm="1">
        <f t="array" ref="T320">_xll.qwFXRate($A$1,F320)*J320*(_xll.qwPrice($A$1,F320)-M320)*_xll.qwMVFactor($A$1,F320)+L320</f>
        <v>0</v>
      </c>
      <c r="U320" s="8" cm="1">
        <f t="array" ref="U320">_xll.qwYield($A$1,F320)</f>
        <v>5.1177386053993856E-2</v>
      </c>
      <c r="V320" s="8" cm="1">
        <f t="array" ref="V320">100*(_xll.qwYield($A$4,F320)-U320)</f>
        <v>2.2526815840354097E-2</v>
      </c>
      <c r="W320" s="6">
        <f>IF(ISNA(G320*INDEX(_xll.qwTblData(_xll.qwCurveScenariosPerSecurity($A$1,F320,"Crv210")),2,2)),0,(G320*INDEX(_xll.qwTblData(_xll.qwCurveScenariosPerSecurity($A$1,F320,"Crv210")),2,2)))</f>
        <v>-8366.3762233501166</v>
      </c>
      <c r="X320" s="6" cm="1">
        <f t="array" ref="X320">ABS(Q320/_xll.qwMV01($A$1,"CT10"))</f>
        <v>62.951416787571588</v>
      </c>
      <c r="Y320" s="6" cm="1">
        <f t="array" ref="Y320">IF(N320="BondFuture",-(_xll.qwCurveYield($A$1,_xll.qwSecVal($A$1,AA320,"CreditCurveName()"),AA320)-_xll.qwCurveYield($A$4,_xll.qwSecVal($A$4,AA320,"CreditCurveName()"),AA320))*P320*10000,IF(N320="Bond",-(_xll.qwCurveYield($A$1,_xll.qwSecVal($A$1,F320,"CreditCurveName()"),F320)-_xll.qwCurveYield($A$4,_xll.qwSecVal($A$4,F320,"CreditCurveName()"),F320))*P320*10000,O320))</f>
        <v>100584.03766557705</v>
      </c>
      <c r="Z320" s="6" cm="1">
        <f t="array" ref="Z320">IF(OR(N320="BondFuture",N320="Bond"),P320*(_xll.qwCurveZSpread($A$4,_xll.qwSecVal($A$1,AA320,"CreditCurveName()"),AA320)-_xll.qwCurveZSpread($A$1,_xll.qwSecVal($A$1,AA320,"CreditCurveName()"),AA320)),0)</f>
        <v>4757.2498241189414</v>
      </c>
      <c r="AA320" s="9" t="str" cm="1">
        <f t="array" ref="AA320">IF(_xll.qwSecType(F320)="Bond",F320,IF(_xll.qwSecType(F320)="BondFuture",_xll.qwFutCTD($A$1,F320),0))</f>
        <v>91282CJZ5</v>
      </c>
      <c r="AB320" s="6" cm="1">
        <f t="array" ref="AB320">IF(_xll.qwSecType(F320)="BondFuture",-(I320*_xll.qwDelta($A$4,F320)*_xll.qwMVFactor($A$1,F320)/_xll.qwMVFactor($A$1,_xll.qwFutCTD($A$1,F320)))*(_xll.qwFXRate($A$1,F320)*_xll.qwMVFactor($A$1,_xll.qwFutCTD($A$1,F320))*(_xll.qwIncome($A$4,_xll.qwFutCTD($A$4,F320),_xll.qwBondSettle($A$4,_xll.qwFutCTD($A$4,F320)),_xll.qwBondSettle($A$1,_xll.qwFutCTD($A$1,F320)))+(_xll.qwSecVal($A$1,AA320,"Price")-_xll.qwSecVal($A$4,AA320,"Price"))-_xll.qwBondRepoFromTo($A$1,AA320,_xll.qwBondSettle($A$4,AA320),_xll.qwBondSettle($A$1,AA320))*_xll.qwSecVal($A$1,AA320,"Price")*(_xll.qwBondSettle($A$1,AA320)-_xll.qwBondSettle($A$4,AA320))/360))+O320,0)</f>
        <v>0</v>
      </c>
      <c r="AC320" s="9" cm="1">
        <f t="array" ref="AC320">O320+T320+IF(ISNUMBER(_xll.qwIncome($A$1,F320,_xll.qwSettle($A$4,F320),_xll.qwSettle($A$1,F320))*_xll.qwMVFactor($A$1,F320)*_xll.qwFXRate($A$1,F320)*I320),_xll.qwIncome($A$1,F320,_xll.qwSettle($A$4,F320),_xll.qwSettle($A$1,F320))*_xll.qwMVFactor($A$1,F320)*_xll.qwFXRate($A$1,F320)*I320,0)+IF(ISNUMBER(-(_xll.qwBondRepoFromTo($A$1,F320,_xll.qwSettle($A$4,F320),_xll.qwSettle($A$1,F320))*_xll.qwSecVal($A$1,F320,"Price")*(_xll.qwSettle($A$1,F320)-_xll.qwSettle($A$4,F320))/360)*_xll.qwMVFactor($A$1,F320)*_xll.qwFXRate($A$1,F320)*I320),-(_xll.qwBondRepoFromTo($A$1,F320,_xll.qwSettle($A$4,F320),_xll.qwSettle($A$1,F320))*_xll.qwSecVal($A$1,F320,"Price")*(_xll.qwSettle($A$1,F320)-_xll.qwSettle($A$4,F320))/360)*_xll.qwMVFactor($A$1,F320)*_xll.qwFXRate($A$1,F320)*I320,0)</f>
        <v>107523.77817783516</v>
      </c>
      <c r="AD320" s="6"/>
    </row>
    <row r="321" spans="2:30" s="19" customFormat="1" x14ac:dyDescent="0.35">
      <c r="B321" s="19" t="str">
        <v>jcleary</v>
      </c>
      <c r="C321" s="19" t="str">
        <v>PPA</v>
      </c>
      <c r="D321" s="19" t="str">
        <v>jcleary|PPA|RV_US_TY_Spread|91282CKQ3</v>
      </c>
      <c r="E321" s="19" t="str">
        <v>RV_US_TY_Spread</v>
      </c>
      <c r="F321" s="19" t="str">
        <v>91282CKQ3</v>
      </c>
      <c r="G321" s="19">
        <v>152</v>
      </c>
      <c r="H321" s="19">
        <v>0</v>
      </c>
      <c r="I321" s="19">
        <v>152</v>
      </c>
      <c r="J321" s="19">
        <v>0</v>
      </c>
      <c r="K321" s="19">
        <v>0</v>
      </c>
      <c r="L321" s="19">
        <v>0</v>
      </c>
      <c r="M321" s="19">
        <v>0</v>
      </c>
      <c r="N321" s="19" t="str">
        <v>Bond</v>
      </c>
      <c r="O321" s="6" cm="1">
        <f t="array" ref="O321">(_xll.qwPrice($A$1,F321)-_xll.qwPrice($A$4,F321))*_xll.qwMVFactor($A$1,F321)*I321*_xll.qwFXRate($A$1,F321)</f>
        <v>201875.0000000216</v>
      </c>
      <c r="P321" s="6" cm="1">
        <f t="array" ref="P321">IF(ISNUMBER(_xll.qwDV01($A$1,F321)*I321*_xll.qwMVFactor($A$1,F321)*_xll.qwFXRate($A$1,F321)),_xll.qwDV01($A$1,F321)*I321*_xll.qwMVFactor($A$1,F321)*_xll.qwFXRate($A$1,F321),0)</f>
        <v>91909.994353045477</v>
      </c>
      <c r="Q321" s="6" cm="1">
        <f t="array" ref="Q321">IF(ISNUMBER(_xll.qwDV01($A$1,F321)*G321*_xll.qwMVFactor($A$1,F321)*_xll.qwFXRate($A$1,F321)),_xll.qwDV01($A$1,F321)*G321*_xll.qwMVFactor($A$1,F321)*_xll.qwFXRate($A$1,F321),0)</f>
        <v>91909.994353045477</v>
      </c>
      <c r="R321" s="6" cm="1">
        <f t="array" ref="R321">IF(ISNUMBER(_xll.qwDV01($A$1,F321)*J321*_xll.qwMVFactor($A$1,F321)*_xll.qwFXRate($A$1,F321)),_xll.qwDV01($A$1,F321)*J321*_xll.qwMVFactor($A$1,F321)*_xll.qwFXRate($A$1,F321),0)</f>
        <v>0</v>
      </c>
      <c r="S321" s="6" cm="1">
        <f t="array" ref="S321">IF(ISNUMBER(_xll.qwDV01($A$1,F321)*J321*_xll.qwMVFactor($A$1,F321)*_xll.qwFXRate($A$1,F321)),_xll.qwDV01($A$1,F321)*J321*_xll.qwMVFactor($A$1,F321)*_xll.qwFXRate($A$1,F321),0)</f>
        <v>0</v>
      </c>
      <c r="T321" s="6" cm="1">
        <f t="array" ref="T321">_xll.qwFXRate($A$1,F321)*J321*(_xll.qwPrice($A$1,F321)-M321)*_xll.qwMVFactor($A$1,F321)+L321</f>
        <v>0</v>
      </c>
      <c r="U321" s="8" cm="1">
        <f t="array" ref="U321">_xll.qwYield($A$1,F321)</f>
        <v>5.125604507156592E-2</v>
      </c>
      <c r="V321" s="8" cm="1">
        <f t="array" ref="V321">100*(_xll.qwYield($A$4,F321)-U321)</f>
        <v>2.1732516763708215E-2</v>
      </c>
      <c r="W321" s="6">
        <f>IF(ISNA(G321*INDEX(_xll.qwTblData(_xll.qwCurveScenariosPerSecurity($A$1,F321,"Crv210")),2,2)),0,(G321*INDEX(_xll.qwTblData(_xll.qwCurveScenariosPerSecurity($A$1,F321,"Crv210")),2,2)))</f>
        <v>-18895.590543555729</v>
      </c>
      <c r="X321" s="6" cm="1">
        <f t="array" ref="X321">ABS(Q321/_xll.qwMV01($A$1,"CT10"))</f>
        <v>123.72841081961292</v>
      </c>
      <c r="Y321" s="6" cm="1">
        <f t="array" ref="Y321">IF(N321="BondFuture",-(_xll.qwCurveYield($A$1,_xll.qwSecVal($A$1,AA321,"CreditCurveName()"),AA321)-_xll.qwCurveYield($A$4,_xll.qwSecVal($A$4,AA321,"CreditCurveName()"),AA321))*P321*10000,IF(N321="Bond",-(_xll.qwCurveYield($A$1,_xll.qwSecVal($A$1,F321,"CreditCurveName()"),F321)-_xll.qwCurveYield($A$4,_xll.qwSecVal($A$4,F321,"CreditCurveName()"),F321))*P321*10000,O321))</f>
        <v>202183.20628179572</v>
      </c>
      <c r="Z321" s="6" cm="1">
        <f t="array" ref="Z321">IF(OR(N321="BondFuture",N321="Bond"),P321*(_xll.qwCurveZSpread($A$4,_xll.qwSecVal($A$1,AA321,"CreditCurveName()"),AA321)-_xll.qwCurveZSpread($A$1,_xll.qwSecVal($A$1,AA321,"CreditCurveName()"),AA321)),0)</f>
        <v>-2439.6569788069028</v>
      </c>
      <c r="AA321" s="9" t="str" cm="1">
        <f t="array" ref="AA321">IF(_xll.qwSecType(F321)="Bond",F321,IF(_xll.qwSecType(F321)="BondFuture",_xll.qwFutCTD($A$1,F321),0))</f>
        <v>91282CKQ3</v>
      </c>
      <c r="AB321" s="6" cm="1">
        <f t="array" ref="AB321">IF(_xll.qwSecType(F321)="BondFuture",-(I321*_xll.qwDelta($A$4,F321)*_xll.qwMVFactor($A$1,F321)/_xll.qwMVFactor($A$1,_xll.qwFutCTD($A$1,F321)))*(_xll.qwFXRate($A$1,F321)*_xll.qwMVFactor($A$1,_xll.qwFutCTD($A$1,F321))*(_xll.qwIncome($A$4,_xll.qwFutCTD($A$4,F321),_xll.qwBondSettle($A$4,_xll.qwFutCTD($A$4,F321)),_xll.qwBondSettle($A$1,_xll.qwFutCTD($A$1,F321)))+(_xll.qwSecVal($A$1,AA321,"Price")-_xll.qwSecVal($A$4,AA321,"Price"))-_xll.qwBondRepoFromTo($A$1,AA321,_xll.qwBondSettle($A$4,AA321),_xll.qwBondSettle($A$1,AA321))*_xll.qwSecVal($A$1,AA321,"Price")*(_xll.qwBondSettle($A$1,AA321)-_xll.qwBondSettle($A$4,AA321))/360))+O321,0)</f>
        <v>0</v>
      </c>
      <c r="AC321" s="9" cm="1">
        <f t="array" ref="AC321">O321+T321+IF(ISNUMBER(_xll.qwIncome($A$1,F321,_xll.qwSettle($A$4,F321),_xll.qwSettle($A$1,F321))*_xll.qwMVFactor($A$1,F321)*_xll.qwFXRate($A$1,F321)*I321),_xll.qwIncome($A$1,F321,_xll.qwSettle($A$4,F321),_xll.qwSettle($A$1,F321))*_xll.qwMVFactor($A$1,F321)*_xll.qwFXRate($A$1,F321)*I321,0)+IF(ISNUMBER(-(_xll.qwBondRepoFromTo($A$1,F321,_xll.qwSettle($A$4,F321),_xll.qwSettle($A$1,F321))*_xll.qwSecVal($A$1,F321,"Price")*(_xll.qwSettle($A$1,F321)-_xll.qwSettle($A$4,F321))/360)*_xll.qwMVFactor($A$1,F321)*_xll.qwFXRate($A$1,F321)*I321),-(_xll.qwBondRepoFromTo($A$1,F321,_xll.qwSettle($A$4,F321),_xll.qwSettle($A$1,F321))*_xll.qwSecVal($A$1,F321,"Price")*(_xll.qwSettle($A$1,F321)-_xll.qwSettle($A$4,F321))/360)*_xll.qwMVFactor($A$1,F321)*_xll.qwFXRate($A$1,F321)*I321,0)</f>
        <v>204229.34657753535</v>
      </c>
      <c r="AD321" s="6"/>
    </row>
    <row r="322" spans="2:30" s="19" customFormat="1" x14ac:dyDescent="0.35">
      <c r="B322" s="19" t="str">
        <v>jcleary</v>
      </c>
      <c r="C322" s="19" t="str">
        <v>PPA</v>
      </c>
      <c r="D322" s="19" t="str">
        <v>jcleary|PPA|RV_US_TY_Spread|91282CNW7</v>
      </c>
      <c r="E322" s="19" t="str">
        <v>RV_US_TY_Spread</v>
      </c>
      <c r="F322" s="19" t="str">
        <v>91282CNW7</v>
      </c>
      <c r="G322" s="19">
        <v>129.5</v>
      </c>
      <c r="H322" s="19">
        <v>0</v>
      </c>
      <c r="I322" s="19">
        <v>129.5</v>
      </c>
      <c r="J322" s="19">
        <v>0</v>
      </c>
      <c r="K322" s="19">
        <v>0</v>
      </c>
      <c r="L322" s="19">
        <v>0</v>
      </c>
      <c r="M322" s="19">
        <v>0</v>
      </c>
      <c r="N322" s="19" t="str">
        <v>Bond</v>
      </c>
      <c r="O322" s="6" cm="1">
        <f t="array" ref="O322">(_xll.qwPrice($A$1,F322)-_xll.qwPrice($A$4,F322))*_xll.qwMVFactor($A$1,F322)*I322*_xll.qwFXRate($A$1,F322)</f>
        <v>106230.46875</v>
      </c>
      <c r="P322" s="6" cm="1">
        <f t="array" ref="P322">IF(ISNUMBER(_xll.qwDV01($A$1,F322)*I322*_xll.qwMVFactor($A$1,F322)*_xll.qwFXRate($A$1,F322)),_xll.qwDV01($A$1,F322)*I322*_xll.qwMVFactor($A$1,F322)*_xll.qwFXRate($A$1,F322),0)</f>
        <v>62865.486327723374</v>
      </c>
      <c r="Q322" s="6" cm="1">
        <f t="array" ref="Q322">IF(ISNUMBER(_xll.qwDV01($A$1,F322)*G322*_xll.qwMVFactor($A$1,F322)*_xll.qwFXRate($A$1,F322)),_xll.qwDV01($A$1,F322)*G322*_xll.qwMVFactor($A$1,F322)*_xll.qwFXRate($A$1,F322),0)</f>
        <v>62865.486327723374</v>
      </c>
      <c r="R322" s="6" cm="1">
        <f t="array" ref="R322">IF(ISNUMBER(_xll.qwDV01($A$1,F322)*J322*_xll.qwMVFactor($A$1,F322)*_xll.qwFXRate($A$1,F322)),_xll.qwDV01($A$1,F322)*J322*_xll.qwMVFactor($A$1,F322)*_xll.qwFXRate($A$1,F322),0)</f>
        <v>0</v>
      </c>
      <c r="S322" s="6" cm="1">
        <f t="array" ref="S322">IF(ISNUMBER(_xll.qwDV01($A$1,F322)*J322*_xll.qwMVFactor($A$1,F322)*_xll.qwFXRate($A$1,F322)),_xll.qwDV01($A$1,F322)*J322*_xll.qwMVFactor($A$1,F322)*_xll.qwFXRate($A$1,F322),0)</f>
        <v>0</v>
      </c>
      <c r="T322" s="6" cm="1">
        <f t="array" ref="T322">_xll.qwFXRate($A$1,F322)*J322*(_xll.qwPrice($A$1,F322)-M322)*_xll.qwMVFactor($A$1,F322)+L322</f>
        <v>0</v>
      </c>
      <c r="U322" s="8" cm="1">
        <f t="array" ref="U322">_xll.qwYield($A$1,F322)</f>
        <v>5.052313178845539E-2</v>
      </c>
      <c r="V322" s="8" cm="1">
        <f t="array" ref="V322">100*(_xll.qwYield($A$4,F322)-U322)</f>
        <v>1.6420345477830695E-2</v>
      </c>
      <c r="W322" s="6">
        <f>IF(ISNA(G322*INDEX(_xll.qwTblData(_xll.qwCurveScenariosPerSecurity($A$1,F322,"Crv210")),2,2)),0,(G322*INDEX(_xll.qwTblData(_xll.qwCurveScenariosPerSecurity($A$1,F322,"Crv210")),2,2)))</f>
        <v>443.48076674623371</v>
      </c>
      <c r="X322" s="6" cm="1">
        <f t="array" ref="X322">ABS(Q322/_xll.qwMV01($A$1,"CT10"))</f>
        <v>84.62895437522765</v>
      </c>
      <c r="Y322" s="6" cm="1">
        <f t="array" ref="Y322">IF(N322="BondFuture",-(_xll.qwCurveYield($A$1,_xll.qwSecVal($A$1,AA322,"CreditCurveName()"),AA322)-_xll.qwCurveYield($A$4,_xll.qwSecVal($A$4,AA322,"CreditCurveName()"),AA322))*P322*10000,IF(N322="Bond",-(_xll.qwCurveYield($A$1,_xll.qwSecVal($A$1,F322,"CreditCurveName()"),F322)-_xll.qwCurveYield($A$4,_xll.qwSecVal($A$4,F322,"CreditCurveName()"),F322))*P322*10000,O322))</f>
        <v>110018.25705882742</v>
      </c>
      <c r="Z322" s="6" cm="1">
        <f t="array" ref="Z322">IF(OR(N322="BondFuture",N322="Bond"),P322*(_xll.qwCurveZSpread($A$4,_xll.qwSecVal($A$1,AA322,"CreditCurveName()"),AA322)-_xll.qwCurveZSpread($A$1,_xll.qwSecVal($A$1,AA322,"CreditCurveName()"),AA322)),0)</f>
        <v>-6790.9566455214463</v>
      </c>
      <c r="AA322" s="9" t="str" cm="1">
        <f t="array" ref="AA322">IF(_xll.qwSecType(F322)="Bond",F322,IF(_xll.qwSecType(F322)="BondFuture",_xll.qwFutCTD($A$1,F322),0))</f>
        <v>91282CNW7</v>
      </c>
      <c r="AB322" s="6" cm="1">
        <f t="array" ref="AB322">IF(_xll.qwSecType(F322)="BondFuture",-(I322*_xll.qwDelta($A$4,F322)*_xll.qwMVFactor($A$1,F322)/_xll.qwMVFactor($A$1,_xll.qwFutCTD($A$1,F322)))*(_xll.qwFXRate($A$1,F322)*_xll.qwMVFactor($A$1,_xll.qwFutCTD($A$1,F322))*(_xll.qwIncome($A$4,_xll.qwFutCTD($A$4,F322),_xll.qwBondSettle($A$4,_xll.qwFutCTD($A$4,F322)),_xll.qwBondSettle($A$1,_xll.qwFutCTD($A$1,F322)))+(_xll.qwSecVal($A$1,AA322,"Price")-_xll.qwSecVal($A$4,AA322,"Price"))-_xll.qwBondRepoFromTo($A$1,AA322,_xll.qwBondSettle($A$4,AA322),_xll.qwBondSettle($A$1,AA322))*_xll.qwSecVal($A$1,AA322,"Price")*(_xll.qwBondSettle($A$1,AA322)-_xll.qwBondSettle($A$4,AA322))/360))+O322,0)</f>
        <v>0</v>
      </c>
      <c r="AC322" s="9" cm="1">
        <f t="array" ref="AC322">O322+T322+IF(ISNUMBER(_xll.qwIncome($A$1,F322,_xll.qwSettle($A$4,F322),_xll.qwSettle($A$1,F322))*_xll.qwMVFactor($A$1,F322)*_xll.qwFXRate($A$1,F322)*I322),_xll.qwIncome($A$1,F322,_xll.qwSettle($A$4,F322),_xll.qwSettle($A$1,F322))*_xll.qwMVFactor($A$1,F322)*_xll.qwFXRate($A$1,F322)*I322,0)+IF(ISNUMBER(-(_xll.qwBondRepoFromTo($A$1,F322,_xll.qwSettle($A$4,F322),_xll.qwSettle($A$1,F322))*_xll.qwSecVal($A$1,F322,"Price")*(_xll.qwSettle($A$1,F322)-_xll.qwSettle($A$4,F322))/360)*_xll.qwMVFactor($A$1,F322)*_xll.qwFXRate($A$1,F322)*I322),-(_xll.qwBondRepoFromTo($A$1,F322,_xll.qwSettle($A$4,F322),_xll.qwSettle($A$1,F322))*_xll.qwSecVal($A$1,F322,"Price")*(_xll.qwSettle($A$1,F322)-_xll.qwSettle($A$4,F322))/360)*_xll.qwMVFactor($A$1,F322)*_xll.qwFXRate($A$1,F322)*I322,0)</f>
        <v>106878.93858597458</v>
      </c>
      <c r="AD322" s="6"/>
    </row>
    <row r="323" spans="2:30" s="19" customFormat="1" x14ac:dyDescent="0.35">
      <c r="B323" s="19" t="str">
        <v>jcleary</v>
      </c>
      <c r="C323" s="19" t="str">
        <v>PPA</v>
      </c>
      <c r="D323" s="19" t="str">
        <v>jcleary|PPA|RV_US_TY_Spread|91282CNZ0</v>
      </c>
      <c r="E323" s="19" t="str">
        <v>RV_US_TY_Spread</v>
      </c>
      <c r="F323" s="19" t="str">
        <v>91282CNZ0</v>
      </c>
      <c r="G323" s="19">
        <v>162.9</v>
      </c>
      <c r="H323" s="19">
        <v>0</v>
      </c>
      <c r="I323" s="19">
        <v>162.9</v>
      </c>
      <c r="J323" s="19">
        <v>0</v>
      </c>
      <c r="K323" s="19">
        <v>0</v>
      </c>
      <c r="L323" s="19">
        <v>0</v>
      </c>
      <c r="M323" s="19">
        <v>0</v>
      </c>
      <c r="N323" s="19" t="str">
        <v>Bond</v>
      </c>
      <c r="O323" s="6" cm="1">
        <f t="array" ref="O323">(_xll.qwPrice($A$1,F323)-_xll.qwPrice($A$4,F323))*_xll.qwMVFactor($A$1,F323)*I323*_xll.qwFXRate($A$1,F323)</f>
        <v>133628.90625057873</v>
      </c>
      <c r="P323" s="6" cm="1">
        <f t="array" ref="P323">IF(ISNUMBER(_xll.qwDV01($A$1,F323)*I323*_xll.qwMVFactor($A$1,F323)*_xll.qwFXRate($A$1,F323)),_xll.qwDV01($A$1,F323)*I323*_xll.qwMVFactor($A$1,F323)*_xll.qwFXRate($A$1,F323),0)</f>
        <v>79978.891861287586</v>
      </c>
      <c r="Q323" s="6" cm="1">
        <f t="array" ref="Q323">IF(ISNUMBER(_xll.qwDV01($A$1,F323)*G323*_xll.qwMVFactor($A$1,F323)*_xll.qwFXRate($A$1,F323)),_xll.qwDV01($A$1,F323)*G323*_xll.qwMVFactor($A$1,F323)*_xll.qwFXRate($A$1,F323),0)</f>
        <v>79978.891861287586</v>
      </c>
      <c r="R323" s="6" cm="1">
        <f t="array" ref="R323">IF(ISNUMBER(_xll.qwDV01($A$1,F323)*J323*_xll.qwMVFactor($A$1,F323)*_xll.qwFXRate($A$1,F323)),_xll.qwDV01($A$1,F323)*J323*_xll.qwMVFactor($A$1,F323)*_xll.qwFXRate($A$1,F323),0)</f>
        <v>0</v>
      </c>
      <c r="S323" s="6" cm="1">
        <f t="array" ref="S323">IF(ISNUMBER(_xll.qwDV01($A$1,F323)*J323*_xll.qwMVFactor($A$1,F323)*_xll.qwFXRate($A$1,F323)),_xll.qwDV01($A$1,F323)*J323*_xll.qwMVFactor($A$1,F323)*_xll.qwFXRate($A$1,F323),0)</f>
        <v>0</v>
      </c>
      <c r="T323" s="6" cm="1">
        <f t="array" ref="T323">_xll.qwFXRate($A$1,F323)*J323*(_xll.qwPrice($A$1,F323)-M323)*_xll.qwMVFactor($A$1,F323)+L323</f>
        <v>0</v>
      </c>
      <c r="U323" s="8" cm="1">
        <f t="array" ref="U323">_xll.qwYield($A$1,F323)</f>
        <v>5.0557147126991712E-2</v>
      </c>
      <c r="V323" s="8" cm="1">
        <f t="array" ref="V323">100*(_xll.qwYield($A$4,F323)-U323)</f>
        <v>1.6248084483578423E-2</v>
      </c>
      <c r="W323" s="6">
        <f>IF(ISNA(G323*INDEX(_xll.qwTblData(_xll.qwCurveScenariosPerSecurity($A$1,F323,"Crv210")),2,2)),0,(G323*INDEX(_xll.qwTblData(_xll.qwCurveScenariosPerSecurity($A$1,F323,"Crv210")),2,2)))</f>
        <v>-274.10239244738932</v>
      </c>
      <c r="X323" s="6" cm="1">
        <f t="array" ref="X323">ABS(Q323/_xll.qwMV01($A$1,"CT10"))</f>
        <v>107.66686755631261</v>
      </c>
      <c r="Y323" s="6" cm="1">
        <f t="array" ref="Y323">IF(N323="BondFuture",-(_xll.qwCurveYield($A$1,_xll.qwSecVal($A$1,AA323,"CreditCurveName()"),AA323)-_xll.qwCurveYield($A$4,_xll.qwSecVal($A$4,AA323,"CreditCurveName()"),AA323))*P323*10000,IF(N323="Bond",-(_xll.qwCurveYield($A$1,_xll.qwSecVal($A$1,F323,"CreditCurveName()"),F323)-_xll.qwCurveYield($A$4,_xll.qwSecVal($A$4,F323,"CreditCurveName()"),F323))*P323*10000,O323))</f>
        <v>142022.85880477607</v>
      </c>
      <c r="Z323" s="6" cm="1">
        <f t="array" ref="Z323">IF(OR(N323="BondFuture",N323="Bond"),P323*(_xll.qwCurveZSpread($A$4,_xll.qwSecVal($A$1,AA323,"CreditCurveName()"),AA323)-_xll.qwCurveZSpread($A$1,_xll.qwSecVal($A$1,AA323,"CreditCurveName()"),AA323)),0)</f>
        <v>-12072.47961825773</v>
      </c>
      <c r="AA323" s="9" t="str" cm="1">
        <f t="array" ref="AA323">IF(_xll.qwSecType(F323)="Bond",F323,IF(_xll.qwSecType(F323)="BondFuture",_xll.qwFutCTD($A$1,F323),0))</f>
        <v>91282CNZ0</v>
      </c>
      <c r="AB323" s="6" cm="1">
        <f t="array" ref="AB323">IF(_xll.qwSecType(F323)="BondFuture",-(I323*_xll.qwDelta($A$4,F323)*_xll.qwMVFactor($A$1,F323)/_xll.qwMVFactor($A$1,_xll.qwFutCTD($A$1,F323)))*(_xll.qwFXRate($A$1,F323)*_xll.qwMVFactor($A$1,_xll.qwFutCTD($A$1,F323))*(_xll.qwIncome($A$4,_xll.qwFutCTD($A$4,F323),_xll.qwBondSettle($A$4,_xll.qwFutCTD($A$4,F323)),_xll.qwBondSettle($A$1,_xll.qwFutCTD($A$1,F323)))+(_xll.qwSecVal($A$1,AA323,"Price")-_xll.qwSecVal($A$4,AA323,"Price"))-_xll.qwBondRepoFromTo($A$1,AA323,_xll.qwBondSettle($A$4,AA323),_xll.qwBondSettle($A$1,AA323))*_xll.qwSecVal($A$1,AA323,"Price")*(_xll.qwBondSettle($A$1,AA323)-_xll.qwBondSettle($A$4,AA323))/360))+O323,0)</f>
        <v>0</v>
      </c>
      <c r="AC323" s="9" cm="1">
        <f t="array" ref="AC323">O323+T323+IF(ISNUMBER(_xll.qwIncome($A$1,F323,_xll.qwSettle($A$4,F323),_xll.qwSettle($A$1,F323))*_xll.qwMVFactor($A$1,F323)*_xll.qwFXRate($A$1,F323)*I323),_xll.qwIncome($A$1,F323,_xll.qwSettle($A$4,F323),_xll.qwSettle($A$1,F323))*_xll.qwMVFactor($A$1,F323)*_xll.qwFXRate($A$1,F323)*I323,0)+IF(ISNUMBER(-(_xll.qwBondRepoFromTo($A$1,F323,_xll.qwSettle($A$4,F323),_xll.qwSettle($A$1,F323))*_xll.qwSecVal($A$1,F323,"Price")*(_xll.qwSettle($A$1,F323)-_xll.qwSettle($A$4,F323))/360)*_xll.qwMVFactor($A$1,F323)*_xll.qwFXRate($A$1,F323)*I323),-(_xll.qwBondRepoFromTo($A$1,F323,_xll.qwSettle($A$4,F323),_xll.qwSettle($A$1,F323))*_xll.qwSecVal($A$1,F323,"Price")*(_xll.qwSettle($A$1,F323)-_xll.qwSettle($A$4,F323))/360)*_xll.qwMVFactor($A$1,F323)*_xll.qwFXRate($A$1,F323)*I323,0)</f>
        <v>134363.99990225816</v>
      </c>
      <c r="AD323" s="6"/>
    </row>
    <row r="324" spans="2:30" s="19" customFormat="1" x14ac:dyDescent="0.35">
      <c r="B324" s="19" t="str">
        <v>jcleary</v>
      </c>
      <c r="C324" s="19" t="str">
        <v>PPA</v>
      </c>
      <c r="D324" s="19" t="str">
        <v>jcleary|PPA|RV_US_TY_Spread|91282CPM7</v>
      </c>
      <c r="E324" s="19" t="str">
        <v>RV_US_TY_Spread</v>
      </c>
      <c r="F324" s="19" t="str">
        <v>91282CPM7</v>
      </c>
      <c r="G324" s="19">
        <v>174.8</v>
      </c>
      <c r="H324" s="19">
        <v>0</v>
      </c>
      <c r="I324" s="19">
        <v>174.8</v>
      </c>
      <c r="J324" s="19">
        <v>0</v>
      </c>
      <c r="K324" s="19">
        <v>0</v>
      </c>
      <c r="L324" s="19">
        <v>0</v>
      </c>
      <c r="M324" s="19">
        <v>0</v>
      </c>
      <c r="N324" s="19" t="str">
        <v>Bond</v>
      </c>
      <c r="O324" s="6" cm="1">
        <f t="array" ref="O324">(_xll.qwPrice($A$1,F324)-_xll.qwPrice($A$4,F324))*_xll.qwMVFactor($A$1,F324)*I324*_xll.qwFXRate($A$1,F324)</f>
        <v>170703.12499982613</v>
      </c>
      <c r="P324" s="6" cm="1">
        <f t="array" ref="P324">IF(ISNUMBER(_xll.qwDV01($A$1,F324)*I324*_xll.qwMVFactor($A$1,F324)*_xll.qwFXRate($A$1,F324)),_xll.qwDV01($A$1,F324)*I324*_xll.qwMVFactor($A$1,F324)*_xll.qwFXRate($A$1,F324),0)</f>
        <v>87414.476865887991</v>
      </c>
      <c r="Q324" s="6" cm="1">
        <f t="array" ref="Q324">IF(ISNUMBER(_xll.qwDV01($A$1,F324)*G324*_xll.qwMVFactor($A$1,F324)*_xll.qwFXRate($A$1,F324)),_xll.qwDV01($A$1,F324)*G324*_xll.qwMVFactor($A$1,F324)*_xll.qwFXRate($A$1,F324),0)</f>
        <v>87414.476865887991</v>
      </c>
      <c r="R324" s="6" cm="1">
        <f t="array" ref="R324">IF(ISNUMBER(_xll.qwDV01($A$1,F324)*J324*_xll.qwMVFactor($A$1,F324)*_xll.qwFXRate($A$1,F324)),_xll.qwDV01($A$1,F324)*J324*_xll.qwMVFactor($A$1,F324)*_xll.qwFXRate($A$1,F324),0)</f>
        <v>0</v>
      </c>
      <c r="S324" s="6" cm="1">
        <f t="array" ref="S324">IF(ISNUMBER(_xll.qwDV01($A$1,F324)*J324*_xll.qwMVFactor($A$1,F324)*_xll.qwFXRate($A$1,F324)),_xll.qwDV01($A$1,F324)*J324*_xll.qwMVFactor($A$1,F324)*_xll.qwFXRate($A$1,F324),0)</f>
        <v>0</v>
      </c>
      <c r="T324" s="6" cm="1">
        <f t="array" ref="T324">_xll.qwFXRate($A$1,F324)*J324*(_xll.qwPrice($A$1,F324)-M324)*_xll.qwMVFactor($A$1,F324)+L324</f>
        <v>0</v>
      </c>
      <c r="U324" s="8" cm="1">
        <f t="array" ref="U324">_xll.qwYield($A$1,F324)</f>
        <v>5.0632977744396394E-2</v>
      </c>
      <c r="V324" s="8" cm="1">
        <f t="array" ref="V324">100*(_xll.qwYield($A$4,F324)-U324)</f>
        <v>1.8998072485010287E-2</v>
      </c>
      <c r="W324" s="6">
        <f>IF(ISNA(G324*INDEX(_xll.qwTblData(_xll.qwCurveScenariosPerSecurity($A$1,F324,"Crv210")),2,2)),0,(G324*INDEX(_xll.qwTblData(_xll.qwCurveScenariosPerSecurity($A$1,F324,"Crv210")),2,2)))</f>
        <v>-2254.1075543687157</v>
      </c>
      <c r="X324" s="6" cm="1">
        <f t="array" ref="X324">ABS(Q324/_xll.qwMV01($A$1,"CT10"))</f>
        <v>117.67658546141297</v>
      </c>
      <c r="Y324" s="6" cm="1">
        <f t="array" ref="Y324">IF(N324="BondFuture",-(_xll.qwCurveYield($A$1,_xll.qwSecVal($A$1,AA324,"CreditCurveName()"),AA324)-_xll.qwCurveYield($A$4,_xll.qwSecVal($A$4,AA324,"CreditCurveName()"),AA324))*P324*10000,IF(N324="Bond",-(_xll.qwCurveYield($A$1,_xll.qwSecVal($A$1,F324,"CreditCurveName()"),F324)-_xll.qwCurveYield($A$4,_xll.qwSecVal($A$4,F324,"CreditCurveName()"),F324))*P324*10000,O324))</f>
        <v>159667.11221223843</v>
      </c>
      <c r="Z324" s="6" cm="1">
        <f t="array" ref="Z324">IF(OR(N324="BondFuture",N324="Bond"),P324*(_xll.qwCurveZSpread($A$4,_xll.qwSecVal($A$1,AA324,"CreditCurveName()"),AA324)-_xll.qwCurveZSpread($A$1,_xll.qwSecVal($A$1,AA324,"CreditCurveName()"),AA324)),0)</f>
        <v>6403.5445615010613</v>
      </c>
      <c r="AA324" s="9" t="str" cm="1">
        <f t="array" ref="AA324">IF(_xll.qwSecType(F324)="Bond",F324,IF(_xll.qwSecType(F324)="BondFuture",_xll.qwFutCTD($A$1,F324),0))</f>
        <v>91282CPM7</v>
      </c>
      <c r="AB324" s="6" cm="1">
        <f t="array" ref="AB324">IF(_xll.qwSecType(F324)="BondFuture",-(I324*_xll.qwDelta($A$4,F324)*_xll.qwMVFactor($A$1,F324)/_xll.qwMVFactor($A$1,_xll.qwFutCTD($A$1,F324)))*(_xll.qwFXRate($A$1,F324)*_xll.qwMVFactor($A$1,_xll.qwFutCTD($A$1,F324))*(_xll.qwIncome($A$4,_xll.qwFutCTD($A$4,F324),_xll.qwBondSettle($A$4,_xll.qwFutCTD($A$4,F324)),_xll.qwBondSettle($A$1,_xll.qwFutCTD($A$1,F324)))+(_xll.qwSecVal($A$1,AA324,"Price")-_xll.qwSecVal($A$4,AA324,"Price"))-_xll.qwBondRepoFromTo($A$1,AA324,_xll.qwBondSettle($A$4,AA324),_xll.qwBondSettle($A$1,AA324))*_xll.qwSecVal($A$1,AA324,"Price")*(_xll.qwBondSettle($A$1,AA324)-_xll.qwBondSettle($A$4,AA324))/360))+O324,0)</f>
        <v>0</v>
      </c>
      <c r="AC324" s="9" cm="1">
        <f t="array" ref="AC324">O324+T324+IF(ISNUMBER(_xll.qwIncome($A$1,F324,_xll.qwSettle($A$4,F324),_xll.qwSettle($A$1,F324))*_xll.qwMVFactor($A$1,F324)*_xll.qwFXRate($A$1,F324)*I324),_xll.qwIncome($A$1,F324,_xll.qwSettle($A$4,F324),_xll.qwSettle($A$1,F324))*_xll.qwMVFactor($A$1,F324)*_xll.qwFXRate($A$1,F324)*I324,0)+IF(ISNUMBER(-(_xll.qwBondRepoFromTo($A$1,F324,_xll.qwSettle($A$4,F324),_xll.qwSettle($A$1,F324))*_xll.qwSecVal($A$1,F324,"Price")*(_xll.qwSettle($A$1,F324)-_xll.qwSettle($A$4,F324))/360)*_xll.qwMVFactor($A$1,F324)*_xll.qwFXRate($A$1,F324)*I324),-(_xll.qwBondRepoFromTo($A$1,F324,_xll.qwSettle($A$4,F324),_xll.qwSettle($A$1,F324))*_xll.qwSecVal($A$1,F324,"Price")*(_xll.qwSettle($A$1,F324)-_xll.qwSettle($A$4,F324))/360)*_xll.qwMVFactor($A$1,F324)*_xll.qwFXRate($A$1,F324)*I324,0)</f>
        <v>170951.72723115058</v>
      </c>
      <c r="AD324" s="6"/>
    </row>
    <row r="325" spans="2:30" s="19" customFormat="1" x14ac:dyDescent="0.35">
      <c r="B325" s="19" t="str">
        <v>jcleary</v>
      </c>
      <c r="C325" s="19" t="str">
        <v>PPA</v>
      </c>
      <c r="D325" s="19" t="str">
        <v>jcleary|PPA|RV_US_TY_Spread|91282CPY1</v>
      </c>
      <c r="E325" s="19" t="str">
        <v>RV_US_TY_Spread</v>
      </c>
      <c r="F325" s="19" t="str">
        <v>91282CPY1</v>
      </c>
      <c r="G325" s="19">
        <v>160.32</v>
      </c>
      <c r="H325" s="19">
        <v>0</v>
      </c>
      <c r="I325" s="19">
        <v>160.32</v>
      </c>
      <c r="J325" s="19">
        <v>0</v>
      </c>
      <c r="K325" s="19">
        <v>0</v>
      </c>
      <c r="L325" s="19">
        <v>0</v>
      </c>
      <c r="M325" s="19">
        <v>0</v>
      </c>
      <c r="N325" s="19" t="str">
        <v>Bond</v>
      </c>
      <c r="O325" s="6" cm="1">
        <f t="array" ref="O325">(_xll.qwPrice($A$1,F325)-_xll.qwPrice($A$4,F325))*_xll.qwMVFactor($A$1,F325)*I325*_xll.qwFXRate($A$1,F325)</f>
        <v>162824.99999979493</v>
      </c>
      <c r="P325" s="6" cm="1">
        <f t="array" ref="P325">IF(ISNUMBER(_xll.qwDV01($A$1,F325)*I325*_xll.qwMVFactor($A$1,F325)*_xll.qwFXRate($A$1,F325)),_xll.qwDV01($A$1,F325)*I325*_xll.qwMVFactor($A$1,F325)*_xll.qwFXRate($A$1,F325),0)</f>
        <v>82594.911509659141</v>
      </c>
      <c r="Q325" s="6" cm="1">
        <f t="array" ref="Q325">IF(ISNUMBER(_xll.qwDV01($A$1,F325)*G325*_xll.qwMVFactor($A$1,F325)*_xll.qwFXRate($A$1,F325)),_xll.qwDV01($A$1,F325)*G325*_xll.qwMVFactor($A$1,F325)*_xll.qwFXRate($A$1,F325),0)</f>
        <v>82594.911509659141</v>
      </c>
      <c r="R325" s="6" cm="1">
        <f t="array" ref="R325">IF(ISNUMBER(_xll.qwDV01($A$1,F325)*J325*_xll.qwMVFactor($A$1,F325)*_xll.qwFXRate($A$1,F325)),_xll.qwDV01($A$1,F325)*J325*_xll.qwMVFactor($A$1,F325)*_xll.qwFXRate($A$1,F325),0)</f>
        <v>0</v>
      </c>
      <c r="S325" s="6" cm="1">
        <f t="array" ref="S325">IF(ISNUMBER(_xll.qwDV01($A$1,F325)*J325*_xll.qwMVFactor($A$1,F325)*_xll.qwFXRate($A$1,F325)),_xll.qwDV01($A$1,F325)*J325*_xll.qwMVFactor($A$1,F325)*_xll.qwFXRate($A$1,F325),0)</f>
        <v>0</v>
      </c>
      <c r="T325" s="6" cm="1">
        <f t="array" ref="T325">_xll.qwFXRate($A$1,F325)*J325*(_xll.qwPrice($A$1,F325)-M325)*_xll.qwMVFactor($A$1,F325)+L325</f>
        <v>0</v>
      </c>
      <c r="U325" s="8" cm="1">
        <f t="array" ref="U325">_xll.qwYield($A$1,F325)</f>
        <v>5.071636672990909E-2</v>
      </c>
      <c r="V325" s="8" cm="1">
        <f t="array" ref="V325">100*(_xll.qwYield($A$4,F325)-U325)</f>
        <v>1.931628955860118E-2</v>
      </c>
      <c r="W325" s="6">
        <f>IF(ISNA(G325*INDEX(_xll.qwTblData(_xll.qwCurveScenariosPerSecurity($A$1,F325,"Crv210")),2,2)),0,(G325*INDEX(_xll.qwTblData(_xll.qwCurveScenariosPerSecurity($A$1,F325,"Crv210")),2,2)))</f>
        <v>-3765.6781159325874</v>
      </c>
      <c r="X325" s="6" cm="1">
        <f t="array" ref="X325">ABS(Q325/_xll.qwMV01($A$1,"CT10"))</f>
        <v>111.1885297655669</v>
      </c>
      <c r="Y325" s="6" cm="1">
        <f t="array" ref="Y325">IF(N325="BondFuture",-(_xll.qwCurveYield($A$1,_xll.qwSecVal($A$1,AA325,"CreditCurveName()"),AA325)-_xll.qwCurveYield($A$4,_xll.qwSecVal($A$4,AA325,"CreditCurveName()"),AA325))*P325*10000,IF(N325="Bond",-(_xll.qwCurveYield($A$1,_xll.qwSecVal($A$1,F325,"CreditCurveName()"),F325)-_xll.qwCurveYield($A$4,_xll.qwSecVal($A$4,F325,"CreditCurveName()"),F325))*P325*10000,O325))</f>
        <v>154333.71917357986</v>
      </c>
      <c r="Z325" s="6" cm="1">
        <f t="array" ref="Z325">IF(OR(N325="BondFuture",N325="Bond"),P325*(_xll.qwCurveZSpread($A$4,_xll.qwSecVal($A$1,AA325,"CreditCurveName()"),AA325)-_xll.qwCurveZSpread($A$1,_xll.qwSecVal($A$1,AA325,"CreditCurveName()"),AA325)),0)</f>
        <v>5209.0035051818659</v>
      </c>
      <c r="AA325" s="9" t="str" cm="1">
        <f t="array" ref="AA325">IF(_xll.qwSecType(F325)="Bond",F325,IF(_xll.qwSecType(F325)="BondFuture",_xll.qwFutCTD($A$1,F325),0))</f>
        <v>91282CPY1</v>
      </c>
      <c r="AB325" s="6" cm="1">
        <f t="array" ref="AB325">IF(_xll.qwSecType(F325)="BondFuture",-(I325*_xll.qwDelta($A$4,F325)*_xll.qwMVFactor($A$1,F325)/_xll.qwMVFactor($A$1,_xll.qwFutCTD($A$1,F325)))*(_xll.qwFXRate($A$1,F325)*_xll.qwMVFactor($A$1,_xll.qwFutCTD($A$1,F325))*(_xll.qwIncome($A$4,_xll.qwFutCTD($A$4,F325),_xll.qwBondSettle($A$4,_xll.qwFutCTD($A$4,F325)),_xll.qwBondSettle($A$1,_xll.qwFutCTD($A$1,F325)))+(_xll.qwSecVal($A$1,AA325,"Price")-_xll.qwSecVal($A$4,AA325,"Price"))-_xll.qwBondRepoFromTo($A$1,AA325,_xll.qwBondSettle($A$4,AA325),_xll.qwBondSettle($A$1,AA325))*_xll.qwSecVal($A$1,AA325,"Price")*(_xll.qwBondSettle($A$1,AA325)-_xll.qwBondSettle($A$4,AA325))/360))+O325,0)</f>
        <v>0</v>
      </c>
      <c r="AC325" s="9" cm="1">
        <f t="array" ref="AC325">O325+T325+IF(ISNUMBER(_xll.qwIncome($A$1,F325,_xll.qwSettle($A$4,F325),_xll.qwSettle($A$1,F325))*_xll.qwMVFactor($A$1,F325)*_xll.qwFXRate($A$1,F325)*I325),_xll.qwIncome($A$1,F325,_xll.qwSettle($A$4,F325),_xll.qwSettle($A$1,F325))*_xll.qwMVFactor($A$1,F325)*_xll.qwFXRate($A$1,F325)*I325,0)+IF(ISNUMBER(-(_xll.qwBondRepoFromTo($A$1,F325,_xll.qwSettle($A$4,F325),_xll.qwSettle($A$1,F325))*_xll.qwSecVal($A$1,F325,"Price")*(_xll.qwSettle($A$1,F325)-_xll.qwSettle($A$4,F325))/360)*_xll.qwMVFactor($A$1,F325)*_xll.qwFXRate($A$1,F325)*I325),-(_xll.qwBondRepoFromTo($A$1,F325,_xll.qwSettle($A$4,F325),_xll.qwSettle($A$1,F325))*_xll.qwSecVal($A$1,F325,"Price")*(_xll.qwSettle($A$1,F325)-_xll.qwSettle($A$4,F325))/360)*_xll.qwMVFactor($A$1,F325)*_xll.qwFXRate($A$1,F325)*I325,0)</f>
        <v>163856.56106417382</v>
      </c>
      <c r="AD325" s="6"/>
    </row>
    <row r="326" spans="2:30" s="19" customFormat="1" x14ac:dyDescent="0.35">
      <c r="B326" s="19" t="str">
        <v>jcleary</v>
      </c>
      <c r="C326" s="19" t="str">
        <v>PPA</v>
      </c>
      <c r="D326" s="19" t="str">
        <v>jcleary|PPA|RV_US_TY_Spread|91282CRC7</v>
      </c>
      <c r="E326" s="19" t="str">
        <v>RV_US_TY_Spread</v>
      </c>
      <c r="F326" s="19" t="str">
        <v>91282CRC7</v>
      </c>
      <c r="G326" s="19">
        <v>-201.54</v>
      </c>
      <c r="H326" s="19">
        <v>0</v>
      </c>
      <c r="I326" s="19">
        <v>-201.54</v>
      </c>
      <c r="J326" s="19">
        <v>0</v>
      </c>
      <c r="K326" s="19">
        <v>0</v>
      </c>
      <c r="L326" s="19">
        <v>0</v>
      </c>
      <c r="M326" s="19">
        <v>0</v>
      </c>
      <c r="N326" s="19" t="str">
        <v>Bond</v>
      </c>
      <c r="O326" s="6" cm="1">
        <f t="array" ref="O326">(_xll.qwPrice($A$1,F326)-_xll.qwPrice($A$4,F326))*_xll.qwMVFactor($A$1,F326)*I326*_xll.qwFXRate($A$1,F326)</f>
        <v>-236179.68749994272</v>
      </c>
      <c r="P326" s="6" cm="1">
        <f t="array" ref="P326">IF(ISNUMBER(_xll.qwDV01($A$1,F326)*I326*_xll.qwMVFactor($A$1,F326)*_xll.qwFXRate($A$1,F326)),_xll.qwDV01($A$1,F326)*I326*_xll.qwMVFactor($A$1,F326)*_xll.qwFXRate($A$1,F326),0)</f>
        <v>-111819.34890771573</v>
      </c>
      <c r="Q326" s="6" cm="1">
        <f t="array" ref="Q326">IF(ISNUMBER(_xll.qwDV01($A$1,F326)*G326*_xll.qwMVFactor($A$1,F326)*_xll.qwFXRate($A$1,F326)),_xll.qwDV01($A$1,F326)*G326*_xll.qwMVFactor($A$1,F326)*_xll.qwFXRate($A$1,F326),0)</f>
        <v>-111819.34890771573</v>
      </c>
      <c r="R326" s="6" cm="1">
        <f t="array" ref="R326">IF(ISNUMBER(_xll.qwDV01($A$1,F326)*J326*_xll.qwMVFactor($A$1,F326)*_xll.qwFXRate($A$1,F326)),_xll.qwDV01($A$1,F326)*J326*_xll.qwMVFactor($A$1,F326)*_xll.qwFXRate($A$1,F326),0)</f>
        <v>0</v>
      </c>
      <c r="S326" s="6" cm="1">
        <f t="array" ref="S326">IF(ISNUMBER(_xll.qwDV01($A$1,F326)*J326*_xll.qwMVFactor($A$1,F326)*_xll.qwFXRate($A$1,F326)),_xll.qwDV01($A$1,F326)*J326*_xll.qwMVFactor($A$1,F326)*_xll.qwFXRate($A$1,F326),0)</f>
        <v>0</v>
      </c>
      <c r="T326" s="6" cm="1">
        <f t="array" ref="T326">_xll.qwFXRate($A$1,F326)*J326*(_xll.qwPrice($A$1,F326)-M326)*_xll.qwMVFactor($A$1,F326)+L326</f>
        <v>0</v>
      </c>
      <c r="U326" s="8" cm="1">
        <f t="array" ref="U326">_xll.qwYield($A$1,F326)</f>
        <v>5.0879325977215326E-2</v>
      </c>
      <c r="V326" s="8" cm="1">
        <f t="array" ref="V326">100*(_xll.qwYield($A$4,F326)-U326)</f>
        <v>2.0889303908877555E-2</v>
      </c>
      <c r="W326" s="6">
        <f>IF(ISNA(G326*INDEX(_xll.qwTblData(_xll.qwCurveScenariosPerSecurity($A$1,F326,"Crv210")),2,2)),0,(G326*INDEX(_xll.qwTblData(_xll.qwCurveScenariosPerSecurity($A$1,F326,"Crv210")),2,2)))</f>
        <v>11800.949510750808</v>
      </c>
      <c r="X326" s="6" cm="1">
        <f t="array" ref="X326">ABS(Q326/_xll.qwMV01($A$1,"CT10"))</f>
        <v>150.53020551923308</v>
      </c>
      <c r="Y326" s="6" cm="1">
        <f t="array" ref="Y326">IF(N326="BondFuture",-(_xll.qwCurveYield($A$1,_xll.qwSecVal($A$1,AA326,"CreditCurveName()"),AA326)-_xll.qwCurveYield($A$4,_xll.qwSecVal($A$4,AA326,"CreditCurveName()"),AA326))*P326*10000,IF(N326="Bond",-(_xll.qwCurveYield($A$1,_xll.qwSecVal($A$1,F326,"CreditCurveName()"),F326)-_xll.qwCurveYield($A$4,_xll.qwSecVal($A$4,F326,"CreditCurveName()"),F326))*P326*10000,O326))</f>
        <v>-222905.29458349009</v>
      </c>
      <c r="Z326" s="6" cm="1">
        <f t="array" ref="Z326">IF(OR(N326="BondFuture",N326="Bond"),P326*(_xll.qwCurveZSpread($A$4,_xll.qwSecVal($A$1,AA326,"CreditCurveName()"),AA326)-_xll.qwCurveZSpread($A$1,_xll.qwSecVal($A$1,AA326,"CreditCurveName()"),AA326)),0)</f>
        <v>-10677.541639118821</v>
      </c>
      <c r="AA326" s="9" t="str" cm="1">
        <f t="array" ref="AA326">IF(_xll.qwSecType(F326)="Bond",F326,IF(_xll.qwSecType(F326)="BondFuture",_xll.qwFutCTD($A$1,F326),0))</f>
        <v>91282CRC7</v>
      </c>
      <c r="AB326" s="6" cm="1">
        <f t="array" ref="AB326">IF(_xll.qwSecType(F326)="BondFuture",-(I326*_xll.qwDelta($A$4,F326)*_xll.qwMVFactor($A$1,F326)/_xll.qwMVFactor($A$1,_xll.qwFutCTD($A$1,F326)))*(_xll.qwFXRate($A$1,F326)*_xll.qwMVFactor($A$1,_xll.qwFutCTD($A$1,F326))*(_xll.qwIncome($A$4,_xll.qwFutCTD($A$4,F326),_xll.qwBondSettle($A$4,_xll.qwFutCTD($A$4,F326)),_xll.qwBondSettle($A$1,_xll.qwFutCTD($A$1,F326)))+(_xll.qwSecVal($A$1,AA326,"Price")-_xll.qwSecVal($A$4,AA326,"Price"))-_xll.qwBondRepoFromTo($A$1,AA326,_xll.qwBondSettle($A$4,AA326),_xll.qwBondSettle($A$1,AA326))*_xll.qwSecVal($A$1,AA326,"Price")*(_xll.qwBondSettle($A$1,AA326)-_xll.qwBondSettle($A$4,AA326))/360))+O326,0)</f>
        <v>0</v>
      </c>
      <c r="AC326" s="9" cm="1">
        <f t="array" ref="AC326">O326+T326+IF(ISNUMBER(_xll.qwIncome($A$1,F326,_xll.qwSettle($A$4,F326),_xll.qwSettle($A$1,F326))*_xll.qwMVFactor($A$1,F326)*_xll.qwFXRate($A$1,F326)*I326),_xll.qwIncome($A$1,F326,_xll.qwSettle($A$4,F326),_xll.qwSettle($A$1,F326))*_xll.qwMVFactor($A$1,F326)*_xll.qwFXRate($A$1,F326)*I326,0)+IF(ISNUMBER(-(_xll.qwBondRepoFromTo($A$1,F326,_xll.qwSettle($A$4,F326),_xll.qwSettle($A$1,F326))*_xll.qwSecVal($A$1,F326,"Price")*(_xll.qwSettle($A$1,F326)-_xll.qwSettle($A$4,F326))/360)*_xll.qwMVFactor($A$1,F326)*_xll.qwFXRate($A$1,F326)*I326),-(_xll.qwBondRepoFromTo($A$1,F326,_xll.qwSettle($A$4,F326),_xll.qwSettle($A$1,F326))*_xll.qwSecVal($A$1,F326,"Price")*(_xll.qwSettle($A$1,F326)-_xll.qwSettle($A$4,F326))/360)*_xll.qwMVFactor($A$1,F326)*_xll.qwFXRate($A$1,F326)*I326,0)</f>
        <v>-239167.30286096549</v>
      </c>
      <c r="AD326" s="6"/>
    </row>
    <row r="327" spans="2:30" s="19" customFormat="1" x14ac:dyDescent="0.35">
      <c r="B327" s="19" t="str">
        <v>jcleary</v>
      </c>
      <c r="C327" s="19" t="str">
        <v>PPA</v>
      </c>
      <c r="D327" s="19" t="str">
        <v>jcleary|PPA|RV_US_TY_Spread|91282CRJ2</v>
      </c>
      <c r="E327" s="19" t="str">
        <v>RV_US_TY_Spread</v>
      </c>
      <c r="F327" s="19" t="str">
        <v>91282CRJ2</v>
      </c>
      <c r="G327" s="19">
        <v>140.19999999999999</v>
      </c>
      <c r="H327" s="19">
        <v>0</v>
      </c>
      <c r="I327" s="19">
        <v>140.19999999999999</v>
      </c>
      <c r="J327" s="19">
        <v>0</v>
      </c>
      <c r="K327" s="19">
        <v>0</v>
      </c>
      <c r="L327" s="19">
        <v>0</v>
      </c>
      <c r="M327" s="19">
        <v>0</v>
      </c>
      <c r="N327" s="19" t="str">
        <v>Bond</v>
      </c>
      <c r="O327" s="6" cm="1">
        <f t="array" ref="O327">(_xll.qwPrice($A$1,F327)-_xll.qwPrice($A$4,F327))*_xll.qwMVFactor($A$1,F327)*I327*_xll.qwFXRate($A$1,F327)</f>
        <v>164296.8752937339</v>
      </c>
      <c r="P327" s="6" cm="1">
        <f t="array" ref="P327">IF(ISNUMBER(_xll.qwDV01($A$1,F327)*I327*_xll.qwMVFactor($A$1,F327)*_xll.qwFXRate($A$1,F327)),_xll.qwDV01($A$1,F327)*I327*_xll.qwMVFactor($A$1,F327)*_xll.qwFXRate($A$1,F327),0)</f>
        <v>78894.500120441066</v>
      </c>
      <c r="Q327" s="6" cm="1">
        <f t="array" ref="Q327">IF(ISNUMBER(_xll.qwDV01($A$1,F327)*G327*_xll.qwMVFactor($A$1,F327)*_xll.qwFXRate($A$1,F327)),_xll.qwDV01($A$1,F327)*G327*_xll.qwMVFactor($A$1,F327)*_xll.qwFXRate($A$1,F327),0)</f>
        <v>78894.500120441066</v>
      </c>
      <c r="R327" s="6" cm="1">
        <f t="array" ref="R327">IF(ISNUMBER(_xll.qwDV01($A$1,F327)*J327*_xll.qwMVFactor($A$1,F327)*_xll.qwFXRate($A$1,F327)),_xll.qwDV01($A$1,F327)*J327*_xll.qwMVFactor($A$1,F327)*_xll.qwFXRate($A$1,F327),0)</f>
        <v>0</v>
      </c>
      <c r="S327" s="6" cm="1">
        <f t="array" ref="S327">IF(ISNUMBER(_xll.qwDV01($A$1,F327)*J327*_xll.qwMVFactor($A$1,F327)*_xll.qwFXRate($A$1,F327)),_xll.qwDV01($A$1,F327)*J327*_xll.qwMVFactor($A$1,F327)*_xll.qwFXRate($A$1,F327),0)</f>
        <v>0</v>
      </c>
      <c r="T327" s="6" cm="1">
        <f t="array" ref="T327">_xll.qwFXRate($A$1,F327)*J327*(_xll.qwPrice($A$1,F327)-M327)*_xll.qwMVFactor($A$1,F327)+L327</f>
        <v>0</v>
      </c>
      <c r="U327" s="8" cm="1">
        <f t="array" ref="U327">_xll.qwYield($A$1,F327)</f>
        <v>5.0876264240570471E-2</v>
      </c>
      <c r="V327" s="8" cm="1">
        <f t="array" ref="V327">100*(_xll.qwYield($A$4,F327)-U327)</f>
        <v>2.0645205908060432E-2</v>
      </c>
      <c r="W327" s="6">
        <f>IF(ISNA(G327*INDEX(_xll.qwTblData(_xll.qwCurveScenariosPerSecurity($A$1,F327,"Crv210")),2,2)),0,(G327*INDEX(_xll.qwTblData(_xll.qwCurveScenariosPerSecurity($A$1,F327,"Crv210")),2,2)))</f>
        <v>-9085.5573517320063</v>
      </c>
      <c r="X327" s="6" cm="1">
        <f t="array" ref="X327">ABS(Q327/_xll.qwMV01($A$1,"CT10"))</f>
        <v>106.20706911170082</v>
      </c>
      <c r="Y327" s="6" cm="1">
        <f t="array" ref="Y327">IF(N327="BondFuture",-(_xll.qwCurveYield($A$1,_xll.qwSecVal($A$1,AA327,"CreditCurveName()"),AA327)-_xll.qwCurveYield($A$4,_xll.qwSecVal($A$4,AA327,"CreditCurveName()"),AA327))*P327*10000,IF(N327="Bond",-(_xll.qwCurveYield($A$1,_xll.qwSecVal($A$1,F327,"CreditCurveName()"),F327)-_xll.qwCurveYield($A$4,_xll.qwSecVal($A$4,F327,"CreditCurveName()"),F327))*P327*10000,O327))</f>
        <v>158447.23136915197</v>
      </c>
      <c r="Z327" s="6" cm="1">
        <f t="array" ref="Z327">IF(OR(N327="BondFuture",N327="Bond"),P327*(_xll.qwCurveZSpread($A$4,_xll.qwSecVal($A$1,AA327,"CreditCurveName()"),AA327)-_xll.qwCurveZSpread($A$1,_xll.qwSecVal($A$1,AA327,"CreditCurveName()"),AA327)),0)</f>
        <v>4432.0886308484596</v>
      </c>
      <c r="AA327" s="9" t="str" cm="1">
        <f t="array" ref="AA327">IF(_xll.qwSecType(F327)="Bond",F327,IF(_xll.qwSecType(F327)="BondFuture",_xll.qwFutCTD($A$1,F327),0))</f>
        <v>91282CRJ2</v>
      </c>
      <c r="AB327" s="6" cm="1">
        <f t="array" ref="AB327">IF(_xll.qwSecType(F327)="BondFuture",-(I327*_xll.qwDelta($A$4,F327)*_xll.qwMVFactor($A$1,F327)/_xll.qwMVFactor($A$1,_xll.qwFutCTD($A$1,F327)))*(_xll.qwFXRate($A$1,F327)*_xll.qwMVFactor($A$1,_xll.qwFutCTD($A$1,F327))*(_xll.qwIncome($A$4,_xll.qwFutCTD($A$4,F327),_xll.qwBondSettle($A$4,_xll.qwFutCTD($A$4,F327)),_xll.qwBondSettle($A$1,_xll.qwFutCTD($A$1,F327)))+(_xll.qwSecVal($A$1,AA327,"Price")-_xll.qwSecVal($A$4,AA327,"Price"))-_xll.qwBondRepoFromTo($A$1,AA327,_xll.qwBondSettle($A$4,AA327),_xll.qwBondSettle($A$1,AA327))*_xll.qwSecVal($A$1,AA327,"Price")*(_xll.qwBondSettle($A$1,AA327)-_xll.qwBondSettle($A$4,AA327))/360))+O327,0)</f>
        <v>0</v>
      </c>
      <c r="AC327" s="9" cm="1">
        <f t="array" ref="AC327">O327+T327+IF(ISNUMBER(_xll.qwIncome($A$1,F327,_xll.qwSettle($A$4,F327),_xll.qwSettle($A$1,F327))*_xll.qwMVFactor($A$1,F327)*_xll.qwFXRate($A$1,F327)*I327),_xll.qwIncome($A$1,F327,_xll.qwSettle($A$4,F327),_xll.qwSettle($A$1,F327))*_xll.qwMVFactor($A$1,F327)*_xll.qwFXRate($A$1,F327)*I327,0)+IF(ISNUMBER(-(_xll.qwBondRepoFromTo($A$1,F327,_xll.qwSettle($A$4,F327),_xll.qwSettle($A$1,F327))*_xll.qwSecVal($A$1,F327,"Price")*(_xll.qwSettle($A$1,F327)-_xll.qwSettle($A$4,F327))/360)*_xll.qwMVFactor($A$1,F327)*_xll.qwFXRate($A$1,F327)*I327),-(_xll.qwBondRepoFromTo($A$1,F327,_xll.qwSettle($A$4,F327),_xll.qwSettle($A$1,F327))*_xll.qwSecVal($A$1,F327,"Price")*(_xll.qwSettle($A$1,F327)-_xll.qwSettle($A$4,F327))/360)*_xll.qwMVFactor($A$1,F327)*_xll.qwFXRate($A$1,F327)*I327,0)</f>
        <v>167032.21074812752</v>
      </c>
      <c r="AD327" s="6"/>
    </row>
    <row r="328" spans="2:30" s="19" customFormat="1" x14ac:dyDescent="0.35">
      <c r="B328" s="19" t="str">
        <v>jcleary</v>
      </c>
      <c r="C328" s="19" t="str">
        <v>PPA</v>
      </c>
      <c r="D328" s="19" t="str">
        <v>jcleary|PPA|RV_US_TY_Spread|91282CRM5</v>
      </c>
      <c r="E328" s="19" t="str">
        <v>RV_US_TY_Spread</v>
      </c>
      <c r="F328" s="19" t="str">
        <v>91282CRM5</v>
      </c>
      <c r="G328" s="19">
        <v>87.4</v>
      </c>
      <c r="H328" s="19">
        <v>0</v>
      </c>
      <c r="I328" s="19">
        <v>87.4</v>
      </c>
      <c r="J328" s="19">
        <v>0</v>
      </c>
      <c r="K328" s="19">
        <v>0</v>
      </c>
      <c r="L328" s="19">
        <v>0</v>
      </c>
      <c r="M328" s="19">
        <v>0</v>
      </c>
      <c r="N328" s="19" t="str">
        <v>Bond</v>
      </c>
      <c r="O328" s="6" cm="1">
        <f t="array" ref="O328">(_xll.qwPrice($A$1,F328)-_xll.qwPrice($A$4,F328))*_xll.qwMVFactor($A$1,F328)*I328*_xll.qwFXRate($A$1,F328)</f>
        <v>109249.99999995032</v>
      </c>
      <c r="P328" s="6" cm="1">
        <f t="array" ref="P328">IF(ISNUMBER(_xll.qwDV01($A$1,F328)*I328*_xll.qwMVFactor($A$1,F328)*_xll.qwFXRate($A$1,F328)),_xll.qwDV01($A$1,F328)*I328*_xll.qwMVFactor($A$1,F328)*_xll.qwFXRate($A$1,F328),0)</f>
        <v>50534.620527287188</v>
      </c>
      <c r="Q328" s="6" cm="1">
        <f t="array" ref="Q328">IF(ISNUMBER(_xll.qwDV01($A$1,F328)*G328*_xll.qwMVFactor($A$1,F328)*_xll.qwFXRate($A$1,F328)),_xll.qwDV01($A$1,F328)*G328*_xll.qwMVFactor($A$1,F328)*_xll.qwFXRate($A$1,F328),0)</f>
        <v>50534.620527287188</v>
      </c>
      <c r="R328" s="6" cm="1">
        <f t="array" ref="R328">IF(ISNUMBER(_xll.qwDV01($A$1,F328)*J328*_xll.qwMVFactor($A$1,F328)*_xll.qwFXRate($A$1,F328)),_xll.qwDV01($A$1,F328)*J328*_xll.qwMVFactor($A$1,F328)*_xll.qwFXRate($A$1,F328),0)</f>
        <v>0</v>
      </c>
      <c r="S328" s="6" cm="1">
        <f t="array" ref="S328">IF(ISNUMBER(_xll.qwDV01($A$1,F328)*J328*_xll.qwMVFactor($A$1,F328)*_xll.qwFXRate($A$1,F328)),_xll.qwDV01($A$1,F328)*J328*_xll.qwMVFactor($A$1,F328)*_xll.qwFXRate($A$1,F328),0)</f>
        <v>0</v>
      </c>
      <c r="T328" s="6" cm="1">
        <f t="array" ref="T328">_xll.qwFXRate($A$1,F328)*J328*(_xll.qwPrice($A$1,F328)-M328)*_xll.qwMVFactor($A$1,F328)+L328</f>
        <v>0</v>
      </c>
      <c r="U328" s="8" cm="1">
        <f t="array" ref="U328">_xll.qwYield($A$1,F328)</f>
        <v>5.0878336465150477E-2</v>
      </c>
      <c r="V328" s="8" cm="1">
        <f t="array" ref="V328">100*(_xll.qwYield($A$4,F328)-U328)</f>
        <v>2.1623917281092531E-2</v>
      </c>
      <c r="W328" s="6">
        <f>IF(ISNA(G328*INDEX(_xll.qwTblData(_xll.qwCurveScenariosPerSecurity($A$1,F328,"Crv210")),2,2)),0,(G328*INDEX(_xll.qwTblData(_xll.qwCurveScenariosPerSecurity($A$1,F328,"Crv210")),2,2)))</f>
        <v>-6111.4214113745511</v>
      </c>
      <c r="X328" s="6" cm="1">
        <f t="array" ref="X328">ABS(Q328/_xll.qwMV01($A$1,"CT10"))</f>
        <v>68.029253327946179</v>
      </c>
      <c r="Y328" s="6" cm="1">
        <f t="array" ref="Y328">IF(N328="BondFuture",-(_xll.qwCurveYield($A$1,_xll.qwSecVal($A$1,AA328,"CreditCurveName()"),AA328)-_xll.qwCurveYield($A$4,_xll.qwSecVal($A$4,AA328,"CreditCurveName()"),AA328))*P328*10000,IF(N328="Bond",-(_xll.qwCurveYield($A$1,_xll.qwSecVal($A$1,F328,"CreditCurveName()"),F328)-_xll.qwCurveYield($A$4,_xll.qwSecVal($A$4,F328,"CreditCurveName()"),F328))*P328*10000,O328))</f>
        <v>101941.56740766289</v>
      </c>
      <c r="Z328" s="6" cm="1">
        <f t="array" ref="Z328">IF(OR(N328="BondFuture",N328="Bond"),P328*(_xll.qwCurveZSpread($A$4,_xll.qwSecVal($A$1,AA328,"CreditCurveName()"),AA328)-_xll.qwCurveZSpread($A$1,_xll.qwSecVal($A$1,AA328,"CreditCurveName()"),AA328)),0)</f>
        <v>7334.0780036829974</v>
      </c>
      <c r="AA328" s="9" t="str" cm="1">
        <f t="array" ref="AA328">IF(_xll.qwSecType(F328)="Bond",F328,IF(_xll.qwSecType(F328)="BondFuture",_xll.qwFutCTD($A$1,F328),0))</f>
        <v>91282CRM5</v>
      </c>
      <c r="AB328" s="6" cm="1">
        <f t="array" ref="AB328">IF(_xll.qwSecType(F328)="BondFuture",-(I328*_xll.qwDelta($A$4,F328)*_xll.qwMVFactor($A$1,F328)/_xll.qwMVFactor($A$1,_xll.qwFutCTD($A$1,F328)))*(_xll.qwFXRate($A$1,F328)*_xll.qwMVFactor($A$1,_xll.qwFutCTD($A$1,F328))*(_xll.qwIncome($A$4,_xll.qwFutCTD($A$4,F328),_xll.qwBondSettle($A$4,_xll.qwFutCTD($A$4,F328)),_xll.qwBondSettle($A$1,_xll.qwFutCTD($A$1,F328)))+(_xll.qwSecVal($A$1,AA328,"Price")-_xll.qwSecVal($A$4,AA328,"Price"))-_xll.qwBondRepoFromTo($A$1,AA328,_xll.qwBondSettle($A$4,AA328),_xll.qwBondSettle($A$1,AA328))*_xll.qwSecVal($A$1,AA328,"Price")*(_xll.qwBondSettle($A$1,AA328)-_xll.qwBondSettle($A$4,AA328))/360))+O328,0)</f>
        <v>0</v>
      </c>
      <c r="AC328" s="9" cm="1">
        <f t="array" ref="AC328">O328+T328+IF(ISNUMBER(_xll.qwIncome($A$1,F328,_xll.qwSettle($A$4,F328),_xll.qwSettle($A$1,F328))*_xll.qwMVFactor($A$1,F328)*_xll.qwFXRate($A$1,F328)*I328),_xll.qwIncome($A$1,F328,_xll.qwSettle($A$4,F328),_xll.qwSettle($A$1,F328))*_xll.qwMVFactor($A$1,F328)*_xll.qwFXRate($A$1,F328)*I328,0)+IF(ISNUMBER(-(_xll.qwBondRepoFromTo($A$1,F328,_xll.qwSettle($A$4,F328),_xll.qwSettle($A$1,F328))*_xll.qwSecVal($A$1,F328,"Price")*(_xll.qwSettle($A$1,F328)-_xll.qwSettle($A$4,F328))/360)*_xll.qwMVFactor($A$1,F328)*_xll.qwFXRate($A$1,F328)*I328),-(_xll.qwBondRepoFromTo($A$1,F328,_xll.qwSettle($A$4,F328),_xll.qwSettle($A$1,F328))*_xll.qwSecVal($A$1,F328,"Price")*(_xll.qwSettle($A$1,F328)-_xll.qwSettle($A$4,F328))/360)*_xll.qwMVFactor($A$1,F328)*_xll.qwFXRate($A$1,F328)*I328,0)</f>
        <v>112355.62399994141</v>
      </c>
      <c r="AD328" s="6"/>
    </row>
    <row r="329" spans="2:30" s="19" customFormat="1" hidden="1" x14ac:dyDescent="0.35">
      <c r="B329" s="19" t="str">
        <v>jcleary</v>
      </c>
      <c r="C329" s="19" t="str">
        <v>PPA</v>
      </c>
      <c r="D329" s="19" t="str">
        <v>jcleary|PPA|RV_US_TY_Spread|SERV6</v>
      </c>
      <c r="E329" s="19" t="str">
        <v>RV_US_TY_Spread</v>
      </c>
      <c r="F329" s="19" t="str">
        <v>SERV6</v>
      </c>
      <c r="G329" s="19">
        <v>-96</v>
      </c>
      <c r="H329" s="19">
        <v>0</v>
      </c>
      <c r="I329" s="19">
        <v>-96</v>
      </c>
      <c r="J329" s="19">
        <v>0</v>
      </c>
      <c r="K329" s="19">
        <v>0</v>
      </c>
      <c r="L329" s="19">
        <v>0</v>
      </c>
      <c r="M329" s="19">
        <v>0</v>
      </c>
      <c r="N329" s="19" t="str">
        <v>RateFuture</v>
      </c>
      <c r="O329" s="6" cm="1">
        <f t="array" ref="O329">(_xll.qwPrice($A$1,F329)-_xll.qwPrice($A$4,F329))*_xll.qwMVFactor($A$1,F329)*I329*_xll.qwFXRate($A$1,F329)</f>
        <v>1000.0799999990904</v>
      </c>
      <c r="P329" s="6" cm="1">
        <f t="array" ref="P329">IF(ISNUMBER(_xll.qwDV01($A$1,F329)*I329*_xll.qwMVFactor($A$1,F329)*_xll.qwFXRate($A$1,F329)),_xll.qwDV01($A$1,F329)*I329*_xll.qwMVFactor($A$1,F329)*_xll.qwFXRate($A$1,F329),0)</f>
        <v>-2193.7238709677417</v>
      </c>
      <c r="Q329" s="6" cm="1">
        <f t="array" ref="Q329">IF(ISNUMBER(_xll.qwDV01($A$1,F329)*G329*_xll.qwMVFactor($A$1,F329)*_xll.qwFXRate($A$1,F329)),_xll.qwDV01($A$1,F329)*G329*_xll.qwMVFactor($A$1,F329)*_xll.qwFXRate($A$1,F329),0)</f>
        <v>-2193.7238709677417</v>
      </c>
      <c r="R329" s="6" cm="1">
        <f t="array" ref="R329">IF(ISNUMBER(_xll.qwDV01($A$1,F329)*J329*_xll.qwMVFactor($A$1,F329)*_xll.qwFXRate($A$1,F329)),_xll.qwDV01($A$1,F329)*J329*_xll.qwMVFactor($A$1,F329)*_xll.qwFXRate($A$1,F329),0)</f>
        <v>0</v>
      </c>
      <c r="S329" s="6" cm="1">
        <f t="array" ref="S329">IF(ISNUMBER(_xll.qwDV01($A$1,F329)*J329*_xll.qwMVFactor($A$1,F329)*_xll.qwFXRate($A$1,F329)),_xll.qwDV01($A$1,F329)*J329*_xll.qwMVFactor($A$1,F329)*_xll.qwFXRate($A$1,F329),0)</f>
        <v>0</v>
      </c>
      <c r="T329" s="6" cm="1">
        <f t="array" ref="T329">_xll.qwFXRate($A$1,F329)*J329*(_xll.qwPrice($A$1,F329)-M329)*_xll.qwMVFactor($A$1,F329)</f>
        <v>0</v>
      </c>
      <c r="U329" s="8" cm="1">
        <f t="array" ref="U329">_xll.qwYield($A$1,F329)</f>
        <v>3.9119260558155323E-2</v>
      </c>
      <c r="V329" s="8" cm="1">
        <f t="array" ref="V329">100*(_xll.qwYield($A$4,F329)-U329)</f>
        <v>-8.1176879049328632E-3</v>
      </c>
      <c r="W329" s="6">
        <f>IF(ISNA(G329*INDEX(_xll.qwTblData(_xll.qwCurveScenariosPerSecurity($A$1,F329,"Crv210")),2,2)),0,(G329*INDEX(_xll.qwTblData(_xll.qwCurveScenariosPerSecurity($A$1,F329,"Crv210")),2,2)))</f>
        <v>-1576.3703978811818</v>
      </c>
      <c r="X329" s="6" cm="1">
        <f t="array" ref="X329">ABS(Q329/_xll.qwMV01($A$1,"CT10"))</f>
        <v>2.9531714177816664</v>
      </c>
      <c r="Y329" s="6" cm="1">
        <f t="array" ref="Y329">IF(N329="BondFuture",-(_xll.qwCurveYield($A$1,_xll.qwSecVal($A$1,AA329,"CreditCurveName()"),AA329)-_xll.qwCurveYield($A$4,_xll.qwSecVal($A$4,AA329,"CreditCurveName()"),AA329))*P329*10000,IF(N329="Bond",-(_xll.qwCurveYield($A$1,_xll.qwSecVal($A$1,F329,"CreditCurveName()"),F329)-_xll.qwCurveYield($A$4,_xll.qwSecVal($A$4,F329,"CreditCurveName()"),F329))*P329*10000,O329))</f>
        <v>1000.0799999990904</v>
      </c>
      <c r="Z329" s="6" cm="1">
        <f t="array" ref="Z329">IF(OR(N329="BondFuture",N329="Bond"),P329*(_xll.qwCurveZSpread($A$4,_xll.qwSecVal($A$1,AA329,"CreditCurveName()"),AA329)-_xll.qwCurveZSpread($A$1,_xll.qwSecVal($A$1,AA329,"CreditCurveName()"),AA329)),0)</f>
        <v>0</v>
      </c>
      <c r="AA329" s="9" cm="1">
        <f t="array" ref="AA329">IF(_xll.qwSecType(F329)="Bond",F329,IF(_xll.qwSecType(F329)="BondFuture",_xll.qwFutCTD($A$1,F329),0))</f>
        <v>0</v>
      </c>
      <c r="AB329" s="6" cm="1">
        <f t="array" ref="AB329">IF(_xll.qwSecType(F329)="BondFuture",-(I329*_xll.qwDelta($A$4,F329)*_xll.qwMVFactor($A$1,F329)/_xll.qwMVFactor($A$1,_xll.qwFutCTD($A$1,F329)))*(_xll.qwFXRate($A$1,F329)*_xll.qwMVFactor($A$1,_xll.qwFutCTD($A$1,F329))*(_xll.qwIncome($A$4,_xll.qwFutCTD($A$4,F329),_xll.qwBondSettle($A$4,_xll.qwFutCTD($A$4,F329)),_xll.qwBondSettle($A$1,_xll.qwFutCTD($A$1,F329)))+(_xll.qwSecVal($A$1,AA329,"Price")-_xll.qwSecVal($A$4,AA329,"Price"))-_xll.qwBondRepoFromTo($A$1,AA329,_xll.qwBondSettle($A$4,AA329),_xll.qwBondSettle($A$1,AA329))*_xll.qwSecVal($A$1,AA329,"Price")*(_xll.qwBondSettle($A$1,AA329)-_xll.qwBondSettle($A$4,AA329))/360))+O329,0)</f>
        <v>0</v>
      </c>
      <c r="AC329" s="9" cm="1">
        <f t="array" ref="AC329">O329+T329+IF(ISNUMBER(_xll.qwIncome($A$1,F329,_xll.qwSettle($A$4,F329),_xll.qwSettle($A$1,F329))*_xll.qwMVFactor($A$1,F329)*_xll.qwFXRate($A$1,F329)*I329),_xll.qwIncome($A$1,F329,_xll.qwSettle($A$4,F329),_xll.qwSettle($A$1,F329))*_xll.qwMVFactor($A$1,F329)*_xll.qwFXRate($A$1,F329)*I329,0)+IF(ISNUMBER(-(_xll.qwBondRepoFromTo($A$1,F329,_xll.qwSettle($A$4,F329),_xll.qwSettle($A$1,F329))*_xll.qwSecVal($A$1,F329,"Price")*(_xll.qwSettle($A$1,F329)-_xll.qwSettle($A$4,F329))/360)*_xll.qwMVFactor($A$1,F329)*_xll.qwFXRate($A$1,F329)*I329),-(_xll.qwBondRepoFromTo($A$1,F329,_xll.qwSettle($A$4,F329),_xll.qwSettle($A$1,F329))*_xll.qwSecVal($A$1,F329,"Price")*(_xll.qwSettle($A$1,F329)-_xll.qwSettle($A$4,F329))/360)*_xll.qwMVFactor($A$1,F329)*_xll.qwFXRate($A$1,F329)*I329,0)</f>
        <v>1000.0799999990904</v>
      </c>
      <c r="AD329" s="6"/>
    </row>
    <row r="330" spans="2:30" s="19" customFormat="1" hidden="1" x14ac:dyDescent="0.35">
      <c r="B330" s="19" t="str">
        <v>jcleary</v>
      </c>
      <c r="C330" s="19" t="str">
        <v>PPA</v>
      </c>
      <c r="D330" s="19" t="str">
        <v>jcleary|PPA|RV_US_TY_Spread|SERX6</v>
      </c>
      <c r="E330" s="19" t="str">
        <v>RV_US_TY_Spread</v>
      </c>
      <c r="F330" s="19" t="str">
        <v>SERX6</v>
      </c>
      <c r="G330" s="19">
        <v>-94</v>
      </c>
      <c r="H330" s="19">
        <v>0</v>
      </c>
      <c r="I330" s="19">
        <v>-94</v>
      </c>
      <c r="J330" s="19">
        <v>0</v>
      </c>
      <c r="K330" s="19">
        <v>0</v>
      </c>
      <c r="L330" s="19">
        <v>0</v>
      </c>
      <c r="M330" s="19">
        <v>0</v>
      </c>
      <c r="N330" s="19" t="str">
        <v>RateFuture</v>
      </c>
      <c r="O330" s="6" cm="1">
        <f t="array" ref="O330">(_xll.qwPrice($A$1,F330)-_xll.qwPrice($A$4,F330))*_xll.qwMVFactor($A$1,F330)*I330*_xll.qwFXRate($A$1,F330)</f>
        <v>11750.940000000446</v>
      </c>
      <c r="P330" s="6" cm="1">
        <f t="array" ref="P330">IF(ISNUMBER(_xll.qwDV01($A$1,F330)*I330*_xll.qwMVFactor($A$1,F330)*_xll.qwFXRate($A$1,F330)),_xll.qwDV01($A$1,F330)*I330*_xll.qwMVFactor($A$1,F330)*_xll.qwFXRate($A$1,F330),0)</f>
        <v>-3916.98</v>
      </c>
      <c r="Q330" s="6" cm="1">
        <f t="array" ref="Q330">IF(ISNUMBER(_xll.qwDV01($A$1,F330)*G330*_xll.qwMVFactor($A$1,F330)*_xll.qwFXRate($A$1,F330)),_xll.qwDV01($A$1,F330)*G330*_xll.qwMVFactor($A$1,F330)*_xll.qwFXRate($A$1,F330),0)</f>
        <v>-3916.98</v>
      </c>
      <c r="R330" s="6" cm="1">
        <f t="array" ref="R330">IF(ISNUMBER(_xll.qwDV01($A$1,F330)*J330*_xll.qwMVFactor($A$1,F330)*_xll.qwFXRate($A$1,F330)),_xll.qwDV01($A$1,F330)*J330*_xll.qwMVFactor($A$1,F330)*_xll.qwFXRate($A$1,F330),0)</f>
        <v>0</v>
      </c>
      <c r="S330" s="6" cm="1">
        <f t="array" ref="S330">IF(ISNUMBER(_xll.qwDV01($A$1,F330)*J330*_xll.qwMVFactor($A$1,F330)*_xll.qwFXRate($A$1,F330)),_xll.qwDV01($A$1,F330)*J330*_xll.qwMVFactor($A$1,F330)*_xll.qwFXRate($A$1,F330),0)</f>
        <v>0</v>
      </c>
      <c r="T330" s="6" cm="1">
        <f t="array" ref="T330">_xll.qwFXRate($A$1,F330)*J330*(_xll.qwPrice($A$1,F330)-M330)*_xll.qwMVFactor($A$1,F330)</f>
        <v>0</v>
      </c>
      <c r="U330" s="8" cm="1">
        <f t="array" ref="U330">_xll.qwYield($A$1,F330)</f>
        <v>3.9863867494098315E-2</v>
      </c>
      <c r="V330" s="8" cm="1">
        <f t="array" ref="V330">100*(_xll.qwYield($A$4,F330)-U330)</f>
        <v>-3.0095968735022183E-2</v>
      </c>
      <c r="W330" s="6">
        <f>IF(ISNA(G330*INDEX(_xll.qwTblData(_xll.qwCurveScenariosPerSecurity($A$1,F330,"Crv210")),2,2)),0,(G330*INDEX(_xll.qwTblData(_xll.qwCurveScenariosPerSecurity($A$1,F330,"Crv210")),2,2)))</f>
        <v>-2809.2557272216745</v>
      </c>
      <c r="X330" s="6" cm="1">
        <f t="array" ref="X330">ABS(Q330/_xll.qwMV01($A$1,"CT10"))</f>
        <v>5.2730033770930005</v>
      </c>
      <c r="Y330" s="6" cm="1">
        <f t="array" ref="Y330">IF(N330="BondFuture",-(_xll.qwCurveYield($A$1,_xll.qwSecVal($A$1,AA330,"CreditCurveName()"),AA330)-_xll.qwCurveYield($A$4,_xll.qwSecVal($A$4,AA330,"CreditCurveName()"),AA330))*P330*10000,IF(N330="Bond",-(_xll.qwCurveYield($A$1,_xll.qwSecVal($A$1,F330,"CreditCurveName()"),F330)-_xll.qwCurveYield($A$4,_xll.qwSecVal($A$4,F330,"CreditCurveName()"),F330))*P330*10000,O330))</f>
        <v>11750.940000000446</v>
      </c>
      <c r="Z330" s="6" cm="1">
        <f t="array" ref="Z330">IF(OR(N330="BondFuture",N330="Bond"),P330*(_xll.qwCurveZSpread($A$4,_xll.qwSecVal($A$1,AA330,"CreditCurveName()"),AA330)-_xll.qwCurveZSpread($A$1,_xll.qwSecVal($A$1,AA330,"CreditCurveName()"),AA330)),0)</f>
        <v>0</v>
      </c>
      <c r="AA330" s="9" cm="1">
        <f t="array" ref="AA330">IF(_xll.qwSecType(F330)="Bond",F330,IF(_xll.qwSecType(F330)="BondFuture",_xll.qwFutCTD($A$1,F330),0))</f>
        <v>0</v>
      </c>
      <c r="AB330" s="6" cm="1">
        <f t="array" ref="AB330">IF(_xll.qwSecType(F330)="BondFuture",-(I330*_xll.qwDelta($A$4,F330)*_xll.qwMVFactor($A$1,F330)/_xll.qwMVFactor($A$1,_xll.qwFutCTD($A$1,F330)))*(_xll.qwFXRate($A$1,F330)*_xll.qwMVFactor($A$1,_xll.qwFutCTD($A$1,F330))*(_xll.qwIncome($A$4,_xll.qwFutCTD($A$4,F330),_xll.qwBondSettle($A$4,_xll.qwFutCTD($A$4,F330)),_xll.qwBondSettle($A$1,_xll.qwFutCTD($A$1,F330)))+(_xll.qwSecVal($A$1,AA330,"Price")-_xll.qwSecVal($A$4,AA330,"Price"))-_xll.qwBondRepoFromTo($A$1,AA330,_xll.qwBondSettle($A$4,AA330),_xll.qwBondSettle($A$1,AA330))*_xll.qwSecVal($A$1,AA330,"Price")*(_xll.qwBondSettle($A$1,AA330)-_xll.qwBondSettle($A$4,AA330))/360))+O330,0)</f>
        <v>0</v>
      </c>
      <c r="AC330" s="9" cm="1">
        <f t="array" ref="AC330">O330+T330+IF(ISNUMBER(_xll.qwIncome($A$1,F330,_xll.qwSettle($A$4,F330),_xll.qwSettle($A$1,F330))*_xll.qwMVFactor($A$1,F330)*_xll.qwFXRate($A$1,F330)*I330),_xll.qwIncome($A$1,F330,_xll.qwSettle($A$4,F330),_xll.qwSettle($A$1,F330))*_xll.qwMVFactor($A$1,F330)*_xll.qwFXRate($A$1,F330)*I330,0)+IF(ISNUMBER(-(_xll.qwBondRepoFromTo($A$1,F330,_xll.qwSettle($A$4,F330),_xll.qwSettle($A$1,F330))*_xll.qwSecVal($A$1,F330,"Price")*(_xll.qwSettle($A$1,F330)-_xll.qwSettle($A$4,F330))/360)*_xll.qwMVFactor($A$1,F330)*_xll.qwFXRate($A$1,F330)*I330),-(_xll.qwBondRepoFromTo($A$1,F330,_xll.qwSettle($A$4,F330),_xll.qwSettle($A$1,F330))*_xll.qwSecVal($A$1,F330,"Price")*(_xll.qwSettle($A$1,F330)-_xll.qwSettle($A$4,F330))/360)*_xll.qwMVFactor($A$1,F330)*_xll.qwFXRate($A$1,F330)*I330,0)</f>
        <v>11750.940000000446</v>
      </c>
      <c r="AD330" s="6"/>
    </row>
    <row r="331" spans="2:30" s="19" customFormat="1" hidden="1" x14ac:dyDescent="0.35">
      <c r="B331" s="19" t="str">
        <v>jcleary</v>
      </c>
      <c r="C331" s="19" t="str">
        <v>PPA</v>
      </c>
      <c r="D331" s="19" t="str">
        <v>jcleary|PPA|RV_US_TY_Spread|SERZ6</v>
      </c>
      <c r="E331" s="19" t="str">
        <v>RV_US_TY_Spread</v>
      </c>
      <c r="F331" s="19" t="str">
        <v>SERZ6</v>
      </c>
      <c r="G331" s="19">
        <v>-72</v>
      </c>
      <c r="H331" s="19">
        <v>0</v>
      </c>
      <c r="I331" s="19">
        <v>-72</v>
      </c>
      <c r="J331" s="19">
        <v>0</v>
      </c>
      <c r="K331" s="19">
        <v>0</v>
      </c>
      <c r="L331" s="19">
        <v>0</v>
      </c>
      <c r="M331" s="19">
        <v>0</v>
      </c>
      <c r="N331" s="19" t="str">
        <v>RateFuture</v>
      </c>
      <c r="O331" s="6" cm="1">
        <f t="array" ref="O331">(_xll.qwPrice($A$1,F331)-_xll.qwPrice($A$4,F331))*_xll.qwMVFactor($A$1,F331)*I331*_xll.qwFXRate($A$1,F331)</f>
        <v>9000.7200000003413</v>
      </c>
      <c r="P331" s="6" cm="1">
        <f t="array" ref="P331">IF(ISNUMBER(_xll.qwDV01($A$1,F331)*I331*_xll.qwMVFactor($A$1,F331)*_xll.qwFXRate($A$1,F331)),_xll.qwDV01($A$1,F331)*I331*_xll.qwMVFactor($A$1,F331)*_xll.qwFXRate($A$1,F331),0)</f>
        <v>-3000.24</v>
      </c>
      <c r="Q331" s="6" cm="1">
        <f t="array" ref="Q331">IF(ISNUMBER(_xll.qwDV01($A$1,F331)*G331*_xll.qwMVFactor($A$1,F331)*_xll.qwFXRate($A$1,F331)),_xll.qwDV01($A$1,F331)*G331*_xll.qwMVFactor($A$1,F331)*_xll.qwFXRate($A$1,F331),0)</f>
        <v>-3000.24</v>
      </c>
      <c r="R331" s="6" cm="1">
        <f t="array" ref="R331">IF(ISNUMBER(_xll.qwDV01($A$1,F331)*J331*_xll.qwMVFactor($A$1,F331)*_xll.qwFXRate($A$1,F331)),_xll.qwDV01($A$1,F331)*J331*_xll.qwMVFactor($A$1,F331)*_xll.qwFXRate($A$1,F331),0)</f>
        <v>0</v>
      </c>
      <c r="S331" s="6" cm="1">
        <f t="array" ref="S331">IF(ISNUMBER(_xll.qwDV01($A$1,F331)*J331*_xll.qwMVFactor($A$1,F331)*_xll.qwFXRate($A$1,F331)),_xll.qwDV01($A$1,F331)*J331*_xll.qwMVFactor($A$1,F331)*_xll.qwFXRate($A$1,F331),0)</f>
        <v>0</v>
      </c>
      <c r="T331" s="6" cm="1">
        <f t="array" ref="T331">_xll.qwFXRate($A$1,F331)*J331*(_xll.qwPrice($A$1,F331)-M331)*_xll.qwMVFactor($A$1,F331)</f>
        <v>0</v>
      </c>
      <c r="U331" s="8" cm="1">
        <f t="array" ref="U331">_xll.qwYield($A$1,F331)</f>
        <v>4.1521667346102957E-2</v>
      </c>
      <c r="V331" s="8" cm="1">
        <f t="array" ref="V331">100*(_xll.qwYield($A$4,F331)-U331)</f>
        <v>-3.010342194256152E-2</v>
      </c>
      <c r="W331" s="6">
        <f>IF(ISNA(G331*INDEX(_xll.qwTblData(_xll.qwCurveScenariosPerSecurity($A$1,F331,"Crv210")),2,2)),0,(G331*INDEX(_xll.qwTblData(_xll.qwCurveScenariosPerSecurity($A$1,F331,"Crv210")),2,2)))</f>
        <v>-2027.5503492071607</v>
      </c>
      <c r="X331" s="6" cm="1">
        <f t="array" ref="X331">ABS(Q331/_xll.qwMV01($A$1,"CT10"))</f>
        <v>4.0388962037308085</v>
      </c>
      <c r="Y331" s="6" cm="1">
        <f t="array" ref="Y331">IF(N331="BondFuture",-(_xll.qwCurveYield($A$1,_xll.qwSecVal($A$1,AA331,"CreditCurveName()"),AA331)-_xll.qwCurveYield($A$4,_xll.qwSecVal($A$4,AA331,"CreditCurveName()"),AA331))*P331*10000,IF(N331="Bond",-(_xll.qwCurveYield($A$1,_xll.qwSecVal($A$1,F331,"CreditCurveName()"),F331)-_xll.qwCurveYield($A$4,_xll.qwSecVal($A$4,F331,"CreditCurveName()"),F331))*P331*10000,O331))</f>
        <v>9000.7200000003413</v>
      </c>
      <c r="Z331" s="6" cm="1">
        <f t="array" ref="Z331">IF(OR(N331="BondFuture",N331="Bond"),P331*(_xll.qwCurveZSpread($A$4,_xll.qwSecVal($A$1,AA331,"CreditCurveName()"),AA331)-_xll.qwCurveZSpread($A$1,_xll.qwSecVal($A$1,AA331,"CreditCurveName()"),AA331)),0)</f>
        <v>0</v>
      </c>
      <c r="AA331" s="9" cm="1">
        <f t="array" ref="AA331">IF(_xll.qwSecType(F331)="Bond",F331,IF(_xll.qwSecType(F331)="BondFuture",_xll.qwFutCTD($A$1,F331),0))</f>
        <v>0</v>
      </c>
      <c r="AB331" s="6" cm="1">
        <f t="array" ref="AB331">IF(_xll.qwSecType(F331)="BondFuture",-(I331*_xll.qwDelta($A$4,F331)*_xll.qwMVFactor($A$1,F331)/_xll.qwMVFactor($A$1,_xll.qwFutCTD($A$1,F331)))*(_xll.qwFXRate($A$1,F331)*_xll.qwMVFactor($A$1,_xll.qwFutCTD($A$1,F331))*(_xll.qwIncome($A$4,_xll.qwFutCTD($A$4,F331),_xll.qwBondSettle($A$4,_xll.qwFutCTD($A$4,F331)),_xll.qwBondSettle($A$1,_xll.qwFutCTD($A$1,F331)))+(_xll.qwSecVal($A$1,AA331,"Price")-_xll.qwSecVal($A$4,AA331,"Price"))-_xll.qwBondRepoFromTo($A$1,AA331,_xll.qwBondSettle($A$4,AA331),_xll.qwBondSettle($A$1,AA331))*_xll.qwSecVal($A$1,AA331,"Price")*(_xll.qwBondSettle($A$1,AA331)-_xll.qwBondSettle($A$4,AA331))/360))+O331,0)</f>
        <v>0</v>
      </c>
      <c r="AC331" s="9" cm="1">
        <f t="array" ref="AC331">O331+T331+IF(ISNUMBER(_xll.qwIncome($A$1,F331,_xll.qwSettle($A$4,F331),_xll.qwSettle($A$1,F331))*_xll.qwMVFactor($A$1,F331)*_xll.qwFXRate($A$1,F331)*I331),_xll.qwIncome($A$1,F331,_xll.qwSettle($A$4,F331),_xll.qwSettle($A$1,F331))*_xll.qwMVFactor($A$1,F331)*_xll.qwFXRate($A$1,F331)*I331,0)+IF(ISNUMBER(-(_xll.qwBondRepoFromTo($A$1,F331,_xll.qwSettle($A$4,F331),_xll.qwSettle($A$1,F331))*_xll.qwSecVal($A$1,F331,"Price")*(_xll.qwSettle($A$1,F331)-_xll.qwSettle($A$4,F331))/360)*_xll.qwMVFactor($A$1,F331)*_xll.qwFXRate($A$1,F331)*I331),-(_xll.qwBondRepoFromTo($A$1,F331,_xll.qwSettle($A$4,F331),_xll.qwSettle($A$1,F331))*_xll.qwSecVal($A$1,F331,"Price")*(_xll.qwSettle($A$1,F331)-_xll.qwSettle($A$4,F331))/360)*_xll.qwMVFactor($A$1,F331)*_xll.qwFXRate($A$1,F331)*I331,0)</f>
        <v>9000.7200000003413</v>
      </c>
      <c r="AD331" s="6"/>
    </row>
    <row r="332" spans="2:30" s="19" customFormat="1" x14ac:dyDescent="0.35">
      <c r="B332" s="19" t="str">
        <v>jcleary</v>
      </c>
      <c r="C332" s="19" t="str">
        <v>PPA</v>
      </c>
      <c r="D332" s="19" t="str">
        <v>jcleary|PPA|RV_US_TY_Spread|TYZ6</v>
      </c>
      <c r="E332" s="19" t="str">
        <v>RV_US_TY_Spread</v>
      </c>
      <c r="F332" s="19" t="str">
        <v>TYZ6</v>
      </c>
      <c r="G332" s="19">
        <v>-7950</v>
      </c>
      <c r="H332" s="19">
        <v>0</v>
      </c>
      <c r="I332" s="19">
        <v>-7950</v>
      </c>
      <c r="J332" s="19">
        <v>0</v>
      </c>
      <c r="K332" s="19">
        <v>0</v>
      </c>
      <c r="L332" s="19">
        <v>0</v>
      </c>
      <c r="M332" s="19">
        <v>0</v>
      </c>
      <c r="N332" s="19" t="str">
        <v>BondFuture</v>
      </c>
      <c r="O332" s="6" cm="1">
        <f t="array" ref="O332">(_xll.qwPrice($A$1,F332)-_xll.qwPrice($A$4,F332))*_xll.qwMVFactor($A$1,F332)*I332*_xll.qwFXRate($A$1,F332)</f>
        <v>-1117968.75</v>
      </c>
      <c r="P332" s="6" cm="1">
        <f t="array" ref="P332">IF(ISNUMBER(_xll.qwDV01($A$1,F332)*I332*_xll.qwMVFactor($A$1,F332)*_xll.qwFXRate($A$1,F332)),_xll.qwDV01($A$1,F332)*I332*_xll.qwMVFactor($A$1,F332)*_xll.qwFXRate($A$1,F332),0)</f>
        <v>-490424.84928938228</v>
      </c>
      <c r="Q332" s="6" cm="1">
        <f t="array" ref="Q332">IF(ISNUMBER(_xll.qwDV01($A$1,F332)*G332*_xll.qwMVFactor($A$1,F332)*_xll.qwFXRate($A$1,F332)),_xll.qwDV01($A$1,F332)*G332*_xll.qwMVFactor($A$1,F332)*_xll.qwFXRate($A$1,F332),0)</f>
        <v>-490424.84928938228</v>
      </c>
      <c r="R332" s="6" cm="1">
        <f t="array" ref="R332">IF(ISNUMBER(_xll.qwDV01($A$1,F332)*J332*_xll.qwMVFactor($A$1,F332)*_xll.qwFXRate($A$1,F332)),_xll.qwDV01($A$1,F332)*J332*_xll.qwMVFactor($A$1,F332)*_xll.qwFXRate($A$1,F332),0)</f>
        <v>0</v>
      </c>
      <c r="S332" s="6" cm="1">
        <f t="array" ref="S332">IF(ISNUMBER(_xll.qwDV01($A$1,F332)*J332*_xll.qwMVFactor($A$1,F332)*_xll.qwFXRate($A$1,F332)),_xll.qwDV01($A$1,F332)*J332*_xll.qwMVFactor($A$1,F332)*_xll.qwFXRate($A$1,F332),0)</f>
        <v>0</v>
      </c>
      <c r="T332" s="6" cm="1">
        <f t="array" ref="T332">_xll.qwFXRate($A$1,F332)*J332*(_xll.qwPrice($A$1,F332)-M332)*_xll.qwMVFactor($A$1,F332)+L332</f>
        <v>0</v>
      </c>
      <c r="U332" s="8" cm="1">
        <f t="array" ref="U332">_xll.qwYield($A$1,F332)</f>
        <v>5.089289193508531E-2</v>
      </c>
      <c r="V332" s="8" cm="1">
        <f t="array" ref="V332">100*(_xll.qwYield($A$4,F332)-U332)</f>
        <v>2.1281642668301293E-2</v>
      </c>
      <c r="W332" s="6">
        <f>IF(ISNA(G332*INDEX(_xll.qwTblData(_xll.qwCurveScenariosPerSecurity($A$1,F332,"Crv210")),2,2)),0,(G332*INDEX(_xll.qwTblData(_xll.qwCurveScenariosPerSecurity($A$1,F332,"Crv210")),2,2)))</f>
        <v>56477.748821344423</v>
      </c>
      <c r="X332" s="6" cm="1">
        <f t="array" ref="X332">ABS(Q332/_xll.qwMV01($A$1,"CT10"))</f>
        <v>660.20553756037521</v>
      </c>
      <c r="Y332" s="6" cm="1">
        <f t="array" ref="Y332">IF(N332="BondFuture",-(_xll.qwCurveYield($A$1,_xll.qwSecVal($A$1,AA332,"CreditCurveName()"),AA332)-_xll.qwCurveYield($A$4,_xll.qwSecVal($A$4,AA332,"CreditCurveName()"),AA332))*P332*10000,IF(N332="Bond",-(_xll.qwCurveYield($A$1,_xll.qwSecVal($A$1,F332,"CreditCurveName()"),F332)-_xll.qwCurveYield($A$4,_xll.qwSecVal($A$4,F332,"CreditCurveName()"),F332))*P332*10000,O332))</f>
        <v>-984941.4020737675</v>
      </c>
      <c r="Z332" s="6" cm="1">
        <f t="array" ref="Z332">IF(OR(N332="BondFuture",N332="Bond"),P332*(_xll.qwCurveZSpread($A$4,_xll.qwSecVal($A$1,AA332,"CreditCurveName()"),AA332)-_xll.qwCurveZSpread($A$1,_xll.qwSecVal($A$1,AA332,"CreditCurveName()"),AA332)),0)</f>
        <v>-27550.7975271127</v>
      </c>
      <c r="AA332" s="9" t="str" cm="1">
        <f t="array" ref="AA332">IF(_xll.qwSecType(F332)="Bond",F332,IF(_xll.qwSecType(F332)="BondFuture",_xll.qwFutCTD($A$1,F332),0))</f>
        <v>91282CRJ2</v>
      </c>
      <c r="AB332" s="6" cm="1">
        <f t="array" ref="AB332">IF(_xll.qwSecType(F332)="BondFuture",-(I332*_xll.qwDelta($A$4,F332)*_xll.qwMVFactor($A$1,F332)/_xll.qwMVFactor($A$1,_xll.qwFutCTD($A$1,F332)))*(_xll.qwFXRate($A$1,F332)*_xll.qwMVFactor($A$1,_xll.qwFutCTD($A$1,F332))*(_xll.qwIncome($A$4,_xll.qwFutCTD($A$4,F332),_xll.qwBondSettle($A$4,_xll.qwFutCTD($A$4,F332)),_xll.qwBondSettle($A$1,_xll.qwFutCTD($A$1,F332)))+(_xll.qwSecVal($A$1,AA332,"Price")-_xll.qwSecVal($A$4,AA332,"Price"))-_xll.qwBondRepoFromTo($A$1,AA332,_xll.qwBondSettle($A$4,AA332),_xll.qwBondSettle($A$1,AA332))*_xll.qwSecVal($A$1,AA332,"Price")*(_xll.qwBondSettle($A$1,AA332)-_xll.qwBondSettle($A$4,AA332))/360))+O332,0)</f>
        <v>-79609.071925223456</v>
      </c>
      <c r="AC332" s="9" cm="1">
        <f t="array" ref="AC332">O332+T332+IF(ISNUMBER(_xll.qwIncome($A$1,F332,_xll.qwSettle($A$4,F332),_xll.qwSettle($A$1,F332))*_xll.qwMVFactor($A$1,F332)*_xll.qwFXRate($A$1,F332)*I332),_xll.qwIncome($A$1,F332,_xll.qwSettle($A$4,F332),_xll.qwSettle($A$1,F332))*_xll.qwMVFactor($A$1,F332)*_xll.qwFXRate($A$1,F332)*I332,0)+IF(ISNUMBER(-(_xll.qwBondRepoFromTo($A$1,F332,_xll.qwSettle($A$4,F332),_xll.qwSettle($A$1,F332))*_xll.qwSecVal($A$1,F332,"Price")*(_xll.qwSettle($A$1,F332)-_xll.qwSettle($A$4,F332))/360)*_xll.qwMVFactor($A$1,F332)*_xll.qwFXRate($A$1,F332)*I332),-(_xll.qwBondRepoFromTo($A$1,F332,_xll.qwSettle($A$4,F332),_xll.qwSettle($A$1,F332))*_xll.qwSecVal($A$1,F332,"Price")*(_xll.qwSettle($A$1,F332)-_xll.qwSettle($A$4,F332))/360)*_xll.qwMVFactor($A$1,F332)*_xll.qwFXRate($A$1,F332)*I332,0)</f>
        <v>-1117968.75</v>
      </c>
      <c r="AD332" s="6"/>
    </row>
    <row r="333" spans="2:30" s="19" customFormat="1" x14ac:dyDescent="0.35">
      <c r="B333" s="19" t="str">
        <v>jcleary</v>
      </c>
      <c r="C333" s="19" t="str">
        <v>PPA</v>
      </c>
      <c r="D333" s="19" t="str">
        <v>jcleary|PPA|RV_US_USCurve_Curve|252970386</v>
      </c>
      <c r="E333" s="19" t="str">
        <v>RV_US_USCurve_Curve</v>
      </c>
      <c r="F333" s="19" t="str">
        <v>252970386</v>
      </c>
      <c r="G333" s="19">
        <v>-1.4210854715202004E-14</v>
      </c>
      <c r="H333" s="19">
        <v>0</v>
      </c>
      <c r="I333" s="19">
        <v>34.1</v>
      </c>
      <c r="J333" s="19">
        <v>-34.100000000000016</v>
      </c>
      <c r="K333" s="19">
        <v>-1.0036334310850401</v>
      </c>
      <c r="L333" s="19">
        <v>0</v>
      </c>
      <c r="M333" s="19">
        <v>-1.0036334310850401</v>
      </c>
      <c r="N333" s="19" t="str">
        <v>SwapTrade</v>
      </c>
      <c r="O333" s="6" cm="1">
        <f t="array" ref="O333">(_xll.qwPrice($A$1,F333)-_xll.qwPrice($A$4,F333))*_xll.qwMVFactor($A$1,F333)*I333*_xll.qwFXRate($A$1,F333)</f>
        <v>21468.958207304204</v>
      </c>
      <c r="P333" s="6" cm="1">
        <f t="array" ref="P333">IF(ISNUMBER(_xll.qwDV01($A$1,F333)*I333*_xll.qwMVFactor($A$1,F333)*_xll.qwFXRate($A$1,F333)),_xll.qwDV01($A$1,F333)*I333*_xll.qwMVFactor($A$1,F333)*_xll.qwFXRate($A$1,F333),0)</f>
        <v>8867.1720600653352</v>
      </c>
      <c r="Q333" s="6" cm="1">
        <f t="array" ref="Q333">IF(ISNUMBER(_xll.qwDV01($A$1,F333)*G333*_xll.qwMVFactor($A$1,F333)*_xll.qwFXRate($A$1,F333)),_xll.qwDV01($A$1,F333)*G333*_xll.qwMVFactor($A$1,F333)*_xll.qwFXRate($A$1,F333),0)</f>
        <v>-3.6953106709761564E-12</v>
      </c>
      <c r="R333" s="6" cm="1">
        <f t="array" ref="R333">IF(ISNUMBER(_xll.qwDV01($A$1,F333)*J333*_xll.qwMVFactor($A$1,F333)*_xll.qwFXRate($A$1,F333)),_xll.qwDV01($A$1,F333)*J333*_xll.qwMVFactor($A$1,F333)*_xll.qwFXRate($A$1,F333),0)</f>
        <v>-8867.1720600653407</v>
      </c>
      <c r="S333" s="6" cm="1">
        <f t="array" ref="S333">IF(ISNUMBER(_xll.qwDV01($A$1,F333)*J333*_xll.qwMVFactor($A$1,F333)*_xll.qwFXRate($A$1,F333)),_xll.qwDV01($A$1,F333)*J333*_xll.qwMVFactor($A$1,F333)*_xll.qwFXRate($A$1,F333),0)</f>
        <v>-8867.1720600653407</v>
      </c>
      <c r="T333" s="6" cm="1">
        <f t="array" ref="T333">_xll.qwFXRate($A$1,F333)*J333*(_xll.qwPrice($A$1,F333)-M333)*_xll.qwMVFactor($A$1,F333)+L333</f>
        <v>-28439.810155626568</v>
      </c>
      <c r="U333" s="8" cm="1">
        <f t="array" ref="U333">_xll.qwYield($A$1,F333)</f>
        <v>5.26112356548675E-2</v>
      </c>
      <c r="V333" s="8" cm="1">
        <f t="array" ref="V333">100*(_xll.qwYield($A$4,F333)-U333)</f>
        <v>2.42782441724404E-2</v>
      </c>
      <c r="W333" s="6">
        <f>IF(ISNA(G333*INDEX(_xll.qwTblData(_xll.qwCurveScenariosPerSecurity($A$1,F333,"Crv210")),2,2)),0,(G333*INDEX(_xll.qwTblData(_xll.qwCurveScenariosPerSecurity($A$1,F333,"Crv210")),2,2)))</f>
        <v>1.1386149787256067E-11</v>
      </c>
      <c r="X333" s="6" cm="1">
        <f t="array" ref="X333">ABS(Q333/_xll.qwMV01($A$1,"CT10"))</f>
        <v>4.9745941126748351E-15</v>
      </c>
      <c r="Y333" s="6" cm="1">
        <f t="array" ref="Y333">IF(N333="BondFuture",-(_xll.qwCurveYield($A$1,_xll.qwSecVal($A$1,AA333,"CreditCurveName()"),AA333)-_xll.qwCurveYield($A$4,_xll.qwSecVal($A$4,AA333,"CreditCurveName()"),AA333))*P333*10000,IF(N333="Bond",-(_xll.qwCurveYield($A$1,_xll.qwSecVal($A$1,F333,"CreditCurveName()"),F333)-_xll.qwCurveYield($A$4,_xll.qwSecVal($A$4,F333,"CreditCurveName()"),F333))*P333*10000,O333))</f>
        <v>21468.958207304204</v>
      </c>
      <c r="Z333" s="6" cm="1">
        <f t="array" ref="Z333">IF(OR(N333="BondFuture",N333="Bond"),P333*(_xll.qwCurveZSpread($A$4,_xll.qwSecVal($A$1,AA333,"CreditCurveName()"),AA333)-_xll.qwCurveZSpread($A$1,_xll.qwSecVal($A$1,AA333,"CreditCurveName()"),AA333)),0)</f>
        <v>0</v>
      </c>
      <c r="AA333" s="9" cm="1">
        <f t="array" ref="AA333">IF(_xll.qwSecType(F333)="Bond",F333,IF(_xll.qwSecType(F333)="BondFuture",_xll.qwFutCTD($A$1,F333),0))</f>
        <v>0</v>
      </c>
      <c r="AB333" s="6" cm="1">
        <f t="array" ref="AB333">IF(_xll.qwSecType(F333)="BondFuture",-(I333*_xll.qwDelta($A$4,F333)*_xll.qwMVFactor($A$1,F333)/_xll.qwMVFactor($A$1,_xll.qwFutCTD($A$1,F333)))*(_xll.qwFXRate($A$1,F333)*_xll.qwMVFactor($A$1,_xll.qwFutCTD($A$1,F333))*(_xll.qwIncome($A$4,_xll.qwFutCTD($A$4,F333),_xll.qwBondSettle($A$4,_xll.qwFutCTD($A$4,F333)),_xll.qwBondSettle($A$1,_xll.qwFutCTD($A$1,F333)))+(_xll.qwSecVal($A$1,AA333,"Price")-_xll.qwSecVal($A$4,AA333,"Price"))-_xll.qwBondRepoFromTo($A$1,AA333,_xll.qwBondSettle($A$4,AA333),_xll.qwBondSettle($A$1,AA333))*_xll.qwSecVal($A$1,AA333,"Price")*(_xll.qwBondSettle($A$1,AA333)-_xll.qwBondSettle($A$4,AA333))/360))+O333,0)</f>
        <v>0</v>
      </c>
      <c r="AC333" s="9" cm="1">
        <f t="array" ref="AC333">O333+T333+IF(ISNUMBER(_xll.qwIncome($A$1,F333,_xll.qwSettle($A$4,F333),_xll.qwSettle($A$1,F333))*_xll.qwMVFactor($A$1,F333)*_xll.qwFXRate($A$1,F333)*I333),_xll.qwIncome($A$1,F333,_xll.qwSettle($A$4,F333),_xll.qwSettle($A$1,F333))*_xll.qwMVFactor($A$1,F333)*_xll.qwFXRate($A$1,F333)*I333,0)+IF(ISNUMBER(-(_xll.qwBondRepoFromTo($A$1,F333,_xll.qwSettle($A$4,F333),_xll.qwSettle($A$1,F333))*_xll.qwSecVal($A$1,F333,"Price")*(_xll.qwSettle($A$1,F333)-_xll.qwSettle($A$4,F333))/360)*_xll.qwMVFactor($A$1,F333)*_xll.qwFXRate($A$1,F333)*I333),-(_xll.qwBondRepoFromTo($A$1,F333,_xll.qwSettle($A$4,F333),_xll.qwSettle($A$1,F333))*_xll.qwSecVal($A$1,F333,"Price")*(_xll.qwSettle($A$1,F333)-_xll.qwSettle($A$4,F333))/360)*_xll.qwMVFactor($A$1,F333)*_xll.qwFXRate($A$1,F333)*I333,0)</f>
        <v>-6970.8519483223645</v>
      </c>
      <c r="AD333" s="6"/>
    </row>
    <row r="334" spans="2:30" s="19" customFormat="1" x14ac:dyDescent="0.35">
      <c r="B334" s="19" t="str">
        <v>jcleary</v>
      </c>
      <c r="C334" s="19" t="str">
        <v>PPA</v>
      </c>
      <c r="D334" s="19" t="str">
        <v>jcleary|PPA|RV_US_USCurve_Curve|252970434</v>
      </c>
      <c r="E334" s="19" t="str">
        <v>RV_US_USCurve_Curve</v>
      </c>
      <c r="F334" s="19" t="str">
        <v>252970434</v>
      </c>
      <c r="G334" s="19">
        <v>0</v>
      </c>
      <c r="H334" s="19">
        <v>0</v>
      </c>
      <c r="I334" s="19">
        <v>43.5</v>
      </c>
      <c r="J334" s="19">
        <v>-43.5</v>
      </c>
      <c r="K334" s="19">
        <v>0.67422298850574691</v>
      </c>
      <c r="L334" s="19">
        <v>-1.9317880628477724E-10</v>
      </c>
      <c r="M334" s="19">
        <v>0.67422298850574691</v>
      </c>
      <c r="N334" s="19" t="str">
        <v>SwapTrade</v>
      </c>
      <c r="O334" s="6" cm="1">
        <f t="array" ref="O334">(_xll.qwPrice($A$1,F334)-_xll.qwPrice($A$4,F334))*_xll.qwMVFactor($A$1,F334)*I334*_xll.qwFXRate($A$1,F334)</f>
        <v>-16617.316509254306</v>
      </c>
      <c r="P334" s="6" cm="1">
        <f t="array" ref="P334">IF(ISNUMBER(_xll.qwDV01($A$1,F334)*I334*_xll.qwMVFactor($A$1,F334)*_xll.qwFXRate($A$1,F334)),_xll.qwDV01($A$1,F334)*I334*_xll.qwMVFactor($A$1,F334)*_xll.qwFXRate($A$1,F334),0)</f>
        <v>-8636.9544958071201</v>
      </c>
      <c r="Q334" s="6" cm="1">
        <f t="array" ref="Q334">IF(ISNUMBER(_xll.qwDV01($A$1,F334)*G334*_xll.qwMVFactor($A$1,F334)*_xll.qwFXRate($A$1,F334)),_xll.qwDV01($A$1,F334)*G334*_xll.qwMVFactor($A$1,F334)*_xll.qwFXRate($A$1,F334),0)</f>
        <v>0</v>
      </c>
      <c r="R334" s="6" cm="1">
        <f t="array" ref="R334">IF(ISNUMBER(_xll.qwDV01($A$1,F334)*J334*_xll.qwMVFactor($A$1,F334)*_xll.qwFXRate($A$1,F334)),_xll.qwDV01($A$1,F334)*J334*_xll.qwMVFactor($A$1,F334)*_xll.qwFXRate($A$1,F334),0)</f>
        <v>8636.9544958071201</v>
      </c>
      <c r="S334" s="6" cm="1">
        <f t="array" ref="S334">IF(ISNUMBER(_xll.qwDV01($A$1,F334)*J334*_xll.qwMVFactor($A$1,F334)*_xll.qwFXRate($A$1,F334)),_xll.qwDV01($A$1,F334)*J334*_xll.qwMVFactor($A$1,F334)*_xll.qwFXRate($A$1,F334),0)</f>
        <v>8636.9544958071201</v>
      </c>
      <c r="T334" s="6" cm="1">
        <f t="array" ref="T334">_xll.qwFXRate($A$1,F334)*J334*(_xll.qwPrice($A$1,F334)-M334)*_xll.qwMVFactor($A$1,F334)+L334</f>
        <v>14798.241586473789</v>
      </c>
      <c r="U334" s="8" cm="1">
        <f t="array" ref="U334">_xll.qwYield($A$1,F334)</f>
        <v>5.1989401434737917E-2</v>
      </c>
      <c r="V334" s="8" cm="1">
        <f t="array" ref="V334">100*(_xll.qwYield($A$4,F334)-U334)</f>
        <v>1.9527611213324136E-2</v>
      </c>
      <c r="W334" s="6">
        <f>IF(ISNA(G334*INDEX(_xll.qwTblData(_xll.qwCurveScenariosPerSecurity($A$1,F334,"Crv210")),2,2)),0,(G334*INDEX(_xll.qwTblData(_xll.qwCurveScenariosPerSecurity($A$1,F334,"Crv210")),2,2)))</f>
        <v>0</v>
      </c>
      <c r="X334" s="6" cm="1">
        <f t="array" ref="X334">ABS(Q334/_xll.qwMV01($A$1,"CT10"))</f>
        <v>0</v>
      </c>
      <c r="Y334" s="6" cm="1">
        <f t="array" ref="Y334">IF(N334="BondFuture",-(_xll.qwCurveYield($A$1,_xll.qwSecVal($A$1,AA334,"CreditCurveName()"),AA334)-_xll.qwCurveYield($A$4,_xll.qwSecVal($A$4,AA334,"CreditCurveName()"),AA334))*P334*10000,IF(N334="Bond",-(_xll.qwCurveYield($A$1,_xll.qwSecVal($A$1,F334,"CreditCurveName()"),F334)-_xll.qwCurveYield($A$4,_xll.qwSecVal($A$4,F334,"CreditCurveName()"),F334))*P334*10000,O334))</f>
        <v>-16617.316509254306</v>
      </c>
      <c r="Z334" s="6" cm="1">
        <f t="array" ref="Z334">IF(OR(N334="BondFuture",N334="Bond"),P334*(_xll.qwCurveZSpread($A$4,_xll.qwSecVal($A$1,AA334,"CreditCurveName()"),AA334)-_xll.qwCurveZSpread($A$1,_xll.qwSecVal($A$1,AA334,"CreditCurveName()"),AA334)),0)</f>
        <v>0</v>
      </c>
      <c r="AA334" s="9" cm="1">
        <f t="array" ref="AA334">IF(_xll.qwSecType(F334)="Bond",F334,IF(_xll.qwSecType(F334)="BondFuture",_xll.qwFutCTD($A$1,F334),0))</f>
        <v>0</v>
      </c>
      <c r="AB334" s="6" cm="1">
        <f t="array" ref="AB334">IF(_xll.qwSecType(F334)="BondFuture",-(I334*_xll.qwDelta($A$4,F334)*_xll.qwMVFactor($A$1,F334)/_xll.qwMVFactor($A$1,_xll.qwFutCTD($A$1,F334)))*(_xll.qwFXRate($A$1,F334)*_xll.qwMVFactor($A$1,_xll.qwFutCTD($A$1,F334))*(_xll.qwIncome($A$4,_xll.qwFutCTD($A$4,F334),_xll.qwBondSettle($A$4,_xll.qwFutCTD($A$4,F334)),_xll.qwBondSettle($A$1,_xll.qwFutCTD($A$1,F334)))+(_xll.qwSecVal($A$1,AA334,"Price")-_xll.qwSecVal($A$4,AA334,"Price"))-_xll.qwBondRepoFromTo($A$1,AA334,_xll.qwBondSettle($A$4,AA334),_xll.qwBondSettle($A$1,AA334))*_xll.qwSecVal($A$1,AA334,"Price")*(_xll.qwBondSettle($A$1,AA334)-_xll.qwBondSettle($A$4,AA334))/360))+O334,0)</f>
        <v>0</v>
      </c>
      <c r="AC334" s="9" cm="1">
        <f t="array" ref="AC334">O334+T334+IF(ISNUMBER(_xll.qwIncome($A$1,F334,_xll.qwSettle($A$4,F334),_xll.qwSettle($A$1,F334))*_xll.qwMVFactor($A$1,F334)*_xll.qwFXRate($A$1,F334)*I334),_xll.qwIncome($A$1,F334,_xll.qwSettle($A$4,F334),_xll.qwSettle($A$1,F334))*_xll.qwMVFactor($A$1,F334)*_xll.qwFXRate($A$1,F334)*I334,0)+IF(ISNUMBER(-(_xll.qwBondRepoFromTo($A$1,F334,_xll.qwSettle($A$4,F334),_xll.qwSettle($A$1,F334))*_xll.qwSecVal($A$1,F334,"Price")*(_xll.qwSettle($A$1,F334)-_xll.qwSettle($A$4,F334))/360)*_xll.qwMVFactor($A$1,F334)*_xll.qwFXRate($A$1,F334)*I334),-(_xll.qwBondRepoFromTo($A$1,F334,_xll.qwSettle($A$4,F334),_xll.qwSettle($A$1,F334))*_xll.qwSecVal($A$1,F334,"Price")*(_xll.qwSettle($A$1,F334)-_xll.qwSettle($A$4,F334))/360)*_xll.qwMVFactor($A$1,F334)*_xll.qwFXRate($A$1,F334)*I334,0)</f>
        <v>-1819.0749227805172</v>
      </c>
      <c r="AD334" s="6"/>
    </row>
    <row r="335" spans="2:30" s="19" customFormat="1" x14ac:dyDescent="0.35">
      <c r="B335" s="19" t="str">
        <v>jcleary</v>
      </c>
      <c r="C335" s="19" t="str">
        <v>PPA</v>
      </c>
      <c r="D335" s="19" t="str">
        <v>jcleary|PPA|RV_US_WN_Spread|912810UW6</v>
      </c>
      <c r="E335" s="19" t="str">
        <v>RV_US_WN_Spread</v>
      </c>
      <c r="F335" s="19" t="str">
        <v>912810UW6</v>
      </c>
      <c r="G335" s="19">
        <v>0</v>
      </c>
      <c r="H335" s="19">
        <v>0</v>
      </c>
      <c r="I335" s="19">
        <v>0</v>
      </c>
      <c r="J335" s="19">
        <v>0</v>
      </c>
      <c r="K335" s="19">
        <v>0</v>
      </c>
      <c r="L335" s="19">
        <v>473495.20000000298</v>
      </c>
      <c r="M335" s="19">
        <v>0</v>
      </c>
      <c r="N335" s="19" t="str">
        <v>Bond</v>
      </c>
      <c r="O335" s="6" cm="1">
        <f t="array" ref="O335">(_xll.qwPrice($A$1,F335)-_xll.qwPrice($A$4,F335))*_xll.qwMVFactor($A$1,F335)*I335*_xll.qwFXRate($A$1,F335)</f>
        <v>0</v>
      </c>
      <c r="P335" s="6" cm="1">
        <f t="array" ref="P335">IF(ISNUMBER(_xll.qwDV01($A$1,F335)*I335*_xll.qwMVFactor($A$1,F335)*_xll.qwFXRate($A$1,F335)),_xll.qwDV01($A$1,F335)*I335*_xll.qwMVFactor($A$1,F335)*_xll.qwFXRate($A$1,F335),0)</f>
        <v>0</v>
      </c>
      <c r="Q335" s="6" cm="1">
        <f t="array" ref="Q335">IF(ISNUMBER(_xll.qwDV01($A$1,F335)*G335*_xll.qwMVFactor($A$1,F335)*_xll.qwFXRate($A$1,F335)),_xll.qwDV01($A$1,F335)*G335*_xll.qwMVFactor($A$1,F335)*_xll.qwFXRate($A$1,F335),0)</f>
        <v>0</v>
      </c>
      <c r="R335" s="6" cm="1">
        <f t="array" ref="R335">IF(ISNUMBER(_xll.qwDV01($A$1,F335)*J335*_xll.qwMVFactor($A$1,F335)*_xll.qwFXRate($A$1,F335)),_xll.qwDV01($A$1,F335)*J335*_xll.qwMVFactor($A$1,F335)*_xll.qwFXRate($A$1,F335),0)</f>
        <v>0</v>
      </c>
      <c r="S335" s="6" cm="1">
        <f t="array" ref="S335">IF(ISNUMBER(_xll.qwDV01($A$1,F335)*J335*_xll.qwMVFactor($A$1,F335)*_xll.qwFXRate($A$1,F335)),_xll.qwDV01($A$1,F335)*J335*_xll.qwMVFactor($A$1,F335)*_xll.qwFXRate($A$1,F335),0)</f>
        <v>0</v>
      </c>
      <c r="T335" s="6" cm="1">
        <f t="array" ref="T335">_xll.qwFXRate($A$1,F335)*J335*(_xll.qwPrice($A$1,F335)-M335)*_xll.qwMVFactor($A$1,F335)+L335</f>
        <v>473495.20000000298</v>
      </c>
      <c r="U335" s="8" cm="1">
        <f t="array" ref="U335">_xll.qwYield($A$1,F335)</f>
        <v>5.523658204135673E-2</v>
      </c>
      <c r="V335" s="8" cm="1">
        <f t="array" ref="V335">100*(_xll.qwYield($A$4,F335)-U335)</f>
        <v>3.8355584894027295E-2</v>
      </c>
      <c r="W335" s="6">
        <f>IF(ISNA(G335*INDEX(_xll.qwTblData(_xll.qwCurveScenariosPerSecurity($A$1,F335,"Crv210")),2,2)),0,(G335*INDEX(_xll.qwTblData(_xll.qwCurveScenariosPerSecurity($A$1,F335,"Crv210")),2,2)))</f>
        <v>0</v>
      </c>
      <c r="X335" s="6" cm="1">
        <f t="array" ref="X335">ABS(Q335/_xll.qwMV01($A$1,"CT10"))</f>
        <v>0</v>
      </c>
      <c r="Y335" s="6" cm="1">
        <f t="array" ref="Y335">IF(N335="BondFuture",-(_xll.qwCurveYield($A$1,_xll.qwSecVal($A$1,AA335,"CreditCurveName()"),AA335)-_xll.qwCurveYield($A$4,_xll.qwSecVal($A$4,AA335,"CreditCurveName()"),AA335))*P335*10000,IF(N335="Bond",-(_xll.qwCurveYield($A$1,_xll.qwSecVal($A$1,F335,"CreditCurveName()"),F335)-_xll.qwCurveYield($A$4,_xll.qwSecVal($A$4,F335,"CreditCurveName()"),F335))*P335*10000,O335))</f>
        <v>0</v>
      </c>
      <c r="Z335" s="6" cm="1">
        <f t="array" ref="Z335">IF(OR(N335="BondFuture",N335="Bond"),P335*(_xll.qwCurveZSpread($A$4,_xll.qwSecVal($A$1,AA335,"CreditCurveName()"),AA335)-_xll.qwCurveZSpread($A$1,_xll.qwSecVal($A$1,AA335,"CreditCurveName()"),AA335)),0)</f>
        <v>0</v>
      </c>
      <c r="AA335" s="9" t="str" cm="1">
        <f t="array" ref="AA335">IF(_xll.qwSecType(F335)="Bond",F335,IF(_xll.qwSecType(F335)="BondFuture",_xll.qwFutCTD($A$1,F335),0))</f>
        <v>912810UW6</v>
      </c>
      <c r="AB335" s="6" cm="1">
        <f t="array" ref="AB335">IF(_xll.qwSecType(F335)="BondFuture",-(I335*_xll.qwDelta($A$4,F335)*_xll.qwMVFactor($A$1,F335)/_xll.qwMVFactor($A$1,_xll.qwFutCTD($A$1,F335)))*(_xll.qwFXRate($A$1,F335)*_xll.qwMVFactor($A$1,_xll.qwFutCTD($A$1,F335))*(_xll.qwIncome($A$4,_xll.qwFutCTD($A$4,F335),_xll.qwBondSettle($A$4,_xll.qwFutCTD($A$4,F335)),_xll.qwBondSettle($A$1,_xll.qwFutCTD($A$1,F335)))+(_xll.qwSecVal($A$1,AA335,"Price")-_xll.qwSecVal($A$4,AA335,"Price"))-_xll.qwBondRepoFromTo($A$1,AA335,_xll.qwBondSettle($A$4,AA335),_xll.qwBondSettle($A$1,AA335))*_xll.qwSecVal($A$1,AA335,"Price")*(_xll.qwBondSettle($A$1,AA335)-_xll.qwBondSettle($A$4,AA335))/360))+O335,0)</f>
        <v>0</v>
      </c>
      <c r="AC335" s="9" cm="1">
        <f t="array" ref="AC335">O335+T335+IF(ISNUMBER(_xll.qwIncome($A$1,F335,_xll.qwSettle($A$4,F335),_xll.qwSettle($A$1,F335))*_xll.qwMVFactor($A$1,F335)*_xll.qwFXRate($A$1,F335)*I335),_xll.qwIncome($A$1,F335,_xll.qwSettle($A$4,F335),_xll.qwSettle($A$1,F335))*_xll.qwMVFactor($A$1,F335)*_xll.qwFXRate($A$1,F335)*I335,0)+IF(ISNUMBER(-(_xll.qwBondRepoFromTo($A$1,F335,_xll.qwSettle($A$4,F335),_xll.qwSettle($A$1,F335))*_xll.qwSecVal($A$1,F335,"Price")*(_xll.qwSettle($A$1,F335)-_xll.qwSettle($A$4,F335))/360)*_xll.qwMVFactor($A$1,F335)*_xll.qwFXRate($A$1,F335)*I335),-(_xll.qwBondRepoFromTo($A$1,F335,_xll.qwSettle($A$4,F335),_xll.qwSettle($A$1,F335))*_xll.qwSecVal($A$1,F335,"Price")*(_xll.qwSettle($A$1,F335)-_xll.qwSettle($A$4,F335))/360)*_xll.qwMVFactor($A$1,F335)*_xll.qwFXRate($A$1,F335)*I335,0)</f>
        <v>473495.20000000298</v>
      </c>
      <c r="AD335" s="6"/>
    </row>
    <row r="336" spans="2:30" s="19" customFormat="1" x14ac:dyDescent="0.35">
      <c r="B336" s="19" t="str">
        <v>jcleary</v>
      </c>
      <c r="C336" s="19" t="str">
        <v>PPA</v>
      </c>
      <c r="D336" s="19" t="str">
        <v>jcleary|PPA|RV_US_WN_Spread|WNZ6</v>
      </c>
      <c r="E336" s="19" t="str">
        <v>RV_US_WN_Spread</v>
      </c>
      <c r="F336" s="19" t="str">
        <v>WNZ6</v>
      </c>
      <c r="G336" s="19">
        <v>0</v>
      </c>
      <c r="H336" s="19">
        <v>0</v>
      </c>
      <c r="I336" s="19">
        <v>0</v>
      </c>
      <c r="J336" s="19">
        <v>0</v>
      </c>
      <c r="K336" s="19">
        <v>0</v>
      </c>
      <c r="L336" s="19">
        <v>-456092.99360000022</v>
      </c>
      <c r="M336" s="19">
        <v>0</v>
      </c>
      <c r="N336" s="19" t="str">
        <v>BondFuture</v>
      </c>
      <c r="O336" s="6" cm="1">
        <f t="array" ref="O336">(_xll.qwPrice($A$1,F336)-_xll.qwPrice($A$4,F336))*_xll.qwMVFactor($A$1,F336)*I336*_xll.qwFXRate($A$1,F336)</f>
        <v>0</v>
      </c>
      <c r="P336" s="6" cm="1">
        <f t="array" ref="P336">IF(ISNUMBER(_xll.qwDV01($A$1,F336)*I336*_xll.qwMVFactor($A$1,F336)*_xll.qwFXRate($A$1,F336)),_xll.qwDV01($A$1,F336)*I336*_xll.qwMVFactor($A$1,F336)*_xll.qwFXRate($A$1,F336),0)</f>
        <v>0</v>
      </c>
      <c r="Q336" s="6" cm="1">
        <f t="array" ref="Q336">IF(ISNUMBER(_xll.qwDV01($A$1,F336)*G336*_xll.qwMVFactor($A$1,F336)*_xll.qwFXRate($A$1,F336)),_xll.qwDV01($A$1,F336)*G336*_xll.qwMVFactor($A$1,F336)*_xll.qwFXRate($A$1,F336),0)</f>
        <v>0</v>
      </c>
      <c r="R336" s="6" cm="1">
        <f t="array" ref="R336">IF(ISNUMBER(_xll.qwDV01($A$1,F336)*J336*_xll.qwMVFactor($A$1,F336)*_xll.qwFXRate($A$1,F336)),_xll.qwDV01($A$1,F336)*J336*_xll.qwMVFactor($A$1,F336)*_xll.qwFXRate($A$1,F336),0)</f>
        <v>0</v>
      </c>
      <c r="S336" s="6" cm="1">
        <f t="array" ref="S336">IF(ISNUMBER(_xll.qwDV01($A$1,F336)*J336*_xll.qwMVFactor($A$1,F336)*_xll.qwFXRate($A$1,F336)),_xll.qwDV01($A$1,F336)*J336*_xll.qwMVFactor($A$1,F336)*_xll.qwFXRate($A$1,F336),0)</f>
        <v>0</v>
      </c>
      <c r="T336" s="6" cm="1">
        <f t="array" ref="T336">_xll.qwFXRate($A$1,F336)*J336*(_xll.qwPrice($A$1,F336)-M336)*_xll.qwMVFactor($A$1,F336)+L336</f>
        <v>-456092.99360000022</v>
      </c>
      <c r="U336" s="8" cm="1">
        <f t="array" ref="U336">_xll.qwYield($A$1,F336)</f>
        <v>5.5992520917912493E-2</v>
      </c>
      <c r="V336" s="8" cm="1">
        <f t="array" ref="V336">100*(_xll.qwYield($A$4,F336)-U336)</f>
        <v>4.1477795744292861E-2</v>
      </c>
      <c r="W336" s="6">
        <f>IF(ISNA(G336*INDEX(_xll.qwTblData(_xll.qwCurveScenariosPerSecurity($A$1,F336,"Crv210")),2,2)),0,(G336*INDEX(_xll.qwTblData(_xll.qwCurveScenariosPerSecurity($A$1,F336,"Crv210")),2,2)))</f>
        <v>0</v>
      </c>
      <c r="X336" s="6" cm="1">
        <f t="array" ref="X336">ABS(Q336/_xll.qwMV01($A$1,"CT10"))</f>
        <v>0</v>
      </c>
      <c r="Y336" s="6" cm="1">
        <f t="array" ref="Y336">IF(N336="BondFuture",-(_xll.qwCurveYield($A$1,_xll.qwSecVal($A$1,AA336,"CreditCurveName()"),AA336)-_xll.qwCurveYield($A$4,_xll.qwSecVal($A$4,AA336,"CreditCurveName()"),AA336))*P336*10000,IF(N336="Bond",-(_xll.qwCurveYield($A$1,_xll.qwSecVal($A$1,F336,"CreditCurveName()"),F336)-_xll.qwCurveYield($A$4,_xll.qwSecVal($A$4,F336,"CreditCurveName()"),F336))*P336*10000,O336))</f>
        <v>0</v>
      </c>
      <c r="Z336" s="6" cm="1">
        <f t="array" ref="Z336">IF(OR(N336="BondFuture",N336="Bond"),P336*(_xll.qwCurveZSpread($A$4,_xll.qwSecVal($A$1,AA336,"CreditCurveName()"),AA336)-_xll.qwCurveZSpread($A$1,_xll.qwSecVal($A$1,AA336,"CreditCurveName()"),AA336)),0)</f>
        <v>0</v>
      </c>
      <c r="AA336" s="9" t="str" cm="1">
        <f t="array" ref="AA336">IF(_xll.qwSecType(F336)="Bond",F336,IF(_xll.qwSecType(F336)="BondFuture",_xll.qwFutCTD($A$1,F336),0))</f>
        <v>912810TL2</v>
      </c>
      <c r="AB336" s="6" cm="1">
        <f t="array" ref="AB336">IF(_xll.qwSecType(F336)="BondFuture",-(I336*_xll.qwDelta($A$4,F336)*_xll.qwMVFactor($A$1,F336)/_xll.qwMVFactor($A$1,_xll.qwFutCTD($A$1,F336)))*(_xll.qwFXRate($A$1,F336)*_xll.qwMVFactor($A$1,_xll.qwFutCTD($A$1,F336))*(_xll.qwIncome($A$4,_xll.qwFutCTD($A$4,F336),_xll.qwBondSettle($A$4,_xll.qwFutCTD($A$4,F336)),_xll.qwBondSettle($A$1,_xll.qwFutCTD($A$1,F336)))+(_xll.qwSecVal($A$1,AA336,"Price")-_xll.qwSecVal($A$4,AA336,"Price"))-_xll.qwBondRepoFromTo($A$1,AA336,_xll.qwBondSettle($A$4,AA336),_xll.qwBondSettle($A$1,AA336))*_xll.qwSecVal($A$1,AA336,"Price")*(_xll.qwBondSettle($A$1,AA336)-_xll.qwBondSettle($A$4,AA336))/360))+O336,0)</f>
        <v>0</v>
      </c>
      <c r="AC336" s="9" cm="1">
        <f t="array" ref="AC336">O336+T336+IF(ISNUMBER(_xll.qwIncome($A$1,F336,_xll.qwSettle($A$4,F336),_xll.qwSettle($A$1,F336))*_xll.qwMVFactor($A$1,F336)*_xll.qwFXRate($A$1,F336)*I336),_xll.qwIncome($A$1,F336,_xll.qwSettle($A$4,F336),_xll.qwSettle($A$1,F336))*_xll.qwMVFactor($A$1,F336)*_xll.qwFXRate($A$1,F336)*I336,0)+IF(ISNUMBER(-(_xll.qwBondRepoFromTo($A$1,F336,_xll.qwSettle($A$4,F336),_xll.qwSettle($A$1,F336))*_xll.qwSecVal($A$1,F336,"Price")*(_xll.qwSettle($A$1,F336)-_xll.qwSettle($A$4,F336))/360)*_xll.qwMVFactor($A$1,F336)*_xll.qwFXRate($A$1,F336)*I336),-(_xll.qwBondRepoFromTo($A$1,F336,_xll.qwSettle($A$4,F336),_xll.qwSettle($A$1,F336))*_xll.qwSecVal($A$1,F336,"Price")*(_xll.qwSettle($A$1,F336)-_xll.qwSettle($A$4,F336))/360)*_xll.qwMVFactor($A$1,F336)*_xll.qwFXRate($A$1,F336)*I336,0)</f>
        <v>-456092.99360000022</v>
      </c>
      <c r="AD336" s="6"/>
    </row>
    <row r="337" spans="15:30" s="19" customFormat="1" x14ac:dyDescent="0.35">
      <c r="O337" s="6"/>
      <c r="P337" s="6"/>
      <c r="Q337" s="6"/>
      <c r="R337" s="6"/>
      <c r="S337" s="6"/>
      <c r="T337" s="6"/>
      <c r="U337" s="8"/>
      <c r="V337" s="8"/>
      <c r="W337" s="6"/>
      <c r="X337" s="6"/>
      <c r="Y337" s="6"/>
      <c r="Z337" s="6"/>
      <c r="AA337" s="9"/>
      <c r="AB337" s="6"/>
      <c r="AC337" s="15"/>
      <c r="AD337" s="6"/>
    </row>
    <row r="338" spans="15:30" s="19" customFormat="1" x14ac:dyDescent="0.35">
      <c r="O338" s="6"/>
      <c r="P338" s="6"/>
      <c r="Q338" s="6"/>
      <c r="R338" s="6"/>
      <c r="S338" s="6"/>
      <c r="T338" s="6"/>
      <c r="U338" s="8"/>
      <c r="V338" s="8"/>
      <c r="W338" s="6"/>
      <c r="X338" s="6"/>
      <c r="Y338" s="6"/>
      <c r="Z338" s="6"/>
      <c r="AA338" s="9"/>
      <c r="AB338" s="6"/>
      <c r="AC338" s="15"/>
      <c r="AD338" s="6"/>
    </row>
    <row r="339" spans="15:30" s="19" customFormat="1" x14ac:dyDescent="0.35">
      <c r="O339" s="6"/>
      <c r="P339" s="6"/>
      <c r="Q339" s="6"/>
      <c r="R339" s="6"/>
      <c r="S339" s="6"/>
      <c r="T339" s="6"/>
      <c r="U339" s="8"/>
      <c r="V339" s="8"/>
      <c r="W339" s="6"/>
      <c r="X339" s="6"/>
      <c r="Y339" s="6"/>
      <c r="Z339" s="6"/>
      <c r="AA339" s="9"/>
      <c r="AB339" s="6"/>
      <c r="AC339" s="15"/>
      <c r="AD339" s="6"/>
    </row>
    <row r="340" spans="15:30" s="19" customFormat="1" x14ac:dyDescent="0.35">
      <c r="O340" s="6"/>
      <c r="P340" s="6"/>
      <c r="Q340" s="6"/>
      <c r="R340" s="6"/>
      <c r="S340" s="6"/>
      <c r="T340" s="6"/>
      <c r="U340" s="8"/>
      <c r="V340" s="8"/>
      <c r="W340" s="6"/>
      <c r="X340" s="6"/>
      <c r="Y340" s="6"/>
      <c r="Z340" s="6"/>
      <c r="AA340" s="9"/>
      <c r="AB340" s="6"/>
      <c r="AC340" s="15"/>
      <c r="AD340" s="6"/>
    </row>
    <row r="341" spans="15:30" s="19" customFormat="1" x14ac:dyDescent="0.35">
      <c r="O341" s="6"/>
      <c r="P341" s="6"/>
      <c r="Q341" s="6"/>
      <c r="R341" s="6"/>
      <c r="S341" s="6"/>
      <c r="T341" s="6"/>
      <c r="U341" s="8"/>
      <c r="V341" s="8"/>
      <c r="W341" s="6"/>
      <c r="X341" s="6"/>
      <c r="Y341" s="6"/>
      <c r="Z341" s="6"/>
      <c r="AA341" s="9"/>
      <c r="AB341" s="6"/>
      <c r="AC341" s="15"/>
      <c r="AD341" s="6"/>
    </row>
    <row r="342" spans="15:30" s="19" customFormat="1" x14ac:dyDescent="0.35">
      <c r="O342" s="6"/>
      <c r="P342" s="6"/>
      <c r="Q342" s="6"/>
      <c r="R342" s="6"/>
      <c r="S342" s="6"/>
      <c r="T342" s="6"/>
      <c r="U342" s="8"/>
      <c r="V342" s="8"/>
      <c r="W342" s="6"/>
      <c r="X342" s="6"/>
      <c r="Y342" s="6"/>
      <c r="Z342" s="6"/>
      <c r="AA342" s="9"/>
      <c r="AB342" s="6"/>
      <c r="AC342" s="15"/>
      <c r="AD342" s="6"/>
    </row>
    <row r="343" spans="15:30" s="19" customFormat="1" x14ac:dyDescent="0.35">
      <c r="O343" s="6"/>
      <c r="P343" s="6"/>
      <c r="Q343" s="6"/>
      <c r="R343" s="6"/>
      <c r="S343" s="6"/>
      <c r="T343" s="6"/>
      <c r="U343" s="8"/>
      <c r="V343" s="8"/>
      <c r="W343" s="6"/>
      <c r="X343" s="6"/>
      <c r="Y343" s="6"/>
      <c r="Z343" s="6"/>
      <c r="AA343" s="9"/>
      <c r="AB343" s="6"/>
      <c r="AC343" s="15"/>
      <c r="AD343" s="6"/>
    </row>
    <row r="344" spans="15:30" s="19" customFormat="1" x14ac:dyDescent="0.35">
      <c r="O344" s="6"/>
      <c r="P344" s="6"/>
      <c r="Q344" s="6"/>
      <c r="R344" s="6"/>
      <c r="S344" s="6"/>
      <c r="T344" s="6"/>
      <c r="U344" s="8"/>
      <c r="V344" s="8"/>
      <c r="W344" s="6"/>
      <c r="X344" s="6"/>
      <c r="Y344" s="6"/>
      <c r="Z344" s="6"/>
      <c r="AA344" s="9"/>
      <c r="AB344" s="6"/>
      <c r="AC344" s="15"/>
      <c r="AD344" s="6"/>
    </row>
    <row r="345" spans="15:30" s="19" customFormat="1" x14ac:dyDescent="0.35">
      <c r="O345" s="6"/>
      <c r="P345" s="6"/>
      <c r="Q345" s="6"/>
      <c r="R345" s="6"/>
      <c r="S345" s="6"/>
      <c r="T345" s="6"/>
      <c r="U345" s="8"/>
      <c r="V345" s="8"/>
      <c r="W345" s="6"/>
      <c r="X345" s="6"/>
      <c r="Y345" s="6"/>
      <c r="Z345" s="6"/>
      <c r="AA345" s="9"/>
      <c r="AB345" s="6"/>
      <c r="AC345" s="15"/>
      <c r="AD345" s="6"/>
    </row>
    <row r="346" spans="15:30" s="19" customFormat="1" x14ac:dyDescent="0.35">
      <c r="O346" s="6"/>
      <c r="P346" s="6"/>
      <c r="Q346" s="6"/>
      <c r="R346" s="6"/>
      <c r="S346" s="6"/>
      <c r="T346" s="6"/>
      <c r="U346" s="8"/>
      <c r="V346" s="8"/>
      <c r="W346" s="6"/>
      <c r="X346" s="6"/>
      <c r="Y346" s="6"/>
      <c r="Z346" s="6"/>
      <c r="AA346" s="9"/>
      <c r="AB346" s="6"/>
      <c r="AC346" s="15"/>
      <c r="AD346" s="6"/>
    </row>
    <row r="347" spans="15:30" s="19" customFormat="1" x14ac:dyDescent="0.35">
      <c r="O347" s="6"/>
      <c r="P347" s="6"/>
      <c r="Q347" s="6"/>
      <c r="R347" s="6"/>
      <c r="S347" s="6"/>
      <c r="T347" s="6"/>
      <c r="U347" s="8"/>
      <c r="V347" s="8"/>
      <c r="W347" s="6"/>
      <c r="X347" s="6"/>
      <c r="Y347" s="6"/>
      <c r="Z347" s="6"/>
      <c r="AA347" s="9"/>
      <c r="AB347" s="6"/>
      <c r="AC347" s="15"/>
      <c r="AD347" s="6"/>
    </row>
    <row r="348" spans="15:30" s="19" customFormat="1" x14ac:dyDescent="0.35">
      <c r="O348" s="6"/>
      <c r="P348" s="6"/>
      <c r="Q348" s="6"/>
      <c r="R348" s="6"/>
      <c r="S348" s="6"/>
      <c r="T348" s="6"/>
      <c r="U348" s="8"/>
      <c r="V348" s="8"/>
      <c r="W348" s="6"/>
      <c r="X348" s="6"/>
      <c r="Y348" s="6"/>
      <c r="Z348" s="6"/>
      <c r="AA348" s="9"/>
      <c r="AB348" s="6"/>
      <c r="AC348" s="15"/>
      <c r="AD348" s="6"/>
    </row>
    <row r="349" spans="15:30" s="19" customFormat="1" x14ac:dyDescent="0.35">
      <c r="O349" s="6"/>
      <c r="P349" s="6"/>
      <c r="Q349" s="6"/>
      <c r="R349" s="6"/>
      <c r="S349" s="6"/>
      <c r="T349" s="6"/>
      <c r="U349" s="8"/>
      <c r="V349" s="8"/>
      <c r="W349" s="6"/>
      <c r="X349" s="6"/>
      <c r="Y349" s="6"/>
      <c r="Z349" s="6"/>
      <c r="AA349" s="9"/>
      <c r="AB349" s="6"/>
      <c r="AC349" s="15"/>
      <c r="AD349" s="6"/>
    </row>
    <row r="350" spans="15:30" s="19" customFormat="1" x14ac:dyDescent="0.35">
      <c r="O350" s="6"/>
      <c r="P350" s="6"/>
      <c r="Q350" s="6"/>
      <c r="R350" s="6"/>
      <c r="S350" s="6"/>
      <c r="T350" s="6"/>
      <c r="U350" s="8"/>
      <c r="V350" s="8"/>
      <c r="W350" s="6"/>
      <c r="X350" s="6"/>
      <c r="Y350" s="6"/>
      <c r="Z350" s="6"/>
      <c r="AA350" s="9"/>
      <c r="AB350" s="6"/>
      <c r="AC350" s="15"/>
      <c r="AD350" s="6"/>
    </row>
    <row r="351" spans="15:30" s="19" customFormat="1" x14ac:dyDescent="0.35">
      <c r="O351" s="6"/>
      <c r="P351" s="6"/>
      <c r="Q351" s="6"/>
      <c r="R351" s="6"/>
      <c r="S351" s="6"/>
      <c r="T351" s="6"/>
      <c r="U351" s="8"/>
      <c r="V351" s="8"/>
      <c r="W351" s="6"/>
      <c r="X351" s="6"/>
      <c r="Y351" s="6"/>
      <c r="Z351" s="6"/>
      <c r="AA351" s="9"/>
      <c r="AB351" s="6"/>
      <c r="AC351" s="15"/>
      <c r="AD351" s="6"/>
    </row>
    <row r="352" spans="15:30" s="19" customFormat="1" x14ac:dyDescent="0.35">
      <c r="O352" s="6"/>
      <c r="P352" s="6"/>
      <c r="Q352" s="6"/>
      <c r="R352" s="6"/>
      <c r="S352" s="6"/>
      <c r="T352" s="6"/>
      <c r="U352" s="8"/>
      <c r="V352" s="8"/>
      <c r="W352" s="6"/>
      <c r="X352" s="6"/>
      <c r="Y352" s="6"/>
      <c r="Z352" s="6"/>
      <c r="AA352" s="9"/>
      <c r="AB352" s="6"/>
      <c r="AC352" s="15"/>
      <c r="AD352" s="6"/>
    </row>
    <row r="353" spans="15:30" s="19" customFormat="1" x14ac:dyDescent="0.35">
      <c r="O353" s="6"/>
      <c r="P353" s="6"/>
      <c r="Q353" s="6"/>
      <c r="R353" s="6"/>
      <c r="S353" s="6"/>
      <c r="T353" s="6"/>
      <c r="U353" s="8"/>
      <c r="V353" s="8"/>
      <c r="W353" s="6"/>
      <c r="X353" s="6"/>
      <c r="Y353" s="6"/>
      <c r="Z353" s="6"/>
      <c r="AA353" s="9"/>
      <c r="AB353" s="6"/>
      <c r="AC353" s="15"/>
      <c r="AD353" s="6"/>
    </row>
    <row r="354" spans="15:30" s="19" customFormat="1" x14ac:dyDescent="0.35">
      <c r="O354" s="6"/>
      <c r="P354" s="6"/>
      <c r="Q354" s="6"/>
      <c r="R354" s="6"/>
      <c r="S354" s="6"/>
      <c r="T354" s="6"/>
      <c r="U354" s="8"/>
      <c r="V354" s="8"/>
      <c r="W354" s="6"/>
      <c r="X354" s="6"/>
      <c r="Y354" s="6"/>
      <c r="Z354" s="6"/>
      <c r="AA354" s="9"/>
      <c r="AB354" s="6"/>
      <c r="AC354" s="15"/>
      <c r="AD354" s="6"/>
    </row>
    <row r="355" spans="15:30" s="19" customFormat="1" x14ac:dyDescent="0.35">
      <c r="O355" s="6"/>
      <c r="P355" s="6"/>
      <c r="Q355" s="6"/>
      <c r="R355" s="6"/>
      <c r="S355" s="6"/>
      <c r="T355" s="6"/>
      <c r="U355" s="8"/>
      <c r="V355" s="8"/>
      <c r="W355" s="6"/>
      <c r="X355" s="6"/>
      <c r="Y355" s="6"/>
      <c r="Z355" s="6"/>
      <c r="AA355" s="9"/>
      <c r="AB355" s="6"/>
      <c r="AC355" s="15"/>
      <c r="AD355" s="6"/>
    </row>
    <row r="356" spans="15:30" s="19" customFormat="1" x14ac:dyDescent="0.35">
      <c r="O356" s="6"/>
      <c r="P356" s="6"/>
      <c r="Q356" s="6"/>
      <c r="R356" s="6"/>
      <c r="S356" s="6"/>
      <c r="T356" s="6"/>
      <c r="U356" s="8"/>
      <c r="V356" s="8"/>
      <c r="W356" s="6"/>
      <c r="X356" s="6"/>
      <c r="Y356" s="6"/>
      <c r="Z356" s="6"/>
      <c r="AA356" s="9"/>
      <c r="AB356" s="6"/>
      <c r="AC356" s="15"/>
      <c r="AD356" s="6"/>
    </row>
    <row r="357" spans="15:30" s="19" customFormat="1" x14ac:dyDescent="0.35">
      <c r="O357" s="6"/>
      <c r="P357" s="6"/>
      <c r="Q357" s="6"/>
      <c r="R357" s="6"/>
      <c r="S357" s="6"/>
      <c r="T357" s="6"/>
      <c r="U357" s="8"/>
      <c r="V357" s="8"/>
      <c r="W357" s="6"/>
      <c r="X357" s="6"/>
      <c r="Y357" s="6"/>
      <c r="Z357" s="6"/>
      <c r="AA357" s="9"/>
      <c r="AB357" s="6"/>
      <c r="AC357" s="15"/>
      <c r="AD357" s="6"/>
    </row>
    <row r="358" spans="15:30" s="19" customFormat="1" x14ac:dyDescent="0.35">
      <c r="O358" s="6"/>
      <c r="P358" s="6"/>
      <c r="Q358" s="6"/>
      <c r="R358" s="6"/>
      <c r="S358" s="6"/>
      <c r="T358" s="6"/>
      <c r="U358" s="8"/>
      <c r="V358" s="8"/>
      <c r="W358" s="6"/>
      <c r="X358" s="6"/>
      <c r="Y358" s="6"/>
      <c r="Z358" s="6"/>
      <c r="AA358" s="9"/>
      <c r="AB358" s="6"/>
      <c r="AC358" s="15"/>
      <c r="AD358" s="6"/>
    </row>
    <row r="359" spans="15:30" s="19" customFormat="1" x14ac:dyDescent="0.35">
      <c r="O359" s="6"/>
      <c r="P359" s="6"/>
      <c r="Q359" s="6"/>
      <c r="R359" s="6"/>
      <c r="S359" s="6"/>
      <c r="T359" s="6"/>
      <c r="U359" s="8"/>
      <c r="V359" s="8"/>
      <c r="W359" s="6"/>
      <c r="X359" s="6"/>
      <c r="Y359" s="6"/>
      <c r="Z359" s="6"/>
      <c r="AA359" s="9"/>
      <c r="AB359" s="6"/>
      <c r="AC359" s="15"/>
      <c r="AD359" s="6"/>
    </row>
    <row r="360" spans="15:30" s="19" customFormat="1" x14ac:dyDescent="0.35">
      <c r="O360" s="6"/>
      <c r="P360" s="6"/>
      <c r="Q360" s="6"/>
      <c r="R360" s="6"/>
      <c r="S360" s="6"/>
      <c r="T360" s="6"/>
      <c r="U360" s="8"/>
      <c r="V360" s="8"/>
      <c r="W360" s="6"/>
      <c r="X360" s="6"/>
      <c r="Y360" s="6"/>
      <c r="Z360" s="6"/>
      <c r="AA360" s="9"/>
      <c r="AB360" s="6"/>
      <c r="AC360" s="15"/>
      <c r="AD360" s="6"/>
    </row>
    <row r="361" spans="15:30" s="19" customFormat="1" x14ac:dyDescent="0.35">
      <c r="O361" s="6"/>
      <c r="P361" s="6"/>
      <c r="Q361" s="6"/>
      <c r="R361" s="6"/>
      <c r="S361" s="6"/>
      <c r="T361" s="6"/>
      <c r="U361" s="8"/>
      <c r="V361" s="8"/>
      <c r="W361" s="6"/>
      <c r="X361" s="6"/>
      <c r="Y361" s="6"/>
      <c r="Z361" s="6"/>
      <c r="AA361" s="9"/>
      <c r="AB361" s="6"/>
      <c r="AC361" s="15"/>
      <c r="AD361" s="6"/>
    </row>
    <row r="362" spans="15:30" s="19" customFormat="1" x14ac:dyDescent="0.35">
      <c r="O362" s="6"/>
      <c r="P362" s="6"/>
      <c r="Q362" s="6"/>
      <c r="R362" s="6"/>
      <c r="S362" s="6"/>
      <c r="T362" s="6"/>
      <c r="U362" s="8"/>
      <c r="V362" s="8"/>
      <c r="W362" s="6"/>
      <c r="X362" s="6"/>
      <c r="Y362" s="6"/>
      <c r="Z362" s="6"/>
      <c r="AA362" s="9"/>
      <c r="AB362" s="6"/>
      <c r="AC362" s="15"/>
      <c r="AD362" s="6"/>
    </row>
    <row r="363" spans="15:30" s="19" customFormat="1" x14ac:dyDescent="0.35">
      <c r="O363" s="6"/>
      <c r="P363" s="6"/>
      <c r="Q363" s="6"/>
      <c r="R363" s="6"/>
      <c r="S363" s="6"/>
      <c r="T363" s="6"/>
      <c r="U363" s="8"/>
      <c r="V363" s="8"/>
      <c r="W363" s="6"/>
      <c r="X363" s="6"/>
      <c r="Y363" s="6"/>
      <c r="Z363" s="6"/>
      <c r="AA363" s="9"/>
      <c r="AB363" s="6"/>
      <c r="AC363" s="15"/>
      <c r="AD363" s="6"/>
    </row>
    <row r="364" spans="15:30" s="19" customFormat="1" x14ac:dyDescent="0.35">
      <c r="O364" s="6"/>
      <c r="P364" s="6"/>
      <c r="Q364" s="6"/>
      <c r="R364" s="6"/>
      <c r="S364" s="6"/>
      <c r="T364" s="6"/>
      <c r="U364" s="8"/>
      <c r="V364" s="8"/>
      <c r="W364" s="6"/>
      <c r="X364" s="6"/>
      <c r="Y364" s="6"/>
      <c r="Z364" s="6"/>
      <c r="AA364" s="9"/>
      <c r="AB364" s="6"/>
      <c r="AC364" s="15"/>
      <c r="AD364" s="6"/>
    </row>
    <row r="365" spans="15:30" s="19" customFormat="1" x14ac:dyDescent="0.35">
      <c r="O365" s="6"/>
      <c r="P365" s="6"/>
      <c r="Q365" s="6"/>
      <c r="R365" s="6"/>
      <c r="S365" s="6"/>
      <c r="T365" s="6"/>
      <c r="U365" s="8"/>
      <c r="V365" s="8"/>
      <c r="W365" s="6"/>
      <c r="X365" s="6"/>
      <c r="Y365" s="6"/>
      <c r="Z365" s="6"/>
      <c r="AA365" s="9"/>
      <c r="AB365" s="6"/>
      <c r="AC365" s="15"/>
      <c r="AD365" s="6"/>
    </row>
    <row r="366" spans="15:30" s="19" customFormat="1" x14ac:dyDescent="0.35">
      <c r="O366" s="6"/>
      <c r="P366" s="6"/>
      <c r="Q366" s="6"/>
      <c r="R366" s="6"/>
      <c r="S366" s="6"/>
      <c r="T366" s="6"/>
      <c r="U366" s="8"/>
      <c r="V366" s="8"/>
      <c r="W366" s="6"/>
      <c r="X366" s="6"/>
      <c r="Y366" s="6"/>
      <c r="Z366" s="6"/>
      <c r="AA366" s="9"/>
      <c r="AB366" s="6"/>
      <c r="AC366" s="15"/>
      <c r="AD366" s="6"/>
    </row>
    <row r="367" spans="15:30" x14ac:dyDescent="0.35">
      <c r="O367" s="6"/>
      <c r="P367" s="6"/>
      <c r="Q367" s="6"/>
      <c r="R367" s="6"/>
      <c r="S367" s="6"/>
      <c r="T367" s="6"/>
      <c r="U367" s="8"/>
      <c r="V367" s="8"/>
      <c r="W367" s="6"/>
      <c r="X367" s="6"/>
      <c r="Y367" s="6"/>
      <c r="Z367" s="6"/>
      <c r="AA367" s="9"/>
      <c r="AB367" s="6"/>
      <c r="AC367" s="15"/>
      <c r="AD367" s="6"/>
    </row>
    <row r="368" spans="15:30" x14ac:dyDescent="0.35">
      <c r="O368" s="6"/>
      <c r="P368" s="6"/>
      <c r="Q368" s="6"/>
      <c r="R368" s="6"/>
      <c r="S368" s="6"/>
      <c r="T368" s="6"/>
      <c r="U368" s="8"/>
      <c r="V368" s="8"/>
      <c r="W368" s="6"/>
      <c r="X368" s="6"/>
      <c r="Y368" s="6"/>
      <c r="Z368" s="6"/>
      <c r="AA368" s="9"/>
      <c r="AB368" s="6"/>
      <c r="AC368" s="15"/>
      <c r="AD368" s="6"/>
    </row>
    <row r="369" spans="14:30" x14ac:dyDescent="0.35">
      <c r="O369" s="6"/>
      <c r="P369" s="6"/>
      <c r="Q369" s="6"/>
      <c r="R369" s="6"/>
      <c r="S369" s="6"/>
      <c r="T369" s="6"/>
      <c r="U369" s="8"/>
      <c r="V369" s="8"/>
      <c r="W369" s="6"/>
      <c r="X369" s="6"/>
      <c r="Y369" s="6"/>
      <c r="Z369" s="6"/>
      <c r="AA369" s="9"/>
      <c r="AB369" s="6"/>
      <c r="AC369" s="15"/>
      <c r="AD369" s="6"/>
    </row>
    <row r="370" spans="14:30" x14ac:dyDescent="0.35">
      <c r="N370" s="3"/>
      <c r="O370" s="6"/>
      <c r="P370" s="6"/>
      <c r="Q370" s="6"/>
      <c r="R370" s="6"/>
      <c r="S370" s="6"/>
      <c r="T370" s="6"/>
      <c r="U370" s="8"/>
      <c r="V370" s="8"/>
      <c r="W370" s="6"/>
      <c r="X370" s="6"/>
      <c r="Y370" s="6"/>
      <c r="Z370" s="6"/>
      <c r="AA370" s="9"/>
      <c r="AB370" s="6"/>
      <c r="AC370" s="15"/>
      <c r="AD370" s="6"/>
    </row>
    <row r="371" spans="14:30" x14ac:dyDescent="0.35">
      <c r="N371" s="3"/>
      <c r="O371" s="6"/>
      <c r="P371" s="6"/>
      <c r="Q371" s="6"/>
      <c r="R371" s="6"/>
      <c r="S371" s="6"/>
      <c r="T371" s="6"/>
      <c r="U371" s="8"/>
      <c r="V371" s="8"/>
      <c r="W371" s="6"/>
      <c r="X371" s="6"/>
      <c r="Y371" s="6"/>
      <c r="Z371" s="6"/>
      <c r="AA371" s="9"/>
      <c r="AB371" s="6"/>
      <c r="AC371" s="15"/>
      <c r="AD371" s="6"/>
    </row>
    <row r="372" spans="14:30" x14ac:dyDescent="0.35">
      <c r="N372" s="3"/>
      <c r="O372" s="6"/>
      <c r="P372" s="6"/>
      <c r="Q372" s="6"/>
      <c r="R372" s="6"/>
      <c r="S372" s="6"/>
      <c r="T372" s="6"/>
      <c r="U372" s="8"/>
      <c r="V372" s="8"/>
      <c r="W372" s="6"/>
      <c r="X372" s="6"/>
      <c r="Y372" s="6"/>
      <c r="Z372" s="6"/>
      <c r="AA372" s="9"/>
      <c r="AB372" s="6"/>
      <c r="AC372" s="15"/>
      <c r="AD372" s="6"/>
    </row>
    <row r="373" spans="14:30" x14ac:dyDescent="0.35">
      <c r="N373" s="3"/>
      <c r="O373" s="6"/>
      <c r="P373" s="6"/>
      <c r="Q373" s="6"/>
      <c r="R373" s="6"/>
      <c r="S373" s="6"/>
      <c r="T373" s="6"/>
      <c r="U373" s="8"/>
      <c r="V373" s="8"/>
      <c r="W373" s="6"/>
      <c r="X373" s="6"/>
      <c r="Y373" s="6"/>
      <c r="Z373" s="6"/>
      <c r="AA373" s="9"/>
      <c r="AB373" s="6"/>
      <c r="AC373" s="15"/>
      <c r="AD373" s="6"/>
    </row>
    <row r="374" spans="14:30" x14ac:dyDescent="0.35">
      <c r="N374" s="3"/>
      <c r="O374" s="6"/>
      <c r="P374" s="6"/>
      <c r="Q374" s="6"/>
      <c r="R374" s="6"/>
      <c r="S374" s="6"/>
      <c r="T374" s="6"/>
      <c r="U374" s="8"/>
      <c r="V374" s="8"/>
      <c r="W374" s="6"/>
      <c r="X374" s="6"/>
      <c r="Y374" s="6"/>
      <c r="Z374" s="6"/>
      <c r="AA374" s="9"/>
      <c r="AB374" s="6"/>
      <c r="AC374" s="15"/>
      <c r="AD374" s="6"/>
    </row>
    <row r="375" spans="14:30" x14ac:dyDescent="0.35">
      <c r="N375" s="3"/>
      <c r="O375" s="6"/>
      <c r="P375" s="6"/>
      <c r="Q375" s="6"/>
      <c r="R375" s="6"/>
      <c r="S375" s="6"/>
      <c r="T375" s="6"/>
      <c r="U375" s="8"/>
      <c r="V375" s="8"/>
      <c r="W375" s="6"/>
      <c r="X375" s="6"/>
      <c r="Y375" s="6"/>
      <c r="Z375" s="6"/>
      <c r="AA375" s="9"/>
      <c r="AB375" s="6"/>
      <c r="AC375" s="15"/>
      <c r="AD375" s="6"/>
    </row>
    <row r="376" spans="14:30" x14ac:dyDescent="0.35">
      <c r="N376" s="3"/>
      <c r="O376" s="6"/>
      <c r="P376" s="6"/>
      <c r="Q376" s="6"/>
      <c r="R376" s="6"/>
      <c r="S376" s="6"/>
      <c r="T376" s="6"/>
      <c r="U376" s="8"/>
      <c r="V376" s="8"/>
      <c r="W376" s="6"/>
      <c r="X376" s="6"/>
      <c r="Y376" s="6"/>
      <c r="Z376" s="6"/>
      <c r="AA376" s="9"/>
      <c r="AB376" s="6"/>
      <c r="AC376" s="15"/>
      <c r="AD376" s="6"/>
    </row>
    <row r="377" spans="14:30" x14ac:dyDescent="0.35">
      <c r="N377" s="3"/>
      <c r="O377" s="6"/>
      <c r="P377" s="6"/>
      <c r="Q377" s="6"/>
      <c r="R377" s="6"/>
      <c r="S377" s="6"/>
      <c r="T377" s="6"/>
      <c r="U377" s="8"/>
      <c r="V377" s="8"/>
      <c r="W377" s="6"/>
      <c r="X377" s="6"/>
      <c r="Y377" s="6"/>
      <c r="Z377" s="6"/>
      <c r="AA377" s="9"/>
      <c r="AB377" s="6"/>
      <c r="AC377" s="15"/>
      <c r="AD377" s="6"/>
    </row>
    <row r="378" spans="14:30" x14ac:dyDescent="0.35">
      <c r="N378" s="3"/>
      <c r="O378" s="6"/>
      <c r="P378" s="6"/>
      <c r="Q378" s="6"/>
      <c r="R378" s="6"/>
      <c r="S378" s="6"/>
      <c r="T378" s="6"/>
      <c r="U378" s="8"/>
      <c r="V378" s="8"/>
      <c r="W378" s="6"/>
      <c r="X378" s="6"/>
      <c r="Y378" s="6"/>
      <c r="Z378" s="6"/>
      <c r="AA378" s="9"/>
      <c r="AB378" s="6"/>
      <c r="AC378" s="15"/>
      <c r="AD378" s="6"/>
    </row>
    <row r="379" spans="14:30" x14ac:dyDescent="0.35">
      <c r="N379" s="3"/>
      <c r="O379" s="6"/>
      <c r="P379" s="6"/>
      <c r="Q379" s="6"/>
      <c r="R379" s="6"/>
      <c r="S379" s="6"/>
      <c r="T379" s="6"/>
      <c r="U379" s="8"/>
      <c r="V379" s="8"/>
      <c r="W379" s="6"/>
      <c r="X379" s="6"/>
      <c r="Y379" s="6"/>
      <c r="Z379" s="6"/>
      <c r="AA379" s="9"/>
      <c r="AB379" s="6"/>
      <c r="AC379" s="15"/>
      <c r="AD379" s="6"/>
    </row>
    <row r="380" spans="14:30" x14ac:dyDescent="0.35">
      <c r="N380" s="3"/>
      <c r="O380" s="6"/>
      <c r="P380" s="6"/>
      <c r="Q380" s="6"/>
      <c r="R380" s="6"/>
      <c r="S380" s="6"/>
      <c r="T380" s="6"/>
      <c r="U380" s="8"/>
      <c r="V380" s="8"/>
      <c r="W380" s="6"/>
      <c r="X380" s="6"/>
      <c r="Y380" s="6"/>
      <c r="Z380" s="6"/>
      <c r="AA380" s="9"/>
      <c r="AB380" s="6"/>
      <c r="AC380" s="15"/>
      <c r="AD380" s="6"/>
    </row>
    <row r="381" spans="14:30" x14ac:dyDescent="0.35">
      <c r="N381" s="3"/>
      <c r="O381" s="6"/>
      <c r="P381" s="6"/>
      <c r="Q381" s="6"/>
      <c r="R381" s="6"/>
      <c r="S381" s="6"/>
      <c r="T381" s="6"/>
      <c r="U381" s="8"/>
      <c r="V381" s="8"/>
      <c r="W381" s="6"/>
      <c r="X381" s="6"/>
      <c r="Y381" s="6"/>
      <c r="Z381" s="6"/>
      <c r="AA381" s="9"/>
      <c r="AB381" s="6"/>
      <c r="AC381" s="15"/>
      <c r="AD381" s="6"/>
    </row>
    <row r="382" spans="14:30" x14ac:dyDescent="0.35">
      <c r="N382" s="3"/>
      <c r="O382" s="6"/>
      <c r="P382" s="6"/>
      <c r="Q382" s="6"/>
      <c r="R382" s="6"/>
      <c r="S382" s="6"/>
      <c r="T382" s="6"/>
      <c r="U382" s="8"/>
      <c r="V382" s="8"/>
      <c r="W382" s="6"/>
      <c r="X382" s="6"/>
      <c r="Y382" s="6"/>
      <c r="Z382" s="6"/>
      <c r="AA382" s="9"/>
      <c r="AB382" s="6"/>
      <c r="AC382" s="15"/>
      <c r="AD382" s="6"/>
    </row>
    <row r="383" spans="14:30" x14ac:dyDescent="0.35">
      <c r="N383" s="3"/>
      <c r="O383" s="6"/>
      <c r="P383" s="6"/>
      <c r="Q383" s="6"/>
      <c r="R383" s="6"/>
      <c r="S383" s="6"/>
      <c r="T383" s="6"/>
      <c r="U383" s="8"/>
      <c r="V383" s="8"/>
      <c r="W383" s="6"/>
      <c r="X383" s="6"/>
      <c r="Y383" s="6"/>
      <c r="Z383" s="6"/>
      <c r="AA383" s="9"/>
      <c r="AB383" s="6"/>
      <c r="AC383" s="15"/>
      <c r="AD383" s="6"/>
    </row>
    <row r="384" spans="14:30" x14ac:dyDescent="0.35">
      <c r="N384" s="3"/>
      <c r="O384" s="6"/>
      <c r="P384" s="6"/>
      <c r="Q384" s="6"/>
      <c r="R384" s="6"/>
      <c r="S384" s="6"/>
      <c r="T384" s="6"/>
      <c r="U384" s="8"/>
      <c r="V384" s="8"/>
      <c r="W384" s="6"/>
      <c r="X384" s="6"/>
      <c r="Y384" s="6"/>
      <c r="Z384" s="6"/>
      <c r="AA384" s="9"/>
      <c r="AB384" s="6"/>
      <c r="AC384" s="15"/>
      <c r="AD384" s="6"/>
    </row>
    <row r="385" spans="14:30" x14ac:dyDescent="0.35">
      <c r="N385" s="3"/>
      <c r="O385" s="6"/>
      <c r="P385" s="6"/>
      <c r="Q385" s="6"/>
      <c r="R385" s="6"/>
      <c r="S385" s="6"/>
      <c r="T385" s="6"/>
      <c r="U385" s="8"/>
      <c r="V385" s="8"/>
      <c r="W385" s="6"/>
      <c r="X385" s="6"/>
      <c r="Y385" s="6"/>
      <c r="Z385" s="6"/>
      <c r="AA385" s="9"/>
      <c r="AB385" s="6"/>
      <c r="AC385" s="15"/>
      <c r="AD385" s="6"/>
    </row>
    <row r="386" spans="14:30" x14ac:dyDescent="0.35">
      <c r="N386" s="3"/>
      <c r="O386" s="6"/>
      <c r="P386" s="6"/>
      <c r="Q386" s="6"/>
      <c r="R386" s="6"/>
      <c r="S386" s="6"/>
      <c r="T386" s="6"/>
      <c r="U386" s="8"/>
      <c r="V386" s="8"/>
      <c r="W386" s="6"/>
      <c r="X386" s="6"/>
      <c r="Y386" s="6"/>
      <c r="Z386" s="6"/>
      <c r="AA386" s="9"/>
      <c r="AB386" s="6"/>
      <c r="AC386" s="15"/>
      <c r="AD386" s="6"/>
    </row>
    <row r="387" spans="14:30" x14ac:dyDescent="0.35">
      <c r="N387" s="3"/>
      <c r="O387" s="6"/>
      <c r="P387" s="6"/>
      <c r="Q387" s="6"/>
      <c r="R387" s="6"/>
      <c r="S387" s="6"/>
      <c r="T387" s="6"/>
      <c r="U387" s="8"/>
      <c r="V387" s="8"/>
      <c r="W387" s="6"/>
      <c r="X387" s="6"/>
      <c r="Y387" s="6"/>
      <c r="Z387" s="6"/>
      <c r="AA387" s="9"/>
      <c r="AB387" s="6"/>
      <c r="AC387" s="15"/>
      <c r="AD387" s="6"/>
    </row>
    <row r="388" spans="14:30" x14ac:dyDescent="0.35">
      <c r="N388" s="3"/>
      <c r="O388" s="6"/>
      <c r="P388" s="6"/>
      <c r="Q388" s="6"/>
      <c r="R388" s="6"/>
      <c r="S388" s="6"/>
      <c r="T388" s="6"/>
      <c r="U388" s="8"/>
      <c r="V388" s="8"/>
      <c r="W388" s="6"/>
      <c r="X388" s="6"/>
      <c r="Y388" s="6"/>
      <c r="Z388" s="6"/>
      <c r="AA388" s="9"/>
      <c r="AB388" s="6"/>
      <c r="AC388" s="15"/>
      <c r="AD388" s="6"/>
    </row>
    <row r="389" spans="14:30" x14ac:dyDescent="0.35">
      <c r="N389" s="3"/>
      <c r="O389" s="6"/>
      <c r="P389" s="6"/>
      <c r="Q389" s="6"/>
      <c r="R389" s="6"/>
      <c r="S389" s="6"/>
      <c r="T389" s="6"/>
      <c r="U389" s="8"/>
      <c r="V389" s="8"/>
      <c r="W389" s="6"/>
      <c r="X389" s="6"/>
      <c r="Y389" s="6"/>
      <c r="Z389" s="6"/>
      <c r="AA389" s="9"/>
      <c r="AB389" s="6"/>
      <c r="AC389" s="15"/>
      <c r="AD389" s="6"/>
    </row>
    <row r="390" spans="14:30" x14ac:dyDescent="0.35">
      <c r="N390" s="3"/>
      <c r="O390" s="6"/>
      <c r="P390" s="6"/>
      <c r="Q390" s="6"/>
      <c r="R390" s="6"/>
      <c r="S390" s="6"/>
      <c r="T390" s="6"/>
      <c r="U390" s="8"/>
      <c r="V390" s="8"/>
      <c r="W390" s="6"/>
      <c r="X390" s="6"/>
      <c r="Y390" s="6"/>
      <c r="Z390" s="6"/>
      <c r="AA390" s="9"/>
      <c r="AB390" s="6"/>
      <c r="AC390" s="15"/>
      <c r="AD390" s="6"/>
    </row>
    <row r="391" spans="14:30" x14ac:dyDescent="0.35">
      <c r="N391" s="3"/>
      <c r="O391" s="6"/>
      <c r="P391" s="6"/>
      <c r="Q391" s="6"/>
      <c r="R391" s="6"/>
      <c r="S391" s="6"/>
      <c r="T391" s="6"/>
      <c r="U391" s="8"/>
      <c r="V391" s="8"/>
      <c r="W391" s="6"/>
      <c r="X391" s="6"/>
      <c r="Y391" s="6"/>
      <c r="Z391" s="6"/>
      <c r="AA391" s="9"/>
      <c r="AB391" s="6"/>
      <c r="AC391" s="15"/>
      <c r="AD391" s="6"/>
    </row>
    <row r="392" spans="14:30" x14ac:dyDescent="0.35">
      <c r="N392" s="3"/>
      <c r="O392" s="6"/>
      <c r="P392" s="6"/>
      <c r="Q392" s="6"/>
      <c r="R392" s="6"/>
      <c r="S392" s="6"/>
      <c r="T392" s="6"/>
      <c r="U392" s="8"/>
      <c r="V392" s="8"/>
      <c r="W392" s="6"/>
      <c r="X392" s="6"/>
      <c r="Y392" s="6"/>
      <c r="Z392" s="6"/>
      <c r="AA392" s="9"/>
      <c r="AB392" s="6"/>
      <c r="AC392" s="15"/>
      <c r="AD392" s="6"/>
    </row>
    <row r="393" spans="14:30" x14ac:dyDescent="0.35">
      <c r="N393" s="3"/>
      <c r="O393" s="6"/>
      <c r="P393" s="6"/>
      <c r="Q393" s="6"/>
      <c r="R393" s="6"/>
      <c r="S393" s="6"/>
      <c r="T393" s="6"/>
      <c r="U393" s="8"/>
      <c r="V393" s="8"/>
      <c r="W393" s="6"/>
      <c r="X393" s="6"/>
      <c r="Y393" s="6"/>
      <c r="Z393" s="6"/>
      <c r="AA393" s="9"/>
      <c r="AB393" s="6"/>
      <c r="AC393" s="15"/>
      <c r="AD393" s="6"/>
    </row>
    <row r="394" spans="14:30" x14ac:dyDescent="0.35">
      <c r="N394" s="3"/>
      <c r="O394" s="6"/>
      <c r="P394" s="6"/>
      <c r="Q394" s="6"/>
      <c r="R394" s="6"/>
      <c r="S394" s="6"/>
      <c r="T394" s="6"/>
      <c r="U394" s="8"/>
      <c r="V394" s="8"/>
      <c r="W394" s="6"/>
      <c r="X394" s="6"/>
      <c r="Y394" s="6"/>
      <c r="Z394" s="6"/>
      <c r="AA394" s="9"/>
      <c r="AB394" s="6"/>
      <c r="AC394" s="15"/>
      <c r="AD394" s="6"/>
    </row>
    <row r="395" spans="14:30" x14ac:dyDescent="0.35">
      <c r="N395" s="3"/>
      <c r="O395" s="6"/>
      <c r="P395" s="6"/>
      <c r="Q395" s="6"/>
      <c r="R395" s="6"/>
      <c r="S395" s="6"/>
      <c r="T395" s="6"/>
      <c r="U395" s="8"/>
      <c r="V395" s="8"/>
      <c r="W395" s="6"/>
      <c r="X395" s="6"/>
      <c r="Y395" s="6"/>
      <c r="Z395" s="6"/>
      <c r="AA395" s="9"/>
      <c r="AB395" s="6"/>
      <c r="AC395" s="15"/>
      <c r="AD395" s="6"/>
    </row>
  </sheetData>
  <autoFilter ref="B1:AB395" xr:uid="{00000000-0001-0000-0000-000000000000}">
    <filterColumn colId="12">
      <filters blank="1">
        <filter val="Bond"/>
        <filter val="BondFuture"/>
        <filter val="SwapTrade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7FA8B-5562-4427-96EB-62CF88C8881A}">
  <dimension ref="H1:J323"/>
  <sheetViews>
    <sheetView workbookViewId="0">
      <selection activeCell="E34" sqref="E34"/>
    </sheetView>
  </sheetViews>
  <sheetFormatPr defaultRowHeight="14.5" x14ac:dyDescent="0.35"/>
  <cols>
    <col min="1" max="1" width="9.81640625" bestFit="1" customWidth="1"/>
    <col min="2" max="2" width="11" bestFit="1" customWidth="1"/>
    <col min="5" max="5" width="11" bestFit="1" customWidth="1"/>
    <col min="13" max="13" width="9.81640625" bestFit="1" customWidth="1"/>
  </cols>
  <sheetData>
    <row r="1" spans="8:10" x14ac:dyDescent="0.35">
      <c r="H1" s="3"/>
      <c r="I1" s="3"/>
      <c r="J1" s="3"/>
    </row>
    <row r="2" spans="8:10" x14ac:dyDescent="0.35">
      <c r="H2" s="3"/>
      <c r="I2" s="3"/>
      <c r="J2" s="3"/>
    </row>
    <row r="3" spans="8:10" x14ac:dyDescent="0.35">
      <c r="H3" s="3"/>
      <c r="I3" s="3"/>
      <c r="J3" s="3"/>
    </row>
    <row r="4" spans="8:10" x14ac:dyDescent="0.35">
      <c r="H4" s="3"/>
      <c r="I4" s="3"/>
      <c r="J4" s="3"/>
    </row>
    <row r="5" spans="8:10" x14ac:dyDescent="0.35">
      <c r="H5" s="3"/>
      <c r="I5" s="3"/>
      <c r="J5" s="3"/>
    </row>
    <row r="6" spans="8:10" x14ac:dyDescent="0.35">
      <c r="H6" s="3"/>
      <c r="I6" s="3"/>
      <c r="J6" s="3"/>
    </row>
    <row r="7" spans="8:10" x14ac:dyDescent="0.35">
      <c r="H7" s="3"/>
      <c r="I7" s="3"/>
      <c r="J7" s="3"/>
    </row>
    <row r="8" spans="8:10" x14ac:dyDescent="0.35">
      <c r="H8" s="3"/>
      <c r="I8" s="3"/>
      <c r="J8" s="3"/>
    </row>
    <row r="9" spans="8:10" x14ac:dyDescent="0.35">
      <c r="H9" s="3"/>
      <c r="I9" s="3"/>
      <c r="J9" s="3"/>
    </row>
    <row r="10" spans="8:10" x14ac:dyDescent="0.35">
      <c r="H10" s="3"/>
      <c r="I10" s="3"/>
      <c r="J10" s="3"/>
    </row>
    <row r="11" spans="8:10" x14ac:dyDescent="0.35">
      <c r="H11" s="3"/>
      <c r="I11" s="3"/>
      <c r="J11" s="3"/>
    </row>
    <row r="12" spans="8:10" x14ac:dyDescent="0.35">
      <c r="H12" s="3"/>
      <c r="I12" s="3"/>
      <c r="J12" s="3"/>
    </row>
    <row r="13" spans="8:10" x14ac:dyDescent="0.35">
      <c r="H13" s="3"/>
      <c r="I13" s="3"/>
      <c r="J13" s="3"/>
    </row>
    <row r="14" spans="8:10" x14ac:dyDescent="0.35">
      <c r="H14" s="3"/>
      <c r="I14" s="3"/>
      <c r="J14" s="3"/>
    </row>
    <row r="15" spans="8:10" x14ac:dyDescent="0.35">
      <c r="H15" s="3"/>
      <c r="I15" s="3"/>
      <c r="J15" s="3"/>
    </row>
    <row r="16" spans="8:10" x14ac:dyDescent="0.35">
      <c r="H16" s="3"/>
      <c r="I16" s="3"/>
      <c r="J16" s="3"/>
    </row>
    <row r="17" spans="8:10" x14ac:dyDescent="0.35">
      <c r="H17" s="3"/>
      <c r="I17" s="3"/>
      <c r="J17" s="3"/>
    </row>
    <row r="18" spans="8:10" x14ac:dyDescent="0.35">
      <c r="H18" s="3"/>
      <c r="I18" s="3"/>
      <c r="J18" s="3"/>
    </row>
    <row r="19" spans="8:10" x14ac:dyDescent="0.35">
      <c r="H19" s="3"/>
      <c r="I19" s="3"/>
      <c r="J19" s="3"/>
    </row>
    <row r="20" spans="8:10" x14ac:dyDescent="0.35">
      <c r="H20" s="3"/>
      <c r="I20" s="3"/>
      <c r="J20" s="3"/>
    </row>
    <row r="21" spans="8:10" x14ac:dyDescent="0.35">
      <c r="H21" s="3"/>
      <c r="I21" s="3"/>
      <c r="J21" s="3"/>
    </row>
    <row r="22" spans="8:10" x14ac:dyDescent="0.35">
      <c r="H22" s="3"/>
      <c r="I22" s="3"/>
      <c r="J22" s="3"/>
    </row>
    <row r="23" spans="8:10" x14ac:dyDescent="0.35">
      <c r="H23" s="3"/>
      <c r="I23" s="3"/>
      <c r="J23" s="3"/>
    </row>
    <row r="24" spans="8:10" x14ac:dyDescent="0.35">
      <c r="H24" s="3"/>
      <c r="I24" s="3"/>
      <c r="J24" s="3"/>
    </row>
    <row r="25" spans="8:10" x14ac:dyDescent="0.35">
      <c r="H25" s="3"/>
      <c r="I25" s="3"/>
      <c r="J25" s="3"/>
    </row>
    <row r="26" spans="8:10" x14ac:dyDescent="0.35">
      <c r="H26" s="3"/>
      <c r="I26" s="3"/>
      <c r="J26" s="3"/>
    </row>
    <row r="27" spans="8:10" x14ac:dyDescent="0.35">
      <c r="H27" s="3"/>
      <c r="I27" s="3"/>
      <c r="J27" s="3"/>
    </row>
    <row r="28" spans="8:10" x14ac:dyDescent="0.35">
      <c r="H28" s="3"/>
      <c r="I28" s="3"/>
      <c r="J28" s="3"/>
    </row>
    <row r="29" spans="8:10" x14ac:dyDescent="0.35">
      <c r="H29" s="3"/>
      <c r="I29" s="3"/>
      <c r="J29" s="3"/>
    </row>
    <row r="30" spans="8:10" x14ac:dyDescent="0.35">
      <c r="H30" s="3"/>
      <c r="I30" s="3"/>
      <c r="J30" s="3"/>
    </row>
    <row r="31" spans="8:10" x14ac:dyDescent="0.35">
      <c r="H31" s="3"/>
      <c r="I31" s="3"/>
      <c r="J31" s="3"/>
    </row>
    <row r="32" spans="8:10" x14ac:dyDescent="0.35">
      <c r="H32" s="3"/>
      <c r="I32" s="3"/>
      <c r="J32" s="3"/>
    </row>
    <row r="33" spans="8:10" x14ac:dyDescent="0.35">
      <c r="H33" s="3"/>
      <c r="I33" s="3"/>
      <c r="J33" s="3"/>
    </row>
    <row r="34" spans="8:10" x14ac:dyDescent="0.35">
      <c r="H34" s="3"/>
      <c r="I34" s="3"/>
      <c r="J34" s="3"/>
    </row>
    <row r="35" spans="8:10" x14ac:dyDescent="0.35">
      <c r="H35" s="3"/>
      <c r="I35" s="3"/>
      <c r="J35" s="3"/>
    </row>
    <row r="36" spans="8:10" x14ac:dyDescent="0.35">
      <c r="H36" s="3"/>
      <c r="I36" s="3"/>
      <c r="J36" s="3"/>
    </row>
    <row r="37" spans="8:10" x14ac:dyDescent="0.35">
      <c r="H37" s="3"/>
      <c r="I37" s="3"/>
      <c r="J37" s="3"/>
    </row>
    <row r="38" spans="8:10" x14ac:dyDescent="0.35">
      <c r="H38" s="3"/>
      <c r="I38" s="3"/>
      <c r="J38" s="3"/>
    </row>
    <row r="39" spans="8:10" x14ac:dyDescent="0.35">
      <c r="H39" s="3"/>
      <c r="I39" s="3"/>
      <c r="J39" s="3"/>
    </row>
    <row r="40" spans="8:10" x14ac:dyDescent="0.35">
      <c r="H40" s="3"/>
      <c r="I40" s="3"/>
      <c r="J40" s="3"/>
    </row>
    <row r="41" spans="8:10" x14ac:dyDescent="0.35">
      <c r="H41" s="3"/>
      <c r="I41" s="3"/>
      <c r="J41" s="3"/>
    </row>
    <row r="42" spans="8:10" x14ac:dyDescent="0.35">
      <c r="H42" s="3"/>
      <c r="I42" s="3"/>
      <c r="J42" s="3"/>
    </row>
    <row r="43" spans="8:10" x14ac:dyDescent="0.35">
      <c r="H43" s="3"/>
      <c r="I43" s="3"/>
      <c r="J43" s="3"/>
    </row>
    <row r="44" spans="8:10" x14ac:dyDescent="0.35">
      <c r="H44" s="3"/>
      <c r="I44" s="3"/>
      <c r="J44" s="3"/>
    </row>
    <row r="45" spans="8:10" x14ac:dyDescent="0.35">
      <c r="H45" s="3"/>
      <c r="I45" s="3"/>
      <c r="J45" s="3"/>
    </row>
    <row r="46" spans="8:10" x14ac:dyDescent="0.35">
      <c r="H46" s="3"/>
      <c r="I46" s="3"/>
      <c r="J46" s="3"/>
    </row>
    <row r="47" spans="8:10" x14ac:dyDescent="0.35">
      <c r="H47" s="3"/>
      <c r="I47" s="3"/>
      <c r="J47" s="3"/>
    </row>
    <row r="48" spans="8:10" x14ac:dyDescent="0.35">
      <c r="H48" s="3"/>
      <c r="I48" s="3"/>
      <c r="J48" s="3"/>
    </row>
    <row r="49" spans="8:10" x14ac:dyDescent="0.35">
      <c r="H49" s="3"/>
      <c r="I49" s="3"/>
      <c r="J49" s="3"/>
    </row>
    <row r="50" spans="8:10" x14ac:dyDescent="0.35">
      <c r="H50" s="3"/>
      <c r="I50" s="3"/>
      <c r="J50" s="3"/>
    </row>
    <row r="51" spans="8:10" x14ac:dyDescent="0.35">
      <c r="H51" s="3"/>
      <c r="I51" s="3"/>
      <c r="J51" s="3"/>
    </row>
    <row r="52" spans="8:10" x14ac:dyDescent="0.35">
      <c r="H52" s="3"/>
      <c r="I52" s="3"/>
      <c r="J52" s="3"/>
    </row>
    <row r="53" spans="8:10" x14ac:dyDescent="0.35">
      <c r="H53" s="3"/>
      <c r="I53" s="3"/>
      <c r="J53" s="3"/>
    </row>
    <row r="54" spans="8:10" x14ac:dyDescent="0.35">
      <c r="H54" s="3"/>
      <c r="I54" s="3"/>
      <c r="J54" s="3"/>
    </row>
    <row r="55" spans="8:10" x14ac:dyDescent="0.35">
      <c r="H55" s="3"/>
      <c r="I55" s="3"/>
      <c r="J55" s="3"/>
    </row>
    <row r="56" spans="8:10" x14ac:dyDescent="0.35">
      <c r="H56" s="3"/>
      <c r="I56" s="3"/>
      <c r="J56" s="3"/>
    </row>
    <row r="57" spans="8:10" x14ac:dyDescent="0.35">
      <c r="H57" s="3"/>
      <c r="I57" s="3"/>
      <c r="J57" s="3"/>
    </row>
    <row r="58" spans="8:10" x14ac:dyDescent="0.35">
      <c r="H58" s="3"/>
      <c r="I58" s="3"/>
      <c r="J58" s="3"/>
    </row>
    <row r="59" spans="8:10" x14ac:dyDescent="0.35">
      <c r="H59" s="3"/>
      <c r="I59" s="3"/>
      <c r="J59" s="3"/>
    </row>
    <row r="60" spans="8:10" x14ac:dyDescent="0.35">
      <c r="H60" s="3"/>
      <c r="I60" s="3"/>
      <c r="J60" s="3"/>
    </row>
    <row r="61" spans="8:10" x14ac:dyDescent="0.35">
      <c r="H61" s="3"/>
      <c r="I61" s="3"/>
      <c r="J61" s="3"/>
    </row>
    <row r="62" spans="8:10" x14ac:dyDescent="0.35">
      <c r="H62" s="3"/>
      <c r="I62" s="3"/>
      <c r="J62" s="3"/>
    </row>
    <row r="63" spans="8:10" x14ac:dyDescent="0.35">
      <c r="H63" s="3"/>
      <c r="I63" s="3"/>
      <c r="J63" s="3"/>
    </row>
    <row r="64" spans="8:10" x14ac:dyDescent="0.35">
      <c r="H64" s="3"/>
      <c r="I64" s="3"/>
      <c r="J64" s="3"/>
    </row>
    <row r="65" spans="8:10" x14ac:dyDescent="0.35">
      <c r="H65" s="3"/>
      <c r="I65" s="3"/>
      <c r="J65" s="3"/>
    </row>
    <row r="66" spans="8:10" x14ac:dyDescent="0.35">
      <c r="H66" s="3"/>
      <c r="I66" s="3"/>
      <c r="J66" s="3"/>
    </row>
    <row r="67" spans="8:10" x14ac:dyDescent="0.35">
      <c r="H67" s="3"/>
      <c r="I67" s="3"/>
      <c r="J67" s="3"/>
    </row>
    <row r="68" spans="8:10" x14ac:dyDescent="0.35">
      <c r="H68" s="3"/>
      <c r="I68" s="3"/>
      <c r="J68" s="3"/>
    </row>
    <row r="69" spans="8:10" x14ac:dyDescent="0.35">
      <c r="H69" s="3"/>
      <c r="I69" s="3"/>
      <c r="J69" s="3"/>
    </row>
    <row r="70" spans="8:10" x14ac:dyDescent="0.35">
      <c r="H70" s="3"/>
      <c r="I70" s="3"/>
      <c r="J70" s="3"/>
    </row>
    <row r="71" spans="8:10" x14ac:dyDescent="0.35">
      <c r="H71" s="3"/>
      <c r="I71" s="3"/>
      <c r="J71" s="3"/>
    </row>
    <row r="72" spans="8:10" x14ac:dyDescent="0.35">
      <c r="H72" s="3"/>
      <c r="I72" s="3"/>
      <c r="J72" s="3"/>
    </row>
    <row r="73" spans="8:10" x14ac:dyDescent="0.35">
      <c r="H73" s="3"/>
      <c r="I73" s="3"/>
      <c r="J73" s="3"/>
    </row>
    <row r="74" spans="8:10" x14ac:dyDescent="0.35">
      <c r="H74" s="3"/>
      <c r="I74" s="3"/>
      <c r="J74" s="3"/>
    </row>
    <row r="75" spans="8:10" x14ac:dyDescent="0.35">
      <c r="H75" s="3"/>
      <c r="I75" s="3"/>
      <c r="J75" s="3"/>
    </row>
    <row r="76" spans="8:10" x14ac:dyDescent="0.35">
      <c r="H76" s="3"/>
      <c r="I76" s="3"/>
      <c r="J76" s="3"/>
    </row>
    <row r="77" spans="8:10" x14ac:dyDescent="0.35">
      <c r="H77" s="3"/>
      <c r="I77" s="3"/>
      <c r="J77" s="3"/>
    </row>
    <row r="78" spans="8:10" x14ac:dyDescent="0.35">
      <c r="H78" s="3"/>
      <c r="I78" s="3"/>
      <c r="J78" s="3"/>
    </row>
    <row r="79" spans="8:10" x14ac:dyDescent="0.35">
      <c r="H79" s="3"/>
      <c r="I79" s="3"/>
      <c r="J79" s="3"/>
    </row>
    <row r="80" spans="8:10" x14ac:dyDescent="0.35">
      <c r="H80" s="3"/>
      <c r="I80" s="3"/>
      <c r="J80" s="3"/>
    </row>
    <row r="81" spans="8:10" x14ac:dyDescent="0.35">
      <c r="H81" s="3"/>
      <c r="I81" s="3"/>
      <c r="J81" s="3"/>
    </row>
    <row r="82" spans="8:10" x14ac:dyDescent="0.35">
      <c r="H82" s="3"/>
      <c r="I82" s="3"/>
      <c r="J82" s="3"/>
    </row>
    <row r="83" spans="8:10" x14ac:dyDescent="0.35">
      <c r="H83" s="3"/>
      <c r="I83" s="3"/>
      <c r="J83" s="3"/>
    </row>
    <row r="84" spans="8:10" x14ac:dyDescent="0.35">
      <c r="H84" s="3"/>
      <c r="I84" s="3"/>
      <c r="J84" s="3"/>
    </row>
    <row r="85" spans="8:10" x14ac:dyDescent="0.35">
      <c r="H85" s="3"/>
      <c r="I85" s="3"/>
      <c r="J85" s="3"/>
    </row>
    <row r="86" spans="8:10" x14ac:dyDescent="0.35">
      <c r="H86" s="3"/>
      <c r="I86" s="3"/>
      <c r="J86" s="3"/>
    </row>
    <row r="87" spans="8:10" x14ac:dyDescent="0.35">
      <c r="H87" s="3"/>
      <c r="I87" s="3"/>
      <c r="J87" s="3"/>
    </row>
    <row r="88" spans="8:10" x14ac:dyDescent="0.35">
      <c r="H88" s="3"/>
      <c r="I88" s="3"/>
      <c r="J88" s="3"/>
    </row>
    <row r="89" spans="8:10" x14ac:dyDescent="0.35">
      <c r="H89" s="3"/>
      <c r="I89" s="3"/>
      <c r="J89" s="3"/>
    </row>
    <row r="90" spans="8:10" x14ac:dyDescent="0.35">
      <c r="H90" s="3"/>
      <c r="I90" s="3"/>
      <c r="J90" s="3"/>
    </row>
    <row r="91" spans="8:10" x14ac:dyDescent="0.35">
      <c r="H91" s="3"/>
      <c r="I91" s="3"/>
      <c r="J91" s="3"/>
    </row>
    <row r="92" spans="8:10" x14ac:dyDescent="0.35">
      <c r="H92" s="3"/>
      <c r="I92" s="3"/>
      <c r="J92" s="3"/>
    </row>
    <row r="93" spans="8:10" x14ac:dyDescent="0.35">
      <c r="H93" s="3"/>
      <c r="I93" s="3"/>
      <c r="J93" s="3"/>
    </row>
    <row r="94" spans="8:10" x14ac:dyDescent="0.35">
      <c r="H94" s="3"/>
      <c r="I94" s="3"/>
      <c r="J94" s="3"/>
    </row>
    <row r="95" spans="8:10" x14ac:dyDescent="0.35">
      <c r="H95" s="3"/>
      <c r="I95" s="3"/>
      <c r="J95" s="3"/>
    </row>
    <row r="96" spans="8:10" x14ac:dyDescent="0.35">
      <c r="H96" s="3"/>
      <c r="I96" s="3"/>
      <c r="J96" s="3"/>
    </row>
    <row r="97" spans="8:10" x14ac:dyDescent="0.35">
      <c r="H97" s="3"/>
      <c r="I97" s="3"/>
      <c r="J97" s="3"/>
    </row>
    <row r="98" spans="8:10" x14ac:dyDescent="0.35">
      <c r="H98" s="3"/>
      <c r="I98" s="3"/>
      <c r="J98" s="3"/>
    </row>
    <row r="99" spans="8:10" x14ac:dyDescent="0.35">
      <c r="H99" s="3"/>
      <c r="I99" s="3"/>
      <c r="J99" s="3"/>
    </row>
    <row r="100" spans="8:10" x14ac:dyDescent="0.35">
      <c r="H100" s="3"/>
      <c r="I100" s="3"/>
      <c r="J100" s="3"/>
    </row>
    <row r="101" spans="8:10" x14ac:dyDescent="0.35">
      <c r="H101" s="3"/>
      <c r="I101" s="3"/>
      <c r="J101" s="3"/>
    </row>
    <row r="102" spans="8:10" x14ac:dyDescent="0.35">
      <c r="H102" s="3"/>
      <c r="I102" s="3"/>
      <c r="J102" s="3"/>
    </row>
    <row r="103" spans="8:10" x14ac:dyDescent="0.35">
      <c r="H103" s="3"/>
      <c r="I103" s="3"/>
      <c r="J103" s="3"/>
    </row>
    <row r="104" spans="8:10" x14ac:dyDescent="0.35">
      <c r="H104" s="3"/>
      <c r="I104" s="3"/>
      <c r="J104" s="3"/>
    </row>
    <row r="105" spans="8:10" x14ac:dyDescent="0.35">
      <c r="H105" s="3"/>
      <c r="I105" s="3"/>
      <c r="J105" s="3"/>
    </row>
    <row r="106" spans="8:10" x14ac:dyDescent="0.35">
      <c r="H106" s="3"/>
      <c r="I106" s="3"/>
      <c r="J106" s="3"/>
    </row>
    <row r="107" spans="8:10" x14ac:dyDescent="0.35">
      <c r="H107" s="3"/>
      <c r="I107" s="3"/>
      <c r="J107" s="3"/>
    </row>
    <row r="108" spans="8:10" x14ac:dyDescent="0.35">
      <c r="H108" s="3"/>
      <c r="I108" s="3"/>
      <c r="J108" s="3"/>
    </row>
    <row r="109" spans="8:10" x14ac:dyDescent="0.35">
      <c r="H109" s="3"/>
      <c r="I109" s="3"/>
      <c r="J109" s="3"/>
    </row>
    <row r="110" spans="8:10" x14ac:dyDescent="0.35">
      <c r="H110" s="3"/>
      <c r="I110" s="3"/>
      <c r="J110" s="3"/>
    </row>
    <row r="111" spans="8:10" x14ac:dyDescent="0.35">
      <c r="H111" s="3"/>
      <c r="I111" s="3"/>
      <c r="J111" s="3"/>
    </row>
    <row r="112" spans="8:10" x14ac:dyDescent="0.35">
      <c r="H112" s="3"/>
      <c r="I112" s="3"/>
      <c r="J112" s="3"/>
    </row>
    <row r="113" spans="8:10" x14ac:dyDescent="0.35">
      <c r="H113" s="3"/>
      <c r="I113" s="3"/>
      <c r="J113" s="3"/>
    </row>
    <row r="114" spans="8:10" x14ac:dyDescent="0.35">
      <c r="H114" s="3"/>
      <c r="I114" s="3"/>
      <c r="J114" s="3"/>
    </row>
    <row r="115" spans="8:10" x14ac:dyDescent="0.35">
      <c r="H115" s="3"/>
      <c r="I115" s="3"/>
      <c r="J115" s="3"/>
    </row>
    <row r="116" spans="8:10" x14ac:dyDescent="0.35">
      <c r="H116" s="3"/>
      <c r="I116" s="3"/>
      <c r="J116" s="3"/>
    </row>
    <row r="117" spans="8:10" x14ac:dyDescent="0.35">
      <c r="H117" s="3"/>
      <c r="I117" s="3"/>
      <c r="J117" s="3"/>
    </row>
    <row r="118" spans="8:10" x14ac:dyDescent="0.35">
      <c r="H118" s="3"/>
      <c r="I118" s="3"/>
      <c r="J118" s="3"/>
    </row>
    <row r="119" spans="8:10" x14ac:dyDescent="0.35">
      <c r="H119" s="3"/>
      <c r="I119" s="3"/>
      <c r="J119" s="3"/>
    </row>
    <row r="120" spans="8:10" x14ac:dyDescent="0.35">
      <c r="H120" s="3"/>
      <c r="I120" s="3"/>
      <c r="J120" s="3"/>
    </row>
    <row r="121" spans="8:10" x14ac:dyDescent="0.35">
      <c r="H121" s="3"/>
      <c r="I121" s="3"/>
      <c r="J121" s="3"/>
    </row>
    <row r="122" spans="8:10" x14ac:dyDescent="0.35">
      <c r="H122" s="3"/>
      <c r="I122" s="3"/>
      <c r="J122" s="3"/>
    </row>
    <row r="123" spans="8:10" x14ac:dyDescent="0.35">
      <c r="H123" s="3"/>
      <c r="I123" s="3"/>
      <c r="J123" s="3"/>
    </row>
    <row r="124" spans="8:10" x14ac:dyDescent="0.35">
      <c r="H124" s="3"/>
      <c r="I124" s="3"/>
      <c r="J124" s="3"/>
    </row>
    <row r="125" spans="8:10" x14ac:dyDescent="0.35">
      <c r="H125" s="3"/>
      <c r="I125" s="3"/>
      <c r="J125" s="3"/>
    </row>
    <row r="126" spans="8:10" x14ac:dyDescent="0.35">
      <c r="H126" s="3"/>
      <c r="I126" s="3"/>
      <c r="J126" s="3"/>
    </row>
    <row r="127" spans="8:10" x14ac:dyDescent="0.35">
      <c r="H127" s="3"/>
      <c r="I127" s="3"/>
      <c r="J127" s="3"/>
    </row>
    <row r="128" spans="8:10" x14ac:dyDescent="0.35">
      <c r="H128" s="3"/>
      <c r="I128" s="3"/>
      <c r="J128" s="3"/>
    </row>
    <row r="129" spans="8:10" x14ac:dyDescent="0.35">
      <c r="H129" s="3"/>
      <c r="I129" s="3"/>
      <c r="J129" s="3"/>
    </row>
    <row r="130" spans="8:10" x14ac:dyDescent="0.35">
      <c r="H130" s="3"/>
      <c r="I130" s="3"/>
      <c r="J130" s="3"/>
    </row>
    <row r="131" spans="8:10" x14ac:dyDescent="0.35">
      <c r="H131" s="3"/>
      <c r="I131" s="3"/>
      <c r="J131" s="3"/>
    </row>
    <row r="132" spans="8:10" x14ac:dyDescent="0.35">
      <c r="H132" s="3"/>
      <c r="I132" s="3"/>
      <c r="J132" s="3"/>
    </row>
    <row r="133" spans="8:10" x14ac:dyDescent="0.35">
      <c r="H133" s="3"/>
      <c r="I133" s="3"/>
      <c r="J133" s="3"/>
    </row>
    <row r="134" spans="8:10" x14ac:dyDescent="0.35">
      <c r="H134" s="3"/>
      <c r="I134" s="3"/>
      <c r="J134" s="3"/>
    </row>
    <row r="135" spans="8:10" x14ac:dyDescent="0.35">
      <c r="H135" s="3"/>
      <c r="I135" s="3"/>
      <c r="J135" s="3"/>
    </row>
    <row r="136" spans="8:10" x14ac:dyDescent="0.35">
      <c r="H136" s="3"/>
      <c r="I136" s="3"/>
      <c r="J136" s="3"/>
    </row>
    <row r="137" spans="8:10" x14ac:dyDescent="0.35">
      <c r="H137" s="3"/>
      <c r="I137" s="3"/>
      <c r="J137" s="3"/>
    </row>
    <row r="138" spans="8:10" x14ac:dyDescent="0.35">
      <c r="H138" s="3"/>
      <c r="I138" s="3"/>
      <c r="J138" s="3"/>
    </row>
    <row r="139" spans="8:10" x14ac:dyDescent="0.35">
      <c r="H139" s="3"/>
      <c r="I139" s="3"/>
      <c r="J139" s="3"/>
    </row>
    <row r="140" spans="8:10" x14ac:dyDescent="0.35">
      <c r="H140" s="3"/>
      <c r="I140" s="3"/>
      <c r="J140" s="3"/>
    </row>
    <row r="141" spans="8:10" x14ac:dyDescent="0.35">
      <c r="H141" s="3"/>
      <c r="I141" s="3"/>
      <c r="J141" s="3"/>
    </row>
    <row r="142" spans="8:10" x14ac:dyDescent="0.35">
      <c r="H142" s="3"/>
      <c r="I142" s="3"/>
      <c r="J142" s="3"/>
    </row>
    <row r="143" spans="8:10" x14ac:dyDescent="0.35">
      <c r="H143" s="3"/>
      <c r="I143" s="3"/>
      <c r="J143" s="3"/>
    </row>
    <row r="144" spans="8:10" x14ac:dyDescent="0.35">
      <c r="H144" s="3"/>
      <c r="I144" s="3"/>
      <c r="J144" s="3"/>
    </row>
    <row r="145" spans="8:10" x14ac:dyDescent="0.35">
      <c r="H145" s="3"/>
      <c r="I145" s="3"/>
      <c r="J145" s="3"/>
    </row>
    <row r="146" spans="8:10" x14ac:dyDescent="0.35">
      <c r="H146" s="3"/>
      <c r="I146" s="3"/>
      <c r="J146" s="3"/>
    </row>
    <row r="147" spans="8:10" x14ac:dyDescent="0.35">
      <c r="H147" s="3"/>
      <c r="I147" s="3"/>
      <c r="J147" s="3"/>
    </row>
    <row r="148" spans="8:10" x14ac:dyDescent="0.35">
      <c r="H148" s="3"/>
      <c r="I148" s="3"/>
      <c r="J148" s="3"/>
    </row>
    <row r="149" spans="8:10" x14ac:dyDescent="0.35">
      <c r="H149" s="3"/>
      <c r="I149" s="3"/>
      <c r="J149" s="3"/>
    </row>
    <row r="150" spans="8:10" x14ac:dyDescent="0.35">
      <c r="H150" s="3"/>
      <c r="I150" s="3"/>
      <c r="J150" s="3"/>
    </row>
    <row r="151" spans="8:10" x14ac:dyDescent="0.35">
      <c r="H151" s="3"/>
      <c r="I151" s="3"/>
      <c r="J151" s="3"/>
    </row>
    <row r="152" spans="8:10" x14ac:dyDescent="0.35">
      <c r="H152" s="3"/>
      <c r="I152" s="3"/>
      <c r="J152" s="3"/>
    </row>
    <row r="153" spans="8:10" x14ac:dyDescent="0.35">
      <c r="H153" s="3"/>
      <c r="I153" s="3"/>
      <c r="J153" s="3"/>
    </row>
    <row r="154" spans="8:10" x14ac:dyDescent="0.35">
      <c r="H154" s="3"/>
      <c r="I154" s="3"/>
      <c r="J154" s="3"/>
    </row>
    <row r="155" spans="8:10" x14ac:dyDescent="0.35">
      <c r="H155" s="3"/>
      <c r="I155" s="3"/>
      <c r="J155" s="3"/>
    </row>
    <row r="156" spans="8:10" x14ac:dyDescent="0.35">
      <c r="H156" s="3"/>
      <c r="I156" s="3"/>
      <c r="J156" s="3"/>
    </row>
    <row r="157" spans="8:10" x14ac:dyDescent="0.35">
      <c r="H157" s="3"/>
      <c r="I157" s="3"/>
      <c r="J157" s="3"/>
    </row>
    <row r="158" spans="8:10" x14ac:dyDescent="0.35">
      <c r="H158" s="3"/>
      <c r="I158" s="3"/>
      <c r="J158" s="3"/>
    </row>
    <row r="159" spans="8:10" x14ac:dyDescent="0.35">
      <c r="H159" s="3"/>
      <c r="I159" s="3"/>
      <c r="J159" s="3"/>
    </row>
    <row r="160" spans="8:10" x14ac:dyDescent="0.35">
      <c r="H160" s="3"/>
      <c r="I160" s="3"/>
      <c r="J160" s="3"/>
    </row>
    <row r="161" spans="8:10" x14ac:dyDescent="0.35">
      <c r="H161" s="3"/>
      <c r="I161" s="3"/>
      <c r="J161" s="3"/>
    </row>
    <row r="162" spans="8:10" x14ac:dyDescent="0.35">
      <c r="H162" s="3"/>
      <c r="I162" s="3"/>
      <c r="J162" s="3"/>
    </row>
    <row r="163" spans="8:10" x14ac:dyDescent="0.35">
      <c r="H163" s="3"/>
      <c r="I163" s="3"/>
      <c r="J163" s="3"/>
    </row>
    <row r="164" spans="8:10" x14ac:dyDescent="0.35">
      <c r="H164" s="3"/>
      <c r="I164" s="3"/>
      <c r="J164" s="3"/>
    </row>
    <row r="165" spans="8:10" x14ac:dyDescent="0.35">
      <c r="H165" s="3"/>
      <c r="I165" s="3"/>
      <c r="J165" s="3"/>
    </row>
    <row r="166" spans="8:10" x14ac:dyDescent="0.35">
      <c r="H166" s="3"/>
      <c r="I166" s="3"/>
      <c r="J166" s="3"/>
    </row>
    <row r="167" spans="8:10" x14ac:dyDescent="0.35">
      <c r="H167" s="3"/>
      <c r="I167" s="3"/>
      <c r="J167" s="3"/>
    </row>
    <row r="168" spans="8:10" x14ac:dyDescent="0.35">
      <c r="H168" s="3"/>
      <c r="I168" s="3"/>
      <c r="J168" s="3"/>
    </row>
    <row r="169" spans="8:10" x14ac:dyDescent="0.35">
      <c r="H169" s="3"/>
      <c r="I169" s="3"/>
      <c r="J169" s="3"/>
    </row>
    <row r="170" spans="8:10" x14ac:dyDescent="0.35">
      <c r="H170" s="3"/>
      <c r="I170" s="3"/>
      <c r="J170" s="3"/>
    </row>
    <row r="171" spans="8:10" x14ac:dyDescent="0.35">
      <c r="H171" s="3"/>
      <c r="I171" s="3"/>
      <c r="J171" s="3"/>
    </row>
    <row r="172" spans="8:10" x14ac:dyDescent="0.35">
      <c r="H172" s="3"/>
      <c r="I172" s="3"/>
      <c r="J172" s="3"/>
    </row>
    <row r="173" spans="8:10" x14ac:dyDescent="0.35">
      <c r="H173" s="3"/>
      <c r="I173" s="3"/>
      <c r="J173" s="3"/>
    </row>
    <row r="174" spans="8:10" x14ac:dyDescent="0.35">
      <c r="H174" s="3"/>
      <c r="I174" s="3"/>
      <c r="J174" s="3"/>
    </row>
    <row r="175" spans="8:10" x14ac:dyDescent="0.35">
      <c r="H175" s="3"/>
      <c r="I175" s="3"/>
      <c r="J175" s="3"/>
    </row>
    <row r="176" spans="8:10" x14ac:dyDescent="0.35">
      <c r="H176" s="3"/>
      <c r="I176" s="3"/>
      <c r="J176" s="3"/>
    </row>
    <row r="177" spans="8:10" x14ac:dyDescent="0.35">
      <c r="H177" s="3"/>
      <c r="I177" s="3"/>
      <c r="J177" s="3"/>
    </row>
    <row r="178" spans="8:10" x14ac:dyDescent="0.35">
      <c r="H178" s="3"/>
      <c r="I178" s="3"/>
      <c r="J178" s="3"/>
    </row>
    <row r="179" spans="8:10" x14ac:dyDescent="0.35">
      <c r="H179" s="3"/>
      <c r="I179" s="3"/>
      <c r="J179" s="3"/>
    </row>
    <row r="180" spans="8:10" x14ac:dyDescent="0.35">
      <c r="H180" s="3"/>
      <c r="I180" s="3"/>
      <c r="J180" s="3"/>
    </row>
    <row r="181" spans="8:10" x14ac:dyDescent="0.35">
      <c r="H181" s="3"/>
      <c r="I181" s="3"/>
      <c r="J181" s="3"/>
    </row>
    <row r="182" spans="8:10" x14ac:dyDescent="0.35">
      <c r="H182" s="3"/>
      <c r="I182" s="3"/>
      <c r="J182" s="3"/>
    </row>
    <row r="183" spans="8:10" x14ac:dyDescent="0.35">
      <c r="H183" s="3"/>
      <c r="I183" s="3"/>
      <c r="J183" s="3"/>
    </row>
    <row r="184" spans="8:10" x14ac:dyDescent="0.35">
      <c r="H184" s="3"/>
      <c r="I184" s="3"/>
      <c r="J184" s="3"/>
    </row>
    <row r="185" spans="8:10" x14ac:dyDescent="0.35">
      <c r="H185" s="3"/>
      <c r="I185" s="3"/>
      <c r="J185" s="3"/>
    </row>
    <row r="186" spans="8:10" x14ac:dyDescent="0.35">
      <c r="H186" s="3"/>
      <c r="I186" s="3"/>
      <c r="J186" s="3"/>
    </row>
    <row r="187" spans="8:10" x14ac:dyDescent="0.35">
      <c r="H187" s="3"/>
      <c r="I187" s="3"/>
      <c r="J187" s="3"/>
    </row>
    <row r="188" spans="8:10" x14ac:dyDescent="0.35">
      <c r="H188" s="3"/>
      <c r="I188" s="3"/>
      <c r="J188" s="3"/>
    </row>
    <row r="189" spans="8:10" x14ac:dyDescent="0.35">
      <c r="H189" s="3"/>
      <c r="I189" s="3"/>
      <c r="J189" s="3"/>
    </row>
    <row r="190" spans="8:10" x14ac:dyDescent="0.35">
      <c r="H190" s="3"/>
      <c r="I190" s="3"/>
      <c r="J190" s="3"/>
    </row>
    <row r="191" spans="8:10" x14ac:dyDescent="0.35">
      <c r="H191" s="3"/>
      <c r="I191" s="3"/>
      <c r="J191" s="3"/>
    </row>
    <row r="192" spans="8:10" x14ac:dyDescent="0.35">
      <c r="H192" s="3"/>
      <c r="I192" s="3"/>
      <c r="J192" s="3"/>
    </row>
    <row r="193" spans="8:10" x14ac:dyDescent="0.35">
      <c r="H193" s="3"/>
      <c r="I193" s="3"/>
      <c r="J193" s="3"/>
    </row>
    <row r="194" spans="8:10" x14ac:dyDescent="0.35">
      <c r="H194" s="3"/>
      <c r="I194" s="3"/>
      <c r="J194" s="3"/>
    </row>
    <row r="195" spans="8:10" x14ac:dyDescent="0.35">
      <c r="H195" s="3"/>
      <c r="I195" s="3"/>
      <c r="J195" s="3"/>
    </row>
    <row r="196" spans="8:10" x14ac:dyDescent="0.35">
      <c r="H196" s="3"/>
      <c r="I196" s="3"/>
      <c r="J196" s="3"/>
    </row>
    <row r="197" spans="8:10" x14ac:dyDescent="0.35">
      <c r="H197" s="3"/>
      <c r="I197" s="3"/>
      <c r="J197" s="3"/>
    </row>
    <row r="198" spans="8:10" x14ac:dyDescent="0.35">
      <c r="H198" s="3"/>
      <c r="I198" s="3"/>
      <c r="J198" s="3"/>
    </row>
    <row r="199" spans="8:10" x14ac:dyDescent="0.35">
      <c r="H199" s="3"/>
      <c r="I199" s="3"/>
      <c r="J199" s="3"/>
    </row>
    <row r="200" spans="8:10" x14ac:dyDescent="0.35">
      <c r="H200" s="3"/>
      <c r="I200" s="3"/>
      <c r="J200" s="3"/>
    </row>
    <row r="201" spans="8:10" x14ac:dyDescent="0.35">
      <c r="H201" s="3"/>
      <c r="I201" s="3"/>
      <c r="J201" s="3"/>
    </row>
    <row r="202" spans="8:10" x14ac:dyDescent="0.35">
      <c r="H202" s="3"/>
      <c r="I202" s="3"/>
      <c r="J202" s="3"/>
    </row>
    <row r="203" spans="8:10" x14ac:dyDescent="0.35">
      <c r="H203" s="3"/>
      <c r="I203" s="3"/>
      <c r="J203" s="3"/>
    </row>
    <row r="204" spans="8:10" x14ac:dyDescent="0.35">
      <c r="H204" s="3"/>
      <c r="I204" s="3"/>
      <c r="J204" s="3"/>
    </row>
    <row r="205" spans="8:10" x14ac:dyDescent="0.35">
      <c r="H205" s="3"/>
      <c r="I205" s="3"/>
      <c r="J205" s="3"/>
    </row>
    <row r="206" spans="8:10" x14ac:dyDescent="0.35">
      <c r="H206" s="3"/>
      <c r="I206" s="3"/>
      <c r="J206" s="3"/>
    </row>
    <row r="207" spans="8:10" x14ac:dyDescent="0.35">
      <c r="H207" s="3"/>
      <c r="I207" s="3"/>
      <c r="J207" s="3"/>
    </row>
    <row r="208" spans="8:10" x14ac:dyDescent="0.35">
      <c r="H208" s="3"/>
      <c r="I208" s="3"/>
      <c r="J208" s="3"/>
    </row>
    <row r="209" spans="8:10" x14ac:dyDescent="0.35">
      <c r="H209" s="3"/>
      <c r="I209" s="3"/>
      <c r="J209" s="3"/>
    </row>
    <row r="210" spans="8:10" x14ac:dyDescent="0.35">
      <c r="H210" s="3"/>
      <c r="I210" s="3"/>
      <c r="J210" s="3"/>
    </row>
    <row r="211" spans="8:10" x14ac:dyDescent="0.35">
      <c r="H211" s="3"/>
      <c r="I211" s="3"/>
      <c r="J211" s="3"/>
    </row>
    <row r="212" spans="8:10" x14ac:dyDescent="0.35">
      <c r="H212" s="3"/>
      <c r="I212" s="3"/>
      <c r="J212" s="3"/>
    </row>
    <row r="213" spans="8:10" x14ac:dyDescent="0.35">
      <c r="H213" s="3"/>
      <c r="I213" s="3"/>
      <c r="J213" s="3"/>
    </row>
    <row r="214" spans="8:10" x14ac:dyDescent="0.35">
      <c r="H214" s="3"/>
      <c r="I214" s="3"/>
      <c r="J214" s="3"/>
    </row>
    <row r="215" spans="8:10" x14ac:dyDescent="0.35">
      <c r="H215" s="3"/>
      <c r="I215" s="3"/>
      <c r="J215" s="3"/>
    </row>
    <row r="216" spans="8:10" x14ac:dyDescent="0.35">
      <c r="H216" s="3"/>
      <c r="I216" s="3"/>
      <c r="J216" s="3"/>
    </row>
    <row r="217" spans="8:10" x14ac:dyDescent="0.35">
      <c r="H217" s="3"/>
      <c r="I217" s="3"/>
      <c r="J217" s="3"/>
    </row>
    <row r="218" spans="8:10" x14ac:dyDescent="0.35">
      <c r="H218" s="3"/>
      <c r="I218" s="3"/>
      <c r="J218" s="3"/>
    </row>
    <row r="219" spans="8:10" x14ac:dyDescent="0.35">
      <c r="H219" s="3"/>
      <c r="I219" s="3"/>
      <c r="J219" s="3"/>
    </row>
    <row r="220" spans="8:10" x14ac:dyDescent="0.35">
      <c r="H220" s="3"/>
      <c r="I220" s="3"/>
      <c r="J220" s="3"/>
    </row>
    <row r="221" spans="8:10" x14ac:dyDescent="0.35">
      <c r="H221" s="3"/>
      <c r="I221" s="3"/>
      <c r="J221" s="3"/>
    </row>
    <row r="222" spans="8:10" x14ac:dyDescent="0.35">
      <c r="H222" s="3"/>
      <c r="I222" s="3"/>
      <c r="J222" s="3"/>
    </row>
    <row r="223" spans="8:10" x14ac:dyDescent="0.35">
      <c r="H223" s="3"/>
      <c r="I223" s="3"/>
      <c r="J223" s="3"/>
    </row>
    <row r="224" spans="8:10" x14ac:dyDescent="0.35">
      <c r="H224" s="3"/>
      <c r="I224" s="3"/>
      <c r="J224" s="3"/>
    </row>
    <row r="225" spans="8:10" x14ac:dyDescent="0.35">
      <c r="H225" s="3"/>
      <c r="I225" s="3"/>
      <c r="J225" s="3"/>
    </row>
    <row r="226" spans="8:10" x14ac:dyDescent="0.35">
      <c r="H226" s="3"/>
      <c r="I226" s="3"/>
      <c r="J226" s="3"/>
    </row>
    <row r="227" spans="8:10" x14ac:dyDescent="0.35">
      <c r="H227" s="3"/>
      <c r="I227" s="3"/>
      <c r="J227" s="3"/>
    </row>
    <row r="228" spans="8:10" x14ac:dyDescent="0.35">
      <c r="H228" s="3"/>
      <c r="I228" s="3"/>
      <c r="J228" s="3"/>
    </row>
    <row r="229" spans="8:10" x14ac:dyDescent="0.35">
      <c r="H229" s="3"/>
      <c r="I229" s="3"/>
      <c r="J229" s="3"/>
    </row>
    <row r="230" spans="8:10" x14ac:dyDescent="0.35">
      <c r="H230" s="3"/>
      <c r="I230" s="3"/>
      <c r="J230" s="3"/>
    </row>
    <row r="231" spans="8:10" x14ac:dyDescent="0.35">
      <c r="H231" s="3"/>
      <c r="I231" s="3"/>
      <c r="J231" s="3"/>
    </row>
    <row r="232" spans="8:10" x14ac:dyDescent="0.35">
      <c r="H232" s="3"/>
      <c r="I232" s="3"/>
      <c r="J232" s="3"/>
    </row>
    <row r="233" spans="8:10" x14ac:dyDescent="0.35">
      <c r="H233" s="3"/>
      <c r="I233" s="3"/>
      <c r="J233" s="3"/>
    </row>
    <row r="234" spans="8:10" x14ac:dyDescent="0.35">
      <c r="H234" s="3"/>
      <c r="I234" s="3"/>
      <c r="J234" s="3"/>
    </row>
    <row r="235" spans="8:10" x14ac:dyDescent="0.35">
      <c r="H235" s="3"/>
      <c r="I235" s="3"/>
      <c r="J235" s="3"/>
    </row>
    <row r="236" spans="8:10" x14ac:dyDescent="0.35">
      <c r="H236" s="3"/>
      <c r="I236" s="3"/>
      <c r="J236" s="3"/>
    </row>
    <row r="237" spans="8:10" x14ac:dyDescent="0.35">
      <c r="H237" s="3"/>
      <c r="I237" s="3"/>
      <c r="J237" s="3"/>
    </row>
    <row r="238" spans="8:10" x14ac:dyDescent="0.35">
      <c r="H238" s="3"/>
      <c r="I238" s="3"/>
      <c r="J238" s="3"/>
    </row>
    <row r="239" spans="8:10" x14ac:dyDescent="0.35">
      <c r="H239" s="3"/>
      <c r="I239" s="3"/>
      <c r="J239" s="3"/>
    </row>
    <row r="240" spans="8:10" x14ac:dyDescent="0.35">
      <c r="H240" s="3"/>
      <c r="I240" s="3"/>
      <c r="J240" s="3"/>
    </row>
    <row r="241" spans="8:10" x14ac:dyDescent="0.35">
      <c r="H241" s="3"/>
      <c r="I241" s="3"/>
      <c r="J241" s="3"/>
    </row>
    <row r="242" spans="8:10" x14ac:dyDescent="0.35">
      <c r="H242" s="3"/>
      <c r="I242" s="3"/>
      <c r="J242" s="3"/>
    </row>
    <row r="243" spans="8:10" x14ac:dyDescent="0.35">
      <c r="H243" s="3"/>
      <c r="I243" s="3"/>
      <c r="J243" s="3"/>
    </row>
    <row r="244" spans="8:10" x14ac:dyDescent="0.35">
      <c r="H244" s="3"/>
      <c r="I244" s="3"/>
      <c r="J244" s="3"/>
    </row>
    <row r="245" spans="8:10" x14ac:dyDescent="0.35">
      <c r="H245" s="3"/>
      <c r="I245" s="3"/>
      <c r="J245" s="3"/>
    </row>
    <row r="246" spans="8:10" x14ac:dyDescent="0.35">
      <c r="H246" s="3"/>
      <c r="I246" s="3"/>
      <c r="J246" s="3"/>
    </row>
    <row r="247" spans="8:10" x14ac:dyDescent="0.35">
      <c r="H247" s="3"/>
      <c r="I247" s="3"/>
      <c r="J247" s="3"/>
    </row>
    <row r="248" spans="8:10" x14ac:dyDescent="0.35">
      <c r="H248" s="3"/>
      <c r="I248" s="3"/>
      <c r="J248" s="3"/>
    </row>
    <row r="249" spans="8:10" x14ac:dyDescent="0.35">
      <c r="H249" s="3"/>
      <c r="I249" s="3"/>
      <c r="J249" s="3"/>
    </row>
    <row r="250" spans="8:10" x14ac:dyDescent="0.35">
      <c r="H250" s="3"/>
      <c r="I250" s="3"/>
      <c r="J250" s="3"/>
    </row>
    <row r="251" spans="8:10" x14ac:dyDescent="0.35">
      <c r="H251" s="3"/>
      <c r="I251" s="3"/>
      <c r="J251" s="3"/>
    </row>
    <row r="252" spans="8:10" x14ac:dyDescent="0.35">
      <c r="H252" s="3"/>
      <c r="I252" s="3"/>
      <c r="J252" s="3"/>
    </row>
    <row r="253" spans="8:10" x14ac:dyDescent="0.35">
      <c r="H253" s="3"/>
      <c r="I253" s="3"/>
      <c r="J253" s="3"/>
    </row>
    <row r="254" spans="8:10" x14ac:dyDescent="0.35">
      <c r="H254" s="3"/>
      <c r="I254" s="3"/>
      <c r="J254" s="3"/>
    </row>
    <row r="255" spans="8:10" x14ac:dyDescent="0.35">
      <c r="H255" s="3"/>
      <c r="I255" s="3"/>
      <c r="J255" s="3"/>
    </row>
    <row r="256" spans="8:10" x14ac:dyDescent="0.35">
      <c r="H256" s="3"/>
      <c r="I256" s="3"/>
      <c r="J256" s="3"/>
    </row>
    <row r="257" spans="8:10" x14ac:dyDescent="0.35">
      <c r="H257" s="3"/>
      <c r="I257" s="3"/>
      <c r="J257" s="3"/>
    </row>
    <row r="258" spans="8:10" x14ac:dyDescent="0.35">
      <c r="H258" s="3"/>
      <c r="I258" s="3"/>
      <c r="J258" s="3"/>
    </row>
    <row r="259" spans="8:10" x14ac:dyDescent="0.35">
      <c r="H259" s="3"/>
      <c r="I259" s="3"/>
      <c r="J259" s="3"/>
    </row>
    <row r="260" spans="8:10" x14ac:dyDescent="0.35">
      <c r="H260" s="3"/>
      <c r="I260" s="3"/>
      <c r="J260" s="3"/>
    </row>
    <row r="261" spans="8:10" x14ac:dyDescent="0.35">
      <c r="H261" s="3"/>
      <c r="I261" s="3"/>
      <c r="J261" s="3"/>
    </row>
    <row r="262" spans="8:10" x14ac:dyDescent="0.35">
      <c r="H262" s="3"/>
      <c r="I262" s="3"/>
      <c r="J262" s="3"/>
    </row>
    <row r="263" spans="8:10" x14ac:dyDescent="0.35">
      <c r="H263" s="3"/>
      <c r="I263" s="3"/>
      <c r="J263" s="3"/>
    </row>
    <row r="264" spans="8:10" x14ac:dyDescent="0.35">
      <c r="H264" s="3"/>
      <c r="I264" s="3"/>
      <c r="J264" s="3"/>
    </row>
    <row r="265" spans="8:10" x14ac:dyDescent="0.35">
      <c r="H265" s="3"/>
      <c r="I265" s="3"/>
      <c r="J265" s="3"/>
    </row>
    <row r="266" spans="8:10" x14ac:dyDescent="0.35">
      <c r="H266" s="3"/>
      <c r="I266" s="3"/>
      <c r="J266" s="3"/>
    </row>
    <row r="267" spans="8:10" x14ac:dyDescent="0.35">
      <c r="H267" s="3"/>
      <c r="I267" s="3"/>
      <c r="J267" s="3"/>
    </row>
    <row r="268" spans="8:10" x14ac:dyDescent="0.35">
      <c r="H268" s="3"/>
      <c r="I268" s="3"/>
      <c r="J268" s="3"/>
    </row>
    <row r="269" spans="8:10" x14ac:dyDescent="0.35">
      <c r="H269" s="3"/>
      <c r="I269" s="3"/>
      <c r="J269" s="3"/>
    </row>
    <row r="270" spans="8:10" x14ac:dyDescent="0.35">
      <c r="H270" s="3"/>
      <c r="I270" s="3"/>
      <c r="J270" s="3"/>
    </row>
    <row r="271" spans="8:10" x14ac:dyDescent="0.35">
      <c r="H271" s="3"/>
      <c r="I271" s="3"/>
      <c r="J271" s="3"/>
    </row>
    <row r="272" spans="8:10" x14ac:dyDescent="0.35">
      <c r="H272" s="3"/>
      <c r="I272" s="3"/>
      <c r="J272" s="3"/>
    </row>
    <row r="273" spans="8:10" x14ac:dyDescent="0.35">
      <c r="H273" s="3"/>
      <c r="I273" s="3"/>
      <c r="J273" s="3"/>
    </row>
    <row r="274" spans="8:10" x14ac:dyDescent="0.35">
      <c r="H274" s="3"/>
      <c r="I274" s="3"/>
      <c r="J274" s="3"/>
    </row>
    <row r="275" spans="8:10" x14ac:dyDescent="0.35">
      <c r="H275" s="3"/>
      <c r="I275" s="3"/>
      <c r="J275" s="3"/>
    </row>
    <row r="276" spans="8:10" x14ac:dyDescent="0.35">
      <c r="H276" s="3"/>
      <c r="I276" s="3"/>
      <c r="J276" s="3"/>
    </row>
    <row r="277" spans="8:10" x14ac:dyDescent="0.35">
      <c r="H277" s="3"/>
      <c r="I277" s="3"/>
      <c r="J277" s="3"/>
    </row>
    <row r="278" spans="8:10" x14ac:dyDescent="0.35">
      <c r="H278" s="3"/>
      <c r="I278" s="3"/>
      <c r="J278" s="3"/>
    </row>
    <row r="279" spans="8:10" x14ac:dyDescent="0.35">
      <c r="H279" s="3"/>
      <c r="I279" s="3"/>
      <c r="J279" s="3"/>
    </row>
    <row r="280" spans="8:10" x14ac:dyDescent="0.35">
      <c r="H280" s="3"/>
      <c r="I280" s="3"/>
      <c r="J280" s="3"/>
    </row>
    <row r="281" spans="8:10" x14ac:dyDescent="0.35">
      <c r="H281" s="3"/>
      <c r="I281" s="3"/>
      <c r="J281" s="3"/>
    </row>
    <row r="282" spans="8:10" x14ac:dyDescent="0.35">
      <c r="H282" s="3"/>
      <c r="I282" s="3"/>
      <c r="J282" s="3"/>
    </row>
    <row r="283" spans="8:10" x14ac:dyDescent="0.35">
      <c r="H283" s="3"/>
      <c r="I283" s="3"/>
      <c r="J283" s="3"/>
    </row>
    <row r="284" spans="8:10" x14ac:dyDescent="0.35">
      <c r="H284" s="3"/>
      <c r="I284" s="3"/>
      <c r="J284" s="3"/>
    </row>
    <row r="285" spans="8:10" x14ac:dyDescent="0.35">
      <c r="H285" s="3"/>
      <c r="I285" s="3"/>
      <c r="J285" s="3"/>
    </row>
    <row r="286" spans="8:10" x14ac:dyDescent="0.35">
      <c r="H286" s="3"/>
      <c r="I286" s="3"/>
      <c r="J286" s="3"/>
    </row>
    <row r="287" spans="8:10" x14ac:dyDescent="0.35">
      <c r="H287" s="3"/>
      <c r="I287" s="3"/>
      <c r="J287" s="3"/>
    </row>
    <row r="288" spans="8:10" x14ac:dyDescent="0.35">
      <c r="H288" s="3"/>
      <c r="I288" s="3"/>
      <c r="J288" s="3"/>
    </row>
    <row r="289" spans="8:10" x14ac:dyDescent="0.35">
      <c r="H289" s="3"/>
      <c r="I289" s="3"/>
      <c r="J289" s="3"/>
    </row>
    <row r="290" spans="8:10" x14ac:dyDescent="0.35">
      <c r="H290" s="3"/>
      <c r="I290" s="3"/>
      <c r="J290" s="3"/>
    </row>
    <row r="291" spans="8:10" x14ac:dyDescent="0.35">
      <c r="H291" s="3"/>
      <c r="I291" s="3"/>
      <c r="J291" s="3"/>
    </row>
    <row r="292" spans="8:10" x14ac:dyDescent="0.35">
      <c r="H292" s="3"/>
      <c r="I292" s="3"/>
      <c r="J292" s="3"/>
    </row>
    <row r="293" spans="8:10" x14ac:dyDescent="0.35">
      <c r="H293" s="3"/>
      <c r="I293" s="3"/>
      <c r="J293" s="3"/>
    </row>
    <row r="294" spans="8:10" x14ac:dyDescent="0.35">
      <c r="H294" s="3"/>
      <c r="I294" s="3"/>
      <c r="J294" s="3"/>
    </row>
    <row r="295" spans="8:10" x14ac:dyDescent="0.35">
      <c r="H295" s="3"/>
      <c r="I295" s="3"/>
      <c r="J295" s="3"/>
    </row>
    <row r="296" spans="8:10" x14ac:dyDescent="0.35">
      <c r="H296" s="3"/>
      <c r="I296" s="3"/>
      <c r="J296" s="3"/>
    </row>
    <row r="297" spans="8:10" x14ac:dyDescent="0.35">
      <c r="H297" s="3"/>
      <c r="I297" s="3"/>
      <c r="J297" s="3"/>
    </row>
    <row r="298" spans="8:10" x14ac:dyDescent="0.35">
      <c r="H298" s="3"/>
      <c r="I298" s="3"/>
      <c r="J298" s="3"/>
    </row>
    <row r="299" spans="8:10" x14ac:dyDescent="0.35">
      <c r="H299" s="3"/>
      <c r="I299" s="3"/>
      <c r="J299" s="3"/>
    </row>
    <row r="300" spans="8:10" x14ac:dyDescent="0.35">
      <c r="H300" s="3"/>
      <c r="I300" s="3"/>
      <c r="J300" s="3"/>
    </row>
    <row r="301" spans="8:10" x14ac:dyDescent="0.35">
      <c r="H301" s="3"/>
      <c r="I301" s="3"/>
      <c r="J301" s="3"/>
    </row>
    <row r="302" spans="8:10" x14ac:dyDescent="0.35">
      <c r="H302" s="3"/>
      <c r="I302" s="3"/>
      <c r="J302" s="3"/>
    </row>
    <row r="303" spans="8:10" x14ac:dyDescent="0.35">
      <c r="H303" s="3"/>
      <c r="I303" s="3"/>
      <c r="J303" s="3"/>
    </row>
    <row r="304" spans="8:10" x14ac:dyDescent="0.35">
      <c r="H304" s="3"/>
      <c r="I304" s="3"/>
      <c r="J304" s="3"/>
    </row>
    <row r="305" spans="8:10" x14ac:dyDescent="0.35">
      <c r="H305" s="3"/>
      <c r="I305" s="3"/>
      <c r="J305" s="3"/>
    </row>
    <row r="306" spans="8:10" x14ac:dyDescent="0.35">
      <c r="H306" s="3"/>
      <c r="I306" s="3"/>
      <c r="J306" s="3"/>
    </row>
    <row r="307" spans="8:10" x14ac:dyDescent="0.35">
      <c r="H307" s="3"/>
      <c r="I307" s="3"/>
      <c r="J307" s="3"/>
    </row>
    <row r="308" spans="8:10" x14ac:dyDescent="0.35">
      <c r="H308" s="3"/>
      <c r="I308" s="3"/>
      <c r="J308" s="3"/>
    </row>
    <row r="309" spans="8:10" x14ac:dyDescent="0.35">
      <c r="H309" s="3"/>
      <c r="I309" s="3"/>
      <c r="J309" s="3"/>
    </row>
    <row r="310" spans="8:10" x14ac:dyDescent="0.35">
      <c r="H310" s="3"/>
      <c r="I310" s="3"/>
      <c r="J310" s="3"/>
    </row>
    <row r="311" spans="8:10" x14ac:dyDescent="0.35">
      <c r="H311" s="3"/>
      <c r="I311" s="3"/>
      <c r="J311" s="3"/>
    </row>
    <row r="312" spans="8:10" x14ac:dyDescent="0.35">
      <c r="H312" s="3"/>
      <c r="I312" s="3"/>
      <c r="J312" s="3"/>
    </row>
    <row r="313" spans="8:10" x14ac:dyDescent="0.35">
      <c r="H313" s="3"/>
      <c r="I313" s="3"/>
      <c r="J313" s="3"/>
    </row>
    <row r="314" spans="8:10" x14ac:dyDescent="0.35">
      <c r="H314" s="3"/>
      <c r="I314" s="3"/>
      <c r="J314" s="3"/>
    </row>
    <row r="315" spans="8:10" x14ac:dyDescent="0.35">
      <c r="H315" s="3"/>
      <c r="I315" s="3"/>
      <c r="J315" s="3"/>
    </row>
    <row r="316" spans="8:10" x14ac:dyDescent="0.35">
      <c r="H316" s="3"/>
      <c r="I316" s="3"/>
      <c r="J316" s="3"/>
    </row>
    <row r="317" spans="8:10" x14ac:dyDescent="0.35">
      <c r="H317" s="3"/>
      <c r="I317" s="3"/>
      <c r="J317" s="3"/>
    </row>
    <row r="318" spans="8:10" x14ac:dyDescent="0.35">
      <c r="H318" s="3"/>
      <c r="I318" s="3"/>
      <c r="J318" s="3"/>
    </row>
    <row r="319" spans="8:10" x14ac:dyDescent="0.35">
      <c r="H319" s="3"/>
      <c r="I319" s="3"/>
      <c r="J319" s="3"/>
    </row>
    <row r="320" spans="8:10" x14ac:dyDescent="0.35">
      <c r="H320" s="3"/>
      <c r="I320" s="3"/>
      <c r="J320" s="3"/>
    </row>
    <row r="321" spans="8:10" x14ac:dyDescent="0.35">
      <c r="H321" s="3"/>
      <c r="I321" s="3"/>
      <c r="J321" s="3"/>
    </row>
    <row r="322" spans="8:10" x14ac:dyDescent="0.35">
      <c r="H322" s="3"/>
      <c r="I322" s="3"/>
      <c r="J322" s="3"/>
    </row>
    <row r="323" spans="8:10" x14ac:dyDescent="0.35">
      <c r="H323" s="3"/>
      <c r="I323" s="3"/>
      <c r="J3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Gazzano, Pierre</dc:creator>
  <cp:lastModifiedBy>Gazzano, Pierre</cp:lastModifiedBy>
  <dcterms:created xsi:type="dcterms:W3CDTF">2015-06-05T18:17:20Z</dcterms:created>
  <dcterms:modified xsi:type="dcterms:W3CDTF">2026-10-15T15:40:18Z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
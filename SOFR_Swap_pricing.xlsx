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7018" documentId="8_{5BC9BF22-D5E1-40C8-8EF5-84AC04A4E172}" xr6:coauthVersionLast="47" xr6:coauthVersionMax="47" xr10:uidLastSave="{326638A8-D3C8-4BA1-8FFF-002A4FB8D32D}"/>
  <bookViews>
    <workbookView xWindow="3840" yWindow="2445" windowWidth="56760" windowHeight="14190" xr2:uid="{67299944-7FF9-49B4-A72F-BD4B4EE2DA64}"/>
  </bookViews>
  <sheets>
    <sheet name="SOFRUSD" sheetId="1" r:id="rId1"/>
  </sheets>
  <definedNames>
    <definedName name="LaggedEOM">SOFRUSD!#REF!</definedName>
    <definedName name="LaggedEOMuk">#REF!</definedName>
    <definedName name="spotDate">SOFRUSD!#REF!</definedName>
    <definedName name="strippingDate">SOFRUSD!#REF!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 a="1"/>
  <c r="M35" i="1"/>
  <c r="M30" i="1" a="1"/>
  <c r="M30" i="1"/>
  <c r="M31" i="1" a="1"/>
  <c r="M31" i="1"/>
  <c r="M32" i="1" a="1"/>
  <c r="M32" i="1"/>
  <c r="M33" i="1" a="1"/>
  <c r="M33" i="1"/>
  <c r="M34" i="1" a="1"/>
  <c r="M34" i="1"/>
  <c r="M27" i="1" a="1"/>
  <c r="M27" i="1"/>
  <c r="M28" i="1" a="1"/>
  <c r="M28" i="1"/>
  <c r="M29" i="1" a="1"/>
  <c r="M29" i="1"/>
  <c r="A1" i="1" a="1"/>
  <c r="A1" i="1"/>
  <c r="B5" i="1" l="1" a="1"/>
  <c r="V12" i="1" l="1" a="1"/>
  <c r="V12" i="1" s="1"/>
  <c r="P11" i="1" a="1"/>
  <c r="P11" i="1" s="1"/>
  <c r="Y6" i="1" a="1"/>
  <c r="Y6" i="1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T8" i="1" a="1"/>
  <c r="T8" i="1" s="1"/>
  <c r="T20" i="1" a="1"/>
  <c r="T20" i="1" s="1"/>
  <c r="T6" i="1" a="1"/>
  <c r="T6" i="1" s="1"/>
  <c r="T7" i="1" a="1"/>
  <c r="T7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AK5" i="1" a="1"/>
  <c r="AK5" i="1" s="1"/>
  <c r="AM5" i="1" a="1"/>
  <c r="AM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L7" i="1" a="1"/>
  <c r="L7" i="1" s="1"/>
  <c r="L6" i="1" a="1"/>
  <c r="L6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I20" i="1" a="1"/>
  <c r="I20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O35" i="1" a="1"/>
  <c r="O35" i="1" s="1"/>
  <c r="D35" i="1" a="1"/>
  <c r="D35" i="1" s="1"/>
  <c r="G35" i="1" a="1"/>
  <c r="G35" i="1" s="1"/>
  <c r="F35" i="1" a="1"/>
  <c r="F35" i="1" s="1"/>
  <c r="J35" i="1" a="1"/>
  <c r="J35" i="1" s="1"/>
  <c r="Z35" i="1" a="1"/>
  <c r="Z35" i="1" s="1"/>
  <c r="AA35" i="1" a="1"/>
  <c r="AA35" i="1" s="1"/>
  <c r="AB35" i="1" a="1"/>
  <c r="AB35" i="1" s="1"/>
  <c r="AC35" i="1" a="1"/>
  <c r="AC35" i="1" s="1"/>
  <c r="AD35" i="1" a="1"/>
  <c r="AD35" i="1" s="1"/>
  <c r="AE35" i="1" a="1"/>
  <c r="AE35" i="1" s="1"/>
  <c r="N35" i="1" a="1"/>
  <c r="N35" i="1" s="1"/>
  <c r="E35" i="1" a="1"/>
  <c r="E35" i="1" s="1"/>
  <c r="AG35" i="1" a="1"/>
  <c r="AG35" i="1" s="1"/>
  <c r="AH35" i="1" a="1"/>
  <c r="AH35" i="1" s="1"/>
  <c r="X35" i="1" a="1"/>
  <c r="X35" i="1" s="1"/>
  <c r="AI35" i="1" a="1"/>
  <c r="AI35" i="1" s="1"/>
  <c r="O30" i="1" a="1"/>
  <c r="O30" i="1" s="1"/>
  <c r="D30" i="1" a="1"/>
  <c r="D30" i="1" s="1"/>
  <c r="G30" i="1" a="1"/>
  <c r="G30" i="1" s="1"/>
  <c r="F30" i="1" a="1"/>
  <c r="F30" i="1" s="1"/>
  <c r="J30" i="1" a="1"/>
  <c r="J30" i="1" s="1"/>
  <c r="Z30" i="1" a="1"/>
  <c r="Z30" i="1" s="1"/>
  <c r="AA30" i="1" a="1"/>
  <c r="AA30" i="1" s="1"/>
  <c r="AB30" i="1" a="1"/>
  <c r="AB30" i="1" s="1"/>
  <c r="AC30" i="1" a="1"/>
  <c r="AC30" i="1" s="1"/>
  <c r="AD30" i="1" a="1"/>
  <c r="AD30" i="1" s="1"/>
  <c r="AE30" i="1" a="1"/>
  <c r="AE30" i="1" s="1"/>
  <c r="N30" i="1" a="1"/>
  <c r="N30" i="1" s="1"/>
  <c r="E30" i="1" a="1"/>
  <c r="E30" i="1" s="1"/>
  <c r="AG30" i="1" a="1"/>
  <c r="AG30" i="1" s="1"/>
  <c r="AH30" i="1" a="1"/>
  <c r="AH30" i="1" s="1"/>
  <c r="X30" i="1" a="1"/>
  <c r="X30" i="1" s="1"/>
  <c r="AI30" i="1" a="1"/>
  <c r="AI30" i="1" s="1"/>
  <c r="O31" i="1" a="1"/>
  <c r="O31" i="1" s="1"/>
  <c r="D31" i="1" a="1"/>
  <c r="D31" i="1" s="1"/>
  <c r="G31" i="1" a="1"/>
  <c r="G31" i="1" s="1"/>
  <c r="F31" i="1" a="1"/>
  <c r="F31" i="1" s="1"/>
  <c r="J31" i="1" a="1"/>
  <c r="J31" i="1" s="1"/>
  <c r="Z31" i="1" a="1"/>
  <c r="Z31" i="1" s="1"/>
  <c r="AA31" i="1" a="1"/>
  <c r="AA31" i="1" s="1"/>
  <c r="AB31" i="1" a="1"/>
  <c r="AB31" i="1" s="1"/>
  <c r="AC31" i="1" a="1"/>
  <c r="AC31" i="1" s="1"/>
  <c r="AD31" i="1" a="1"/>
  <c r="AD31" i="1" s="1"/>
  <c r="AE31" i="1" a="1"/>
  <c r="AE31" i="1" s="1"/>
  <c r="N31" i="1" a="1"/>
  <c r="N31" i="1" s="1"/>
  <c r="E31" i="1" a="1"/>
  <c r="E31" i="1" s="1"/>
  <c r="AG31" i="1" a="1"/>
  <c r="AG31" i="1" s="1"/>
  <c r="AH31" i="1" a="1"/>
  <c r="AH31" i="1" s="1"/>
  <c r="X31" i="1" a="1"/>
  <c r="X31" i="1" s="1"/>
  <c r="AI31" i="1" a="1"/>
  <c r="AI31" i="1" s="1"/>
  <c r="O32" i="1" a="1"/>
  <c r="O32" i="1" s="1"/>
  <c r="D32" i="1" a="1"/>
  <c r="D32" i="1" s="1"/>
  <c r="G32" i="1" a="1"/>
  <c r="G32" i="1" s="1"/>
  <c r="F32" i="1" a="1"/>
  <c r="F32" i="1" s="1"/>
  <c r="J32" i="1" a="1"/>
  <c r="J32" i="1" s="1"/>
  <c r="Z32" i="1" a="1"/>
  <c r="Z32" i="1" s="1"/>
  <c r="AA32" i="1" a="1"/>
  <c r="AA32" i="1" s="1"/>
  <c r="AB32" i="1" a="1"/>
  <c r="AB32" i="1" s="1"/>
  <c r="AC32" i="1" a="1"/>
  <c r="AC32" i="1" s="1"/>
  <c r="AD32" i="1" a="1"/>
  <c r="AD32" i="1" s="1"/>
  <c r="AE32" i="1" a="1"/>
  <c r="AE32" i="1" s="1"/>
  <c r="N32" i="1" a="1"/>
  <c r="N32" i="1" s="1"/>
  <c r="E32" i="1" a="1"/>
  <c r="E32" i="1" s="1"/>
  <c r="AG32" i="1" a="1"/>
  <c r="AG32" i="1" s="1"/>
  <c r="AH32" i="1" a="1"/>
  <c r="AH32" i="1" s="1"/>
  <c r="X32" i="1" a="1"/>
  <c r="X32" i="1" s="1"/>
  <c r="AI32" i="1" a="1"/>
  <c r="AI32" i="1" s="1"/>
  <c r="O33" i="1" a="1"/>
  <c r="O33" i="1" s="1"/>
  <c r="D33" i="1" a="1"/>
  <c r="D33" i="1" s="1"/>
  <c r="G33" i="1" a="1"/>
  <c r="G33" i="1" s="1"/>
  <c r="F33" i="1" a="1"/>
  <c r="F33" i="1" s="1"/>
  <c r="J33" i="1" a="1"/>
  <c r="J33" i="1" s="1"/>
  <c r="Z33" i="1" a="1"/>
  <c r="Z33" i="1" s="1"/>
  <c r="AA33" i="1" a="1"/>
  <c r="AA33" i="1" s="1"/>
  <c r="AB33" i="1" a="1"/>
  <c r="AB33" i="1" s="1"/>
  <c r="AC33" i="1" a="1"/>
  <c r="AC33" i="1" s="1"/>
  <c r="AD33" i="1" a="1"/>
  <c r="AD33" i="1" s="1"/>
  <c r="AE33" i="1" a="1"/>
  <c r="AE33" i="1" s="1"/>
  <c r="N33" i="1" a="1"/>
  <c r="N33" i="1" s="1"/>
  <c r="E33" i="1" a="1"/>
  <c r="E33" i="1" s="1"/>
  <c r="AG33" i="1" a="1"/>
  <c r="AG33" i="1" s="1"/>
  <c r="AH33" i="1" a="1"/>
  <c r="AH33" i="1" s="1"/>
  <c r="X33" i="1" a="1"/>
  <c r="X33" i="1" s="1"/>
  <c r="AI33" i="1" a="1"/>
  <c r="AI33" i="1" s="1"/>
  <c r="O34" i="1" a="1"/>
  <c r="O34" i="1" s="1"/>
  <c r="D34" i="1" a="1"/>
  <c r="D34" i="1" s="1"/>
  <c r="G34" i="1" a="1"/>
  <c r="G34" i="1" s="1"/>
  <c r="F34" i="1" a="1"/>
  <c r="F34" i="1" s="1"/>
  <c r="J34" i="1" a="1"/>
  <c r="J34" i="1" s="1"/>
  <c r="Z34" i="1" a="1"/>
  <c r="Z34" i="1" s="1"/>
  <c r="AA34" i="1" a="1"/>
  <c r="AA34" i="1" s="1"/>
  <c r="AB34" i="1" a="1"/>
  <c r="AB34" i="1" s="1"/>
  <c r="AC34" i="1" a="1"/>
  <c r="AC34" i="1" s="1"/>
  <c r="AD34" i="1" a="1"/>
  <c r="AD34" i="1" s="1"/>
  <c r="AE34" i="1" a="1"/>
  <c r="AE34" i="1" s="1"/>
  <c r="N34" i="1" a="1"/>
  <c r="N34" i="1" s="1"/>
  <c r="E34" i="1" a="1"/>
  <c r="E34" i="1" s="1"/>
  <c r="AG34" i="1" a="1"/>
  <c r="AG34" i="1" s="1"/>
  <c r="AH34" i="1" a="1"/>
  <c r="AH34" i="1" s="1"/>
  <c r="X34" i="1" a="1"/>
  <c r="X34" i="1" s="1"/>
  <c r="AI34" i="1" a="1"/>
  <c r="AI34" i="1" s="1"/>
  <c r="AI6" i="1" a="1"/>
  <c r="AI6" i="1" s="1"/>
  <c r="AI7" i="1" a="1"/>
  <c r="AI7" i="1" s="1"/>
  <c r="AI8" i="1" a="1"/>
  <c r="AI8" i="1" s="1"/>
  <c r="AI9" i="1" a="1"/>
  <c r="AI9" i="1" s="1"/>
  <c r="AI10" i="1" a="1"/>
  <c r="AI10" i="1" s="1"/>
  <c r="AI11" i="1" a="1"/>
  <c r="AI11" i="1" s="1"/>
  <c r="AI12" i="1" a="1"/>
  <c r="AI12" i="1" s="1"/>
  <c r="AI13" i="1" a="1"/>
  <c r="AI13" i="1" s="1"/>
  <c r="AI14" i="1" a="1"/>
  <c r="AI14" i="1" s="1"/>
  <c r="AI15" i="1" a="1"/>
  <c r="AI15" i="1" s="1"/>
  <c r="AI16" i="1" a="1"/>
  <c r="AI16" i="1" s="1"/>
  <c r="AI17" i="1" a="1"/>
  <c r="AI17" i="1" s="1"/>
  <c r="AI18" i="1" a="1"/>
  <c r="AI18" i="1" s="1"/>
  <c r="AI19" i="1" a="1"/>
  <c r="AI19" i="1" s="1"/>
  <c r="AI20" i="1" a="1"/>
  <c r="AI20" i="1" s="1"/>
  <c r="AI21" i="1" a="1"/>
  <c r="AI21" i="1" s="1"/>
  <c r="AI22" i="1" a="1"/>
  <c r="AI22" i="1" s="1"/>
  <c r="AI23" i="1" a="1"/>
  <c r="AI23" i="1" s="1"/>
  <c r="AI24" i="1" a="1"/>
  <c r="AI24" i="1" s="1"/>
  <c r="AI25" i="1" a="1"/>
  <c r="AI25" i="1" s="1"/>
  <c r="AI26" i="1" a="1"/>
  <c r="AI26" i="1" s="1"/>
  <c r="AI27" i="1" a="1"/>
  <c r="AI27" i="1" s="1"/>
  <c r="AI28" i="1" a="1"/>
  <c r="AI28" i="1" s="1"/>
  <c r="AI29" i="1" a="1"/>
  <c r="AI29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AE22" i="1" a="1"/>
  <c r="AE22" i="1" s="1"/>
  <c r="E23" i="1" a="1"/>
  <c r="E23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AD24" i="1" a="1"/>
  <c r="AD24" i="1" s="1"/>
  <c r="O6" i="1" a="1"/>
  <c r="O6" i="1" s="1"/>
  <c r="D6" i="1" a="1"/>
  <c r="D6" i="1" s="1"/>
  <c r="G6" i="1" a="1"/>
  <c r="G6" i="1" s="1"/>
  <c r="F6" i="1" a="1"/>
  <c r="F6" i="1" s="1"/>
  <c r="J6" i="1" a="1"/>
  <c r="J6" i="1" s="1"/>
  <c r="Z6" i="1" a="1"/>
  <c r="Z6" i="1" s="1"/>
  <c r="AA6" i="1" a="1"/>
  <c r="AA6" i="1" s="1"/>
  <c r="AB6" i="1" a="1"/>
  <c r="AB6" i="1" s="1"/>
  <c r="AC6" i="1" a="1"/>
  <c r="AC6" i="1" s="1"/>
  <c r="AD6" i="1" a="1"/>
  <c r="AD6" i="1" s="1"/>
  <c r="AE6" i="1" a="1"/>
  <c r="AE6" i="1" s="1"/>
  <c r="N6" i="1" a="1"/>
  <c r="N6" i="1" s="1"/>
  <c r="E6" i="1" a="1"/>
  <c r="E6" i="1" s="1"/>
  <c r="AG6" i="1" a="1"/>
  <c r="AG6" i="1" s="1"/>
  <c r="AH6" i="1" a="1"/>
  <c r="AH6" i="1" s="1"/>
  <c r="O7" i="1" a="1"/>
  <c r="O7" i="1" s="1"/>
  <c r="D7" i="1" a="1"/>
  <c r="D7" i="1" s="1"/>
  <c r="G7" i="1" a="1"/>
  <c r="G7" i="1" s="1"/>
  <c r="F7" i="1" a="1"/>
  <c r="F7" i="1" s="1"/>
  <c r="J7" i="1" a="1"/>
  <c r="J7" i="1" s="1"/>
  <c r="Z7" i="1" a="1"/>
  <c r="Z7" i="1" s="1"/>
  <c r="AA7" i="1" a="1"/>
  <c r="AA7" i="1" s="1"/>
  <c r="AB7" i="1" a="1"/>
  <c r="AB7" i="1" s="1"/>
  <c r="AC7" i="1" a="1"/>
  <c r="AC7" i="1" s="1"/>
  <c r="AD7" i="1" a="1"/>
  <c r="AD7" i="1" s="1"/>
  <c r="AE7" i="1" a="1"/>
  <c r="AE7" i="1" s="1"/>
  <c r="N7" i="1" a="1"/>
  <c r="N7" i="1" s="1"/>
  <c r="E7" i="1" a="1"/>
  <c r="E7" i="1" s="1"/>
  <c r="AG7" i="1" a="1"/>
  <c r="AG7" i="1" s="1"/>
  <c r="AH7" i="1" a="1"/>
  <c r="AH7" i="1" s="1"/>
  <c r="O8" i="1" a="1"/>
  <c r="O8" i="1" s="1"/>
  <c r="D8" i="1" a="1"/>
  <c r="D8" i="1" s="1"/>
  <c r="G8" i="1" a="1"/>
  <c r="G8" i="1" s="1"/>
  <c r="F8" i="1" a="1"/>
  <c r="F8" i="1" s="1"/>
  <c r="J8" i="1" a="1"/>
  <c r="J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N8" i="1" a="1"/>
  <c r="N8" i="1" s="1"/>
  <c r="E8" i="1" a="1"/>
  <c r="E8" i="1" s="1"/>
  <c r="AG8" i="1" a="1"/>
  <c r="AG8" i="1" s="1"/>
  <c r="AH8" i="1" a="1"/>
  <c r="AH8" i="1" s="1"/>
  <c r="O9" i="1" a="1"/>
  <c r="O9" i="1" s="1"/>
  <c r="D9" i="1" a="1"/>
  <c r="D9" i="1" s="1"/>
  <c r="G9" i="1" a="1"/>
  <c r="G9" i="1" s="1"/>
  <c r="F9" i="1" a="1"/>
  <c r="F9" i="1" s="1"/>
  <c r="J9" i="1" a="1"/>
  <c r="J9" i="1" s="1"/>
  <c r="Z9" i="1" a="1"/>
  <c r="Z9" i="1" s="1"/>
  <c r="AA9" i="1" a="1"/>
  <c r="AA9" i="1" s="1"/>
  <c r="AB9" i="1" a="1"/>
  <c r="AB9" i="1" s="1"/>
  <c r="AC9" i="1" a="1"/>
  <c r="AC9" i="1" s="1"/>
  <c r="AD9" i="1" a="1"/>
  <c r="AD9" i="1" s="1"/>
  <c r="AE9" i="1" a="1"/>
  <c r="AE9" i="1" s="1"/>
  <c r="N9" i="1" a="1"/>
  <c r="N9" i="1" s="1"/>
  <c r="E9" i="1" a="1"/>
  <c r="E9" i="1" s="1"/>
  <c r="AG9" i="1" a="1"/>
  <c r="AG9" i="1" s="1"/>
  <c r="AH9" i="1" a="1"/>
  <c r="AH9" i="1" s="1"/>
  <c r="O10" i="1" a="1"/>
  <c r="O10" i="1" s="1"/>
  <c r="D10" i="1" a="1"/>
  <c r="D10" i="1" s="1"/>
  <c r="G10" i="1" a="1"/>
  <c r="G10" i="1" s="1"/>
  <c r="F10" i="1" a="1"/>
  <c r="F10" i="1" s="1"/>
  <c r="J10" i="1" a="1"/>
  <c r="J10" i="1" s="1"/>
  <c r="Z10" i="1" a="1"/>
  <c r="Z10" i="1" s="1"/>
  <c r="AA10" i="1" a="1"/>
  <c r="AA10" i="1" s="1"/>
  <c r="AB10" i="1" a="1"/>
  <c r="AB10" i="1" s="1"/>
  <c r="AC10" i="1" a="1"/>
  <c r="AC10" i="1" s="1"/>
  <c r="AD10" i="1" a="1"/>
  <c r="AD10" i="1" s="1"/>
  <c r="AE10" i="1" a="1"/>
  <c r="AE10" i="1" s="1"/>
  <c r="N10" i="1" a="1"/>
  <c r="N10" i="1" s="1"/>
  <c r="E10" i="1" a="1"/>
  <c r="E10" i="1" s="1"/>
  <c r="AG10" i="1" a="1"/>
  <c r="AG10" i="1" s="1"/>
  <c r="AH10" i="1" a="1"/>
  <c r="AH10" i="1" s="1"/>
  <c r="O11" i="1" a="1"/>
  <c r="O11" i="1" s="1"/>
  <c r="D11" i="1" a="1"/>
  <c r="D11" i="1" s="1"/>
  <c r="G11" i="1" a="1"/>
  <c r="G11" i="1" s="1"/>
  <c r="F11" i="1" a="1"/>
  <c r="F11" i="1" s="1"/>
  <c r="J11" i="1" a="1"/>
  <c r="J11" i="1" s="1"/>
  <c r="Z11" i="1" a="1"/>
  <c r="Z11" i="1" s="1"/>
  <c r="AA11" i="1" a="1"/>
  <c r="AA11" i="1" s="1"/>
  <c r="AB11" i="1" a="1"/>
  <c r="AB11" i="1" s="1"/>
  <c r="AC11" i="1" a="1"/>
  <c r="AC11" i="1" s="1"/>
  <c r="AD11" i="1" a="1"/>
  <c r="AD11" i="1" s="1"/>
  <c r="AE11" i="1" a="1"/>
  <c r="AE11" i="1" s="1"/>
  <c r="N11" i="1" a="1"/>
  <c r="N11" i="1" s="1"/>
  <c r="E11" i="1" a="1"/>
  <c r="E11" i="1" s="1"/>
  <c r="AG11" i="1" a="1"/>
  <c r="AG11" i="1" s="1"/>
  <c r="AH11" i="1" a="1"/>
  <c r="AH11" i="1" s="1"/>
  <c r="O12" i="1" a="1"/>
  <c r="O12" i="1" s="1"/>
  <c r="D12" i="1" a="1"/>
  <c r="D12" i="1" s="1"/>
  <c r="G12" i="1" a="1"/>
  <c r="G12" i="1" s="1"/>
  <c r="F12" i="1" a="1"/>
  <c r="F12" i="1" s="1"/>
  <c r="J12" i="1" a="1"/>
  <c r="J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N12" i="1" a="1"/>
  <c r="N12" i="1" s="1"/>
  <c r="E12" i="1" a="1"/>
  <c r="E12" i="1" s="1"/>
  <c r="AG12" i="1" a="1"/>
  <c r="AG12" i="1" s="1"/>
  <c r="AH12" i="1" a="1"/>
  <c r="AH12" i="1" s="1"/>
  <c r="O13" i="1" a="1"/>
  <c r="O13" i="1" s="1"/>
  <c r="D13" i="1" a="1"/>
  <c r="D13" i="1" s="1"/>
  <c r="G13" i="1" a="1"/>
  <c r="G13" i="1" s="1"/>
  <c r="F13" i="1" a="1"/>
  <c r="F13" i="1" s="1"/>
  <c r="J13" i="1" a="1"/>
  <c r="J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N13" i="1" a="1"/>
  <c r="N13" i="1" s="1"/>
  <c r="E13" i="1" a="1"/>
  <c r="E13" i="1" s="1"/>
  <c r="AG13" i="1" a="1"/>
  <c r="AG13" i="1" s="1"/>
  <c r="AH13" i="1" a="1"/>
  <c r="AH13" i="1" s="1"/>
  <c r="O14" i="1" a="1"/>
  <c r="O14" i="1" s="1"/>
  <c r="D14" i="1" a="1"/>
  <c r="D14" i="1" s="1"/>
  <c r="G14" i="1" a="1"/>
  <c r="G14" i="1" s="1"/>
  <c r="F14" i="1" a="1"/>
  <c r="F14" i="1" s="1"/>
  <c r="J14" i="1" a="1"/>
  <c r="J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N14" i="1" a="1"/>
  <c r="N14" i="1" s="1"/>
  <c r="E14" i="1" a="1"/>
  <c r="E14" i="1" s="1"/>
  <c r="AG14" i="1" a="1"/>
  <c r="AG14" i="1" s="1"/>
  <c r="AH14" i="1" a="1"/>
  <c r="AH14" i="1" s="1"/>
  <c r="O15" i="1" a="1"/>
  <c r="O15" i="1" s="1"/>
  <c r="D15" i="1" a="1"/>
  <c r="D15" i="1" s="1"/>
  <c r="G15" i="1" a="1"/>
  <c r="G15" i="1" s="1"/>
  <c r="F15" i="1" a="1"/>
  <c r="F15" i="1" s="1"/>
  <c r="J15" i="1" a="1"/>
  <c r="J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N15" i="1" a="1"/>
  <c r="N15" i="1" s="1"/>
  <c r="E15" i="1" a="1"/>
  <c r="E15" i="1" s="1"/>
  <c r="AG15" i="1" a="1"/>
  <c r="AG15" i="1" s="1"/>
  <c r="AH15" i="1" a="1"/>
  <c r="AH15" i="1" s="1"/>
  <c r="O16" i="1" a="1"/>
  <c r="O16" i="1" s="1"/>
  <c r="D16" i="1" a="1"/>
  <c r="D16" i="1" s="1"/>
  <c r="G16" i="1" a="1"/>
  <c r="G16" i="1" s="1"/>
  <c r="F16" i="1" a="1"/>
  <c r="F16" i="1" s="1"/>
  <c r="J16" i="1" a="1"/>
  <c r="J16" i="1" s="1"/>
  <c r="Z16" i="1" a="1"/>
  <c r="Z16" i="1" s="1"/>
  <c r="AA16" i="1" a="1"/>
  <c r="AA16" i="1" s="1"/>
  <c r="AB16" i="1" a="1"/>
  <c r="AB16" i="1" s="1"/>
  <c r="AC16" i="1" a="1"/>
  <c r="AC16" i="1" s="1"/>
  <c r="AD16" i="1" a="1"/>
  <c r="AD16" i="1" s="1"/>
  <c r="AE16" i="1" a="1"/>
  <c r="AE16" i="1" s="1"/>
  <c r="N16" i="1" a="1"/>
  <c r="N16" i="1" s="1"/>
  <c r="E16" i="1" a="1"/>
  <c r="E16" i="1" s="1"/>
  <c r="AG16" i="1" a="1"/>
  <c r="AG16" i="1" s="1"/>
  <c r="AH16" i="1" a="1"/>
  <c r="AH16" i="1" s="1"/>
  <c r="O17" i="1" a="1"/>
  <c r="O17" i="1" s="1"/>
  <c r="D17" i="1" a="1"/>
  <c r="D17" i="1" s="1"/>
  <c r="G17" i="1" a="1"/>
  <c r="G17" i="1" s="1"/>
  <c r="F17" i="1" a="1"/>
  <c r="F17" i="1" s="1"/>
  <c r="J17" i="1" a="1"/>
  <c r="J17" i="1" s="1"/>
  <c r="Z17" i="1" a="1"/>
  <c r="Z17" i="1" s="1"/>
  <c r="AA17" i="1" a="1"/>
  <c r="AA17" i="1" s="1"/>
  <c r="AB17" i="1" a="1"/>
  <c r="AB17" i="1" s="1"/>
  <c r="AC17" i="1" a="1"/>
  <c r="AC17" i="1" s="1"/>
  <c r="AD17" i="1" a="1"/>
  <c r="AD17" i="1" s="1"/>
  <c r="AE17" i="1" a="1"/>
  <c r="AE17" i="1" s="1"/>
  <c r="N17" i="1" a="1"/>
  <c r="N17" i="1" s="1"/>
  <c r="E17" i="1" a="1"/>
  <c r="E17" i="1" s="1"/>
  <c r="AG17" i="1" a="1"/>
  <c r="AG17" i="1" s="1"/>
  <c r="AH17" i="1" a="1"/>
  <c r="AH17" i="1" s="1"/>
  <c r="O18" i="1" a="1"/>
  <c r="O18" i="1" s="1"/>
  <c r="D18" i="1" a="1"/>
  <c r="D18" i="1" s="1"/>
  <c r="G18" i="1" a="1"/>
  <c r="G18" i="1" s="1"/>
  <c r="F18" i="1" a="1"/>
  <c r="F18" i="1" s="1"/>
  <c r="J18" i="1" a="1"/>
  <c r="J18" i="1" s="1"/>
  <c r="Z18" i="1" a="1"/>
  <c r="Z18" i="1" s="1"/>
  <c r="AA18" i="1" a="1"/>
  <c r="AA18" i="1" s="1"/>
  <c r="AB18" i="1" a="1"/>
  <c r="AB18" i="1" s="1"/>
  <c r="AC18" i="1" a="1"/>
  <c r="AC18" i="1" s="1"/>
  <c r="AD18" i="1" a="1"/>
  <c r="AD18" i="1" s="1"/>
  <c r="AE18" i="1" a="1"/>
  <c r="AE18" i="1" s="1"/>
  <c r="N18" i="1" a="1"/>
  <c r="N18" i="1" s="1"/>
  <c r="E18" i="1" a="1"/>
  <c r="E18" i="1" s="1"/>
  <c r="AG18" i="1" a="1"/>
  <c r="AG18" i="1" s="1"/>
  <c r="AH18" i="1" a="1"/>
  <c r="AH18" i="1" s="1"/>
  <c r="O19" i="1" a="1"/>
  <c r="O19" i="1" s="1"/>
  <c r="D19" i="1" a="1"/>
  <c r="D19" i="1" s="1"/>
  <c r="G19" i="1" a="1"/>
  <c r="G19" i="1" s="1"/>
  <c r="F19" i="1" a="1"/>
  <c r="F19" i="1" s="1"/>
  <c r="J19" i="1" a="1"/>
  <c r="J19" i="1" s="1"/>
  <c r="Z19" i="1" a="1"/>
  <c r="Z19" i="1" s="1"/>
  <c r="AA19" i="1" a="1"/>
  <c r="AA19" i="1" s="1"/>
  <c r="AB19" i="1" a="1"/>
  <c r="AB19" i="1" s="1"/>
  <c r="AC19" i="1" a="1"/>
  <c r="AC19" i="1" s="1"/>
  <c r="AD19" i="1" a="1"/>
  <c r="AD19" i="1" s="1"/>
  <c r="AE19" i="1" a="1"/>
  <c r="AE19" i="1" s="1"/>
  <c r="N19" i="1" a="1"/>
  <c r="N19" i="1" s="1"/>
  <c r="E19" i="1" a="1"/>
  <c r="E19" i="1" s="1"/>
  <c r="AG19" i="1" a="1"/>
  <c r="AG19" i="1" s="1"/>
  <c r="AH19" i="1" a="1"/>
  <c r="AH19" i="1" s="1"/>
  <c r="O20" i="1" a="1"/>
  <c r="O20" i="1" s="1"/>
  <c r="D20" i="1" a="1"/>
  <c r="D20" i="1" s="1"/>
  <c r="G20" i="1" a="1"/>
  <c r="G20" i="1" s="1"/>
  <c r="F20" i="1" a="1"/>
  <c r="F20" i="1" s="1"/>
  <c r="J20" i="1" a="1"/>
  <c r="J20" i="1" s="1"/>
  <c r="Z20" i="1" a="1"/>
  <c r="Z20" i="1" s="1"/>
  <c r="AA20" i="1" a="1"/>
  <c r="AA20" i="1" s="1"/>
  <c r="AB20" i="1" a="1"/>
  <c r="AB20" i="1" s="1"/>
  <c r="AC20" i="1" a="1"/>
  <c r="AC20" i="1" s="1"/>
  <c r="AD20" i="1" a="1"/>
  <c r="AD20" i="1" s="1"/>
  <c r="AE20" i="1" a="1"/>
  <c r="AE20" i="1" s="1"/>
  <c r="N20" i="1" a="1"/>
  <c r="N20" i="1" s="1"/>
  <c r="E20" i="1" a="1"/>
  <c r="E20" i="1" s="1"/>
  <c r="AG20" i="1" a="1"/>
  <c r="AG20" i="1" s="1"/>
  <c r="AH20" i="1" a="1"/>
  <c r="AH20" i="1" s="1"/>
  <c r="O21" i="1" a="1"/>
  <c r="O21" i="1" s="1"/>
  <c r="D21" i="1" a="1"/>
  <c r="D21" i="1" s="1"/>
  <c r="G21" i="1" a="1"/>
  <c r="G21" i="1" s="1"/>
  <c r="F21" i="1" a="1"/>
  <c r="F21" i="1" s="1"/>
  <c r="J21" i="1" a="1"/>
  <c r="J21" i="1" s="1"/>
  <c r="Z21" i="1" a="1"/>
  <c r="Z21" i="1" s="1"/>
  <c r="AA21" i="1" a="1"/>
  <c r="AA21" i="1" s="1"/>
  <c r="AB21" i="1" a="1"/>
  <c r="AB21" i="1" s="1"/>
  <c r="AC21" i="1" a="1"/>
  <c r="AC21" i="1" s="1"/>
  <c r="AD21" i="1" a="1"/>
  <c r="AD21" i="1" s="1"/>
  <c r="AE21" i="1" a="1"/>
  <c r="AE21" i="1" s="1"/>
  <c r="N21" i="1" a="1"/>
  <c r="N21" i="1" s="1"/>
  <c r="E21" i="1" a="1"/>
  <c r="E21" i="1" s="1"/>
  <c r="AG21" i="1" a="1"/>
  <c r="AG21" i="1" s="1"/>
  <c r="AH21" i="1" a="1"/>
  <c r="AH21" i="1" s="1"/>
  <c r="O22" i="1" a="1"/>
  <c r="O22" i="1" s="1"/>
  <c r="D22" i="1" a="1"/>
  <c r="D22" i="1" s="1"/>
  <c r="G22" i="1" a="1"/>
  <c r="G22" i="1" s="1"/>
  <c r="F22" i="1" a="1"/>
  <c r="F22" i="1" s="1"/>
  <c r="J22" i="1" a="1"/>
  <c r="J22" i="1" s="1"/>
  <c r="Z22" i="1" a="1"/>
  <c r="Z22" i="1" s="1"/>
  <c r="AA22" i="1" a="1"/>
  <c r="AA22" i="1" s="1"/>
  <c r="AB22" i="1" a="1"/>
  <c r="AB22" i="1" s="1"/>
  <c r="AC22" i="1" a="1"/>
  <c r="AC22" i="1" s="1"/>
  <c r="AD22" i="1" a="1"/>
  <c r="AD22" i="1" s="1"/>
  <c r="N22" i="1" a="1"/>
  <c r="N22" i="1" s="1"/>
  <c r="E22" i="1" a="1"/>
  <c r="E22" i="1" s="1"/>
  <c r="AG22" i="1" a="1"/>
  <c r="AG22" i="1" s="1"/>
  <c r="AH22" i="1" a="1"/>
  <c r="AH22" i="1" s="1"/>
  <c r="O23" i="1" a="1"/>
  <c r="O23" i="1" s="1"/>
  <c r="D23" i="1" a="1"/>
  <c r="D23" i="1" s="1"/>
  <c r="G23" i="1" a="1"/>
  <c r="G23" i="1" s="1"/>
  <c r="F23" i="1" a="1"/>
  <c r="F23" i="1" s="1"/>
  <c r="J23" i="1" a="1"/>
  <c r="J23" i="1" s="1"/>
  <c r="Z23" i="1" a="1"/>
  <c r="Z23" i="1" s="1"/>
  <c r="AA23" i="1" a="1"/>
  <c r="AA23" i="1" s="1"/>
  <c r="AB23" i="1" a="1"/>
  <c r="AB23" i="1" s="1"/>
  <c r="AC23" i="1" a="1"/>
  <c r="AC23" i="1" s="1"/>
  <c r="AD23" i="1" a="1"/>
  <c r="AD23" i="1" s="1"/>
  <c r="AE23" i="1" a="1"/>
  <c r="AE23" i="1" s="1"/>
  <c r="N23" i="1" a="1"/>
  <c r="N23" i="1" s="1"/>
  <c r="AG23" i="1" a="1"/>
  <c r="AG23" i="1" s="1"/>
  <c r="AH23" i="1" a="1"/>
  <c r="AH23" i="1" s="1"/>
  <c r="O24" i="1" a="1"/>
  <c r="O24" i="1" s="1"/>
  <c r="D24" i="1" a="1"/>
  <c r="D24" i="1" s="1"/>
  <c r="G24" i="1" a="1"/>
  <c r="G24" i="1" s="1"/>
  <c r="F24" i="1" a="1"/>
  <c r="F24" i="1" s="1"/>
  <c r="J24" i="1" a="1"/>
  <c r="J24" i="1" s="1"/>
  <c r="Z24" i="1" a="1"/>
  <c r="Z24" i="1" s="1"/>
  <c r="AA24" i="1" a="1"/>
  <c r="AA24" i="1" s="1"/>
  <c r="AB24" i="1" a="1"/>
  <c r="AB24" i="1" s="1"/>
  <c r="AC24" i="1" a="1"/>
  <c r="AC24" i="1" s="1"/>
  <c r="AE24" i="1" a="1"/>
  <c r="AE24" i="1" s="1"/>
  <c r="N24" i="1" a="1"/>
  <c r="N24" i="1" s="1"/>
  <c r="E24" i="1" a="1"/>
  <c r="E24" i="1" s="1"/>
  <c r="AG24" i="1" a="1"/>
  <c r="AG24" i="1" s="1"/>
  <c r="AH24" i="1" a="1"/>
  <c r="AH24" i="1" s="1"/>
  <c r="O25" i="1" a="1"/>
  <c r="O25" i="1" s="1"/>
  <c r="D25" i="1" a="1"/>
  <c r="D25" i="1" s="1"/>
  <c r="G25" i="1" a="1"/>
  <c r="G25" i="1" s="1"/>
  <c r="F25" i="1" a="1"/>
  <c r="F25" i="1" s="1"/>
  <c r="J25" i="1" a="1"/>
  <c r="J25" i="1" s="1"/>
  <c r="Z25" i="1" a="1"/>
  <c r="Z25" i="1" s="1"/>
  <c r="AA25" i="1" a="1"/>
  <c r="AA25" i="1" s="1"/>
  <c r="AB25" i="1" a="1"/>
  <c r="AB25" i="1" s="1"/>
  <c r="AC25" i="1" a="1"/>
  <c r="AC25" i="1" s="1"/>
  <c r="AD25" i="1" a="1"/>
  <c r="AD25" i="1" s="1"/>
  <c r="AE25" i="1" a="1"/>
  <c r="AE25" i="1" s="1"/>
  <c r="N25" i="1" a="1"/>
  <c r="N25" i="1" s="1"/>
  <c r="E25" i="1" a="1"/>
  <c r="E25" i="1" s="1"/>
  <c r="AG25" i="1" a="1"/>
  <c r="AG25" i="1" s="1"/>
  <c r="AH25" i="1" a="1"/>
  <c r="AH25" i="1" s="1"/>
  <c r="O26" i="1" a="1"/>
  <c r="O26" i="1" s="1"/>
  <c r="D26" i="1" a="1"/>
  <c r="D26" i="1" s="1"/>
  <c r="G26" i="1" a="1"/>
  <c r="G26" i="1" s="1"/>
  <c r="F26" i="1" a="1"/>
  <c r="F26" i="1" s="1"/>
  <c r="J26" i="1" a="1"/>
  <c r="J26" i="1" s="1"/>
  <c r="Z26" i="1" a="1"/>
  <c r="Z26" i="1" s="1"/>
  <c r="AA26" i="1" a="1"/>
  <c r="AA26" i="1" s="1"/>
  <c r="AB26" i="1" a="1"/>
  <c r="AB26" i="1" s="1"/>
  <c r="AC26" i="1" a="1"/>
  <c r="AC26" i="1" s="1"/>
  <c r="AD26" i="1" a="1"/>
  <c r="AD26" i="1" s="1"/>
  <c r="AE26" i="1" a="1"/>
  <c r="AE26" i="1" s="1"/>
  <c r="N26" i="1" a="1"/>
  <c r="N26" i="1" s="1"/>
  <c r="E26" i="1" a="1"/>
  <c r="E26" i="1" s="1"/>
  <c r="AG26" i="1" a="1"/>
  <c r="AG26" i="1" s="1"/>
  <c r="AH26" i="1" a="1"/>
  <c r="AH26" i="1" s="1"/>
  <c r="O27" i="1" a="1"/>
  <c r="O27" i="1" s="1"/>
  <c r="D27" i="1" a="1"/>
  <c r="D27" i="1" s="1"/>
  <c r="G27" i="1" a="1"/>
  <c r="G27" i="1" s="1"/>
  <c r="F27" i="1" a="1"/>
  <c r="F27" i="1" s="1"/>
  <c r="J27" i="1" a="1"/>
  <c r="J27" i="1" s="1"/>
  <c r="Z27" i="1" a="1"/>
  <c r="Z27" i="1" s="1"/>
  <c r="AA27" i="1" a="1"/>
  <c r="AA27" i="1" s="1"/>
  <c r="AB27" i="1" a="1"/>
  <c r="AB27" i="1" s="1"/>
  <c r="AC27" i="1" a="1"/>
  <c r="AC27" i="1" s="1"/>
  <c r="AD27" i="1" a="1"/>
  <c r="AD27" i="1" s="1"/>
  <c r="AE27" i="1" a="1"/>
  <c r="AE27" i="1" s="1"/>
  <c r="N27" i="1" a="1"/>
  <c r="N27" i="1" s="1"/>
  <c r="E27" i="1" a="1"/>
  <c r="E27" i="1" s="1"/>
  <c r="AG27" i="1" a="1"/>
  <c r="AG27" i="1" s="1"/>
  <c r="AH27" i="1" a="1"/>
  <c r="AH27" i="1" s="1"/>
  <c r="O28" i="1" a="1"/>
  <c r="O28" i="1" s="1"/>
  <c r="D28" i="1" a="1"/>
  <c r="D28" i="1" s="1"/>
  <c r="G28" i="1" a="1"/>
  <c r="G28" i="1" s="1"/>
  <c r="F28" i="1" a="1"/>
  <c r="F28" i="1" s="1"/>
  <c r="J28" i="1" a="1"/>
  <c r="J28" i="1" s="1"/>
  <c r="Z28" i="1" a="1"/>
  <c r="Z28" i="1" s="1"/>
  <c r="AA28" i="1" a="1"/>
  <c r="AA28" i="1" s="1"/>
  <c r="AB28" i="1" a="1"/>
  <c r="AB28" i="1" s="1"/>
  <c r="AC28" i="1" a="1"/>
  <c r="AC28" i="1" s="1"/>
  <c r="AD28" i="1" a="1"/>
  <c r="AD28" i="1" s="1"/>
  <c r="AE28" i="1" a="1"/>
  <c r="AE28" i="1" s="1"/>
  <c r="N28" i="1" a="1"/>
  <c r="N28" i="1" s="1"/>
  <c r="E28" i="1" a="1"/>
  <c r="E28" i="1" s="1"/>
  <c r="AG28" i="1" a="1"/>
  <c r="AG28" i="1" s="1"/>
  <c r="AH28" i="1" a="1"/>
  <c r="AH28" i="1" s="1"/>
  <c r="O29" i="1" a="1"/>
  <c r="O29" i="1" s="1"/>
  <c r="D29" i="1" a="1"/>
  <c r="D29" i="1" s="1"/>
  <c r="G29" i="1" a="1"/>
  <c r="G29" i="1" s="1"/>
  <c r="F29" i="1" a="1"/>
  <c r="F29" i="1" s="1"/>
  <c r="J29" i="1" a="1"/>
  <c r="J29" i="1" s="1"/>
  <c r="Z29" i="1" a="1"/>
  <c r="Z29" i="1" s="1"/>
  <c r="AA29" i="1" a="1"/>
  <c r="AA29" i="1" s="1"/>
  <c r="AB29" i="1" a="1"/>
  <c r="AB29" i="1" s="1"/>
  <c r="AC29" i="1" a="1"/>
  <c r="AC29" i="1" s="1"/>
  <c r="AD29" i="1" a="1"/>
  <c r="AD29" i="1" s="1"/>
  <c r="AE29" i="1" a="1"/>
  <c r="AE29" i="1" s="1"/>
  <c r="N29" i="1" a="1"/>
  <c r="N29" i="1" s="1"/>
  <c r="E29" i="1" a="1"/>
  <c r="E29" i="1" s="1"/>
  <c r="AG29" i="1" a="1"/>
  <c r="AG29" i="1" s="1"/>
  <c r="AH29" i="1" a="1"/>
  <c r="AH29" i="1" s="1"/>
  <c r="M5" i="1" a="1"/>
  <c r="M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17" i="1" a="1"/>
  <c r="AJ17" i="1" s="1"/>
  <c r="AJ18" i="1" a="1"/>
  <c r="AJ18" i="1" s="1"/>
  <c r="AJ19" i="1" a="1"/>
  <c r="AJ19" i="1" s="1"/>
  <c r="AJ20" i="1" a="1"/>
  <c r="AJ20" i="1" s="1"/>
  <c r="AJ21" i="1" a="1"/>
  <c r="AJ21" i="1" s="1"/>
  <c r="AJ22" i="1" a="1"/>
  <c r="AJ22" i="1" s="1"/>
  <c r="AJ23" i="1" a="1"/>
  <c r="AJ23" i="1" s="1"/>
  <c r="AJ24" i="1" a="1"/>
  <c r="AJ24" i="1" s="1"/>
  <c r="AJ25" i="1" a="1"/>
  <c r="AJ25" i="1" s="1"/>
  <c r="AJ26" i="1" a="1"/>
  <c r="AJ26" i="1" s="1"/>
  <c r="AJ27" i="1" a="1"/>
  <c r="AJ27" i="1" s="1"/>
  <c r="AJ28" i="1" a="1"/>
  <c r="AJ28" i="1" s="1"/>
  <c r="AJ29" i="1" a="1"/>
  <c r="AJ29" i="1" s="1"/>
  <c r="AJ30" i="1" a="1"/>
  <c r="AJ30" i="1" s="1"/>
  <c r="AJ31" i="1" a="1"/>
  <c r="AJ31" i="1" s="1"/>
  <c r="AJ32" i="1" a="1"/>
  <c r="AJ32" i="1" s="1"/>
  <c r="AJ33" i="1" a="1"/>
  <c r="AJ33" i="1" s="1"/>
  <c r="AJ34" i="1" a="1"/>
  <c r="AJ34" i="1" s="1"/>
  <c r="AJ35" i="1" a="1"/>
  <c r="AJ35" i="1" s="1"/>
  <c r="B5" i="1"/>
  <c r="AF6" i="1" a="1"/>
  <c r="AF6" i="1" s="1"/>
  <c r="AF7" i="1" a="1"/>
  <c r="AF7" i="1" s="1"/>
  <c r="AF8" i="1" a="1"/>
  <c r="AF8" i="1" s="1"/>
  <c r="AF9" i="1" a="1"/>
  <c r="AF9" i="1" s="1"/>
  <c r="AF10" i="1" a="1"/>
  <c r="AF10" i="1" s="1"/>
  <c r="AF11" i="1" a="1"/>
  <c r="AF11" i="1" s="1"/>
  <c r="AF12" i="1" a="1"/>
  <c r="AF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 s="1"/>
  <c r="AF18" i="1" a="1"/>
  <c r="AF18" i="1" s="1"/>
  <c r="AF19" i="1" a="1"/>
  <c r="AF19" i="1" s="1"/>
  <c r="AF20" i="1" a="1"/>
  <c r="AF20" i="1" s="1"/>
  <c r="AF21" i="1" a="1"/>
  <c r="AF21" i="1" s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 s="1"/>
  <c r="AF34" i="1" a="1"/>
  <c r="AF34" i="1" s="1"/>
  <c r="AF35" i="1" a="1"/>
  <c r="AF35" i="1" s="1"/>
  <c r="Y5" i="1" l="1" a="1"/>
  <c r="Y5" i="1" s="1"/>
  <c r="W5" i="1" a="1"/>
  <c r="W5" i="1" s="1"/>
  <c r="V5" i="1" a="1"/>
  <c r="V5" i="1" s="1"/>
  <c r="T5" i="1" a="1"/>
  <c r="T5" i="1" s="1"/>
  <c r="U5" i="1" a="1"/>
  <c r="U5" i="1" s="1"/>
  <c r="S5" i="1" a="1"/>
  <c r="S5" i="1" s="1"/>
  <c r="R5" i="1" a="1"/>
  <c r="R5" i="1" s="1"/>
  <c r="Q5" i="1" a="1"/>
  <c r="Q5" i="1" s="1"/>
  <c r="K5" i="1" a="1"/>
  <c r="K5" i="1" s="1"/>
  <c r="P5" i="1" a="1"/>
  <c r="P5" i="1" s="1"/>
  <c r="I5" i="1" a="1"/>
  <c r="I5" i="1" s="1"/>
  <c r="L5" i="1" a="1"/>
  <c r="L5" i="1" s="1"/>
  <c r="C5" i="1" a="1"/>
  <c r="C5" i="1" s="1"/>
  <c r="H5" i="1" a="1"/>
  <c r="H5" i="1" s="1"/>
  <c r="X5" i="1" a="1"/>
  <c r="X5" i="1" s="1"/>
  <c r="AI5" i="1" a="1"/>
  <c r="AI5" i="1" s="1"/>
  <c r="AJ5" i="1" a="1"/>
  <c r="AJ5" i="1" s="1"/>
  <c r="AH5" i="1" a="1"/>
  <c r="AH5" i="1" s="1"/>
  <c r="AG5" i="1" a="1"/>
  <c r="AG5" i="1" s="1"/>
  <c r="E5" i="1" a="1"/>
  <c r="E5" i="1" s="1"/>
  <c r="N5" i="1" a="1"/>
  <c r="N5" i="1" s="1"/>
  <c r="AE5" i="1" a="1"/>
  <c r="AE5" i="1" s="1"/>
  <c r="AD5" i="1" a="1"/>
  <c r="AD5" i="1" s="1"/>
  <c r="AC5" i="1" a="1"/>
  <c r="AC5" i="1" s="1"/>
  <c r="AB5" i="1" a="1"/>
  <c r="AB5" i="1" s="1"/>
  <c r="AA5" i="1" a="1"/>
  <c r="AA5" i="1" s="1"/>
  <c r="Z5" i="1" a="1"/>
  <c r="Z5" i="1" s="1"/>
  <c r="J5" i="1" a="1"/>
  <c r="J5" i="1" s="1"/>
  <c r="F5" i="1" a="1"/>
  <c r="F5" i="1" s="1"/>
  <c r="G5" i="1" a="1"/>
  <c r="G5" i="1" s="1"/>
  <c r="D5" i="1" a="1"/>
  <c r="D5" i="1" s="1"/>
  <c r="O5" i="1" a="1"/>
  <c r="O5" i="1" s="1"/>
  <c r="AF5" i="1" a="1"/>
  <c r="A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<sst xmlns="http://schemas.openxmlformats.org/spreadsheetml/2006/main" count="39" uniqueCount="37">
  <si>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SofrSwap</t>
  </si>
  <si>
    <t>CPURNSA</t>
  </si>
  <si>
    <t>qwSwapFixedRate</t>
  </si>
  <si>
    <t>qwSwapDiscountCurve</t>
  </si>
  <si>
    <t>qwConvexity</t>
  </si>
  <si>
    <t>qwBlmID</t>
  </si>
  <si>
    <t>qwBid</t>
  </si>
  <si>
    <t>qwAsk</t>
  </si>
  <si>
    <t>qwSwapResetDate</t>
  </si>
  <si>
    <t>qwSwapResetRate</t>
  </si>
  <si>
    <t>qwSwapFloatIndex</t>
  </si>
  <si>
    <t>qwSwapResetCurve</t>
  </si>
  <si>
    <t>qwYield</t>
  </si>
  <si>
    <t>qwDelta</t>
  </si>
  <si>
    <t>qwDV01</t>
  </si>
  <si>
    <t>qwBlmUniqueID</t>
  </si>
  <si>
    <t>qwEffective</t>
  </si>
  <si>
    <t>qwValBP</t>
  </si>
  <si>
    <t>qwRateSpread</t>
  </si>
  <si>
    <t>qwTenor</t>
  </si>
  <si>
    <t>qwAlias</t>
  </si>
  <si>
    <t>qwSecType</t>
  </si>
  <si>
    <t>qwCalName</t>
  </si>
  <si>
    <t>qwCarry</t>
  </si>
  <si>
    <t>qwCurvePrice</t>
  </si>
  <si>
    <t>qwCurveYield</t>
  </si>
  <si>
    <t>qwSwapCashFlowsFixedLeg</t>
  </si>
  <si>
    <t>qwSwapCashFlowsFloatLeg</t>
  </si>
  <si>
    <t>qwIncomeOvernight</t>
  </si>
  <si>
    <t>qwMaturity</t>
  </si>
  <si>
    <t>qwMV01</t>
  </si>
  <si>
    <t>qwMVFactor</t>
  </si>
  <si>
    <t>qwPrice</t>
  </si>
  <si>
    <t>qwRate</t>
  </si>
  <si>
    <t>qwRelevantCoupon</t>
  </si>
  <si>
    <t>qwRelevantCurve</t>
  </si>
  <si>
    <t>qwSettle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</si>
</sst>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0000_);_(* \(#,##0.00000\);_(* &quot;-&quot;??_);_(@_)"/>
    <numFmt numFmtId="165" formatCode="_(* #,##0.00000000000_);_(* \(#,##0.00000000000\);_(* &quot;-&quot;??_);_(@_)"/>
    <numFmt numFmtId="166" formatCode="_(* #,##0.0000000_);_(* \(#,##0.0000000\);_(* &quot;-&quot;??_);_(@_)"/>
    <numFmt numFmtId="167" formatCode="0.00000000000"/>
    <numFmt numFmtId="168" formatCode="_(* #,##0.000000_);_(* \(#,##0.000000\);_(* &quot;-&quot;??_);_(@_)"/>
    <numFmt numFmtId="169" formatCode="_(* #,##0.0_);_(* \(#,##0.0\);_(* &quot;-&quot;??_);_(@_)"/>
    <numFmt numFmtId="174" formatCode="0.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4" fillId="2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5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14" fontId="0" fillId="0" borderId="0" xfId="1" applyNumberFormat="1" applyFont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174" fontId="0" fillId="0" borderId="0" xfId="0" applyNumberFormat="1"/>
    <xf numFmtId="43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blp_column_header" xfId="2" xr:uid="{7E45C141-DC45-44C9-A945-11B318FEE6FC}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A2B-B009-413B-B470-30E482D4C08C}">
  <dimension ref="A1:AU200"/>
  <sheetViews>
    <sheetView tabSelected="1" zoomScale="70" zoomScaleNormal="70" workbookViewId="0">
      <selection activeCell="AJ16" sqref="AJ16"/>
    </sheetView>
  </sheetViews>
  <sheetFormatPr defaultRowHeight="15" x14ac:dyDescent="0.25"/>
  <cols>
    <col min="1" max="1" width="12.85546875" bestFit="1" customWidth="1"/>
    <col min="2" max="2" width="12.42578125" bestFit="1" customWidth="1"/>
    <col min="3" max="6" width="25.5703125" customWidth="1"/>
    <col min="7" max="7" width="12.140625" bestFit="1" customWidth="1"/>
    <col min="8" max="8" width="14.85546875" bestFit="1" customWidth="1"/>
    <col min="9" max="9" width="14.85546875" customWidth="1"/>
    <col min="10" max="10" width="10.5703125" bestFit="1" customWidth="1"/>
    <col min="11" max="11" width="14.28515625" bestFit="1" customWidth="1"/>
    <col min="12" max="12" width="14.42578125" bestFit="1" customWidth="1"/>
    <col min="13" max="13" width="15.7109375" bestFit="1" customWidth="1"/>
    <col min="14" max="14" width="15.7109375" customWidth="1"/>
    <col min="15" max="15" width="11.85546875" bestFit="1" customWidth="1"/>
    <col min="16" max="16" width="20.85546875" bestFit="1" customWidth="1"/>
    <col min="17" max="23" width="20.85546875" customWidth="1"/>
    <col min="24" max="24" width="18.7109375" bestFit="1" customWidth="1"/>
    <col min="25" max="25" width="16.140625" bestFit="1" customWidth="1"/>
    <col min="26" max="26" width="21.140625" bestFit="1" customWidth="1"/>
    <col min="27" max="27" width="16" bestFit="1" customWidth="1"/>
    <col min="28" max="28" width="20.7109375" bestFit="1" customWidth="1"/>
    <col min="29" max="29" width="27.140625" bestFit="1" customWidth="1"/>
    <col min="30" max="30" width="13" style="2" bestFit="1" customWidth="1"/>
    <col min="31" max="31" width="13.85546875" style="1" bestFit="1" customWidth="1"/>
    <col min="32" max="33" width="13" bestFit="1" customWidth="1"/>
    <col min="34" max="34" width="15.42578125" bestFit="1" customWidth="1"/>
    <col min="35" max="35" width="12" bestFit="1" customWidth="1"/>
    <col min="36" max="36" width="13.5703125" bestFit="1" customWidth="1"/>
    <col min="37" max="37" width="28.85546875" bestFit="1" customWidth="1"/>
    <col min="38" max="38" width="14.85546875" bestFit="1" customWidth="1"/>
    <col min="39" max="39" width="28.5703125" bestFit="1" customWidth="1"/>
    <col min="40" max="40" width="14.85546875" bestFit="1" customWidth="1"/>
    <col min="41" max="41" width="9.5703125" bestFit="1" customWidth="1"/>
    <col min="42" max="42" width="11.140625" bestFit="1" customWidth="1"/>
    <col min="43" max="43" width="11.85546875" customWidth="1"/>
    <col min="44" max="44" width="18.85546875" bestFit="1" customWidth="1"/>
    <col min="45" max="45" width="23.28515625" customWidth="1"/>
    <col min="46" max="46" width="19.28515625" bestFit="1" customWidth="1"/>
    <col min="47" max="48" width="12.28515625" bestFit="1" customWidth="1"/>
    <col min="49" max="49" width="8.42578125" bestFit="1" customWidth="1"/>
  </cols>
  <sheetData>
    <row r="1" spans="1:47" x14ac:dyDescent="0.25">
      <c r="A1" t="str" cm="1">
        <f t="array" ref="A1">_xll.qwCtxTrade()</f>
        <v>ctx.46276.Live</v>
      </c>
      <c r="C1" t="s">
        <v>0</v>
      </c>
      <c r="E1" s="1">
        <v>54424</v>
      </c>
      <c r="F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47" x14ac:dyDescent="0.25">
      <c r="A2" t="s">
        <v>0</v>
      </c>
      <c r="C2" t="s">
        <v>1</v>
      </c>
      <c r="F2" s="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47" x14ac:dyDescent="0.25"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47" x14ac:dyDescent="0.25">
      <c r="C4" t="s">
        <v>20</v>
      </c>
      <c r="D4" s="1" t="s">
        <v>7</v>
      </c>
      <c r="E4" s="1" t="s">
        <v>15</v>
      </c>
      <c r="F4" t="s">
        <v>5</v>
      </c>
      <c r="G4" t="s">
        <v>6</v>
      </c>
      <c r="H4" t="s">
        <v>22</v>
      </c>
      <c r="I4" t="s">
        <v>23</v>
      </c>
      <c r="J4" t="s">
        <v>4</v>
      </c>
      <c r="K4" t="s">
        <v>25</v>
      </c>
      <c r="L4" t="s">
        <v>24</v>
      </c>
      <c r="M4" t="s">
        <v>13</v>
      </c>
      <c r="N4" s="2" t="s">
        <v>14</v>
      </c>
      <c r="O4" t="s">
        <v>16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18</v>
      </c>
      <c r="Y4" t="s">
        <v>36</v>
      </c>
      <c r="Z4" s="7" t="s">
        <v>3</v>
      </c>
      <c r="AA4" s="7" t="s">
        <v>2</v>
      </c>
      <c r="AB4" t="s">
        <v>10</v>
      </c>
      <c r="AC4" s="4" t="s">
        <v>11</v>
      </c>
      <c r="AD4" s="4" t="s">
        <v>8</v>
      </c>
      <c r="AE4" s="6" t="s">
        <v>9</v>
      </c>
      <c r="AF4" t="s">
        <v>21</v>
      </c>
      <c r="AG4" s="4" t="s">
        <v>12</v>
      </c>
      <c r="AH4" t="s">
        <v>17</v>
      </c>
      <c r="AI4" t="s">
        <v>19</v>
      </c>
      <c r="AJ4" t="s">
        <v>12</v>
      </c>
      <c r="AK4" t="s">
        <v>26</v>
      </c>
      <c r="AM4" t="s">
        <v>27</v>
      </c>
    </row>
    <row r="5" spans="1:47" x14ac:dyDescent="0.25">
      <c r="B5" t="str" cm="1">
        <f t="array" ref="B5:B35">_xll.qwCurveBenchmarks(A1,A2)</f>
        <v>USOSFR1Z</v>
      </c>
      <c r="C5" t="str" cm="1">
        <f t="array" ref="C5">_xll.qwAlias($A$1,B5)</f>
        <v>USOSFR1Z</v>
      </c>
      <c r="D5" s="8" cm="1">
        <f t="array" ref="D5">_xll.qwAsk($A$1,B5)</f>
        <v>3.7939400000000001</v>
      </c>
      <c r="E5" s="7" t="str" cm="1">
        <f t="array" ref="E5">_xll.qwBlmUniqueID($A$1,B5)</f>
        <v>IX40584620-0</v>
      </c>
      <c r="F5" t="str" cm="1">
        <f t="array" ref="F5">_xll.qwBlmID($A$1,B5)</f>
        <v>USOSFR1Z Index</v>
      </c>
      <c r="G5" cm="1">
        <f t="array" ref="G5">_xll.qwBid($A$1,B5)</f>
        <v>3.7854000000000001</v>
      </c>
      <c r="H5" t="str" cm="1">
        <f t="array" ref="H5">_xll.qwCalName(B5)</f>
        <v>US</v>
      </c>
      <c r="I5" cm="1">
        <f t="array" ref="I5">_xll.qwCarry($A$1,B5,2)</f>
        <v>0</v>
      </c>
      <c r="J5" cm="1">
        <f t="array" ref="J5">_xll.qwConvexity($A$1,B5)</f>
        <v>0</v>
      </c>
      <c r="K5" s="12" cm="1">
        <f t="array" ref="K5">_xll.qwCurveYield($A$1,$A$2,B5)</f>
        <v>3.7896700000003794E-2</v>
      </c>
      <c r="L5" s="11" cm="1">
        <f t="array" ref="L5">_xll.qwCurvePrice($A$1,"SOFRSwap",B5)</f>
        <v>0</v>
      </c>
      <c r="M5" s="4" t="e" cm="1">
        <f t="array" ref="M5">_xll.qwDelta(A1,B14)</f>
        <v>#NUM!</v>
      </c>
      <c r="N5" s="8" cm="1">
        <f t="array" ref="N5">_xll.qwDV01($A$1,B5)</f>
        <v>1.9444444443195152E-4</v>
      </c>
      <c r="O5" s="4" cm="1">
        <f t="array" ref="O5">_xll.qwEffective($A$1,B5)</f>
        <v>46280</v>
      </c>
      <c r="P5" t="e" cm="1">
        <f t="array" ref="P5">_xll.qwIncomeOvernight($A$1,B5)</f>
        <v>#NUM!</v>
      </c>
      <c r="Q5" cm="1">
        <f t="array" ref="Q5">_xll.qwMaturity($A$1,B5)</f>
        <v>46287</v>
      </c>
      <c r="R5" s="8" cm="1">
        <f t="array" ref="R5">_xll.qwMV01($A$1,B5)</f>
        <v>1.9444444443195152E-4</v>
      </c>
      <c r="S5" s="7" cm="1">
        <f t="array" ref="S5">_xll.qwMVFactor($A$1,B5)</f>
        <v>1</v>
      </c>
      <c r="T5" s="7" cm="1">
        <f t="array" ref="T5">_xll.qwPrice($A$1,B5)</f>
        <v>3.7896700000000001</v>
      </c>
      <c r="U5" s="7" cm="1">
        <f t="array" ref="U5">_xll.qwRate($A$1,B5)</f>
        <v>3.7896699999999998E-2</v>
      </c>
      <c r="V5" s="5" t="e" cm="1">
        <f t="array" ref="V5">_xll.qwRelevantCoupon($A$1,B5)</f>
        <v>#NUM!</v>
      </c>
      <c r="W5" s="7" t="e" cm="1">
        <f t="array" ref="W5">_xll.qwRelevantCurve($A$1,B5)</f>
        <v>#NUM!</v>
      </c>
      <c r="X5" s="1" t="e" cm="1">
        <f t="array" ref="X5">_xll.qwRateSpread($A$1,B5)</f>
        <v>#NUM!</v>
      </c>
      <c r="Y5" s="13" cm="1">
        <f t="array" ref="Y5">_xll.qwSettle($A$1,B5)</f>
        <v>46280</v>
      </c>
      <c r="Z5" t="e" cm="1">
        <f t="array" ref="Z5">_xll.qwSwapDiscountCurve($A$1,B5)</f>
        <v>#NUM!</v>
      </c>
      <c r="AA5" s="8" t="e" cm="1">
        <f t="array" ref="AA5">_xll.qwSwapFixedRate($A$1,B5)</f>
        <v>#NUM!</v>
      </c>
      <c r="AB5" s="4" t="e" cm="1">
        <f t="array" ref="AB5">_xll.qwSwapFloatIndex($A$1,B5)</f>
        <v>#NUM!</v>
      </c>
      <c r="AC5" s="6" t="e" cm="1">
        <f t="array" ref="AC5">_xll.qwSwapResetCurve($A$1,B5)</f>
        <v>#NUM!</v>
      </c>
      <c r="AD5" s="2" t="e" cm="1">
        <f t="array" ref="AD5">_xll.qwSwapResetDate($A$1,B5)</f>
        <v>#NUM!</v>
      </c>
      <c r="AE5" s="8" t="e" cm="1">
        <f t="array" ref="AE5">_xll.qwSwapResetRate($A$1,B5)</f>
        <v>#NUM!</v>
      </c>
      <c r="AF5" t="str" cm="1">
        <f t="array" ref="AF5">_xll.qwSecType(B5)</f>
        <v>Rate</v>
      </c>
      <c r="AG5" s="8" cm="1">
        <f t="array" ref="AG5">_xll.qwYield($A$1,B5)</f>
        <v>3.7896699999999998E-2</v>
      </c>
      <c r="AH5" s="10" t="e" cm="1">
        <f t="array" ref="AH5">_xll.qwValBP($A$1,B5)</f>
        <v>#NUM!</v>
      </c>
      <c r="AI5" t="str" cm="1">
        <f t="array" ref="AI5">_xll.qwTenor($A$1,B5)</f>
        <v>1W</v>
      </c>
      <c r="AJ5" cm="1">
        <f t="array" ref="AJ5">_xll.qwYield($A$1,B5)</f>
        <v>3.7896699999999998E-2</v>
      </c>
      <c r="AK5" cm="1">
        <f t="array" ref="AK5:AL34">_xll.qwSwapCashFlowsFixedLeg(A1,B34)</f>
        <v>46645</v>
      </c>
      <c r="AL5">
        <v>4.7139090972000002</v>
      </c>
      <c r="AM5" cm="1">
        <f t="array" ref="AM5:AN34">_xll.qwSwapCashFlowsFloatLeg(A1,B34)</f>
        <v>46645</v>
      </c>
      <c r="AN5">
        <v>4.4408688193996397</v>
      </c>
    </row>
    <row r="6" spans="1:47" x14ac:dyDescent="0.25">
      <c r="B6" t="str">
        <v>USOSFR2Z</v>
      </c>
      <c r="C6" t="str" cm="1">
        <f t="array" ref="C6">_xll.qwAlias($A$1,B6)</f>
        <v>USOSFR2Z</v>
      </c>
      <c r="D6" s="8" cm="1">
        <f t="array" ref="D6">_xll.qwAsk($A$1,B6)</f>
        <v>3.82917</v>
      </c>
      <c r="E6" s="7" t="str" cm="1">
        <f t="array" ref="E6">_xll.qwBlmUniqueID($A$1,B6)</f>
        <v>IX40586882-0</v>
      </c>
      <c r="F6" t="str" cm="1">
        <f t="array" ref="F6">_xll.qwBlmID($A$1,B6)</f>
        <v>USOSFR2Z Index</v>
      </c>
      <c r="G6" cm="1">
        <f t="array" ref="G6">_xll.qwBid($A$1,B6)</f>
        <v>3.8212799999999998</v>
      </c>
      <c r="H6" t="str" cm="1">
        <f t="array" ref="H6">_xll.qwCalName(B6)</f>
        <v>US</v>
      </c>
      <c r="I6" cm="1">
        <f t="array" ref="I6">_xll.qwCarry($A$1,B6,2)</f>
        <v>0</v>
      </c>
      <c r="J6" cm="1">
        <f t="array" ref="J6">_xll.qwConvexity($A$1,B6)</f>
        <v>0</v>
      </c>
      <c r="K6" s="12" cm="1">
        <f t="array" ref="K6">_xll.qwCurveYield($A$1,$A$2,B6)</f>
        <v>3.8252249999999953E-2</v>
      </c>
      <c r="L6" s="11" cm="1">
        <f t="array" ref="L6">_xll.qwCurvePrice($A$1,"SOFRSwap",B6)</f>
        <v>0</v>
      </c>
      <c r="M6" s="4" t="e" cm="1">
        <f t="array" ref="M6">_xll.qwDelta(A4,B15)</f>
        <v>#NUM!</v>
      </c>
      <c r="N6" s="8" cm="1">
        <f t="array" ref="N6">_xll.qwDV01($A$1,B6)</f>
        <v>3.8888888889232476E-4</v>
      </c>
      <c r="O6" s="4" cm="1">
        <f t="array" ref="O6">_xll.qwEffective($A$1,B6)</f>
        <v>46280</v>
      </c>
      <c r="P6" t="e" cm="1">
        <f t="array" ref="P6">_xll.qwIncomeOvernight($A$1,B6)</f>
        <v>#NUM!</v>
      </c>
      <c r="Q6" cm="1">
        <f t="array" ref="Q6">_xll.qwMaturity($A$1,B6)</f>
        <v>46294</v>
      </c>
      <c r="R6" s="8" cm="1">
        <f t="array" ref="R6">_xll.qwMV01($A$1,B6)</f>
        <v>3.8888888889232476E-4</v>
      </c>
      <c r="S6" s="7" cm="1">
        <f t="array" ref="S6">_xll.qwMVFactor($A$1,B6)</f>
        <v>1</v>
      </c>
      <c r="T6" s="7" cm="1">
        <f t="array" ref="T6">_xll.qwPrice($A$1,B6)</f>
        <v>3.8252249999999997</v>
      </c>
      <c r="U6" s="7" cm="1">
        <f t="array" ref="U6">_xll.qwRate($A$1,B6)</f>
        <v>3.8252249999999995E-2</v>
      </c>
      <c r="V6" s="5" t="e" cm="1">
        <f t="array" ref="V6">_xll.qwRelevantCoupon($A$1,B6)</f>
        <v>#NUM!</v>
      </c>
      <c r="W6" s="7" t="e" cm="1">
        <f t="array" ref="W6">_xll.qwRelevantCurve($A$1,B6)</f>
        <v>#NUM!</v>
      </c>
      <c r="X6" s="1" t="e" cm="1">
        <f t="array" ref="X6">_xll.qwRateSpread($A$1,B6)</f>
        <v>#NUM!</v>
      </c>
      <c r="Y6" s="13" cm="1">
        <f t="array" ref="Y6">_xll.qwSettle($A$1,B6)</f>
        <v>46280</v>
      </c>
      <c r="Z6" t="e" cm="1">
        <f t="array" ref="Z6">_xll.qwSwapDiscountCurve($A$1,B6)</f>
        <v>#NUM!</v>
      </c>
      <c r="AA6" s="8" t="e" cm="1">
        <f t="array" ref="AA6">_xll.qwSwapFixedRate($A$1,B6)</f>
        <v>#NUM!</v>
      </c>
      <c r="AB6" s="4" t="e" cm="1">
        <f t="array" ref="AB6">_xll.qwSwapFloatIndex($A$1,B6)</f>
        <v>#NUM!</v>
      </c>
      <c r="AC6" s="6" t="e" cm="1">
        <f t="array" ref="AC6">_xll.qwSwapResetCurve($A$1,B6)</f>
        <v>#NUM!</v>
      </c>
      <c r="AD6" s="2" t="e" cm="1">
        <f t="array" ref="AD6">_xll.qwSwapResetDate($A$1,B6)</f>
        <v>#NUM!</v>
      </c>
      <c r="AE6" s="8" t="e" cm="1">
        <f t="array" ref="AE6">_xll.qwSwapResetRate($A$1,B6)</f>
        <v>#NUM!</v>
      </c>
      <c r="AF6" t="str" cm="1">
        <f t="array" ref="AF6">_xll.qwSecType(B6)</f>
        <v>Rate</v>
      </c>
      <c r="AG6" s="8" cm="1">
        <f t="array" ref="AG6">_xll.qwYield($A$1,B6)</f>
        <v>3.8252249999999995E-2</v>
      </c>
      <c r="AH6" s="10" t="e" cm="1">
        <f t="array" ref="AH6">_xll.qwValBP($A$1,B6)</f>
        <v>#NUM!</v>
      </c>
      <c r="AI6" t="str" cm="1">
        <f t="array" ref="AI6">_xll.qwTenor($A$1,B6)</f>
        <v>2W</v>
      </c>
      <c r="AJ6" cm="1">
        <f t="array" ref="AJ6">_xll.qwYield($A$1,B6)</f>
        <v>3.8252249999999995E-2</v>
      </c>
      <c r="AK6">
        <v>47011</v>
      </c>
      <c r="AL6">
        <v>4.7268239166999999</v>
      </c>
      <c r="AM6">
        <v>47011</v>
      </c>
      <c r="AN6">
        <v>4.7254809960985824</v>
      </c>
    </row>
    <row r="7" spans="1:47" x14ac:dyDescent="0.25">
      <c r="B7" t="str">
        <v>USOSFR3Z</v>
      </c>
      <c r="C7" t="str" cm="1">
        <f t="array" ref="C7">_xll.qwAlias($A$1,B7)</f>
        <v>USOSFR3Z</v>
      </c>
      <c r="D7" s="8" cm="1">
        <f t="array" ref="D7">_xll.qwAsk($A$1,B7)</f>
        <v>3.8479899999999998</v>
      </c>
      <c r="E7" s="7" t="str" cm="1">
        <f t="array" ref="E7">_xll.qwBlmUniqueID($A$1,B7)</f>
        <v>IX40586888-0</v>
      </c>
      <c r="F7" t="str" cm="1">
        <f t="array" ref="F7">_xll.qwBlmID($A$1,B7)</f>
        <v>USOSFR3Z Index</v>
      </c>
      <c r="G7" cm="1">
        <f t="array" ref="G7">_xll.qwBid($A$1,B7)</f>
        <v>3.8450099999999998</v>
      </c>
      <c r="H7" t="str" cm="1">
        <f t="array" ref="H7">_xll.qwCalName(B7)</f>
        <v>US</v>
      </c>
      <c r="I7" cm="1">
        <f t="array" ref="I7">_xll.qwCarry($A$1,B7,2)</f>
        <v>0</v>
      </c>
      <c r="J7" cm="1">
        <f t="array" ref="J7">_xll.qwConvexity($A$1,B7)</f>
        <v>0</v>
      </c>
      <c r="K7" s="12" cm="1">
        <f t="array" ref="K7">_xll.qwCurveYield($A$1,$A$2,B7)</f>
        <v>3.8464999999999909E-2</v>
      </c>
      <c r="L7" s="11" cm="1">
        <f t="array" ref="L7">_xll.qwCurvePrice($A$1,"SOFRSwap",B7)</f>
        <v>0</v>
      </c>
      <c r="M7" s="4" t="e" cm="1">
        <f t="array" ref="M7">_xll.qwDelta(A5,B16)</f>
        <v>#NUM!</v>
      </c>
      <c r="N7" s="8" cm="1">
        <f t="array" ref="N7">_xll.qwDV01($A$1,B7)</f>
        <v>5.8333333332427628E-4</v>
      </c>
      <c r="O7" s="4" cm="1">
        <f t="array" ref="O7">_xll.qwEffective($A$1,B7)</f>
        <v>46280</v>
      </c>
      <c r="P7" t="e" cm="1">
        <f t="array" ref="P7">_xll.qwIncomeOvernight($A$1,B7)</f>
        <v>#NUM!</v>
      </c>
      <c r="Q7" cm="1">
        <f t="array" ref="Q7">_xll.qwMaturity($A$1,B7)</f>
        <v>46301</v>
      </c>
      <c r="R7" s="8" cm="1">
        <f t="array" ref="R7">_xll.qwMV01($A$1,B7)</f>
        <v>5.8333333332427628E-4</v>
      </c>
      <c r="S7" s="7" cm="1">
        <f t="array" ref="S7">_xll.qwMVFactor($A$1,B7)</f>
        <v>1</v>
      </c>
      <c r="T7" s="7" cm="1">
        <f t="array" ref="T7">_xll.qwPrice($A$1,B7)</f>
        <v>3.8464999999999998</v>
      </c>
      <c r="U7" s="7" cm="1">
        <f t="array" ref="U7">_xll.qwRate($A$1,B7)</f>
        <v>3.8464999999999999E-2</v>
      </c>
      <c r="V7" s="5" t="e" cm="1">
        <f t="array" ref="V7">_xll.qwRelevantCoupon($A$1,B7)</f>
        <v>#NUM!</v>
      </c>
      <c r="W7" s="7" t="e" cm="1">
        <f t="array" ref="W7">_xll.qwRelevantCurve($A$1,B7)</f>
        <v>#NUM!</v>
      </c>
      <c r="X7" s="1" t="e" cm="1">
        <f t="array" ref="X7">_xll.qwRateSpread($A$1,B7)</f>
        <v>#NUM!</v>
      </c>
      <c r="Y7" s="13" cm="1">
        <f t="array" ref="Y7">_xll.qwSettle($A$1,B7)</f>
        <v>46280</v>
      </c>
      <c r="Z7" t="e" cm="1">
        <f t="array" ref="Z7">_xll.qwSwapDiscountCurve($A$1,B7)</f>
        <v>#NUM!</v>
      </c>
      <c r="AA7" s="8" t="e" cm="1">
        <f t="array" ref="AA7">_xll.qwSwapFixedRate($A$1,B7)</f>
        <v>#NUM!</v>
      </c>
      <c r="AB7" s="4" t="e" cm="1">
        <f t="array" ref="AB7">_xll.qwSwapFloatIndex($A$1,B7)</f>
        <v>#NUM!</v>
      </c>
      <c r="AC7" s="6" t="e" cm="1">
        <f t="array" ref="AC7">_xll.qwSwapResetCurve($A$1,B7)</f>
        <v>#NUM!</v>
      </c>
      <c r="AD7" s="2" t="e" cm="1">
        <f t="array" ref="AD7">_xll.qwSwapResetDate($A$1,B7)</f>
        <v>#NUM!</v>
      </c>
      <c r="AE7" s="8" t="e" cm="1">
        <f t="array" ref="AE7">_xll.qwSwapResetRate($A$1,B7)</f>
        <v>#NUM!</v>
      </c>
      <c r="AF7" t="str" cm="1">
        <f t="array" ref="AF7">_xll.qwSecType(B7)</f>
        <v>Rate</v>
      </c>
      <c r="AG7" s="8" cm="1">
        <f t="array" ref="AG7">_xll.qwYield($A$1,B7)</f>
        <v>3.8464999999999999E-2</v>
      </c>
      <c r="AH7" s="10" t="e" cm="1">
        <f t="array" ref="AH7">_xll.qwValBP($A$1,B7)</f>
        <v>#NUM!</v>
      </c>
      <c r="AI7" t="str" cm="1">
        <f t="array" ref="AI7">_xll.qwTenor($A$1,B7)</f>
        <v>3W</v>
      </c>
      <c r="AJ7" cm="1">
        <f t="array" ref="AJ7">_xll.qwYield($A$1,B7)</f>
        <v>3.8464999999999999E-2</v>
      </c>
      <c r="AK7">
        <v>47378</v>
      </c>
      <c r="AL7">
        <v>4.7397387360999996</v>
      </c>
      <c r="AM7">
        <v>47378</v>
      </c>
      <c r="AN7">
        <v>4.6230096962442957</v>
      </c>
    </row>
    <row r="8" spans="1:47" x14ac:dyDescent="0.25">
      <c r="B8" t="str">
        <v>USOSFRA</v>
      </c>
      <c r="C8" t="str" cm="1">
        <f t="array" ref="C8">_xll.qwAlias($A$1,B8)</f>
        <v>SW SOFRRATE R 3.854715 9/15/26-10/15/26*</v>
      </c>
      <c r="D8" s="8" cm="1">
        <f t="array" ref="D8">_xll.qwAsk($A$1,B8)</f>
        <v>3.8576399999999997E-2</v>
      </c>
      <c r="E8" s="7" t="str" cm="1">
        <f t="array" ref="E8">_xll.qwBlmUniqueID($A$1,B8)</f>
        <v>IX40586906-0</v>
      </c>
      <c r="F8" t="str" cm="1">
        <f t="array" ref="F8">_xll.qwBlmID($A$1,B8)</f>
        <v>USOSFRA Curncy</v>
      </c>
      <c r="G8" cm="1">
        <f t="array" ref="G8">_xll.qwBid($A$1,B8)</f>
        <v>3.8517900000000001E-2</v>
      </c>
      <c r="H8" t="str" cm="1">
        <f t="array" ref="H8">_xll.qwCalName(B8)</f>
        <v>US</v>
      </c>
      <c r="I8" cm="1">
        <f t="array" ref="I8">_xll.qwCarry($A$1,B8,2)</f>
        <v>0</v>
      </c>
      <c r="J8" cm="1">
        <f t="array" ref="J8">_xll.qwConvexity($A$1,B8)</f>
        <v>2.7484212610645598E-8</v>
      </c>
      <c r="K8" s="12" cm="1">
        <f t="array" ref="K8">_xll.qwCurveYield($A$1,$A$2,B8)</f>
        <v>3.8547149999998941E-2</v>
      </c>
      <c r="L8" s="11" cm="1">
        <f t="array" ref="L8">_xll.qwCurvePrice($A$1,"SOFRSwap",B8)</f>
        <v>0</v>
      </c>
      <c r="M8" s="4" t="e" cm="1">
        <f t="array" ref="M8">_xll.qwDelta(A2,B17)</f>
        <v>#NUM!</v>
      </c>
      <c r="N8" s="8" cm="1">
        <f t="array" ref="N8">_xll.qwDV01($A$1,B8)</f>
        <v>8.3044735380733749E-4</v>
      </c>
      <c r="O8" s="4" cm="1">
        <f t="array" ref="O8">_xll.qwEffective($A$1,B8)</f>
        <v>46280</v>
      </c>
      <c r="P8" cm="1">
        <f t="array" ref="P8">_xll.qwIncomeOvernight($A$1,B8)</f>
        <v>0</v>
      </c>
      <c r="Q8" cm="1">
        <f t="array" ref="Q8">_xll.qwMaturity($A$1,B8)</f>
        <v>46310</v>
      </c>
      <c r="R8" s="8" cm="1">
        <f t="array" ref="R8">_xll.qwMV01($A$1,B8)</f>
        <v>8.3044735380733741</v>
      </c>
      <c r="S8" s="7" cm="1">
        <f t="array" ref="S8">_xll.qwMVFactor($A$1,B8)</f>
        <v>10000</v>
      </c>
      <c r="T8" s="7" cm="1">
        <f t="array" ref="T8">_xll.qwPrice($A$1,B8)</f>
        <v>0</v>
      </c>
      <c r="U8" s="7" t="e" cm="1">
        <f t="array" ref="U8">_xll.qwRate($A$1,B8)</f>
        <v>#NUM!</v>
      </c>
      <c r="V8" s="5" t="e" cm="1">
        <f t="array" ref="V8">_xll.qwRelevantCoupon($A$1,B8)</f>
        <v>#NUM!</v>
      </c>
      <c r="W8" s="7" t="str" cm="1">
        <f t="array" ref="W8">_xll.qwRelevantCurve($A$1,B8)</f>
        <v>SOFRSWAP</v>
      </c>
      <c r="X8" s="1" t="e" cm="1">
        <f t="array" ref="X8">_xll.qwRateSpread($A$1,B8)</f>
        <v>#NUM!</v>
      </c>
      <c r="Y8" s="13" cm="1">
        <f t="array" ref="Y8">_xll.qwSettle($A$1,B8)</f>
        <v>46280</v>
      </c>
      <c r="Z8" t="str" cm="1">
        <f t="array" ref="Z8">_xll.qwSwapDiscountCurve($A$1,B8)</f>
        <v>SOFRSWAP</v>
      </c>
      <c r="AA8" s="8" cm="1">
        <f t="array" ref="AA8">_xll.qwSwapFixedRate($A$1,B8)</f>
        <v>3.8547150000000002E-2</v>
      </c>
      <c r="AB8" s="4" t="str" cm="1">
        <f t="array" ref="AB8">_xll.qwSwapFloatIndex($A$1,B8)</f>
        <v>SOFRRATE</v>
      </c>
      <c r="AC8" s="6" t="str" cm="1">
        <f t="array" ref="AC8">_xll.qwSwapResetCurve($A$1,B8)</f>
        <v>CRV.USOSFRARESETS</v>
      </c>
      <c r="AD8" s="2" cm="1">
        <f t="array" ref="AD8">_xll.qwSwapResetDate($A$1,B8)</f>
        <v>46276</v>
      </c>
      <c r="AE8" s="8" cm="1">
        <f t="array" ref="AE8">_xll.qwSwapResetRate($A$1,B8)</f>
        <v>3.8487399491730079E-2</v>
      </c>
      <c r="AF8" t="str" cm="1">
        <f t="array" ref="AF8">_xll.qwSecType(B8)</f>
        <v>SwapBM</v>
      </c>
      <c r="AG8" s="8" cm="1">
        <f t="array" ref="AG8">_xll.qwYield($A$1,B8)</f>
        <v>3.8547150000000002E-2</v>
      </c>
      <c r="AH8" s="10" cm="1">
        <f t="array" ref="AH8">_xll.qwValBP($A$1,B8)</f>
        <v>8.3066498600928968E-4</v>
      </c>
      <c r="AI8" t="str" cm="1">
        <f t="array" ref="AI8">_xll.qwTenor($A$1,B8)</f>
        <v>1M</v>
      </c>
      <c r="AJ8" cm="1">
        <f t="array" ref="AJ8">_xll.qwYield($A$1,B8)</f>
        <v>3.8547150000000002E-2</v>
      </c>
      <c r="AK8">
        <v>47742</v>
      </c>
      <c r="AL8">
        <v>4.7009942777999996</v>
      </c>
      <c r="AM8">
        <v>47742</v>
      </c>
      <c r="AN8">
        <v>4.5286573753090522</v>
      </c>
    </row>
    <row r="9" spans="1:47" x14ac:dyDescent="0.25">
      <c r="A9" s="1"/>
      <c r="B9" s="1" t="str">
        <v>USOSFRB</v>
      </c>
      <c r="C9" t="str" cm="1">
        <f t="array" ref="C9">_xll.qwAlias($A$1,B9)</f>
        <v>SW SOFRRATE R 3.9092 9/15/26-11/15/26*</v>
      </c>
      <c r="D9" s="8" cm="1">
        <f t="array" ref="D9">_xll.qwAsk($A$1,B9)</f>
        <v>3.9118100000000003E-2</v>
      </c>
      <c r="E9" s="7" t="str" cm="1">
        <f t="array" ref="E9">_xll.qwBlmUniqueID($A$1,B9)</f>
        <v>IX40586912-0</v>
      </c>
      <c r="F9" t="str" cm="1">
        <f t="array" ref="F9">_xll.qwBlmID($A$1,B9)</f>
        <v>USOSFRB Curncy</v>
      </c>
      <c r="G9" cm="1">
        <f t="array" ref="G9">_xll.qwBid($A$1,B9)</f>
        <v>3.9065900000000001E-2</v>
      </c>
      <c r="H9" t="str" cm="1">
        <f t="array" ref="H9">_xll.qwCalName(B9)</f>
        <v>US</v>
      </c>
      <c r="I9" cm="1">
        <f t="array" ref="I9">_xll.qwCarry($A$1,B9,2)</f>
        <v>0</v>
      </c>
      <c r="J9" cm="1">
        <f t="array" ref="J9">_xll.qwConvexity($A$1,B9)</f>
        <v>7.1833791418646209E-8</v>
      </c>
      <c r="K9" s="12" cm="1">
        <f t="array" ref="K9">_xll.qwCurveYield($A$1,$A$2,B9)</f>
        <v>3.9091999999355177E-2</v>
      </c>
      <c r="L9" s="11" cm="1">
        <f t="array" ref="L9">_xll.qwCurvePrice($A$1,"SOFRSwap",B9)</f>
        <v>0</v>
      </c>
      <c r="M9" s="4" t="e" cm="1">
        <f t="array" ref="M9">_xll.qwDelta(A7,B18)</f>
        <v>#NUM!</v>
      </c>
      <c r="N9" s="8" cm="1">
        <f t="array" ref="N9">_xll.qwDV01($A$1,B9)</f>
        <v>1.7108209532993189E-3</v>
      </c>
      <c r="O9" s="4" cm="1">
        <f t="array" ref="O9">_xll.qwEffective($A$1,B9)</f>
        <v>46280</v>
      </c>
      <c r="P9" cm="1">
        <f t="array" ref="P9">_xll.qwIncomeOvernight($A$1,B9)</f>
        <v>0</v>
      </c>
      <c r="Q9" cm="1">
        <f t="array" ref="Q9">_xll.qwMaturity($A$1,B9)</f>
        <v>46341</v>
      </c>
      <c r="R9" s="8" cm="1">
        <f t="array" ref="R9">_xll.qwMV01($A$1,B9)</f>
        <v>17.10820953299319</v>
      </c>
      <c r="S9" s="7" cm="1">
        <f t="array" ref="S9">_xll.qwMVFactor($A$1,B9)</f>
        <v>10000</v>
      </c>
      <c r="T9" s="7" cm="1">
        <f t="array" ref="T9">_xll.qwPrice($A$1,B9)</f>
        <v>0</v>
      </c>
      <c r="U9" s="7" t="e" cm="1">
        <f t="array" ref="U9">_xll.qwRate($A$1,B9)</f>
        <v>#NUM!</v>
      </c>
      <c r="V9" s="5" t="e" cm="1">
        <f t="array" ref="V9">_xll.qwRelevantCoupon($A$1,B9)</f>
        <v>#NUM!</v>
      </c>
      <c r="W9" s="7" t="str" cm="1">
        <f t="array" ref="W9">_xll.qwRelevantCurve($A$1,B9)</f>
        <v>SOFRSWAP</v>
      </c>
      <c r="X9" s="1" t="e" cm="1">
        <f t="array" ref="X9">_xll.qwRateSpread($A$1,B9)</f>
        <v>#NUM!</v>
      </c>
      <c r="Y9" s="13" cm="1">
        <f t="array" ref="Y9">_xll.qwSettle($A$1,B9)</f>
        <v>46280</v>
      </c>
      <c r="Z9" t="str" cm="1">
        <f t="array" ref="Z9">_xll.qwSwapDiscountCurve($A$1,B9)</f>
        <v>SOFRSWAP</v>
      </c>
      <c r="AA9" s="8" cm="1">
        <f t="array" ref="AA9">_xll.qwSwapFixedRate($A$1,B9)</f>
        <v>3.9092000000000002E-2</v>
      </c>
      <c r="AB9" s="4" t="str" cm="1">
        <f t="array" ref="AB9">_xll.qwSwapFloatIndex($A$1,B9)</f>
        <v>SOFRRATE</v>
      </c>
      <c r="AC9" s="6" t="str" cm="1">
        <f t="array" ref="AC9">_xll.qwSwapResetCurve($A$1,B9)</f>
        <v>CRV.USOSFRBRESETS</v>
      </c>
      <c r="AD9" s="2" cm="1">
        <f t="array" ref="AD9">_xll.qwSwapResetDate($A$1,B9)</f>
        <v>46276</v>
      </c>
      <c r="AE9" s="8" cm="1">
        <f t="array" ref="AE9">_xll.qwSwapResetRate($A$1,B9)</f>
        <v>3.8963073477938925E-2</v>
      </c>
      <c r="AF9" t="str" cm="1">
        <f t="array" ref="AF9">_xll.qwSecType(B9)</f>
        <v>SwapBM</v>
      </c>
      <c r="AG9" s="8" cm="1">
        <f t="array" ref="AG9">_xll.qwYield($A$1,B9)</f>
        <v>3.9092000000000002E-2</v>
      </c>
      <c r="AH9" s="10" cm="1">
        <f t="array" ref="AH9">_xll.qwValBP($A$1,B9)</f>
        <v>1.7107048605204153E-3</v>
      </c>
      <c r="AI9" t="str" cm="1">
        <f t="array" ref="AI9">_xll.qwTenor($A$1,B9)</f>
        <v>2M</v>
      </c>
      <c r="AJ9" cm="1">
        <f t="array" ref="AJ9">_xll.qwYield($A$1,B9)</f>
        <v>3.9092000000000002E-2</v>
      </c>
      <c r="AK9">
        <v>48106</v>
      </c>
      <c r="AL9">
        <v>4.7009942777999996</v>
      </c>
      <c r="AM9">
        <v>48106</v>
      </c>
      <c r="AN9">
        <v>4.5436147238512916</v>
      </c>
    </row>
    <row r="10" spans="1:47" x14ac:dyDescent="0.25">
      <c r="B10" t="str">
        <v>USOSFRC</v>
      </c>
      <c r="C10" t="str" cm="1">
        <f t="array" ref="C10">_xll.qwAlias($A$1,B10)</f>
        <v>SW SOFRRATE R 3.95661 9/15/26-12/15/26*</v>
      </c>
      <c r="D10" s="8" cm="1">
        <f t="array" ref="D10">_xll.qwAsk($A$1,B10)</f>
        <v>3.9592999999999996E-2</v>
      </c>
      <c r="E10" s="7" t="str" cm="1">
        <f t="array" ref="E10">_xll.qwBlmUniqueID($A$1,B10)</f>
        <v>IX40586918-0</v>
      </c>
      <c r="F10" t="str" cm="1">
        <f t="array" ref="F10">_xll.qwBlmID($A$1,B10)</f>
        <v>USOSFRC Curncy</v>
      </c>
      <c r="G10" cm="1">
        <f t="array" ref="G10">_xll.qwBid($A$1,B10)</f>
        <v>3.9539200000000004E-2</v>
      </c>
      <c r="H10" t="str" cm="1">
        <f t="array" ref="H10">_xll.qwCalName(B10)</f>
        <v>US</v>
      </c>
      <c r="I10" cm="1">
        <f t="array" ref="I10">_xll.qwCarry($A$1,B10,2)</f>
        <v>0</v>
      </c>
      <c r="J10" cm="1">
        <f t="array" ref="J10">_xll.qwConvexity($A$1,B10)</f>
        <v>1.2539753049822799E-7</v>
      </c>
      <c r="K10" s="12" cm="1">
        <f t="array" ref="K10">_xll.qwCurveYield($A$1,$A$2,B10)</f>
        <v>3.9566099998681735E-2</v>
      </c>
      <c r="L10" s="11" cm="1">
        <f t="array" ref="L10">_xll.qwCurvePrice($A$1,"SOFRSwap",B10)</f>
        <v>0</v>
      </c>
      <c r="M10" s="4" t="e" cm="1">
        <f t="array" ref="M10">_xll.qwDelta(A8,B19)</f>
        <v>#NUM!</v>
      </c>
      <c r="N10" s="8" cm="1">
        <f t="array" ref="N10">_xll.qwDV01($A$1,B10)</f>
        <v>2.5037576133506139E-3</v>
      </c>
      <c r="O10" s="4" cm="1">
        <f t="array" ref="O10">_xll.qwEffective($A$1,B10)</f>
        <v>46280</v>
      </c>
      <c r="P10" cm="1">
        <f t="array" ref="P10">_xll.qwIncomeOvernight($A$1,B10)</f>
        <v>0</v>
      </c>
      <c r="Q10" cm="1">
        <f t="array" ref="Q10">_xll.qwMaturity($A$1,B10)</f>
        <v>46371</v>
      </c>
      <c r="R10" s="8" cm="1">
        <f t="array" ref="R10">_xll.qwMV01($A$1,B10)</f>
        <v>25.037576133506139</v>
      </c>
      <c r="S10" s="7" cm="1">
        <f t="array" ref="S10">_xll.qwMVFactor($A$1,B10)</f>
        <v>10000</v>
      </c>
      <c r="T10" s="7" cm="1">
        <f t="array" ref="T10">_xll.qwPrice($A$1,B10)</f>
        <v>0</v>
      </c>
      <c r="U10" s="7" t="e" cm="1">
        <f t="array" ref="U10">_xll.qwRate($A$1,B10)</f>
        <v>#NUM!</v>
      </c>
      <c r="V10" s="5" t="e" cm="1">
        <f t="array" ref="V10">_xll.qwRelevantCoupon($A$1,B10)</f>
        <v>#NUM!</v>
      </c>
      <c r="W10" s="7" t="str" cm="1">
        <f t="array" ref="W10">_xll.qwRelevantCurve($A$1,B10)</f>
        <v>SOFRSWAP</v>
      </c>
      <c r="X10" s="1" t="e" cm="1">
        <f t="array" ref="X10">_xll.qwRateSpread($A$1,B10)</f>
        <v>#NUM!</v>
      </c>
      <c r="Y10" s="13" cm="1">
        <f t="array" ref="Y10">_xll.qwSettle($A$1,B10)</f>
        <v>46280</v>
      </c>
      <c r="Z10" t="str" cm="1">
        <f t="array" ref="Z10">_xll.qwSwapDiscountCurve($A$1,B10)</f>
        <v>SOFRSWAP</v>
      </c>
      <c r="AA10" s="8" cm="1">
        <f t="array" ref="AA10">_xll.qwSwapFixedRate($A$1,B10)</f>
        <v>3.95661E-2</v>
      </c>
      <c r="AB10" s="4" t="str" cm="1">
        <f t="array" ref="AB10">_xll.qwSwapFloatIndex($A$1,B10)</f>
        <v>SOFRRATE</v>
      </c>
      <c r="AC10" s="6" t="str" cm="1">
        <f t="array" ref="AC10">_xll.qwSwapResetCurve($A$1,B10)</f>
        <v>CRV.USOSFRCRESETS</v>
      </c>
      <c r="AD10" s="2" cm="1">
        <f t="array" ref="AD10">_xll.qwSwapResetDate($A$1,B10)</f>
        <v>46276</v>
      </c>
      <c r="AE10" s="8" cm="1">
        <f t="array" ref="AE10">_xll.qwSwapResetRate($A$1,B10)</f>
        <v>3.9371673933918938E-2</v>
      </c>
      <c r="AF10" t="str" cm="1">
        <f t="array" ref="AF10">_xll.qwSecType(B10)</f>
        <v>SwapBM</v>
      </c>
      <c r="AG10" s="8" cm="1">
        <f t="array" ref="AG10">_xll.qwYield($A$1,B10)</f>
        <v>3.95661E-2</v>
      </c>
      <c r="AH10" s="10" cm="1">
        <f t="array" ref="AH10">_xll.qwValBP($A$1,B10)</f>
        <v>2.5027467514701219E-3</v>
      </c>
      <c r="AI10" t="str" cm="1">
        <f t="array" ref="AI10">_xll.qwTenor($A$1,B10)</f>
        <v>3M</v>
      </c>
      <c r="AJ10" cm="1">
        <f t="array" ref="AJ10">_xll.qwYield($A$1,B10)</f>
        <v>3.95661E-2</v>
      </c>
      <c r="AK10">
        <v>48472</v>
      </c>
      <c r="AL10">
        <v>4.7268239166999999</v>
      </c>
      <c r="AM10">
        <v>48472</v>
      </c>
      <c r="AN10">
        <v>4.6209978176969742</v>
      </c>
    </row>
    <row r="11" spans="1:47" x14ac:dyDescent="0.25">
      <c r="B11" t="str">
        <v>USOSFRD</v>
      </c>
      <c r="C11" t="str" cm="1">
        <f t="array" ref="C11">_xll.qwAlias($A$1,B11)</f>
        <v>SW SOFRRATE R 4.024895 9/15/26-1/15/27*</v>
      </c>
      <c r="D11" s="8" cm="1">
        <f t="array" ref="D11">_xll.qwAsk($A$1,B11)</f>
        <v>4.0272500000000003E-2</v>
      </c>
      <c r="E11" s="7" t="str" cm="1">
        <f t="array" ref="E11">_xll.qwBlmUniqueID($A$1,B11)</f>
        <v>IX40586930-0</v>
      </c>
      <c r="F11" t="str" cm="1">
        <f t="array" ref="F11">_xll.qwBlmID($A$1,B11)</f>
        <v>USOSFRD Curncy</v>
      </c>
      <c r="G11" cm="1">
        <f t="array" ref="G11">_xll.qwBid($A$1,B11)</f>
        <v>4.0225400000000001E-2</v>
      </c>
      <c r="H11" t="str" cm="1">
        <f t="array" ref="H11">_xll.qwCalName(B11)</f>
        <v>US</v>
      </c>
      <c r="I11" cm="1">
        <f t="array" ref="I11">_xll.qwCarry($A$1,B11,2)</f>
        <v>0</v>
      </c>
      <c r="J11" cm="1">
        <f t="array" ref="J11">_xll.qwConvexity($A$1,B11)</f>
        <v>1.9643398498775388E-7</v>
      </c>
      <c r="K11" s="12" cm="1">
        <f t="array" ref="K11">_xll.qwCurveYield($A$1,$A$2,B11)</f>
        <v>4.0248949998688263E-2</v>
      </c>
      <c r="L11" s="11" cm="1">
        <f t="array" ref="L11">_xll.qwCurvePrice($A$1,"SOFRSwap",B11)</f>
        <v>0</v>
      </c>
      <c r="M11" s="4" t="e" cm="1">
        <f t="array" ref="M11">_xll.qwDelta(A9,B20)</f>
        <v>#NUM!</v>
      </c>
      <c r="N11" s="8" cm="1">
        <f t="array" ref="N11">_xll.qwDV01($A$1,B11)</f>
        <v>3.3445285096306591E-3</v>
      </c>
      <c r="O11" s="4" cm="1">
        <f t="array" ref="O11">_xll.qwEffective($A$1,B11)</f>
        <v>46280</v>
      </c>
      <c r="P11" cm="1">
        <f t="array" ref="P11">_xll.qwIncomeOvernight($A$1,B11)</f>
        <v>0</v>
      </c>
      <c r="Q11" cm="1">
        <f t="array" ref="Q11">_xll.qwMaturity($A$1,B11)</f>
        <v>46402</v>
      </c>
      <c r="R11" s="8" cm="1">
        <f t="array" ref="R11">_xll.qwMV01($A$1,B11)</f>
        <v>33.445285096306591</v>
      </c>
      <c r="S11" s="7" cm="1">
        <f t="array" ref="S11">_xll.qwMVFactor($A$1,B11)</f>
        <v>10000</v>
      </c>
      <c r="T11" s="7" cm="1">
        <f t="array" ref="T11">_xll.qwPrice($A$1,B11)</f>
        <v>0</v>
      </c>
      <c r="U11" s="7" t="e" cm="1">
        <f t="array" ref="U11">_xll.qwRate($A$1,B11)</f>
        <v>#NUM!</v>
      </c>
      <c r="V11" s="5" t="e" cm="1">
        <f t="array" ref="V11">_xll.qwRelevantCoupon($A$1,B11)</f>
        <v>#NUM!</v>
      </c>
      <c r="W11" s="7" t="str" cm="1">
        <f t="array" ref="W11">_xll.qwRelevantCurve($A$1,B11)</f>
        <v>SOFRSWAP</v>
      </c>
      <c r="X11" s="1" t="e" cm="1">
        <f t="array" ref="X11">_xll.qwRateSpread($A$1,B11)</f>
        <v>#NUM!</v>
      </c>
      <c r="Y11" s="13" cm="1">
        <f t="array" ref="Y11">_xll.qwSettle($A$1,B11)</f>
        <v>46280</v>
      </c>
      <c r="Z11" t="str" cm="1">
        <f t="array" ref="Z11">_xll.qwSwapDiscountCurve($A$1,B11)</f>
        <v>SOFRSWAP</v>
      </c>
      <c r="AA11" s="8" cm="1">
        <f t="array" ref="AA11">_xll.qwSwapFixedRate($A$1,B11)</f>
        <v>4.0248950000000006E-2</v>
      </c>
      <c r="AB11" s="4" t="str" cm="1">
        <f t="array" ref="AB11">_xll.qwSwapFloatIndex($A$1,B11)</f>
        <v>SOFRRATE</v>
      </c>
      <c r="AC11" s="6" t="str" cm="1">
        <f t="array" ref="AC11">_xll.qwSwapResetCurve($A$1,B11)</f>
        <v>CRV.USOSFRDRESETS</v>
      </c>
      <c r="AD11" s="2" cm="1">
        <f t="array" ref="AD11">_xll.qwSwapResetDate($A$1,B11)</f>
        <v>46276</v>
      </c>
      <c r="AE11" s="8" cm="1">
        <f t="array" ref="AE11">_xll.qwSwapResetRate($A$1,B11)</f>
        <v>3.9979113875786565E-2</v>
      </c>
      <c r="AF11" t="str" cm="1">
        <f t="array" ref="AF11">_xll.qwSecType(B11)</f>
        <v>SwapBM</v>
      </c>
      <c r="AG11" s="8" cm="1">
        <f t="array" ref="AG11">_xll.qwYield($A$1,B11)</f>
        <v>4.0248950000000006E-2</v>
      </c>
      <c r="AH11" s="10" cm="1">
        <f t="array" ref="AH11">_xll.qwValBP($A$1,B11)</f>
        <v>3.3432867299720971E-3</v>
      </c>
      <c r="AI11" t="str" cm="1">
        <f t="array" ref="AI11">_xll.qwTenor($A$1,B11)</f>
        <v>4M</v>
      </c>
      <c r="AJ11" cm="1">
        <f t="array" ref="AJ11">_xll.qwYield($A$1,B11)</f>
        <v>4.0248950000000006E-2</v>
      </c>
      <c r="AK11">
        <v>48837</v>
      </c>
      <c r="AL11">
        <v>4.7139090972000002</v>
      </c>
      <c r="AM11">
        <v>48837</v>
      </c>
      <c r="AN11">
        <v>4.6594962129974391</v>
      </c>
    </row>
    <row r="12" spans="1:47" x14ac:dyDescent="0.25">
      <c r="B12" t="str">
        <v>USOSFRE</v>
      </c>
      <c r="C12" t="str" cm="1">
        <f t="array" ref="C12">_xll.qwAlias($A$1,B12)</f>
        <v>SW SOFRRATE R 4.07718 9/15/26-2/15/27*</v>
      </c>
      <c r="D12" s="8" cm="1">
        <f t="array" ref="D12">_xll.qwAsk($A$1,B12)</f>
        <v>4.07953E-2</v>
      </c>
      <c r="E12" s="7" t="str" cm="1">
        <f t="array" ref="E12">_xll.qwBlmUniqueID($A$1,B12)</f>
        <v>IX40586936-0</v>
      </c>
      <c r="F12" t="str" cm="1">
        <f t="array" ref="F12">_xll.qwBlmID($A$1,B12)</f>
        <v>USOSFRE Curncy</v>
      </c>
      <c r="G12" cm="1">
        <f t="array" ref="G12">_xll.qwBid($A$1,B12)</f>
        <v>4.0748300000000001E-2</v>
      </c>
      <c r="H12" t="str" cm="1">
        <f t="array" ref="H12">_xll.qwCalName(B12)</f>
        <v>US</v>
      </c>
      <c r="I12" cm="1">
        <f t="array" ref="I12">_xll.qwCarry($A$1,B12,2)</f>
        <v>0</v>
      </c>
      <c r="J12" cm="1">
        <f t="array" ref="J12">_xll.qwConvexity($A$1,B12)</f>
        <v>2.8500052848962065E-7</v>
      </c>
      <c r="K12" s="12" cm="1">
        <f t="array" ref="K12">_xll.qwCurveYield($A$1,$A$2,B12)</f>
        <v>4.0771800000000434E-2</v>
      </c>
      <c r="L12" s="11" cm="1">
        <f t="array" ref="L12">_xll.qwCurvePrice($A$1,"SOFRSwap",B12)</f>
        <v>0</v>
      </c>
      <c r="M12" s="4" t="e" cm="1">
        <f t="array" ref="M12">_xll.qwDelta(A10,B21)</f>
        <v>#NUM!</v>
      </c>
      <c r="N12" s="8" cm="1">
        <f t="array" ref="N12">_xll.qwDV01($A$1,B12)</f>
        <v>4.2061299660867274E-3</v>
      </c>
      <c r="O12" s="4" cm="1">
        <f t="array" ref="O12">_xll.qwEffective($A$1,B12)</f>
        <v>46280</v>
      </c>
      <c r="P12" cm="1">
        <f t="array" ref="P12">_xll.qwIncomeOvernight($A$1,B12)</f>
        <v>0</v>
      </c>
      <c r="Q12" cm="1">
        <f t="array" ref="Q12">_xll.qwMaturity($A$1,B12)</f>
        <v>46433</v>
      </c>
      <c r="R12" s="8" cm="1">
        <f t="array" ref="R12">_xll.qwMV01($A$1,B12)</f>
        <v>42.061299660867277</v>
      </c>
      <c r="S12" s="7" cm="1">
        <f t="array" ref="S12">_xll.qwMVFactor($A$1,B12)</f>
        <v>10000</v>
      </c>
      <c r="T12" s="7" cm="1">
        <f t="array" ref="T12">_xll.qwPrice($A$1,B12)</f>
        <v>0</v>
      </c>
      <c r="U12" s="7" t="e" cm="1">
        <f t="array" ref="U12">_xll.qwRate($A$1,B12)</f>
        <v>#NUM!</v>
      </c>
      <c r="V12" s="5" t="e" cm="1">
        <f t="array" ref="V12">_xll.qwRelevantCoupon($A$1,B12)</f>
        <v>#NUM!</v>
      </c>
      <c r="W12" s="7" t="str" cm="1">
        <f t="array" ref="W12">_xll.qwRelevantCurve($A$1,B12)</f>
        <v>SOFRSWAP</v>
      </c>
      <c r="X12" s="1" t="e" cm="1">
        <f t="array" ref="X12">_xll.qwRateSpread($A$1,B12)</f>
        <v>#NUM!</v>
      </c>
      <c r="Y12" s="13" cm="1">
        <f t="array" ref="Y12">_xll.qwSettle($A$1,B12)</f>
        <v>46280</v>
      </c>
      <c r="Z12" t="str" cm="1">
        <f t="array" ref="Z12">_xll.qwSwapDiscountCurve($A$1,B12)</f>
        <v>SOFRSWAP</v>
      </c>
      <c r="AA12" s="8" cm="1">
        <f t="array" ref="AA12">_xll.qwSwapFixedRate($A$1,B12)</f>
        <v>4.0771799999999997E-2</v>
      </c>
      <c r="AB12" s="4" t="str" cm="1">
        <f t="array" ref="AB12">_xll.qwSwapFloatIndex($A$1,B12)</f>
        <v>SOFRRATE</v>
      </c>
      <c r="AC12" s="6" t="str" cm="1">
        <f t="array" ref="AC12">_xll.qwSwapResetCurve($A$1,B12)</f>
        <v>CRV.USOSFRERESETS</v>
      </c>
      <c r="AD12" s="2" cm="1">
        <f t="array" ref="AD12">_xll.qwSwapResetDate($A$1,B12)</f>
        <v>46276</v>
      </c>
      <c r="AE12" s="8" cm="1">
        <f t="array" ref="AE12">_xll.qwSwapResetRate($A$1,B12)</f>
        <v>4.0422563078410523E-2</v>
      </c>
      <c r="AF12" t="str" cm="1">
        <f t="array" ref="AF12">_xll.qwSecType(B12)</f>
        <v>SwapBM</v>
      </c>
      <c r="AG12" s="8" cm="1">
        <f t="array" ref="AG12">_xll.qwYield($A$1,B12)</f>
        <v>4.0771799999999997E-2</v>
      </c>
      <c r="AH12" s="10" cm="1">
        <f t="array" ref="AH12">_xll.qwValBP($A$1,B12)</f>
        <v>4.2044469063051825E-3</v>
      </c>
      <c r="AI12" t="str" cm="1">
        <f t="array" ref="AI12">_xll.qwTenor($A$1,B12)</f>
        <v>5M</v>
      </c>
      <c r="AJ12" cm="1">
        <f t="array" ref="AJ12">_xll.qwYield($A$1,B12)</f>
        <v>4.0771799999999997E-2</v>
      </c>
      <c r="AK12">
        <v>49202</v>
      </c>
      <c r="AL12">
        <v>4.7139090972000002</v>
      </c>
      <c r="AM12">
        <v>49202</v>
      </c>
      <c r="AN12">
        <v>4.7220590543711296</v>
      </c>
      <c r="AU12" s="1"/>
    </row>
    <row r="13" spans="1:47" x14ac:dyDescent="0.25">
      <c r="B13" t="str">
        <v>USOSFRF</v>
      </c>
      <c r="C13" t="str" cm="1">
        <f t="array" ref="C13">_xll.qwAlias($A$1,B13)</f>
        <v>SW SOFRRATE R 4.11454 9/15/26-3/15/27*</v>
      </c>
      <c r="D13" s="8" cm="1">
        <f t="array" ref="D13">_xll.qwAsk($A$1,B13)</f>
        <v>4.1168699999999996E-2</v>
      </c>
      <c r="E13" s="7" t="str" cm="1">
        <f t="array" ref="E13">_xll.qwBlmUniqueID($A$1,B13)</f>
        <v>IX40586948-0</v>
      </c>
      <c r="F13" t="str" cm="1">
        <f t="array" ref="F13">_xll.qwBlmID($A$1,B13)</f>
        <v>USOSFRF Curncy</v>
      </c>
      <c r="G13" cm="1">
        <f t="array" ref="G13">_xll.qwBid($A$1,B13)</f>
        <v>4.1122100000000002E-2</v>
      </c>
      <c r="H13" t="str" cm="1">
        <f t="array" ref="H13">_xll.qwCalName(B13)</f>
        <v>US</v>
      </c>
      <c r="I13" cm="1">
        <f t="array" ref="I13">_xll.qwCarry($A$1,B13,2)</f>
        <v>0</v>
      </c>
      <c r="J13" cm="1">
        <f t="array" ref="J13">_xll.qwConvexity($A$1,B13)</f>
        <v>3.718206134928348E-7</v>
      </c>
      <c r="K13" s="12" cm="1">
        <f t="array" ref="K13">_xll.qwCurveYield($A$1,$A$2,B13)</f>
        <v>4.1145400000442083E-2</v>
      </c>
      <c r="L13" s="11" cm="1">
        <f t="array" ref="L13">_xll.qwCurvePrice($A$1,"SOFRSwap",B13)</f>
        <v>0</v>
      </c>
      <c r="M13" s="4" t="e" cm="1">
        <f t="array" ref="M13">_xll.qwDelta(A11,B22)</f>
        <v>#NUM!</v>
      </c>
      <c r="N13" s="8" cm="1">
        <f t="array" ref="N13">_xll.qwDV01($A$1,B13)</f>
        <v>4.9279916268333062E-3</v>
      </c>
      <c r="O13" s="4" cm="1">
        <f t="array" ref="O13">_xll.qwEffective($A$1,B13)</f>
        <v>46280</v>
      </c>
      <c r="P13" cm="1">
        <f t="array" ref="P13">_xll.qwIncomeOvernight($A$1,B13)</f>
        <v>0</v>
      </c>
      <c r="Q13" cm="1">
        <f t="array" ref="Q13">_xll.qwMaturity($A$1,B13)</f>
        <v>46461</v>
      </c>
      <c r="R13" s="8" cm="1">
        <f t="array" ref="R13">_xll.qwMV01($A$1,B13)</f>
        <v>49.279916268333061</v>
      </c>
      <c r="S13" s="7" cm="1">
        <f t="array" ref="S13">_xll.qwMVFactor($A$1,B13)</f>
        <v>10000</v>
      </c>
      <c r="T13" s="7" cm="1">
        <f t="array" ref="T13">_xll.qwPrice($A$1,B13)</f>
        <v>0</v>
      </c>
      <c r="U13" s="7" t="e" cm="1">
        <f t="array" ref="U13">_xll.qwRate($A$1,B13)</f>
        <v>#NUM!</v>
      </c>
      <c r="V13" s="5" t="e" cm="1">
        <f t="array" ref="V13">_xll.qwRelevantCoupon($A$1,B13)</f>
        <v>#NUM!</v>
      </c>
      <c r="W13" s="7" t="str" cm="1">
        <f t="array" ref="W13">_xll.qwRelevantCurve($A$1,B13)</f>
        <v>SOFRSWAP</v>
      </c>
      <c r="X13" s="1" t="e" cm="1">
        <f t="array" ref="X13">_xll.qwRateSpread($A$1,B13)</f>
        <v>#NUM!</v>
      </c>
      <c r="Y13" s="13" cm="1">
        <f t="array" ref="Y13">_xll.qwSettle($A$1,B13)</f>
        <v>46280</v>
      </c>
      <c r="Z13" t="str" cm="1">
        <f t="array" ref="Z13">_xll.qwSwapDiscountCurve($A$1,B13)</f>
        <v>SOFRSWAP</v>
      </c>
      <c r="AA13" s="8" cm="1">
        <f t="array" ref="AA13">_xll.qwSwapFixedRate($A$1,B13)</f>
        <v>4.1145399999999999E-2</v>
      </c>
      <c r="AB13" s="4" t="str" cm="1">
        <f t="array" ref="AB13">_xll.qwSwapFloatIndex($A$1,B13)</f>
        <v>SOFRRATE</v>
      </c>
      <c r="AC13" s="6" t="str" cm="1">
        <f t="array" ref="AC13">_xll.qwSwapResetCurve($A$1,B13)</f>
        <v>CRV.USOSFRFRESETS</v>
      </c>
      <c r="AD13" s="2" cm="1">
        <f t="array" ref="AD13">_xll.qwSwapResetDate($A$1,B13)</f>
        <v>46276</v>
      </c>
      <c r="AE13" s="8" cm="1">
        <f t="array" ref="AE13">_xll.qwSwapResetRate($A$1,B13)</f>
        <v>4.0727864638053779E-2</v>
      </c>
      <c r="AF13" t="str" cm="1">
        <f t="array" ref="AF13">_xll.qwSecType(B13)</f>
        <v>SwapBM</v>
      </c>
      <c r="AG13" s="8" cm="1">
        <f t="array" ref="AG13">_xll.qwYield($A$1,B13)</f>
        <v>4.1145399999999999E-2</v>
      </c>
      <c r="AH13" s="10" cm="1">
        <f t="array" ref="AH13">_xll.qwValBP($A$1,B13)</f>
        <v>4.9258762339187924E-3</v>
      </c>
      <c r="AI13" t="str" cm="1">
        <f t="array" ref="AI13">_xll.qwTenor($A$1,B13)</f>
        <v>6M</v>
      </c>
      <c r="AJ13" cm="1">
        <f t="array" ref="AJ13">_xll.qwYield($A$1,B13)</f>
        <v>4.1145399999999999E-2</v>
      </c>
      <c r="AK13">
        <v>49569</v>
      </c>
      <c r="AL13">
        <v>4.7397387360999996</v>
      </c>
      <c r="AM13">
        <v>49569</v>
      </c>
      <c r="AN13">
        <v>4.8150683668617802</v>
      </c>
    </row>
    <row r="14" spans="1:47" x14ac:dyDescent="0.25">
      <c r="B14" t="str">
        <v>USOSFRG</v>
      </c>
      <c r="C14" t="str" cm="1">
        <f t="array" ref="C14">_xll.qwAlias($A$1,B14)</f>
        <v>SW SOFRRATE R 4.16737 9/15/26-4/15/27*</v>
      </c>
      <c r="D14" s="8" cm="1">
        <f t="array" ref="D14">_xll.qwAsk($A$1,B14)</f>
        <v>4.1696299999999999E-2</v>
      </c>
      <c r="E14" s="7" t="str" cm="1">
        <f t="array" ref="E14">_xll.qwBlmUniqueID($A$1,B14)</f>
        <v>IX40586954-0</v>
      </c>
      <c r="F14" t="str" cm="1">
        <f t="array" ref="F14">_xll.qwBlmID($A$1,B14)</f>
        <v>USOSFRG Curncy</v>
      </c>
      <c r="G14" cm="1">
        <f t="array" ref="G14">_xll.qwBid($A$1,B14)</f>
        <v>4.1651100000000003E-2</v>
      </c>
      <c r="H14" t="str" cm="1">
        <f t="array" ref="H14">_xll.qwCalName(B14)</f>
        <v>US</v>
      </c>
      <c r="I14" cm="1">
        <f t="array" ref="I14">_xll.qwCarry($A$1,B14,2)</f>
        <v>0</v>
      </c>
      <c r="J14" cm="1">
        <f t="array" ref="J14">_xll.qwConvexity($A$1,B14)</f>
        <v>4.8538228150651896E-7</v>
      </c>
      <c r="K14" s="12" cm="1">
        <f t="array" ref="K14">_xll.qwCurveYield($A$1,$A$2,B14)</f>
        <v>4.1673700000188593E-2</v>
      </c>
      <c r="L14" s="11" cm="1">
        <f t="array" ref="L14">_xll.qwCurvePrice($A$1,"SOFRSwap",B14)</f>
        <v>0</v>
      </c>
      <c r="M14" s="4" t="e" cm="1">
        <f t="array" ref="M14">_xll.qwDelta(A12,B23)</f>
        <v>#NUM!</v>
      </c>
      <c r="N14" s="8" cm="1">
        <f t="array" ref="N14">_xll.qwDV01($A$1,B14)</f>
        <v>5.7499343322891753E-3</v>
      </c>
      <c r="O14" s="4" cm="1">
        <f t="array" ref="O14">_xll.qwEffective($A$1,B14)</f>
        <v>46280</v>
      </c>
      <c r="P14" cm="1">
        <f t="array" ref="P14">_xll.qwIncomeOvernight($A$1,B14)</f>
        <v>0</v>
      </c>
      <c r="Q14" cm="1">
        <f t="array" ref="Q14">_xll.qwMaturity($A$1,B14)</f>
        <v>46492</v>
      </c>
      <c r="R14" s="8" cm="1">
        <f t="array" ref="R14">_xll.qwMV01($A$1,B14)</f>
        <v>57.499343322891754</v>
      </c>
      <c r="S14" s="7" cm="1">
        <f t="array" ref="S14">_xll.qwMVFactor($A$1,B14)</f>
        <v>10000</v>
      </c>
      <c r="T14" s="7" cm="1">
        <f t="array" ref="T14">_xll.qwPrice($A$1,B14)</f>
        <v>0</v>
      </c>
      <c r="U14" s="7" t="e" cm="1">
        <f t="array" ref="U14">_xll.qwRate($A$1,B14)</f>
        <v>#NUM!</v>
      </c>
      <c r="V14" s="5" t="e" cm="1">
        <f t="array" ref="V14">_xll.qwRelevantCoupon($A$1,B14)</f>
        <v>#NUM!</v>
      </c>
      <c r="W14" s="7" t="str" cm="1">
        <f t="array" ref="W14">_xll.qwRelevantCurve($A$1,B14)</f>
        <v>SOFRSWAP</v>
      </c>
      <c r="X14" s="1" t="e" cm="1">
        <f t="array" ref="X14">_xll.qwRateSpread($A$1,B14)</f>
        <v>#NUM!</v>
      </c>
      <c r="Y14" s="13" cm="1">
        <f t="array" ref="Y14">_xll.qwSettle($A$1,B14)</f>
        <v>46280</v>
      </c>
      <c r="Z14" t="str" cm="1">
        <f t="array" ref="Z14">_xll.qwSwapDiscountCurve($A$1,B14)</f>
        <v>SOFRSWAP</v>
      </c>
      <c r="AA14" s="8" cm="1">
        <f t="array" ref="AA14">_xll.qwSwapFixedRate($A$1,B14)</f>
        <v>4.1673700000000001E-2</v>
      </c>
      <c r="AB14" s="4" t="str" cm="1">
        <f t="array" ref="AB14">_xll.qwSwapFloatIndex($A$1,B14)</f>
        <v>SOFRRATE</v>
      </c>
      <c r="AC14" s="6" t="str" cm="1">
        <f t="array" ref="AC14">_xll.qwSwapResetCurve($A$1,B14)</f>
        <v>CRV.USOSFRGRESETS</v>
      </c>
      <c r="AD14" s="2" cm="1">
        <f t="array" ref="AD14">_xll.qwSwapResetDate($A$1,B14)</f>
        <v>46276</v>
      </c>
      <c r="AE14" s="8" cm="1">
        <f t="array" ref="AE14">_xll.qwSwapResetRate($A$1,B14)</f>
        <v>4.1172876401706082E-2</v>
      </c>
      <c r="AF14" t="str" cm="1">
        <f t="array" ref="AF14">_xll.qwSecType(B14)</f>
        <v>SwapBM</v>
      </c>
      <c r="AG14" s="8" cm="1">
        <f t="array" ref="AG14">_xll.qwYield($A$1,B14)</f>
        <v>4.1673700000000001E-2</v>
      </c>
      <c r="AH14" s="10" cm="1">
        <f t="array" ref="AH14">_xll.qwValBP($A$1,B14)</f>
        <v>5.7478303667490389E-3</v>
      </c>
      <c r="AI14" t="str" cm="1">
        <f t="array" ref="AI14">_xll.qwTenor($A$1,B14)</f>
        <v>7M</v>
      </c>
      <c r="AJ14" cm="1">
        <f t="array" ref="AJ14">_xll.qwYield($A$1,B14)</f>
        <v>4.1673700000000001E-2</v>
      </c>
      <c r="AK14">
        <v>49933</v>
      </c>
      <c r="AL14">
        <v>4.7009942777999996</v>
      </c>
      <c r="AM14">
        <v>49933</v>
      </c>
      <c r="AN14">
        <v>4.8543014527565873</v>
      </c>
      <c r="AU14" s="1"/>
    </row>
    <row r="15" spans="1:47" x14ac:dyDescent="0.25">
      <c r="B15" t="str">
        <v>USOSFRH</v>
      </c>
      <c r="C15" t="str" cm="1">
        <f t="array" ref="C15">_xll.qwAlias($A$1,B15)</f>
        <v>SW SOFRRATE R 4.217615 9/15/26-5/15/27*</v>
      </c>
      <c r="D15" s="8" cm="1">
        <f t="array" ref="D15">_xll.qwAsk($A$1,B15)</f>
        <v>4.2199199999999999E-2</v>
      </c>
      <c r="E15" s="7" t="str" cm="1">
        <f t="array" ref="E15">_xll.qwBlmUniqueID($A$1,B15)</f>
        <v>IX40586960-0</v>
      </c>
      <c r="F15" t="str" cm="1">
        <f t="array" ref="F15">_xll.qwBlmID($A$1,B15)</f>
        <v>USOSFRH Curncy</v>
      </c>
      <c r="G15" cm="1">
        <f t="array" ref="G15">_xll.qwBid($A$1,B15)</f>
        <v>4.2153099999999999E-2</v>
      </c>
      <c r="H15" t="str" cm="1">
        <f t="array" ref="H15">_xll.qwCalName(B15)</f>
        <v>US</v>
      </c>
      <c r="I15" cm="1">
        <f t="array" ref="I15">_xll.qwCarry($A$1,B15,2)</f>
        <v>0</v>
      </c>
      <c r="J15" cm="1">
        <f t="array" ref="J15">_xll.qwConvexity($A$1,B15)</f>
        <v>6.1783020896544194E-7</v>
      </c>
      <c r="K15" s="12" cm="1">
        <f t="array" ref="K15">_xll.qwCurveYield($A$1,$A$2,B15)</f>
        <v>4.2176149999672008E-2</v>
      </c>
      <c r="L15" s="11" cm="1">
        <f t="array" ref="L15">_xll.qwCurvePrice($A$1,"SOFRSwap",B15)</f>
        <v>0</v>
      </c>
      <c r="M15" s="4" t="e" cm="1">
        <f t="array" ref="M15">_xll.qwDelta(A13,B24)</f>
        <v>#NUM!</v>
      </c>
      <c r="N15" s="8" cm="1">
        <f t="array" ref="N15">_xll.qwDV01($A$1,B15)</f>
        <v>6.5920481922449713E-3</v>
      </c>
      <c r="O15" s="4" cm="1">
        <f t="array" ref="O15">_xll.qwEffective($A$1,B15)</f>
        <v>46280</v>
      </c>
      <c r="P15" cm="1">
        <f t="array" ref="P15">_xll.qwIncomeOvernight($A$1,B15)</f>
        <v>0</v>
      </c>
      <c r="Q15" cm="1">
        <f t="array" ref="Q15">_xll.qwMaturity($A$1,B15)</f>
        <v>46522</v>
      </c>
      <c r="R15" s="8" cm="1">
        <f t="array" ref="R15">_xll.qwMV01($A$1,B15)</f>
        <v>65.92048192244971</v>
      </c>
      <c r="S15" s="7" cm="1">
        <f t="array" ref="S15">_xll.qwMVFactor($A$1,B15)</f>
        <v>10000</v>
      </c>
      <c r="T15" s="7" cm="1">
        <f t="array" ref="T15">_xll.qwPrice($A$1,B15)</f>
        <v>0</v>
      </c>
      <c r="U15" s="7" t="e" cm="1">
        <f t="array" ref="U15">_xll.qwRate($A$1,B15)</f>
        <v>#NUM!</v>
      </c>
      <c r="V15" s="5" t="e" cm="1">
        <f t="array" ref="V15">_xll.qwRelevantCoupon($A$1,B15)</f>
        <v>#NUM!</v>
      </c>
      <c r="W15" s="7" t="str" cm="1">
        <f t="array" ref="W15">_xll.qwRelevantCurve($A$1,B15)</f>
        <v>SOFRSWAP</v>
      </c>
      <c r="X15" s="1" t="e" cm="1">
        <f t="array" ref="X15">_xll.qwRateSpread($A$1,B15)</f>
        <v>#NUM!</v>
      </c>
      <c r="Y15" s="13" cm="1">
        <f t="array" ref="Y15">_xll.qwSettle($A$1,B15)</f>
        <v>46280</v>
      </c>
      <c r="Z15" t="str" cm="1">
        <f t="array" ref="Z15">_xll.qwSwapDiscountCurve($A$1,B15)</f>
        <v>SOFRSWAP</v>
      </c>
      <c r="AA15" s="8" cm="1">
        <f t="array" ref="AA15">_xll.qwSwapFixedRate($A$1,B15)</f>
        <v>4.2176149999999996E-2</v>
      </c>
      <c r="AB15" s="4" t="str" cm="1">
        <f t="array" ref="AB15">_xll.qwSwapFloatIndex($A$1,B15)</f>
        <v>SOFRRATE</v>
      </c>
      <c r="AC15" s="6" t="str" cm="1">
        <f t="array" ref="AC15">_xll.qwSwapResetCurve($A$1,B15)</f>
        <v>CRV.USOSFRHRESETS</v>
      </c>
      <c r="AD15" s="2" cm="1">
        <f t="array" ref="AD15">_xll.qwSwapResetDate($A$1,B15)</f>
        <v>46276</v>
      </c>
      <c r="AE15" s="8" cm="1">
        <f t="array" ref="AE15">_xll.qwSwapResetRate($A$1,B15)</f>
        <v>4.158694150026232E-2</v>
      </c>
      <c r="AF15" t="str" cm="1">
        <f t="array" ref="AF15">_xll.qwSecType(B15)</f>
        <v>SwapBM</v>
      </c>
      <c r="AG15" s="8" cm="1">
        <f t="array" ref="AG15">_xll.qwYield($A$1,B15)</f>
        <v>4.2176149999999996E-2</v>
      </c>
      <c r="AH15" s="10" cm="1">
        <f t="array" ref="AH15">_xll.qwValBP($A$1,B15)</f>
        <v>6.5894124778453937E-3</v>
      </c>
      <c r="AI15" t="str" cm="1">
        <f t="array" ref="AI15">_xll.qwTenor($A$1,B15)</f>
        <v>8M</v>
      </c>
      <c r="AJ15" cm="1">
        <f t="array" ref="AJ15">_xll.qwYield($A$1,B15)</f>
        <v>4.2176149999999996E-2</v>
      </c>
      <c r="AK15">
        <v>50298</v>
      </c>
      <c r="AL15">
        <v>4.7139090972000002</v>
      </c>
      <c r="AM15">
        <v>50298</v>
      </c>
      <c r="AN15">
        <v>4.9769952626676286</v>
      </c>
    </row>
    <row r="16" spans="1:47" x14ac:dyDescent="0.25">
      <c r="B16" t="str">
        <v>USOSFRI</v>
      </c>
      <c r="C16" t="str" cm="1">
        <f t="array" ref="C16">_xll.qwAlias($A$1,B16)</f>
        <v>SW SOFRRATE R 4.25995 9/15/26-6/15/27*</v>
      </c>
      <c r="D16" s="8" cm="1">
        <f t="array" ref="D16">_xll.qwAsk($A$1,B16)</f>
        <v>4.2620899999999996E-2</v>
      </c>
      <c r="E16" s="7" t="str" cm="1">
        <f t="array" ref="E16">_xll.qwBlmUniqueID($A$1,B16)</f>
        <v>IX40586972-0</v>
      </c>
      <c r="F16" t="str" cm="1">
        <f t="array" ref="F16">_xll.qwBlmID($A$1,B16)</f>
        <v>USOSFRI Curncy</v>
      </c>
      <c r="G16" cm="1">
        <f t="array" ref="G16">_xll.qwBid($A$1,B16)</f>
        <v>4.2578100000000001E-2</v>
      </c>
      <c r="H16" t="str" cm="1">
        <f t="array" ref="H16">_xll.qwCalName(B16)</f>
        <v>US</v>
      </c>
      <c r="I16" cm="1">
        <f t="array" ref="I16">_xll.qwCarry($A$1,B16,2)</f>
        <v>0</v>
      </c>
      <c r="J16" cm="1">
        <f t="array" ref="J16">_xll.qwConvexity($A$1,B16)</f>
        <v>7.5127382028611356E-7</v>
      </c>
      <c r="K16" s="12" cm="1">
        <f t="array" ref="K16">_xll.qwCurveYield($A$1,$A$2,B16)</f>
        <v>4.2599499999560406E-2</v>
      </c>
      <c r="L16" s="11" cm="1">
        <f t="array" ref="L16">_xll.qwCurvePrice($A$1,"SOFRSwap",B16)</f>
        <v>0</v>
      </c>
      <c r="M16" s="4" t="e" cm="1">
        <f t="array" ref="M16">_xll.qwDelta(A14,B25)</f>
        <v>#NUM!</v>
      </c>
      <c r="N16" s="8" cm="1">
        <f t="array" ref="N16">_xll.qwDV01($A$1,B16)</f>
        <v>7.3495168803033896E-3</v>
      </c>
      <c r="O16" s="4" cm="1">
        <f t="array" ref="O16">_xll.qwEffective($A$1,B16)</f>
        <v>46280</v>
      </c>
      <c r="P16" cm="1">
        <f t="array" ref="P16">_xll.qwIncomeOvernight($A$1,B16)</f>
        <v>0</v>
      </c>
      <c r="Q16" cm="1">
        <f t="array" ref="Q16">_xll.qwMaturity($A$1,B16)</f>
        <v>46553</v>
      </c>
      <c r="R16" s="8" cm="1">
        <f t="array" ref="R16">_xll.qwMV01($A$1,B16)</f>
        <v>73.495168803033891</v>
      </c>
      <c r="S16" s="7" cm="1">
        <f t="array" ref="S16">_xll.qwMVFactor($A$1,B16)</f>
        <v>10000</v>
      </c>
      <c r="T16" s="7" cm="1">
        <f t="array" ref="T16">_xll.qwPrice($A$1,B16)</f>
        <v>0</v>
      </c>
      <c r="U16" s="7" t="e" cm="1">
        <f t="array" ref="U16">_xll.qwRate($A$1,B16)</f>
        <v>#NUM!</v>
      </c>
      <c r="V16" s="5" t="e" cm="1">
        <f t="array" ref="V16">_xll.qwRelevantCoupon($A$1,B16)</f>
        <v>#NUM!</v>
      </c>
      <c r="W16" s="7" t="str" cm="1">
        <f t="array" ref="W16">_xll.qwRelevantCurve($A$1,B16)</f>
        <v>SOFRSWAP</v>
      </c>
      <c r="X16" s="1" t="e" cm="1">
        <f t="array" ref="X16">_xll.qwRateSpread($A$1,B16)</f>
        <v>#NUM!</v>
      </c>
      <c r="Y16" s="13" cm="1">
        <f t="array" ref="Y16">_xll.qwSettle($A$1,B16)</f>
        <v>46280</v>
      </c>
      <c r="Z16" t="str" cm="1">
        <f t="array" ref="Z16">_xll.qwSwapDiscountCurve($A$1,B16)</f>
        <v>SOFRSWAP</v>
      </c>
      <c r="AA16" s="8" cm="1">
        <f t="array" ref="AA16">_xll.qwSwapFixedRate($A$1,B16)</f>
        <v>4.2599499999999998E-2</v>
      </c>
      <c r="AB16" s="4" t="str" cm="1">
        <f t="array" ref="AB16">_xll.qwSwapFloatIndex($A$1,B16)</f>
        <v>SOFRRATE</v>
      </c>
      <c r="AC16" s="6" t="str" cm="1">
        <f t="array" ref="AC16">_xll.qwSwapResetCurve($A$1,B16)</f>
        <v>CRV.USOSFRIRESETS</v>
      </c>
      <c r="AD16" s="2" cm="1">
        <f t="array" ref="AD16">_xll.qwSwapResetDate($A$1,B16)</f>
        <v>46276</v>
      </c>
      <c r="AE16" s="8" cm="1">
        <f t="array" ref="AE16">_xll.qwSwapResetRate($A$1,B16)</f>
        <v>4.1928296444670998E-2</v>
      </c>
      <c r="AF16" t="str" cm="1">
        <f t="array" ref="AF16">_xll.qwSecType(B16)</f>
        <v>SwapBM</v>
      </c>
      <c r="AG16" s="8" cm="1">
        <f t="array" ref="AG16">_xll.qwYield($A$1,B16)</f>
        <v>4.2599499999999998E-2</v>
      </c>
      <c r="AH16" s="10" cm="1">
        <f t="array" ref="AH16">_xll.qwValBP($A$1,B16)</f>
        <v>7.3460228182312967E-3</v>
      </c>
      <c r="AI16" t="str" cm="1">
        <f t="array" ref="AI16">_xll.qwTenor($A$1,B16)</f>
        <v>9M</v>
      </c>
      <c r="AJ16" cm="1">
        <f t="array" ref="AJ16">_xll.qwYield($A$1,B16)</f>
        <v>4.2599499999999998E-2</v>
      </c>
      <c r="AK16">
        <v>50663</v>
      </c>
      <c r="AL16">
        <v>4.7139090972000002</v>
      </c>
      <c r="AM16">
        <v>50663</v>
      </c>
      <c r="AN16">
        <v>4.9769952626676286</v>
      </c>
      <c r="AU16" s="1"/>
    </row>
    <row r="17" spans="2:47" x14ac:dyDescent="0.25">
      <c r="B17" t="str">
        <v>USOSFRJ</v>
      </c>
      <c r="C17" t="str" cm="1">
        <f t="array" ref="C17">_xll.qwAlias($A$1,B17)</f>
        <v>SW SOFRRATE R 4.303635 9/15/26-7/15/27*</v>
      </c>
      <c r="D17" s="8" cm="1">
        <f t="array" ref="D17">_xll.qwAsk($A$1,B17)</f>
        <v>4.3057100000000001E-2</v>
      </c>
      <c r="E17" s="7" t="str" cm="1">
        <f t="array" ref="E17">_xll.qwBlmUniqueID($A$1,B17)</f>
        <v>IX40586984-0</v>
      </c>
      <c r="F17" t="str" cm="1">
        <f t="array" ref="F17">_xll.qwBlmID($A$1,B17)</f>
        <v>USOSFRJ Curncy</v>
      </c>
      <c r="G17" cm="1">
        <f t="array" ref="G17">_xll.qwBid($A$1,B17)</f>
        <v>4.3015600000000001E-2</v>
      </c>
      <c r="H17" t="str" cm="1">
        <f t="array" ref="H17">_xll.qwCalName(B17)</f>
        <v>US</v>
      </c>
      <c r="I17" cm="1">
        <f t="array" ref="I17">_xll.qwCarry($A$1,B17,2)</f>
        <v>0</v>
      </c>
      <c r="J17" cm="1">
        <f t="array" ref="J17">_xll.qwConvexity($A$1,B17)</f>
        <v>9.0295252560407269E-7</v>
      </c>
      <c r="K17" s="12" cm="1">
        <f t="array" ref="K17">_xll.qwCurveYield($A$1,$A$2,B17)</f>
        <v>4.3036349999999862E-2</v>
      </c>
      <c r="L17" s="11" cm="1">
        <f t="array" ref="L17">_xll.qwCurvePrice($A$1,"SOFRSwap",B17)</f>
        <v>0</v>
      </c>
      <c r="M17" s="4" t="e" cm="1">
        <f t="array" ref="M17">_xll.qwDelta(A15,B26)</f>
        <v>#NUM!</v>
      </c>
      <c r="N17" s="8" cm="1">
        <f t="array" ref="N17">_xll.qwDV01($A$1,B17)</f>
        <v>8.1262177407007159E-3</v>
      </c>
      <c r="O17" s="4" cm="1">
        <f t="array" ref="O17">_xll.qwEffective($A$1,B17)</f>
        <v>46280</v>
      </c>
      <c r="P17" cm="1">
        <f t="array" ref="P17">_xll.qwIncomeOvernight($A$1,B17)</f>
        <v>0</v>
      </c>
      <c r="Q17" cm="1">
        <f t="array" ref="Q17">_xll.qwMaturity($A$1,B17)</f>
        <v>46583</v>
      </c>
      <c r="R17" s="8" cm="1">
        <f t="array" ref="R17">_xll.qwMV01($A$1,B17)</f>
        <v>81.262177407007158</v>
      </c>
      <c r="S17" s="7" cm="1">
        <f t="array" ref="S17">_xll.qwMVFactor($A$1,B17)</f>
        <v>10000</v>
      </c>
      <c r="T17" s="7" cm="1">
        <f t="array" ref="T17">_xll.qwPrice($A$1,B17)</f>
        <v>0</v>
      </c>
      <c r="U17" s="7" t="e" cm="1">
        <f t="array" ref="U17">_xll.qwRate($A$1,B17)</f>
        <v>#NUM!</v>
      </c>
      <c r="V17" s="5" t="e" cm="1">
        <f t="array" ref="V17">_xll.qwRelevantCoupon($A$1,B17)</f>
        <v>#NUM!</v>
      </c>
      <c r="W17" s="7" t="str" cm="1">
        <f t="array" ref="W17">_xll.qwRelevantCurve($A$1,B17)</f>
        <v>SOFRSWAP</v>
      </c>
      <c r="X17" s="1" t="e" cm="1">
        <f t="array" ref="X17">_xll.qwRateSpread($A$1,B17)</f>
        <v>#NUM!</v>
      </c>
      <c r="Y17" s="13" cm="1">
        <f t="array" ref="Y17">_xll.qwSettle($A$1,B17)</f>
        <v>46280</v>
      </c>
      <c r="Z17" t="str" cm="1">
        <f t="array" ref="Z17">_xll.qwSwapDiscountCurve($A$1,B17)</f>
        <v>SOFRSWAP</v>
      </c>
      <c r="AA17" s="8" cm="1">
        <f t="array" ref="AA17">_xll.qwSwapFixedRate($A$1,B17)</f>
        <v>4.3036350000000001E-2</v>
      </c>
      <c r="AB17" s="4" t="str" cm="1">
        <f t="array" ref="AB17">_xll.qwSwapFloatIndex($A$1,B17)</f>
        <v>SOFRRATE</v>
      </c>
      <c r="AC17" s="6" t="str" cm="1">
        <f t="array" ref="AC17">_xll.qwSwapResetCurve($A$1,B17)</f>
        <v>CRV.USOSFRJRESETS</v>
      </c>
      <c r="AD17" s="2" cm="1">
        <f t="array" ref="AD17">_xll.qwSwapResetDate($A$1,B17)</f>
        <v>46276</v>
      </c>
      <c r="AE17" s="8" cm="1">
        <f t="array" ref="AE17">_xll.qwSwapResetRate($A$1,B17)</f>
        <v>4.2277686383248581E-2</v>
      </c>
      <c r="AF17" t="str" cm="1">
        <f t="array" ref="AF17">_xll.qwSecType(B17)</f>
        <v>SwapBM</v>
      </c>
      <c r="AG17" s="8" cm="1">
        <f t="array" ref="AG17">_xll.qwYield($A$1,B17)</f>
        <v>4.3036350000000001E-2</v>
      </c>
      <c r="AH17" s="10" cm="1">
        <f t="array" ref="AH17">_xll.qwValBP($A$1,B17)</f>
        <v>8.1224530824568989E-3</v>
      </c>
      <c r="AI17" t="str" cm="1">
        <f t="array" ref="AI17">_xll.qwTenor($A$1,B17)</f>
        <v>10M</v>
      </c>
      <c r="AJ17" cm="1">
        <f t="array" ref="AJ17">_xll.qwYield($A$1,B17)</f>
        <v>4.3036350000000001E-2</v>
      </c>
      <c r="AK17">
        <v>51028</v>
      </c>
      <c r="AL17">
        <v>4.7139090972000002</v>
      </c>
      <c r="AM17">
        <v>51028</v>
      </c>
      <c r="AN17">
        <v>5.0957535927472293</v>
      </c>
    </row>
    <row r="18" spans="2:47" x14ac:dyDescent="0.25">
      <c r="B18" t="str">
        <v>USOSFRK</v>
      </c>
      <c r="C18" t="str" cm="1">
        <f t="array" ref="C18">_xll.qwAlias($A$1,B18)</f>
        <v>SW SOFRRATE R 4.345 9/15/26-8/15/27*</v>
      </c>
      <c r="D18" s="8" cm="1">
        <f t="array" ref="D18">_xll.qwAsk($A$1,B18)</f>
        <v>4.3471700000000002E-2</v>
      </c>
      <c r="E18" s="7" t="str" cm="1">
        <f t="array" ref="E18">_xll.qwBlmUniqueID($A$1,B18)</f>
        <v>IX40586990-0</v>
      </c>
      <c r="F18" t="str" cm="1">
        <f t="array" ref="F18">_xll.qwBlmID($A$1,B18)</f>
        <v>USOSFRK Curncy</v>
      </c>
      <c r="G18" cm="1">
        <f t="array" ref="G18">_xll.qwBid($A$1,B18)</f>
        <v>4.3428300000000003E-2</v>
      </c>
      <c r="H18" t="str" cm="1">
        <f t="array" ref="H18">_xll.qwCalName(B18)</f>
        <v>US</v>
      </c>
      <c r="I18" cm="1">
        <f t="array" ref="I18">_xll.qwCarry($A$1,B18,2)</f>
        <v>0</v>
      </c>
      <c r="J18" cm="1">
        <f t="array" ref="J18">_xll.qwConvexity($A$1,B18)</f>
        <v>1.0797081382435403E-6</v>
      </c>
      <c r="K18" s="12" cm="1">
        <f t="array" ref="K18">_xll.qwCurveYield($A$1,$A$2,B18)</f>
        <v>4.3450000000119504E-2</v>
      </c>
      <c r="L18" s="11" cm="1">
        <f t="array" ref="L18">_xll.qwCurvePrice($A$1,"SOFRSwap",B18)</f>
        <v>0</v>
      </c>
      <c r="M18" s="4" t="e" cm="1">
        <f t="array" ref="M18">_xll.qwDelta(A16,B27)</f>
        <v>#NUM!</v>
      </c>
      <c r="N18" s="8" cm="1">
        <f t="array" ref="N18">_xll.qwDV01($A$1,B18)</f>
        <v>8.9482194759587345E-3</v>
      </c>
      <c r="O18" s="4" cm="1">
        <f t="array" ref="O18">_xll.qwEffective($A$1,B18)</f>
        <v>46280</v>
      </c>
      <c r="P18" cm="1">
        <f t="array" ref="P18">_xll.qwIncomeOvernight($A$1,B18)</f>
        <v>0</v>
      </c>
      <c r="Q18" cm="1">
        <f t="array" ref="Q18">_xll.qwMaturity($A$1,B18)</f>
        <v>46614</v>
      </c>
      <c r="R18" s="8" cm="1">
        <f t="array" ref="R18">_xll.qwMV01($A$1,B18)</f>
        <v>89.482194759587344</v>
      </c>
      <c r="S18" s="7" cm="1">
        <f t="array" ref="S18">_xll.qwMVFactor($A$1,B18)</f>
        <v>10000</v>
      </c>
      <c r="T18" s="7" cm="1">
        <f t="array" ref="T18">_xll.qwPrice($A$1,B18)</f>
        <v>0</v>
      </c>
      <c r="U18" s="7" t="e" cm="1">
        <f t="array" ref="U18">_xll.qwRate($A$1,B18)</f>
        <v>#NUM!</v>
      </c>
      <c r="V18" s="5" t="e" cm="1">
        <f t="array" ref="V18">_xll.qwRelevantCoupon($A$1,B18)</f>
        <v>#NUM!</v>
      </c>
      <c r="W18" s="7" t="str" cm="1">
        <f t="array" ref="W18">_xll.qwRelevantCurve($A$1,B18)</f>
        <v>SOFRSWAP</v>
      </c>
      <c r="X18" s="1" t="e" cm="1">
        <f t="array" ref="X18">_xll.qwRateSpread($A$1,B18)</f>
        <v>#NUM!</v>
      </c>
      <c r="Y18" s="13" cm="1">
        <f t="array" ref="Y18">_xll.qwSettle($A$1,B18)</f>
        <v>46280</v>
      </c>
      <c r="Z18" t="str" cm="1">
        <f t="array" ref="Z18">_xll.qwSwapDiscountCurve($A$1,B18)</f>
        <v>SOFRSWAP</v>
      </c>
      <c r="AA18" s="8" cm="1">
        <f t="array" ref="AA18">_xll.qwSwapFixedRate($A$1,B18)</f>
        <v>4.3450000000000003E-2</v>
      </c>
      <c r="AB18" s="4" t="str" cm="1">
        <f t="array" ref="AB18">_xll.qwSwapFloatIndex($A$1,B18)</f>
        <v>SOFRRATE</v>
      </c>
      <c r="AC18" s="6" t="str" cm="1">
        <f t="array" ref="AC18">_xll.qwSwapResetCurve($A$1,B18)</f>
        <v>CRV.USOSFRKRESETS</v>
      </c>
      <c r="AD18" s="2" cm="1">
        <f t="array" ref="AD18">_xll.qwSwapResetDate($A$1,B18)</f>
        <v>46276</v>
      </c>
      <c r="AE18" s="8" cm="1">
        <f t="array" ref="AE18">_xll.qwSwapResetRate($A$1,B18)</f>
        <v>4.2597068151427608E-2</v>
      </c>
      <c r="AF18" t="str" cm="1">
        <f t="array" ref="AF18">_xll.qwSecType(B18)</f>
        <v>SwapBM</v>
      </c>
      <c r="AG18" s="8" cm="1">
        <f t="array" ref="AG18">_xll.qwYield($A$1,B18)</f>
        <v>4.3450000000000003E-2</v>
      </c>
      <c r="AH18" s="10" cm="1">
        <f t="array" ref="AH18">_xll.qwValBP($A$1,B18)</f>
        <v>8.9439289504898781E-3</v>
      </c>
      <c r="AI18" t="str" cm="1">
        <f t="array" ref="AI18">_xll.qwTenor($A$1,B18)</f>
        <v>11M</v>
      </c>
      <c r="AJ18" cm="1">
        <f t="array" ref="AJ18">_xll.qwYield($A$1,B18)</f>
        <v>4.3450000000000003E-2</v>
      </c>
      <c r="AK18">
        <v>51396</v>
      </c>
      <c r="AL18">
        <v>4.7526535556000002</v>
      </c>
      <c r="AM18">
        <v>51396</v>
      </c>
      <c r="AN18">
        <v>5.138694716270507</v>
      </c>
      <c r="AU18" s="1"/>
    </row>
    <row r="19" spans="2:47" x14ac:dyDescent="0.25">
      <c r="B19" t="str">
        <v>USOSFR1</v>
      </c>
      <c r="C19" t="str" cm="1">
        <f t="array" ref="C19">_xll.qwAlias($A$1,B19)</f>
        <v>SW SOFRRATE R 4.380035 9/15/26-9/15/27*</v>
      </c>
      <c r="D19" s="8" cm="1">
        <f t="array" ref="D19">_xll.qwAsk($A$1,B19)</f>
        <v>4.3821399999999996E-2</v>
      </c>
      <c r="E19" s="7" t="str" cm="1">
        <f t="array" ref="E19">_xll.qwBlmUniqueID($A$1,B19)</f>
        <v>IX40586996-0</v>
      </c>
      <c r="F19" t="str" cm="1">
        <f t="array" ref="F19">_xll.qwBlmID($A$1,B19)</f>
        <v>USOSFR1 Curncy</v>
      </c>
      <c r="G19" cm="1">
        <f t="array" ref="G19">_xll.qwBid($A$1,B19)</f>
        <v>4.37793E-2</v>
      </c>
      <c r="H19" t="str" cm="1">
        <f t="array" ref="H19">_xll.qwCalName(B19)</f>
        <v>US</v>
      </c>
      <c r="I19" cm="1">
        <f t="array" ref="I19">_xll.qwCarry($A$1,B19,2)</f>
        <v>0</v>
      </c>
      <c r="J19" cm="1">
        <f t="array" ref="J19">_xll.qwConvexity($A$1,B19)</f>
        <v>1.2594391081977019E-6</v>
      </c>
      <c r="K19" s="12" cm="1">
        <f t="array" ref="K19">_xll.qwCurveYield($A$1,$A$2,B19)</f>
        <v>4.3800349999561596E-2</v>
      </c>
      <c r="L19" s="11" cm="1">
        <f t="array" ref="L19">_xll.qwCurvePrice($A$1,"SOFRSwap",B19)</f>
        <v>0</v>
      </c>
      <c r="M19" s="4" t="e" cm="1">
        <f t="array" ref="M19">_xll.qwDelta(A17,B28)</f>
        <v>#NUM!</v>
      </c>
      <c r="N19" s="8" cm="1">
        <f t="array" ref="N19">_xll.qwDV01($A$1,B19)</f>
        <v>9.7128090231903743E-3</v>
      </c>
      <c r="O19" s="4" cm="1">
        <f t="array" ref="O19">_xll.qwEffective($A$1,B19)</f>
        <v>46280</v>
      </c>
      <c r="P19" cm="1">
        <f t="array" ref="P19">_xll.qwIncomeOvernight($A$1,B19)</f>
        <v>0</v>
      </c>
      <c r="Q19" cm="1">
        <f t="array" ref="Q19">_xll.qwMaturity($A$1,B19)</f>
        <v>46645</v>
      </c>
      <c r="R19" s="8" cm="1">
        <f t="array" ref="R19">_xll.qwMV01($A$1,B19)</f>
        <v>97.128090231903741</v>
      </c>
      <c r="S19" s="7" cm="1">
        <f t="array" ref="S19">_xll.qwMVFactor($A$1,B19)</f>
        <v>10000</v>
      </c>
      <c r="T19" s="7" cm="1">
        <f t="array" ref="T19">_xll.qwPrice($A$1,B19)</f>
        <v>0</v>
      </c>
      <c r="U19" s="7" t="e" cm="1">
        <f t="array" ref="U19">_xll.qwRate($A$1,B19)</f>
        <v>#NUM!</v>
      </c>
      <c r="V19" s="5" t="e" cm="1">
        <f t="array" ref="V19">_xll.qwRelevantCoupon($A$1,B19)</f>
        <v>#NUM!</v>
      </c>
      <c r="W19" s="7" t="str" cm="1">
        <f t="array" ref="W19">_xll.qwRelevantCurve($A$1,B19)</f>
        <v>SOFRSWAP</v>
      </c>
      <c r="X19" s="1" t="e" cm="1">
        <f t="array" ref="X19">_xll.qwRateSpread($A$1,B19)</f>
        <v>#NUM!</v>
      </c>
      <c r="Y19" s="13" cm="1">
        <f t="array" ref="Y19">_xll.qwSettle($A$1,B19)</f>
        <v>46280</v>
      </c>
      <c r="Z19" t="str" cm="1">
        <f t="array" ref="Z19">_xll.qwSwapDiscountCurve($A$1,B19)</f>
        <v>SOFRSWAP</v>
      </c>
      <c r="AA19" s="8" cm="1">
        <f t="array" ref="AA19">_xll.qwSwapFixedRate($A$1,B19)</f>
        <v>4.3800350000000002E-2</v>
      </c>
      <c r="AB19" s="4" t="str" cm="1">
        <f t="array" ref="AB19">_xll.qwSwapFloatIndex($A$1,B19)</f>
        <v>SOFRRATE</v>
      </c>
      <c r="AC19" s="6" t="str" cm="1">
        <f t="array" ref="AC19">_xll.qwSwapResetCurve($A$1,B19)</f>
        <v>CRV.USOSFR1RESETS</v>
      </c>
      <c r="AD19" s="2" cm="1">
        <f t="array" ref="AD19">_xll.qwSwapResetDate($A$1,B19)</f>
        <v>46276</v>
      </c>
      <c r="AE19" s="8" cm="1">
        <f t="array" ref="AE19">_xll.qwSwapResetRate($A$1,B19)</f>
        <v>4.2858175156726963E-2</v>
      </c>
      <c r="AF19" t="str" cm="1">
        <f t="array" ref="AF19">_xll.qwSecType(B19)</f>
        <v>SwapBM</v>
      </c>
      <c r="AG19" s="8" cm="1">
        <f t="array" ref="AG19">_xll.qwYield($A$1,B19)</f>
        <v>4.3800350000000002E-2</v>
      </c>
      <c r="AH19" s="10" cm="1">
        <f t="array" ref="AH19">_xll.qwValBP($A$1,B19)</f>
        <v>9.707779162134585E-3</v>
      </c>
      <c r="AI19" t="str" cm="1">
        <f t="array" ref="AI19">_xll.qwTenor($A$1,B19)</f>
        <v>1Y</v>
      </c>
      <c r="AJ19" cm="1">
        <f t="array" ref="AJ19">_xll.qwYield($A$1,B19)</f>
        <v>4.3800350000000002E-2</v>
      </c>
      <c r="AK19">
        <v>51760</v>
      </c>
      <c r="AL19">
        <v>4.7009942777999996</v>
      </c>
      <c r="AM19">
        <v>51760</v>
      </c>
      <c r="AN19">
        <v>5.0814437826306005</v>
      </c>
    </row>
    <row r="20" spans="2:47" x14ac:dyDescent="0.25">
      <c r="B20" t="str">
        <v>USOSFR1F</v>
      </c>
      <c r="C20" t="str" cm="1">
        <f t="array" ref="C20">_xll.qwAlias($A$1,B20)</f>
        <v>SW SOFRRATE R 4.46224 9/15/26-3/15/28*</v>
      </c>
      <c r="D20" s="8" cm="1">
        <f t="array" ref="D20">_xll.qwAsk($A$1,B20)</f>
        <v>4.4659700000000004E-2</v>
      </c>
      <c r="E20" s="7" t="str" cm="1">
        <f t="array" ref="E20">_xll.qwBlmUniqueID($A$1,B20)</f>
        <v>IX40587044-0</v>
      </c>
      <c r="F20" t="str" cm="1">
        <f t="array" ref="F20">_xll.qwBlmID($A$1,B20)</f>
        <v>USOSFR1F Curncy</v>
      </c>
      <c r="G20" cm="1">
        <f t="array" ref="G20">_xll.qwBid($A$1,B20)</f>
        <v>4.4585100000000003E-2</v>
      </c>
      <c r="H20" t="str" cm="1">
        <f t="array" ref="H20">_xll.qwCalName(B20)</f>
        <v>US</v>
      </c>
      <c r="I20" cm="1">
        <f t="array" ref="I20">_xll.qwCarry($A$1,B20,3)</f>
        <v>0</v>
      </c>
      <c r="J20" cm="1">
        <f t="array" ref="J20">_xll.qwConvexity($A$1,B20)</f>
        <v>2.5895184379218228E-6</v>
      </c>
      <c r="K20" s="12" cm="1">
        <f t="array" ref="K20">_xll.qwCurveYield($A$1,$A$2,B20)</f>
        <v>4.4622400000140582E-2</v>
      </c>
      <c r="L20" s="11" cm="1">
        <f t="array" ref="L20">_xll.qwCurvePrice($A$1,"SOFRSwap",B20)</f>
        <v>-1.3041512314515558E-12</v>
      </c>
      <c r="M20" s="4" t="e" cm="1">
        <f t="array" ref="M20">_xll.qwDelta(A18,B29)</f>
        <v>#NUM!</v>
      </c>
      <c r="N20" s="8" cm="1">
        <f t="array" ref="N20">_xll.qwDV01($A$1,B20)</f>
        <v>1.44439267569525E-2</v>
      </c>
      <c r="O20" s="4" cm="1">
        <f t="array" ref="O20">_xll.qwEffective($A$1,B20)</f>
        <v>46280</v>
      </c>
      <c r="P20" cm="1">
        <f t="array" ref="P20">_xll.qwIncomeOvernight($A$1,B20)</f>
        <v>0</v>
      </c>
      <c r="Q20" cm="1">
        <f t="array" ref="Q20">_xll.qwMaturity($A$1,B20)</f>
        <v>46827</v>
      </c>
      <c r="R20" s="8" cm="1">
        <f t="array" ref="R20">_xll.qwMV01($A$1,B20)</f>
        <v>144.43926756952499</v>
      </c>
      <c r="S20" s="7" cm="1">
        <f t="array" ref="S20">_xll.qwMVFactor($A$1,B20)</f>
        <v>10000</v>
      </c>
      <c r="T20" s="7" cm="1">
        <f t="array" ref="T20">_xll.qwPrice($A$1,B20)</f>
        <v>-1.3041512314515558E-12</v>
      </c>
      <c r="U20" s="7" t="e" cm="1">
        <f t="array" ref="U20">_xll.qwRate($A$1,B20)</f>
        <v>#NUM!</v>
      </c>
      <c r="V20" s="5" t="e" cm="1">
        <f t="array" ref="V20">_xll.qwRelevantCoupon($A$1,B20)</f>
        <v>#NUM!</v>
      </c>
      <c r="W20" s="7" t="str" cm="1">
        <f t="array" ref="W20">_xll.qwRelevantCurve($A$1,B20)</f>
        <v>SOFRSWAP</v>
      </c>
      <c r="X20" s="1" t="e" cm="1">
        <f t="array" ref="X20">_xll.qwRateSpread($A$1,B20)</f>
        <v>#NUM!</v>
      </c>
      <c r="Y20" s="13" cm="1">
        <f t="array" ref="Y20">_xll.qwSettle($A$1,B20)</f>
        <v>46280</v>
      </c>
      <c r="Z20" t="str" cm="1">
        <f t="array" ref="Z20">_xll.qwSwapDiscountCurve($A$1,B20)</f>
        <v>SOFRSWAP</v>
      </c>
      <c r="AA20" s="8" cm="1">
        <f t="array" ref="AA20">_xll.qwSwapFixedRate($A$1,B20)</f>
        <v>4.4622400000000007E-2</v>
      </c>
      <c r="AB20" s="4" t="str" cm="1">
        <f t="array" ref="AB20">_xll.qwSwapFloatIndex($A$1,B20)</f>
        <v>SOFRRATE</v>
      </c>
      <c r="AC20" s="6" t="str" cm="1">
        <f t="array" ref="AC20">_xll.qwSwapResetCurve($A$1,B20)</f>
        <v>CRV.USOSFR1FRESETS</v>
      </c>
      <c r="AD20" s="2" cm="1">
        <f t="array" ref="AD20">_xll.qwSwapResetDate($A$1,B20)</f>
        <v>46276</v>
      </c>
      <c r="AE20" s="8" cm="1">
        <f t="array" ref="AE20">_xll.qwSwapResetRate($A$1,B20)</f>
        <v>4.0727864638053779E-2</v>
      </c>
      <c r="AF20" t="str" cm="1">
        <f t="array" ref="AF20">_xll.qwSecType(B20)</f>
        <v>SwapBM</v>
      </c>
      <c r="AG20" s="8" cm="1">
        <f t="array" ref="AG20">_xll.qwYield($A$1,B20)</f>
        <v>4.4622400000000007E-2</v>
      </c>
      <c r="AH20" s="10" cm="1">
        <f t="array" ref="AH20">_xll.qwValBP($A$1,B20)</f>
        <v>1.4437566741381556E-2</v>
      </c>
      <c r="AI20" t="str" cm="1">
        <f t="array" ref="AI20">_xll.qwTenor($A$1,B20)</f>
        <v>18M</v>
      </c>
      <c r="AJ20" cm="1">
        <f t="array" ref="AJ20">_xll.qwYield($A$1,B20)</f>
        <v>4.4622400000000007E-2</v>
      </c>
      <c r="AK20">
        <v>52124</v>
      </c>
      <c r="AL20">
        <v>4.7009942777999996</v>
      </c>
      <c r="AM20">
        <v>52124</v>
      </c>
      <c r="AN20">
        <v>5.0040786886864055</v>
      </c>
      <c r="AU20" s="1"/>
    </row>
    <row r="21" spans="2:47" x14ac:dyDescent="0.25">
      <c r="B21" t="str">
        <v>USOSFR2</v>
      </c>
      <c r="C21" t="str" cm="1">
        <f t="array" ref="C21">_xll.qwAlias($A$1,B21)</f>
        <v>SW SOFRRATE R 4.511115 9/15/26-9/15/28*</v>
      </c>
      <c r="D21" s="8" cm="1">
        <f t="array" ref="D21">_xll.qwAsk($A$1,B21)</f>
        <v>4.5127100000000003E-2</v>
      </c>
      <c r="E21" s="7" t="str" cm="1">
        <f t="array" ref="E21">_xll.qwBlmUniqueID($A$1,B21)</f>
        <v>IX40587092-0</v>
      </c>
      <c r="F21" t="str" cm="1">
        <f t="array" ref="F21">_xll.qwBlmID($A$1,B21)</f>
        <v>USOSFR2 Curncy</v>
      </c>
      <c r="G21" cm="1">
        <f t="array" ref="G21">_xll.qwBid($A$1,B21)</f>
        <v>4.5095200000000002E-2</v>
      </c>
      <c r="H21" t="str" cm="1">
        <f t="array" ref="H21">_xll.qwCalName(B21)</f>
        <v>US</v>
      </c>
      <c r="I21" cm="1">
        <f t="array" ref="I21">_xll.qwCarry($A$1,B21,2)</f>
        <v>0</v>
      </c>
      <c r="J21" cm="1">
        <f t="array" ref="J21">_xll.qwConvexity($A$1,B21)</f>
        <v>4.3982548605103755E-6</v>
      </c>
      <c r="K21" s="12" cm="1">
        <f t="array" ref="K21">_xll.qwCurveYield($A$1,$A$2,B21)</f>
        <v>4.5111149999999982E-2</v>
      </c>
      <c r="L21" s="11" cm="1">
        <f t="array" ref="L21">_xll.qwCurvePrice($A$1,"SOFRSwap",B21)</f>
        <v>3.4408587090695164E-13</v>
      </c>
      <c r="M21" s="4" t="e" cm="1">
        <f t="array" ref="M21">_xll.qwDelta(A19,B30)</f>
        <v>#NUM!</v>
      </c>
      <c r="N21" s="8" cm="1">
        <f t="array" ref="N21">_xll.qwDV01($A$1,B21)</f>
        <v>1.9011953540373928E-2</v>
      </c>
      <c r="O21" s="4" cm="1">
        <f t="array" ref="O21">_xll.qwEffective($A$1,B21)</f>
        <v>46280</v>
      </c>
      <c r="P21" cm="1">
        <f t="array" ref="P21">_xll.qwIncomeOvernight($A$1,B21)</f>
        <v>0</v>
      </c>
      <c r="Q21" cm="1">
        <f t="array" ref="Q21">_xll.qwMaturity($A$1,B21)</f>
        <v>47011</v>
      </c>
      <c r="R21" s="8" cm="1">
        <f t="array" ref="R21">_xll.qwMV01($A$1,B21)</f>
        <v>190.11953540373926</v>
      </c>
      <c r="S21" s="7" cm="1">
        <f t="array" ref="S21">_xll.qwMVFactor($A$1,B21)</f>
        <v>10000</v>
      </c>
      <c r="T21" s="7" cm="1">
        <f t="array" ref="T21">_xll.qwPrice($A$1,B21)</f>
        <v>3.4408587090695164E-13</v>
      </c>
      <c r="U21" s="7" t="e" cm="1">
        <f t="array" ref="U21">_xll.qwRate($A$1,B21)</f>
        <v>#NUM!</v>
      </c>
      <c r="V21" s="5" t="e" cm="1">
        <f t="array" ref="V21">_xll.qwRelevantCoupon($A$1,B21)</f>
        <v>#NUM!</v>
      </c>
      <c r="W21" s="7" t="str" cm="1">
        <f t="array" ref="W21">_xll.qwRelevantCurve($A$1,B21)</f>
        <v>SOFRSWAP</v>
      </c>
      <c r="X21" s="1" t="e" cm="1">
        <f t="array" ref="X21">_xll.qwRateSpread($A$1,B21)</f>
        <v>#NUM!</v>
      </c>
      <c r="Y21" s="13" cm="1">
        <f t="array" ref="Y21">_xll.qwSettle($A$1,B21)</f>
        <v>46280</v>
      </c>
      <c r="Z21" t="str" cm="1">
        <f t="array" ref="Z21">_xll.qwSwapDiscountCurve($A$1,B21)</f>
        <v>SOFRSWAP</v>
      </c>
      <c r="AA21" s="8" cm="1">
        <f t="array" ref="AA21">_xll.qwSwapFixedRate($A$1,B21)</f>
        <v>4.5111150000000003E-2</v>
      </c>
      <c r="AB21" s="4" t="str" cm="1">
        <f t="array" ref="AB21">_xll.qwSwapFloatIndex($A$1,B21)</f>
        <v>SOFRRATE</v>
      </c>
      <c r="AC21" s="6" t="str" cm="1">
        <f t="array" ref="AC21">_xll.qwSwapResetCurve($A$1,B21)</f>
        <v>CRV.USOSFR2RESETS</v>
      </c>
      <c r="AD21" s="2" cm="1">
        <f t="array" ref="AD21">_xll.qwSwapResetDate($A$1,B21)</f>
        <v>46276</v>
      </c>
      <c r="AE21" s="8" cm="1">
        <f t="array" ref="AE21">_xll.qwSwapResetRate($A$1,B21)</f>
        <v>4.2858175156726963E-2</v>
      </c>
      <c r="AF21" t="str" cm="1">
        <f t="array" ref="AF21">_xll.qwSecType(B21)</f>
        <v>SwapBM</v>
      </c>
      <c r="AG21" s="8" cm="1">
        <f t="array" ref="AG21">_xll.qwYield($A$1,B21)</f>
        <v>4.5111150000000003E-2</v>
      </c>
      <c r="AH21" s="10" cm="1">
        <f t="array" ref="AH21">_xll.qwValBP($A$1,B21)</f>
        <v>1.9002915117615982E-2</v>
      </c>
      <c r="AI21" t="str" cm="1">
        <f t="array" ref="AI21">_xll.qwTenor($A$1,B21)</f>
        <v>2Y</v>
      </c>
      <c r="AJ21" cm="1">
        <f t="array" ref="AJ21">_xll.qwYield($A$1,B21)</f>
        <v>4.5111150000000003E-2</v>
      </c>
      <c r="AK21">
        <v>52489</v>
      </c>
      <c r="AL21">
        <v>4.7139090972000002</v>
      </c>
      <c r="AM21">
        <v>52489</v>
      </c>
      <c r="AN21">
        <v>5.0181654714328516</v>
      </c>
    </row>
    <row r="22" spans="2:47" x14ac:dyDescent="0.25">
      <c r="B22" t="str">
        <v>USOSFR3</v>
      </c>
      <c r="C22" t="str" cm="1">
        <f t="array" ref="C22">_xll.qwAlias($A$1,B22)</f>
        <v>SW SOFRRATE R 4.518685 9/15/26-9/15/29*</v>
      </c>
      <c r="D22" s="8" cm="1">
        <f t="array" ref="D22">_xll.qwAsk($A$1,B22)</f>
        <v>4.5201200000000004E-2</v>
      </c>
      <c r="E22" s="7" t="str" cm="1">
        <f t="array" ref="E22">_xll.qwBlmUniqueID($A$1,B22)</f>
        <v>IX40587128-0</v>
      </c>
      <c r="F22" t="str" cm="1">
        <f t="array" ref="F22">_xll.qwBlmID($A$1,B22)</f>
        <v>USOSFR3 Curncy</v>
      </c>
      <c r="G22" cm="1">
        <f t="array" ref="G22">_xll.qwBid($A$1,B22)</f>
        <v>4.5172499999999997E-2</v>
      </c>
      <c r="H22" t="str" cm="1">
        <f t="array" ref="H22">_xll.qwCalName(B22)</f>
        <v>US</v>
      </c>
      <c r="I22" cm="1">
        <f t="array" ref="I22">_xll.qwCarry($A$1,B22,2)</f>
        <v>0</v>
      </c>
      <c r="J22" cm="1">
        <f t="array" ref="J22">_xll.qwConvexity($A$1,B22)</f>
        <v>9.2607839726061014E-6</v>
      </c>
      <c r="K22" s="12" cm="1">
        <f t="array" ref="K22">_xll.qwCurveYield($A$1,$A$2,B22)</f>
        <v>4.5186850000008119E-2</v>
      </c>
      <c r="L22" s="11" cm="1">
        <f t="array" ref="L22">_xll.qwCurvePrice($A$1,"SOFRSwap",B22)</f>
        <v>3.4680071314685534E-13</v>
      </c>
      <c r="M22" s="4" t="e" cm="1">
        <f t="array" ref="M22">_xll.qwDelta(A20,B31)</f>
        <v>#NUM!</v>
      </c>
      <c r="N22" s="8" cm="1">
        <f t="array" ref="N22">_xll.qwDV01($A$1,B22)</f>
        <v>2.7925387774713328E-2</v>
      </c>
      <c r="O22" s="4" cm="1">
        <f t="array" ref="O22">_xll.qwEffective($A$1,B22)</f>
        <v>46280</v>
      </c>
      <c r="P22" cm="1">
        <f t="array" ref="P22">_xll.qwIncomeOvernight($A$1,B22)</f>
        <v>0</v>
      </c>
      <c r="Q22" cm="1">
        <f t="array" ref="Q22">_xll.qwMaturity($A$1,B22)</f>
        <v>47376</v>
      </c>
      <c r="R22" s="8" cm="1">
        <f t="array" ref="R22">_xll.qwMV01($A$1,B22)</f>
        <v>279.25387774713329</v>
      </c>
      <c r="S22" s="7" cm="1">
        <f t="array" ref="S22">_xll.qwMVFactor($A$1,B22)</f>
        <v>10000</v>
      </c>
      <c r="T22" s="7" cm="1">
        <f t="array" ref="T22">_xll.qwPrice($A$1,B22)</f>
        <v>3.4680071314685534E-13</v>
      </c>
      <c r="U22" s="7" t="e" cm="1">
        <f t="array" ref="U22">_xll.qwRate($A$1,B22)</f>
        <v>#NUM!</v>
      </c>
      <c r="V22" s="5" t="e" cm="1">
        <f t="array" ref="V22">_xll.qwRelevantCoupon($A$1,B22)</f>
        <v>#NUM!</v>
      </c>
      <c r="W22" s="7" t="str" cm="1">
        <f t="array" ref="W22">_xll.qwRelevantCurve($A$1,B22)</f>
        <v>SOFRSWAP</v>
      </c>
      <c r="X22" s="1" t="e" cm="1">
        <f t="array" ref="X22">_xll.qwRateSpread($A$1,B22)</f>
        <v>#NUM!</v>
      </c>
      <c r="Y22" s="13" cm="1">
        <f t="array" ref="Y22">_xll.qwSettle($A$1,B22)</f>
        <v>46280</v>
      </c>
      <c r="Z22" t="str" cm="1">
        <f t="array" ref="Z22">_xll.qwSwapDiscountCurve($A$1,B22)</f>
        <v>SOFRSWAP</v>
      </c>
      <c r="AA22" s="8" cm="1">
        <f t="array" ref="AA22">_xll.qwSwapFixedRate($A$1,B22)</f>
        <v>4.5186850000000001E-2</v>
      </c>
      <c r="AB22" s="4" t="str" cm="1">
        <f t="array" ref="AB22">_xll.qwSwapFloatIndex($A$1,B22)</f>
        <v>SOFRRATE</v>
      </c>
      <c r="AC22" s="6" t="str" cm="1">
        <f t="array" ref="AC22">_xll.qwSwapResetCurve($A$1,B22)</f>
        <v>CRV.USOSFR3RESETS</v>
      </c>
      <c r="AD22" s="2" cm="1">
        <f t="array" ref="AD22">_xll.qwSwapResetDate($A$1,B22)</f>
        <v>46276</v>
      </c>
      <c r="AE22" s="8" cm="1">
        <f t="array" ref="AE22">_xll.qwSwapResetRate($A$1,B22)</f>
        <v>4.2858175156726963E-2</v>
      </c>
      <c r="AF22" t="str" cm="1">
        <f t="array" ref="AF22">_xll.qwSecType(B22)</f>
        <v>SwapBM</v>
      </c>
      <c r="AG22" s="8" cm="1">
        <f t="array" ref="AG22">_xll.qwYield($A$1,B22)</f>
        <v>4.5186850000000001E-2</v>
      </c>
      <c r="AH22" s="10" cm="1">
        <f t="array" ref="AH22">_xll.qwValBP($A$1,B22)</f>
        <v>2.7911598262627076E-2</v>
      </c>
      <c r="AI22" t="str" cm="1">
        <f t="array" ref="AI22">_xll.qwTenor($A$1,B22)</f>
        <v>3Y</v>
      </c>
      <c r="AJ22" cm="1">
        <f t="array" ref="AJ22">_xll.qwYield($A$1,B22)</f>
        <v>4.5186850000000001E-2</v>
      </c>
      <c r="AK22">
        <v>52855</v>
      </c>
      <c r="AL22">
        <v>4.7268239166999999</v>
      </c>
      <c r="AM22">
        <v>52855</v>
      </c>
      <c r="AN22">
        <v>5.0322541439863784</v>
      </c>
      <c r="AU22" s="1"/>
    </row>
    <row r="23" spans="2:47" x14ac:dyDescent="0.25">
      <c r="B23" t="str">
        <v>USOSFR4</v>
      </c>
      <c r="C23" t="str" cm="1">
        <f t="array" ref="C23">_xll.qwAlias($A$1,B23)</f>
        <v>SW SOFRRATE R 4.509435 9/15/26-9/15/30*</v>
      </c>
      <c r="D23" s="8" cm="1">
        <f t="array" ref="D23">_xll.qwAsk($A$1,B23)</f>
        <v>4.51084E-2</v>
      </c>
      <c r="E23" s="7" t="str" cm="1">
        <f t="array" ref="E23">_xll.qwBlmUniqueID($A$1,B23)</f>
        <v>IX40587140-0</v>
      </c>
      <c r="F23" t="str" cm="1">
        <f t="array" ref="F23">_xll.qwBlmID($A$1,B23)</f>
        <v>USOSFR4 Curncy</v>
      </c>
      <c r="G23" cm="1">
        <f t="array" ref="G23">_xll.qwBid($A$1,B23)</f>
        <v>4.5080299999999997E-2</v>
      </c>
      <c r="H23" t="str" cm="1">
        <f t="array" ref="H23">_xll.qwCalName(B23)</f>
        <v>US</v>
      </c>
      <c r="I23" cm="1">
        <f t="array" ref="I23">_xll.qwCarry($A$1,B23,2)</f>
        <v>0</v>
      </c>
      <c r="J23" cm="1">
        <f t="array" ref="J23">_xll.qwConvexity($A$1,B23)</f>
        <v>1.5629923873036744E-5</v>
      </c>
      <c r="K23" s="12" cm="1">
        <f t="array" ref="K23">_xll.qwCurveYield($A$1,$A$2,B23)</f>
        <v>4.5094349999930998E-2</v>
      </c>
      <c r="L23" s="11" cm="1">
        <f t="array" ref="L23">_xll.qwCurvePrice($A$1,"SOFRSwap",B23)</f>
        <v>3.4347177879645585E-13</v>
      </c>
      <c r="M23" s="4" t="e" cm="1">
        <f t="array" ref="M23">_xll.qwDelta(A21,B32)</f>
        <v>#NUM!</v>
      </c>
      <c r="N23" s="8" cm="1">
        <f t="array" ref="N23">_xll.qwDV01($A$1,B23)</f>
        <v>3.6383543462465286E-2</v>
      </c>
      <c r="O23" s="4" cm="1">
        <f t="array" ref="O23">_xll.qwEffective($A$1,B23)</f>
        <v>46280</v>
      </c>
      <c r="P23" cm="1">
        <f t="array" ref="P23">_xll.qwIncomeOvernight($A$1,B23)</f>
        <v>0</v>
      </c>
      <c r="Q23" cm="1">
        <f t="array" ref="Q23">_xll.qwMaturity($A$1,B23)</f>
        <v>47741</v>
      </c>
      <c r="R23" s="8" cm="1">
        <f t="array" ref="R23">_xll.qwMV01($A$1,B23)</f>
        <v>363.83543462465286</v>
      </c>
      <c r="S23" s="7" cm="1">
        <f t="array" ref="S23">_xll.qwMVFactor($A$1,B23)</f>
        <v>10000</v>
      </c>
      <c r="T23" s="7" cm="1">
        <f t="array" ref="T23">_xll.qwPrice($A$1,B23)</f>
        <v>3.4347177879645585E-13</v>
      </c>
      <c r="U23" s="7" t="e" cm="1">
        <f t="array" ref="U23">_xll.qwRate($A$1,B23)</f>
        <v>#NUM!</v>
      </c>
      <c r="V23" s="5" t="e" cm="1">
        <f t="array" ref="V23">_xll.qwRelevantCoupon($A$1,B23)</f>
        <v>#NUM!</v>
      </c>
      <c r="W23" s="7" t="str" cm="1">
        <f t="array" ref="W23">_xll.qwRelevantCurve($A$1,B23)</f>
        <v>SOFRSWAP</v>
      </c>
      <c r="X23" s="1" t="e" cm="1">
        <f t="array" ref="X23">_xll.qwRateSpread($A$1,B23)</f>
        <v>#NUM!</v>
      </c>
      <c r="Y23" s="13" cm="1">
        <f t="array" ref="Y23">_xll.qwSettle($A$1,B23)</f>
        <v>46280</v>
      </c>
      <c r="Z23" t="str" cm="1">
        <f t="array" ref="Z23">_xll.qwSwapDiscountCurve($A$1,B23)</f>
        <v>SOFRSWAP</v>
      </c>
      <c r="AA23" s="8" cm="1">
        <f t="array" ref="AA23">_xll.qwSwapFixedRate($A$1,B23)</f>
        <v>4.5094349999999998E-2</v>
      </c>
      <c r="AB23" s="4" t="str" cm="1">
        <f t="array" ref="AB23">_xll.qwSwapFloatIndex($A$1,B23)</f>
        <v>SOFRRATE</v>
      </c>
      <c r="AC23" s="6" t="str" cm="1">
        <f t="array" ref="AC23">_xll.qwSwapResetCurve($A$1,B23)</f>
        <v>CRV.USOSFR4RESETS</v>
      </c>
      <c r="AD23" s="2" cm="1">
        <f t="array" ref="AD23">_xll.qwSwapResetDate($A$1,B23)</f>
        <v>46276</v>
      </c>
      <c r="AE23" s="8" cm="1">
        <f t="array" ref="AE23">_xll.qwSwapResetRate($A$1,B23)</f>
        <v>4.2858175156726963E-2</v>
      </c>
      <c r="AF23" t="str" cm="1">
        <f t="array" ref="AF23">_xll.qwSecType(B23)</f>
        <v>SwapBM</v>
      </c>
      <c r="AG23" s="8" cm="1">
        <f t="array" ref="AG23">_xll.qwYield($A$1,B23)</f>
        <v>4.5094349999999998E-2</v>
      </c>
      <c r="AH23" s="10" cm="1">
        <f t="array" ref="AH23">_xll.qwValBP($A$1,B23)</f>
        <v>3.6364648720472438E-2</v>
      </c>
      <c r="AI23" t="str" cm="1">
        <f t="array" ref="AI23">_xll.qwTenor($A$1,B23)</f>
        <v>4Y</v>
      </c>
      <c r="AJ23" cm="1">
        <f t="array" ref="AJ23">_xll.qwYield($A$1,B23)</f>
        <v>4.5094349999999998E-2</v>
      </c>
      <c r="AK23">
        <v>53220</v>
      </c>
      <c r="AL23">
        <v>4.7139090972000002</v>
      </c>
      <c r="AM23">
        <v>53220</v>
      </c>
      <c r="AN23">
        <v>5.0181654714328516</v>
      </c>
    </row>
    <row r="24" spans="2:47" x14ac:dyDescent="0.25">
      <c r="B24" t="str">
        <v>USOSFR5</v>
      </c>
      <c r="C24" t="str" cm="1">
        <f t="array" ref="C24">_xll.qwAlias($A$1,B24)</f>
        <v>SW SOFRRATE R 4.50657 9/15/26-9/15/31*</v>
      </c>
      <c r="D24" s="8" cm="1">
        <f t="array" ref="D24">_xll.qwAsk($A$1,B24)</f>
        <v>4.5078599999999996E-2</v>
      </c>
      <c r="E24" s="7" t="str" cm="1">
        <f t="array" ref="E24">_xll.qwBlmUniqueID($A$1,B24)</f>
        <v>IX40587152-0</v>
      </c>
      <c r="F24" t="str" cm="1">
        <f t="array" ref="F24">_xll.qwBlmID($A$1,B24)</f>
        <v>USOSFR5 Curncy</v>
      </c>
      <c r="G24" cm="1">
        <f t="array" ref="G24">_xll.qwBid($A$1,B24)</f>
        <v>4.5052799999999997E-2</v>
      </c>
      <c r="H24" t="str" cm="1">
        <f t="array" ref="H24">_xll.qwCalName(B24)</f>
        <v>US</v>
      </c>
      <c r="I24" cm="1">
        <f t="array" ref="I24">_xll.qwCarry($A$1,B24,2)</f>
        <v>0</v>
      </c>
      <c r="J24" cm="1">
        <f t="array" ref="J24">_xll.qwConvexity($A$1,B24)</f>
        <v>2.3394322745978746E-5</v>
      </c>
      <c r="K24" s="12" cm="1">
        <f t="array" ref="K24">_xll.qwCurveYield($A$1,$A$2,B24)</f>
        <v>4.50657E-2</v>
      </c>
      <c r="L24" s="11" cm="1">
        <f t="array" ref="L24">_xll.qwCurvePrice($A$1,"SOFRSwap",B24)</f>
        <v>3.2635179281204074E-13</v>
      </c>
      <c r="M24" s="4" t="e" cm="1">
        <f t="array" ref="M24">_xll.qwDelta(A22,B33)</f>
        <v>#NUM!</v>
      </c>
      <c r="N24" s="8" cm="1">
        <f t="array" ref="N24">_xll.qwDV01($A$1,B24)</f>
        <v>4.447501515728465E-2</v>
      </c>
      <c r="O24" s="4" cm="1">
        <f t="array" ref="O24">_xll.qwEffective($A$1,B24)</f>
        <v>46280</v>
      </c>
      <c r="P24" cm="1">
        <f t="array" ref="P24">_xll.qwIncomeOvernight($A$1,B24)</f>
        <v>0</v>
      </c>
      <c r="Q24" cm="1">
        <f t="array" ref="Q24">_xll.qwMaturity($A$1,B24)</f>
        <v>48106</v>
      </c>
      <c r="R24" s="8" cm="1">
        <f t="array" ref="R24">_xll.qwMV01($A$1,B24)</f>
        <v>444.75015157284651</v>
      </c>
      <c r="S24" s="7" cm="1">
        <f t="array" ref="S24">_xll.qwMVFactor($A$1,B24)</f>
        <v>10000</v>
      </c>
      <c r="T24" s="7" cm="1">
        <f t="array" ref="T24">_xll.qwPrice($A$1,B24)</f>
        <v>3.2635179281204074E-13</v>
      </c>
      <c r="U24" s="7" t="e" cm="1">
        <f t="array" ref="U24">_xll.qwRate($A$1,B24)</f>
        <v>#NUM!</v>
      </c>
      <c r="V24" s="5" t="e" cm="1">
        <f t="array" ref="V24">_xll.qwRelevantCoupon($A$1,B24)</f>
        <v>#NUM!</v>
      </c>
      <c r="W24" s="7" t="str" cm="1">
        <f t="array" ref="W24">_xll.qwRelevantCurve($A$1,B24)</f>
        <v>SOFRSWAP</v>
      </c>
      <c r="X24" s="1" t="e" cm="1">
        <f t="array" ref="X24">_xll.qwRateSpread($A$1,B24)</f>
        <v>#NUM!</v>
      </c>
      <c r="Y24" s="13" cm="1">
        <f t="array" ref="Y24">_xll.qwSettle($A$1,B24)</f>
        <v>46280</v>
      </c>
      <c r="Z24" t="str" cm="1">
        <f t="array" ref="Z24">_xll.qwSwapDiscountCurve($A$1,B24)</f>
        <v>SOFRSWAP</v>
      </c>
      <c r="AA24" s="8" cm="1">
        <f t="array" ref="AA24">_xll.qwSwapFixedRate($A$1,B24)</f>
        <v>4.50657E-2</v>
      </c>
      <c r="AB24" s="4" t="str" cm="1">
        <f t="array" ref="AB24">_xll.qwSwapFloatIndex($A$1,B24)</f>
        <v>SOFRRATE</v>
      </c>
      <c r="AC24" s="6" t="str" cm="1">
        <f t="array" ref="AC24">_xll.qwSwapResetCurve($A$1,B24)</f>
        <v>CRV.USOSFR5RESETS</v>
      </c>
      <c r="AD24" s="2" cm="1">
        <f t="array" ref="AD24">_xll.qwSwapResetDate($A$1,B24)</f>
        <v>46276</v>
      </c>
      <c r="AE24" s="8" cm="1">
        <f t="array" ref="AE24">_xll.qwSwapResetRate($A$1,B24)</f>
        <v>4.2858175156726963E-2</v>
      </c>
      <c r="AF24" t="str" cm="1">
        <f t="array" ref="AF24">_xll.qwSecType(B24)</f>
        <v>SwapBM</v>
      </c>
      <c r="AG24" s="8" cm="1">
        <f t="array" ref="AG24">_xll.qwYield($A$1,B24)</f>
        <v>4.50657E-2</v>
      </c>
      <c r="AH24" s="10" cm="1">
        <f t="array" ref="AH24">_xll.qwValBP($A$1,B24)</f>
        <v>4.4450317539339652E-2</v>
      </c>
      <c r="AI24" t="str" cm="1">
        <f t="array" ref="AI24">_xll.qwTenor($A$1,B24)</f>
        <v>5Y</v>
      </c>
      <c r="AJ24" cm="1">
        <f t="array" ref="AJ24">_xll.qwYield($A$1,B24)</f>
        <v>4.50657E-2</v>
      </c>
      <c r="AK24">
        <v>53587</v>
      </c>
      <c r="AL24">
        <v>4.7397387360999996</v>
      </c>
      <c r="AM24">
        <v>53587</v>
      </c>
      <c r="AN24">
        <v>5.0463447066004505</v>
      </c>
      <c r="AU24" s="1"/>
    </row>
    <row r="25" spans="2:47" x14ac:dyDescent="0.25">
      <c r="B25" t="str">
        <v>USOSFR6</v>
      </c>
      <c r="C25" t="str" cm="1">
        <f t="array" ref="C25">_xll.qwAlias($A$1,B25)</f>
        <v>SW SOFRRATE R 4.512325 9/15/26-9/15/32*</v>
      </c>
      <c r="D25" s="8" cm="1">
        <f t="array" ref="D25">_xll.qwAsk($A$1,B25)</f>
        <v>4.5136900000000008E-2</v>
      </c>
      <c r="E25" s="7" t="str" cm="1">
        <f t="array" ref="E25">_xll.qwBlmUniqueID($A$1,B25)</f>
        <v>IX40587158-0</v>
      </c>
      <c r="F25" t="str" cm="1">
        <f t="array" ref="F25">_xll.qwBlmID($A$1,B25)</f>
        <v>USOSFR6 Curncy</v>
      </c>
      <c r="G25" cm="1">
        <f t="array" ref="G25">_xll.qwBid($A$1,B25)</f>
        <v>4.51096E-2</v>
      </c>
      <c r="H25" t="str" cm="1">
        <f t="array" ref="H25">_xll.qwCalName(B25)</f>
        <v>US</v>
      </c>
      <c r="I25" cm="1">
        <f t="array" ref="I25">_xll.qwCarry($A$1,B25,2)</f>
        <v>0</v>
      </c>
      <c r="J25" cm="1">
        <f t="array" ref="J25">_xll.qwConvexity($A$1,B25)</f>
        <v>3.2466012749046702E-5</v>
      </c>
      <c r="K25" s="12" cm="1">
        <f t="array" ref="K25">_xll.qwCurveYield($A$1,$A$2,B25)</f>
        <v>4.5123250000086608E-2</v>
      </c>
      <c r="L25" s="11" cm="1">
        <f t="array" ref="L25">_xll.qwCurvePrice($A$1,"SOFRSwap",B25)</f>
        <v>3.3806638044531212E-13</v>
      </c>
      <c r="M25" s="4" t="e" cm="1">
        <f t="array" ref="M25">_xll.qwDelta(A23,B34)</f>
        <v>#NUM!</v>
      </c>
      <c r="N25" s="8" cm="1">
        <f t="array" ref="N25">_xll.qwDV01($A$1,B25)</f>
        <v>5.2252577597610386E-2</v>
      </c>
      <c r="O25" s="4" cm="1">
        <f t="array" ref="O25">_xll.qwEffective($A$1,B25)</f>
        <v>46280</v>
      </c>
      <c r="P25" cm="1">
        <f t="array" ref="P25">_xll.qwIncomeOvernight($A$1,B25)</f>
        <v>0</v>
      </c>
      <c r="Q25" cm="1">
        <f t="array" ref="Q25">_xll.qwMaturity($A$1,B25)</f>
        <v>48472</v>
      </c>
      <c r="R25" s="8" cm="1">
        <f t="array" ref="R25">_xll.qwMV01($A$1,B25)</f>
        <v>522.52577597610389</v>
      </c>
      <c r="S25" s="7" cm="1">
        <f t="array" ref="S25">_xll.qwMVFactor($A$1,B25)</f>
        <v>10000</v>
      </c>
      <c r="T25" s="7" cm="1">
        <f t="array" ref="T25">_xll.qwPrice($A$1,B25)</f>
        <v>3.3806638044531212E-13</v>
      </c>
      <c r="U25" s="7" t="e" cm="1">
        <f t="array" ref="U25">_xll.qwRate($A$1,B25)</f>
        <v>#NUM!</v>
      </c>
      <c r="V25" s="5" t="e" cm="1">
        <f t="array" ref="V25">_xll.qwRelevantCoupon($A$1,B25)</f>
        <v>#NUM!</v>
      </c>
      <c r="W25" s="7" t="str" cm="1">
        <f t="array" ref="W25">_xll.qwRelevantCurve($A$1,B25)</f>
        <v>SOFRSWAP</v>
      </c>
      <c r="X25" s="1" t="e" cm="1">
        <f t="array" ref="X25">_xll.qwRateSpread($A$1,B25)</f>
        <v>#NUM!</v>
      </c>
      <c r="Y25" s="13" cm="1">
        <f t="array" ref="Y25">_xll.qwSettle($A$1,B25)</f>
        <v>46280</v>
      </c>
      <c r="Z25" t="str" cm="1">
        <f t="array" ref="Z25">_xll.qwSwapDiscountCurve($A$1,B25)</f>
        <v>SOFRSWAP</v>
      </c>
      <c r="AA25" s="8" cm="1">
        <f t="array" ref="AA25">_xll.qwSwapFixedRate($A$1,B25)</f>
        <v>4.5123250000000004E-2</v>
      </c>
      <c r="AB25" s="4" t="str" cm="1">
        <f t="array" ref="AB25">_xll.qwSwapFloatIndex($A$1,B25)</f>
        <v>SOFRRATE</v>
      </c>
      <c r="AC25" s="6" t="str" cm="1">
        <f t="array" ref="AC25">_xll.qwSwapResetCurve($A$1,B25)</f>
        <v>CRV.USOSFR6RESETS</v>
      </c>
      <c r="AD25" s="2" cm="1">
        <f t="array" ref="AD25">_xll.qwSwapResetDate($A$1,B25)</f>
        <v>46276</v>
      </c>
      <c r="AE25" s="8" cm="1">
        <f t="array" ref="AE25">_xll.qwSwapResetRate($A$1,B25)</f>
        <v>4.2858175156726963E-2</v>
      </c>
      <c r="AF25" t="str" cm="1">
        <f t="array" ref="AF25">_xll.qwSecType(B25)</f>
        <v>SwapBM</v>
      </c>
      <c r="AG25" s="8" cm="1">
        <f t="array" ref="AG25">_xll.qwYield($A$1,B25)</f>
        <v>4.5123250000000004E-2</v>
      </c>
      <c r="AH25" s="10" cm="1">
        <f t="array" ref="AH25">_xll.qwValBP($A$1,B25)</f>
        <v>5.2221315499400976E-2</v>
      </c>
      <c r="AI25" t="str" cm="1">
        <f t="array" ref="AI25">_xll.qwTenor($A$1,B25)</f>
        <v>6Y</v>
      </c>
      <c r="AJ25" cm="1">
        <f t="array" ref="AJ25">_xll.qwYield($A$1,B25)</f>
        <v>4.5123250000000004E-2</v>
      </c>
      <c r="AK25">
        <v>53951</v>
      </c>
      <c r="AL25">
        <v>4.7009942777999996</v>
      </c>
      <c r="AM25">
        <v>53951</v>
      </c>
      <c r="AN25">
        <v>4.5907632399648577</v>
      </c>
    </row>
    <row r="26" spans="2:47" x14ac:dyDescent="0.25">
      <c r="B26" t="str">
        <v>USOSFR7</v>
      </c>
      <c r="C26" t="str" cm="1">
        <f t="array" ref="C26">_xll.qwAlias($A$1,B26)</f>
        <v>SW SOFRRATE R 4.522675 9/15/26-9/15/33*</v>
      </c>
      <c r="D26" s="8" cm="1">
        <f t="array" ref="D26">_xll.qwAsk($A$1,B26)</f>
        <v>4.5239300000000003E-2</v>
      </c>
      <c r="E26" s="7" t="str" cm="1">
        <f t="array" ref="E26">_xll.qwBlmUniqueID($A$1,B26)</f>
        <v>IX40587164-0</v>
      </c>
      <c r="F26" t="str" cm="1">
        <f t="array" ref="F26">_xll.qwBlmID($A$1,B26)</f>
        <v>USOSFR7 Curncy</v>
      </c>
      <c r="G26" cm="1">
        <f t="array" ref="G26">_xll.qwBid($A$1,B26)</f>
        <v>4.5214200000000003E-2</v>
      </c>
      <c r="H26" t="str" cm="1">
        <f t="array" ref="H26">_xll.qwCalName(B26)</f>
        <v>US</v>
      </c>
      <c r="I26" cm="1">
        <f t="array" ref="I26">_xll.qwCarry($A$1,B26,2)</f>
        <v>0</v>
      </c>
      <c r="J26" cm="1">
        <f t="array" ref="J26">_xll.qwConvexity($A$1,B26)</f>
        <v>4.2638110888254532E-5</v>
      </c>
      <c r="K26" s="12" cm="1">
        <f t="array" ref="K26">_xll.qwCurveYield($A$1,$A$2,B26)</f>
        <v>4.5226750000130309E-2</v>
      </c>
      <c r="L26" s="11" cm="1">
        <f t="array" ref="L26">_xll.qwCurvePrice($A$1,"SOFRSwap",B26)</f>
        <v>3.2983338282832619E-13</v>
      </c>
      <c r="M26" s="4" t="e" cm="1">
        <f t="array" ref="M26">_xll.qwDelta(A24,B35)</f>
        <v>#NUM!</v>
      </c>
      <c r="N26" s="8" cm="1">
        <f t="array" ref="N26">_xll.qwDV01($A$1,B26)</f>
        <v>5.9664237902087414E-2</v>
      </c>
      <c r="O26" s="4" cm="1">
        <f t="array" ref="O26">_xll.qwEffective($A$1,B26)</f>
        <v>46280</v>
      </c>
      <c r="P26" cm="1">
        <f t="array" ref="P26">_xll.qwIncomeOvernight($A$1,B26)</f>
        <v>0</v>
      </c>
      <c r="Q26" cm="1">
        <f t="array" ref="Q26">_xll.qwMaturity($A$1,B26)</f>
        <v>48837</v>
      </c>
      <c r="R26" s="8" cm="1">
        <f t="array" ref="R26">_xll.qwMV01($A$1,B26)</f>
        <v>596.64237902087416</v>
      </c>
      <c r="S26" s="7" cm="1">
        <f t="array" ref="S26">_xll.qwMVFactor($A$1,B26)</f>
        <v>10000</v>
      </c>
      <c r="T26" s="7" cm="1">
        <f t="array" ref="T26">_xll.qwPrice($A$1,B26)</f>
        <v>3.2983338282832619E-13</v>
      </c>
      <c r="U26" s="7" t="e" cm="1">
        <f t="array" ref="U26">_xll.qwRate($A$1,B26)</f>
        <v>#NUM!</v>
      </c>
      <c r="V26" s="5" t="e" cm="1">
        <f t="array" ref="V26">_xll.qwRelevantCoupon($A$1,B26)</f>
        <v>#NUM!</v>
      </c>
      <c r="W26" s="7" t="str" cm="1">
        <f t="array" ref="W26">_xll.qwRelevantCurve($A$1,B26)</f>
        <v>SOFRSWAP</v>
      </c>
      <c r="X26" s="1" t="e" cm="1">
        <f t="array" ref="X26">_xll.qwRateSpread($A$1,B26)</f>
        <v>#NUM!</v>
      </c>
      <c r="Y26" s="13" cm="1">
        <f t="array" ref="Y26">_xll.qwSettle($A$1,B26)</f>
        <v>46280</v>
      </c>
      <c r="Z26" t="str" cm="1">
        <f t="array" ref="Z26">_xll.qwSwapDiscountCurve($A$1,B26)</f>
        <v>SOFRSWAP</v>
      </c>
      <c r="AA26" s="8" cm="1">
        <f t="array" ref="AA26">_xll.qwSwapFixedRate($A$1,B26)</f>
        <v>4.5226750000000003E-2</v>
      </c>
      <c r="AB26" s="4" t="str" cm="1">
        <f t="array" ref="AB26">_xll.qwSwapFloatIndex($A$1,B26)</f>
        <v>SOFRRATE</v>
      </c>
      <c r="AC26" s="6" t="str" cm="1">
        <f t="array" ref="AC26">_xll.qwSwapResetCurve($A$1,B26)</f>
        <v>CRV.USOSFR7RESETS</v>
      </c>
      <c r="AD26" s="2" cm="1">
        <f t="array" ref="AD26">_xll.qwSwapResetDate($A$1,B26)</f>
        <v>46276</v>
      </c>
      <c r="AE26" s="8" cm="1">
        <f t="array" ref="AE26">_xll.qwSwapResetRate($A$1,B26)</f>
        <v>4.2858175156726963E-2</v>
      </c>
      <c r="AF26" t="str" cm="1">
        <f t="array" ref="AF26">_xll.qwSecType(B26)</f>
        <v>SwapBM</v>
      </c>
      <c r="AG26" s="8" cm="1">
        <f t="array" ref="AG26">_xll.qwYield($A$1,B26)</f>
        <v>4.5226750000000003E-2</v>
      </c>
      <c r="AH26" s="10" cm="1">
        <f t="array" ref="AH26">_xll.qwValBP($A$1,B26)</f>
        <v>5.962605753304339E-2</v>
      </c>
      <c r="AI26" t="str" cm="1">
        <f t="array" ref="AI26">_xll.qwTenor($A$1,B26)</f>
        <v>7Y</v>
      </c>
      <c r="AJ26" cm="1">
        <f t="array" ref="AJ26">_xll.qwYield($A$1,B26)</f>
        <v>4.5226750000000003E-2</v>
      </c>
      <c r="AK26">
        <v>54316</v>
      </c>
      <c r="AL26">
        <v>4.7139090972000002</v>
      </c>
      <c r="AM26">
        <v>54316</v>
      </c>
      <c r="AN26">
        <v>4.6036611843120596</v>
      </c>
    </row>
    <row r="27" spans="2:47" x14ac:dyDescent="0.25">
      <c r="B27" t="str">
        <v>USOSFR8</v>
      </c>
      <c r="C27" t="str" cm="1">
        <f t="array" ref="C27">_xll.qwAlias($A$1,B27)</f>
        <v>SW SOFRRATE R 4.536955 9/15/26-9/15/34*</v>
      </c>
      <c r="D27" s="8" cm="1">
        <f t="array" ref="D27">_xll.qwAsk($A$1,B27)</f>
        <v>4.5382999999999993E-2</v>
      </c>
      <c r="E27" s="7" t="str" cm="1">
        <f t="array" ref="E27">_xll.qwBlmUniqueID($A$1,B27)</f>
        <v>IX40587176-0</v>
      </c>
      <c r="F27" t="str" cm="1">
        <f t="array" ref="F27">_xll.qwBlmID($A$1,B27)</f>
        <v>USOSFR8 Curncy</v>
      </c>
      <c r="G27" cm="1">
        <f t="array" ref="G27">_xll.qwBid($A$1,B27)</f>
        <v>4.5356100000000003E-2</v>
      </c>
      <c r="H27" t="str" cm="1">
        <f t="array" ref="H27">_xll.qwCalName(B27)</f>
        <v>US</v>
      </c>
      <c r="I27" cm="1">
        <f t="array" ref="I27">_xll.qwCarry($A$1,B27,2)</f>
        <v>0</v>
      </c>
      <c r="J27" cm="1">
        <f t="array" ref="J27">_xll.qwConvexity($A$1,B27)</f>
        <v>5.3801914478554536E-5</v>
      </c>
      <c r="K27" s="12" cm="1">
        <f t="array" ref="K27">_xll.qwCurveYield($A$1,$A$2,B27)</f>
        <v>4.5369550000038138E-2</v>
      </c>
      <c r="L27" s="11" cm="1">
        <f t="array" ref="L27">_xll.qwCurvePrice($A$1,"SOFRSwap",B27)</f>
        <v>3.3008318300886685E-13</v>
      </c>
      <c r="M27" s="4" t="e" cm="1">
        <f t="array" ref="M27">_xll.qwDelta(A25,B36)</f>
        <v>#NUM!</v>
      </c>
      <c r="N27" s="8" cm="1">
        <f t="array" ref="N27">_xll.qwDV01($A$1,B27)</f>
        <v>6.6742439414195817E-2</v>
      </c>
      <c r="O27" s="4" cm="1">
        <f t="array" ref="O27">_xll.qwEffective($A$1,B27)</f>
        <v>46280</v>
      </c>
      <c r="P27" cm="1">
        <f t="array" ref="P27">_xll.qwIncomeOvernight($A$1,B27)</f>
        <v>0</v>
      </c>
      <c r="Q27" cm="1">
        <f t="array" ref="Q27">_xll.qwMaturity($A$1,B27)</f>
        <v>49202</v>
      </c>
      <c r="R27" s="8" cm="1">
        <f t="array" ref="R27">_xll.qwMV01($A$1,B27)</f>
        <v>667.42439414195815</v>
      </c>
      <c r="S27" s="7" cm="1">
        <f t="array" ref="S27">_xll.qwMVFactor($A$1,B27)</f>
        <v>10000</v>
      </c>
      <c r="T27" s="7" cm="1">
        <f t="array" ref="T27">_xll.qwPrice($A$1,B27)</f>
        <v>3.3008318300886685E-13</v>
      </c>
      <c r="U27" s="7" t="e" cm="1">
        <f t="array" ref="U27">_xll.qwRate($A$1,B27)</f>
        <v>#NUM!</v>
      </c>
      <c r="V27" s="5" t="e" cm="1">
        <f t="array" ref="V27">_xll.qwRelevantCoupon($A$1,B27)</f>
        <v>#NUM!</v>
      </c>
      <c r="W27" s="7" t="str" cm="1">
        <f t="array" ref="W27">_xll.qwRelevantCurve($A$1,B27)</f>
        <v>SOFRSWAP</v>
      </c>
      <c r="X27" s="1" t="e" cm="1">
        <f t="array" ref="X27">_xll.qwRateSpread($A$1,B27)</f>
        <v>#NUM!</v>
      </c>
      <c r="Y27" s="13" cm="1">
        <f t="array" ref="Y27">_xll.qwSettle($A$1,B27)</f>
        <v>46280</v>
      </c>
      <c r="Z27" t="str" cm="1">
        <f t="array" ref="Z27">_xll.qwSwapDiscountCurve($A$1,B27)</f>
        <v>SOFRSWAP</v>
      </c>
      <c r="AA27" s="8" cm="1">
        <f t="array" ref="AA27">_xll.qwSwapFixedRate($A$1,B27)</f>
        <v>4.5369549999999995E-2</v>
      </c>
      <c r="AB27" s="4" t="str" cm="1">
        <f t="array" ref="AB27">_xll.qwSwapFloatIndex($A$1,B27)</f>
        <v>SOFRRATE</v>
      </c>
      <c r="AC27" s="6" t="str" cm="1">
        <f t="array" ref="AC27">_xll.qwSwapResetCurve($A$1,B27)</f>
        <v>CRV.USOSFR8RESETS</v>
      </c>
      <c r="AD27" s="2" cm="1">
        <f t="array" ref="AD27">_xll.qwSwapResetDate($A$1,B27)</f>
        <v>46276</v>
      </c>
      <c r="AE27" s="8" cm="1">
        <f t="array" ref="AE27">_xll.qwSwapResetRate($A$1,B27)</f>
        <v>4.2858175156726963E-2</v>
      </c>
      <c r="AF27" t="str" cm="1">
        <f t="array" ref="AF27">_xll.qwSecType(B27)</f>
        <v>SwapBM</v>
      </c>
      <c r="AG27" s="8" cm="1">
        <f t="array" ref="AG27">_xll.qwYield($A$1,B27)</f>
        <v>4.5369549999999995E-2</v>
      </c>
      <c r="AH27" s="10" cm="1">
        <f t="array" ref="AH27">_xll.qwValBP($A$1,B27)</f>
        <v>6.6696909749382749E-2</v>
      </c>
      <c r="AI27" t="str" cm="1">
        <f t="array" ref="AI27">_xll.qwTenor($A$1,B27)</f>
        <v>8Y</v>
      </c>
      <c r="AJ27" cm="1">
        <f t="array" ref="AJ27">_xll.qwYield($A$1,B27)</f>
        <v>4.5369549999999995E-2</v>
      </c>
      <c r="AK27">
        <v>54681</v>
      </c>
      <c r="AL27">
        <v>4.7139090972000002</v>
      </c>
      <c r="AM27">
        <v>54681</v>
      </c>
      <c r="AN27">
        <v>4.6036611843120454</v>
      </c>
    </row>
    <row r="28" spans="2:47" x14ac:dyDescent="0.25">
      <c r="B28" t="str">
        <v>USOSFR9</v>
      </c>
      <c r="C28" t="str" cm="1">
        <f t="array" ref="C28">_xll.qwAlias($A$1,B28)</f>
        <v>SW SOFRRATE R 4.55415 9/15/26-9/15/35*</v>
      </c>
      <c r="D28" s="8" cm="1">
        <f t="array" ref="D28">_xll.qwAsk($A$1,B28)</f>
        <v>4.5554699999999997E-2</v>
      </c>
      <c r="E28" s="7" t="str" cm="1">
        <f t="array" ref="E28">_xll.qwBlmUniqueID($A$1,B28)</f>
        <v>IX40587182-0</v>
      </c>
      <c r="F28" t="str" cm="1">
        <f t="array" ref="F28">_xll.qwBlmID($A$1,B28)</f>
        <v>USOSFR9 Curncy</v>
      </c>
      <c r="G28" cm="1">
        <f t="array" ref="G28">_xll.qwBid($A$1,B28)</f>
        <v>4.5528300000000001E-2</v>
      </c>
      <c r="H28" t="str" cm="1">
        <f t="array" ref="H28">_xll.qwCalName(B28)</f>
        <v>US</v>
      </c>
      <c r="I28" cm="1">
        <f t="array" ref="I28">_xll.qwCarry($A$1,B28,2)</f>
        <v>0</v>
      </c>
      <c r="J28" cm="1">
        <f t="array" ref="J28">_xll.qwConvexity($A$1,B28)</f>
        <v>6.5901376481658502E-5</v>
      </c>
      <c r="K28" s="12" cm="1">
        <f t="array" ref="K28">_xll.qwCurveYield($A$1,$A$2,B28)</f>
        <v>4.5541500000035824E-2</v>
      </c>
      <c r="L28" s="11" cm="1">
        <f t="array" ref="L28">_xll.qwCurvePrice($A$1,"SOFRSwap",B28)</f>
        <v>3.3670288779319435E-13</v>
      </c>
      <c r="M28" s="4" t="e" cm="1">
        <f t="array" ref="M28">_xll.qwDelta(A26,B37)</f>
        <v>#NUM!</v>
      </c>
      <c r="N28" s="8" cm="1">
        <f t="array" ref="N28">_xll.qwDV01($A$1,B28)</f>
        <v>7.3533073201529076E-2</v>
      </c>
      <c r="O28" s="4" cm="1">
        <f t="array" ref="O28">_xll.qwEffective($A$1,B28)</f>
        <v>46280</v>
      </c>
      <c r="P28" cm="1">
        <f t="array" ref="P28">_xll.qwIncomeOvernight($A$1,B28)</f>
        <v>0</v>
      </c>
      <c r="Q28" cm="1">
        <f t="array" ref="Q28">_xll.qwMaturity($A$1,B28)</f>
        <v>49567</v>
      </c>
      <c r="R28" s="8" cm="1">
        <f t="array" ref="R28">_xll.qwMV01($A$1,B28)</f>
        <v>735.33073201529078</v>
      </c>
      <c r="S28" s="7" cm="1">
        <f t="array" ref="S28">_xll.qwMVFactor($A$1,B28)</f>
        <v>10000</v>
      </c>
      <c r="T28" s="7" cm="1">
        <f t="array" ref="T28">_xll.qwPrice($A$1,B28)</f>
        <v>3.3670288779319435E-13</v>
      </c>
      <c r="U28" s="7" t="e" cm="1">
        <f t="array" ref="U28">_xll.qwRate($A$1,B28)</f>
        <v>#NUM!</v>
      </c>
      <c r="V28" s="5" t="e" cm="1">
        <f t="array" ref="V28">_xll.qwRelevantCoupon($A$1,B28)</f>
        <v>#NUM!</v>
      </c>
      <c r="W28" s="7" t="str" cm="1">
        <f t="array" ref="W28">_xll.qwRelevantCurve($A$1,B28)</f>
        <v>SOFRSWAP</v>
      </c>
      <c r="X28" s="1" t="e" cm="1">
        <f t="array" ref="X28">_xll.qwRateSpread($A$1,B28)</f>
        <v>#NUM!</v>
      </c>
      <c r="Y28" s="13" cm="1">
        <f t="array" ref="Y28">_xll.qwSettle($A$1,B28)</f>
        <v>46280</v>
      </c>
      <c r="Z28" t="str" cm="1">
        <f t="array" ref="Z28">_xll.qwSwapDiscountCurve($A$1,B28)</f>
        <v>SOFRSWAP</v>
      </c>
      <c r="AA28" s="8" cm="1">
        <f t="array" ref="AA28">_xll.qwSwapFixedRate($A$1,B28)</f>
        <v>4.5541499999999999E-2</v>
      </c>
      <c r="AB28" s="4" t="str" cm="1">
        <f t="array" ref="AB28">_xll.qwSwapFloatIndex($A$1,B28)</f>
        <v>SOFRRATE</v>
      </c>
      <c r="AC28" s="6" t="str" cm="1">
        <f t="array" ref="AC28">_xll.qwSwapResetCurve($A$1,B28)</f>
        <v>CRV.USOSFR9RESETS</v>
      </c>
      <c r="AD28" s="2" cm="1">
        <f t="array" ref="AD28">_xll.qwSwapResetDate($A$1,B28)</f>
        <v>46276</v>
      </c>
      <c r="AE28" s="8" cm="1">
        <f t="array" ref="AE28">_xll.qwSwapResetRate($A$1,B28)</f>
        <v>4.2858175156726963E-2</v>
      </c>
      <c r="AF28" t="str" cm="1">
        <f t="array" ref="AF28">_xll.qwSecType(B28)</f>
        <v>SwapBM</v>
      </c>
      <c r="AG28" s="8" cm="1">
        <f t="array" ref="AG28">_xll.qwYield($A$1,B28)</f>
        <v>4.5541499999999999E-2</v>
      </c>
      <c r="AH28" s="10" cm="1">
        <f t="array" ref="AH28">_xll.qwValBP($A$1,B28)</f>
        <v>7.3479900672379306E-2</v>
      </c>
      <c r="AI28" t="str" cm="1">
        <f t="array" ref="AI28">_xll.qwTenor($A$1,B28)</f>
        <v>9Y</v>
      </c>
      <c r="AJ28" cm="1">
        <f t="array" ref="AJ28">_xll.qwYield($A$1,B28)</f>
        <v>4.5541499999999999E-2</v>
      </c>
      <c r="AK28">
        <v>55046</v>
      </c>
      <c r="AL28">
        <v>4.7139090972000002</v>
      </c>
      <c r="AM28">
        <v>55046</v>
      </c>
      <c r="AN28">
        <v>4.6036611843120596</v>
      </c>
    </row>
    <row r="29" spans="2:47" x14ac:dyDescent="0.25">
      <c r="B29" t="str">
        <v>USOSFR10</v>
      </c>
      <c r="C29" t="str" cm="1">
        <f t="array" ref="C29">_xll.qwAlias($A$1,B29)</f>
        <v>SW SOFRRATE R 4.57397 9/15/26-9/15/36*</v>
      </c>
      <c r="D29" s="8" cm="1">
        <f t="array" ref="D29">_xll.qwAsk($A$1,B29)</f>
        <v>4.5752399999999999E-2</v>
      </c>
      <c r="E29" s="7" t="str" cm="1">
        <f t="array" ref="E29">_xll.qwBlmUniqueID($A$1,B29)</f>
        <v>IX40587188-0</v>
      </c>
      <c r="F29" t="str" cm="1">
        <f t="array" ref="F29">_xll.qwBlmID($A$1,B29)</f>
        <v>USOSFR10 Curncy</v>
      </c>
      <c r="G29" cm="1">
        <f t="array" ref="G29">_xll.qwBid($A$1,B29)</f>
        <v>4.5727000000000004E-2</v>
      </c>
      <c r="H29" t="str" cm="1">
        <f t="array" ref="H29">_xll.qwCalName(B29)</f>
        <v>US</v>
      </c>
      <c r="I29" cm="1">
        <f t="array" ref="I29">_xll.qwCarry($A$1,B29,2)</f>
        <v>0</v>
      </c>
      <c r="J29" cm="1">
        <f t="array" ref="J29">_xll.qwConvexity($A$1,B29)</f>
        <v>7.8641123851239114E-5</v>
      </c>
      <c r="K29" s="12" cm="1">
        <f t="array" ref="K29">_xll.qwCurveYield($A$1,$A$2,B29)</f>
        <v>4.5739700000014004E-2</v>
      </c>
      <c r="L29" s="11" cm="1">
        <f t="array" ref="L29">_xll.qwCurvePrice($A$1,"SOFRSwap",B29)</f>
        <v>3.282096816548119E-13</v>
      </c>
      <c r="M29" s="4" t="e" cm="1">
        <f t="array" ref="M29">_xll.qwDelta(A27,B38)</f>
        <v>#NUM!</v>
      </c>
      <c r="N29" s="8" cm="1">
        <f t="array" ref="N29">_xll.qwDV01($A$1,B29)</f>
        <v>7.9957254437091702E-2</v>
      </c>
      <c r="O29" s="4" cm="1">
        <f t="array" ref="O29">_xll.qwEffective($A$1,B29)</f>
        <v>46280</v>
      </c>
      <c r="P29" cm="1">
        <f t="array" ref="P29">_xll.qwIncomeOvernight($A$1,B29)</f>
        <v>0</v>
      </c>
      <c r="Q29" cm="1">
        <f t="array" ref="Q29">_xll.qwMaturity($A$1,B29)</f>
        <v>49933</v>
      </c>
      <c r="R29" s="8" cm="1">
        <f t="array" ref="R29">_xll.qwMV01($A$1,B29)</f>
        <v>799.57254437091706</v>
      </c>
      <c r="S29" s="7" cm="1">
        <f t="array" ref="S29">_xll.qwMVFactor($A$1,B29)</f>
        <v>10000</v>
      </c>
      <c r="T29" s="7" cm="1">
        <f t="array" ref="T29">_xll.qwPrice($A$1,B29)</f>
        <v>3.282096816548119E-13</v>
      </c>
      <c r="U29" s="7" t="e" cm="1">
        <f t="array" ref="U29">_xll.qwRate($A$1,B29)</f>
        <v>#NUM!</v>
      </c>
      <c r="V29" s="5" t="e" cm="1">
        <f t="array" ref="V29">_xll.qwRelevantCoupon($A$1,B29)</f>
        <v>#NUM!</v>
      </c>
      <c r="W29" s="7" t="str" cm="1">
        <f t="array" ref="W29">_xll.qwRelevantCurve($A$1,B29)</f>
        <v>SOFRSWAP</v>
      </c>
      <c r="X29" s="1" t="e" cm="1">
        <f t="array" ref="X29">_xll.qwRateSpread($A$1,B29)</f>
        <v>#NUM!</v>
      </c>
      <c r="Y29" s="13" cm="1">
        <f t="array" ref="Y29">_xll.qwSettle($A$1,B29)</f>
        <v>46280</v>
      </c>
      <c r="Z29" t="str" cm="1">
        <f t="array" ref="Z29">_xll.qwSwapDiscountCurve($A$1,B29)</f>
        <v>SOFRSWAP</v>
      </c>
      <c r="AA29" s="8" cm="1">
        <f t="array" ref="AA29">_xll.qwSwapFixedRate($A$1,B29)</f>
        <v>4.5739700000000001E-2</v>
      </c>
      <c r="AB29" s="4" t="str" cm="1">
        <f t="array" ref="AB29">_xll.qwSwapFloatIndex($A$1,B29)</f>
        <v>SOFRRATE</v>
      </c>
      <c r="AC29" s="6" t="str" cm="1">
        <f t="array" ref="AC29">_xll.qwSwapResetCurve($A$1,B29)</f>
        <v>CRV.USOSFR10RESETS</v>
      </c>
      <c r="AD29" s="2" cm="1">
        <f t="array" ref="AD29">_xll.qwSwapResetDate($A$1,B29)</f>
        <v>46276</v>
      </c>
      <c r="AE29" s="8" cm="1">
        <f t="array" ref="AE29">_xll.qwSwapResetRate($A$1,B29)</f>
        <v>4.2858175156726963E-2</v>
      </c>
      <c r="AF29" t="str" cm="1">
        <f t="array" ref="AF29">_xll.qwSecType(B29)</f>
        <v>SwapBM</v>
      </c>
      <c r="AG29" s="8" cm="1">
        <f t="array" ref="AG29">_xll.qwYield($A$1,B29)</f>
        <v>4.5739700000000001E-2</v>
      </c>
      <c r="AH29" s="10" cm="1">
        <f t="array" ref="AH29">_xll.qwValBP($A$1,B29)</f>
        <v>7.9895988576681398E-2</v>
      </c>
      <c r="AI29" t="str" cm="1">
        <f t="array" ref="AI29">_xll.qwTenor($A$1,B29)</f>
        <v>10Y</v>
      </c>
      <c r="AJ29" cm="1">
        <f t="array" ref="AJ29">_xll.qwYield($A$1,B29)</f>
        <v>4.5739700000000001E-2</v>
      </c>
      <c r="AK29">
        <v>55411</v>
      </c>
      <c r="AL29">
        <v>4.7139090972000002</v>
      </c>
      <c r="AM29">
        <v>55411</v>
      </c>
      <c r="AN29">
        <v>4.6036611843120454</v>
      </c>
    </row>
    <row r="30" spans="2:47" x14ac:dyDescent="0.25">
      <c r="B30" t="str">
        <v>USOSFR12</v>
      </c>
      <c r="C30" t="str" cm="1">
        <f t="array" ref="C30">_xll.qwAlias($A$1,B30)</f>
        <v>SW SOFRRATE R 4.61759 9/15/26-9/15/38*</v>
      </c>
      <c r="D30" s="8" cm="1">
        <f t="array" ref="D30">_xll.qwAsk($A$1,B30)</f>
        <v>4.6189600000000004E-2</v>
      </c>
      <c r="E30" s="7" t="str" cm="1">
        <f t="array" ref="E30">_xll.qwBlmUniqueID($A$1,B30)</f>
        <v>IX40587194-0</v>
      </c>
      <c r="F30" t="str" cm="1">
        <f t="array" ref="F30">_xll.qwBlmID($A$1,B30)</f>
        <v>USOSFR12 Curncy</v>
      </c>
      <c r="G30" cm="1">
        <f t="array" ref="G30">_xll.qwBid($A$1,B30)</f>
        <v>4.61622E-2</v>
      </c>
      <c r="H30" t="str" cm="1">
        <f t="array" ref="H30">_xll.qwCalName(B30)</f>
        <v>US</v>
      </c>
      <c r="I30" cm="1">
        <f t="array" ref="I30">_xll.qwCarry($A$1,B30,2)</f>
        <v>0</v>
      </c>
      <c r="J30" cm="1">
        <f t="array" ref="J30">_xll.qwConvexity($A$1,B30)</f>
        <v>1.0597192289332757E-4</v>
      </c>
      <c r="K30" s="12" cm="1">
        <f t="array" ref="K30">_xll.qwCurveYield($A$1,$A$2,B30)</f>
        <v>4.6175899999839183E-2</v>
      </c>
      <c r="L30" s="11" cm="1">
        <f t="array" ref="L30">_xll.qwCurvePrice($A$1,"SOFRSwap",B30)</f>
        <v>3.4530711623403931E-13</v>
      </c>
      <c r="M30" s="4" t="e" cm="1">
        <f t="array" ref="M30">_xll.qwDelta(A28,B39)</f>
        <v>#NUM!</v>
      </c>
      <c r="N30" s="8" cm="1">
        <f t="array" ref="N30">_xll.qwDV01($A$1,B30)</f>
        <v>9.1941344275899062E-2</v>
      </c>
      <c r="O30" s="4" cm="1">
        <f t="array" ref="O30">_xll.qwEffective($A$1,B30)</f>
        <v>46280</v>
      </c>
      <c r="P30" cm="1">
        <f t="array" ref="P30">_xll.qwIncomeOvernight($A$1,B30)</f>
        <v>0</v>
      </c>
      <c r="Q30" cm="1">
        <f t="array" ref="Q30">_xll.qwMaturity($A$1,B30)</f>
        <v>50663</v>
      </c>
      <c r="R30" s="8" cm="1">
        <f t="array" ref="R30">_xll.qwMV01($A$1,B30)</f>
        <v>919.41344275899064</v>
      </c>
      <c r="S30" s="7" cm="1">
        <f t="array" ref="S30">_xll.qwMVFactor($A$1,B30)</f>
        <v>10000</v>
      </c>
      <c r="T30" s="7" cm="1">
        <f t="array" ref="T30">_xll.qwPrice($A$1,B30)</f>
        <v>3.4530711623403931E-13</v>
      </c>
      <c r="U30" s="7" t="e" cm="1">
        <f t="array" ref="U30">_xll.qwRate($A$1,B30)</f>
        <v>#NUM!</v>
      </c>
      <c r="V30" s="5" t="e" cm="1">
        <f t="array" ref="V30">_xll.qwRelevantCoupon($A$1,B30)</f>
        <v>#NUM!</v>
      </c>
      <c r="W30" s="7" t="str" cm="1">
        <f t="array" ref="W30">_xll.qwRelevantCurve($A$1,B30)</f>
        <v>SOFRSWAP</v>
      </c>
      <c r="X30" s="1" t="e" cm="1">
        <f t="array" ref="X30">_xll.qwRateSpread($A$1,B30)</f>
        <v>#NUM!</v>
      </c>
      <c r="Y30" s="13" cm="1">
        <f t="array" ref="Y30">_xll.qwSettle($A$1,B30)</f>
        <v>46280</v>
      </c>
      <c r="Z30" t="str" cm="1">
        <f t="array" ref="Z30">_xll.qwSwapDiscountCurve($A$1,B30)</f>
        <v>SOFRSWAP</v>
      </c>
      <c r="AA30" s="8" cm="1">
        <f t="array" ref="AA30">_xll.qwSwapFixedRate($A$1,B30)</f>
        <v>4.6175900000000006E-2</v>
      </c>
      <c r="AB30" s="4" t="str" cm="1">
        <f t="array" ref="AB30">_xll.qwSwapFloatIndex($A$1,B30)</f>
        <v>SOFRRATE</v>
      </c>
      <c r="AC30" s="6" t="str" cm="1">
        <f t="array" ref="AC30">_xll.qwSwapResetCurve($A$1,B30)</f>
        <v>CRV.USOSFR12RESETS</v>
      </c>
      <c r="AD30" s="2" cm="1">
        <f t="array" ref="AD30">_xll.qwSwapResetDate($A$1,B30)</f>
        <v>46276</v>
      </c>
      <c r="AE30" s="8" cm="1">
        <f t="array" ref="AE30">_xll.qwSwapResetRate($A$1,B30)</f>
        <v>4.2858175156726963E-2</v>
      </c>
      <c r="AF30" t="str" cm="1">
        <f t="array" ref="AF30">_xll.qwSecType(B30)</f>
        <v>SwapBM</v>
      </c>
      <c r="AG30" s="8" cm="1">
        <f t="array" ref="AG30">_xll.qwYield($A$1,B30)</f>
        <v>4.6175900000000006E-2</v>
      </c>
      <c r="AH30" s="10" cm="1">
        <f t="array" ref="AH30">_xll.qwValBP($A$1,B30)</f>
        <v>9.1862805142881768E-2</v>
      </c>
      <c r="AI30" t="str" cm="1">
        <f t="array" ref="AI30">_xll.qwTenor($A$1,B30)</f>
        <v>12Y</v>
      </c>
      <c r="AJ30" cm="1">
        <f t="array" ref="AJ30">_xll.qwYield($A$1,B30)</f>
        <v>4.6175900000000006E-2</v>
      </c>
      <c r="AK30">
        <v>55778</v>
      </c>
      <c r="AL30">
        <v>4.7397387360999996</v>
      </c>
      <c r="AM30">
        <v>55778</v>
      </c>
      <c r="AN30">
        <v>4.1743154656531516</v>
      </c>
    </row>
    <row r="31" spans="2:47" x14ac:dyDescent="0.25">
      <c r="B31" t="str">
        <v>USOSFR15</v>
      </c>
      <c r="C31" t="str" cm="1">
        <f t="array" ref="C31">_xll.qwAlias($A$1,B31)</f>
        <v>SW SOFRRATE R 4.677865 9/15/26-9/15/41*</v>
      </c>
      <c r="D31" s="8" cm="1">
        <f t="array" ref="D31">_xll.qwAsk($A$1,B31)</f>
        <v>4.6794599999999999E-2</v>
      </c>
      <c r="E31" s="7" t="str" cm="1">
        <f t="array" ref="E31">_xll.qwBlmUniqueID($A$1,B31)</f>
        <v>IX40587200-0</v>
      </c>
      <c r="F31" t="str" cm="1">
        <f t="array" ref="F31">_xll.qwBlmID($A$1,B31)</f>
        <v>USOSFR15 Curncy</v>
      </c>
      <c r="G31" cm="1">
        <f t="array" ref="G31">_xll.qwBid($A$1,B31)</f>
        <v>4.6762699999999997E-2</v>
      </c>
      <c r="H31" t="str" cm="1">
        <f t="array" ref="H31">_xll.qwCalName(B31)</f>
        <v>US</v>
      </c>
      <c r="I31" cm="1">
        <f t="array" ref="I31">_xll.qwCarry($A$1,B31,2)</f>
        <v>0</v>
      </c>
      <c r="J31" cm="1">
        <f t="array" ref="J31">_xll.qwConvexity($A$1,B31)</f>
        <v>1.5014140580849045E-4</v>
      </c>
      <c r="K31" s="12" cm="1">
        <f t="array" ref="K31">_xll.qwCurveYield($A$1,$A$2,B31)</f>
        <v>4.6778650000029759E-2</v>
      </c>
      <c r="L31" s="11" cm="1">
        <f t="array" ref="L31">_xll.qwCurvePrice($A$1,"SOFRSwap",B31)</f>
        <v>3.5063618675224006E-13</v>
      </c>
      <c r="M31" s="4" t="e" cm="1">
        <f t="array" ref="M31">_xll.qwDelta(A29,B40)</f>
        <v>#NUM!</v>
      </c>
      <c r="N31" s="8" cm="1">
        <f t="array" ref="N31">_xll.qwDV01($A$1,B31)</f>
        <v>0.10786537745462474</v>
      </c>
      <c r="O31" s="4" cm="1">
        <f t="array" ref="O31">_xll.qwEffective($A$1,B31)</f>
        <v>46280</v>
      </c>
      <c r="P31" cm="1">
        <f t="array" ref="P31">_xll.qwIncomeOvernight($A$1,B31)</f>
        <v>0</v>
      </c>
      <c r="Q31" cm="1">
        <f t="array" ref="Q31">_xll.qwMaturity($A$1,B31)</f>
        <v>51759</v>
      </c>
      <c r="R31" s="8" cm="1">
        <f t="array" ref="R31">_xll.qwMV01($A$1,B31)</f>
        <v>1078.6537745462474</v>
      </c>
      <c r="S31" s="7" cm="1">
        <f t="array" ref="S31">_xll.qwMVFactor($A$1,B31)</f>
        <v>10000</v>
      </c>
      <c r="T31" s="7" cm="1">
        <f t="array" ref="T31">_xll.qwPrice($A$1,B31)</f>
        <v>3.5063618675224006E-13</v>
      </c>
      <c r="U31" s="7" t="e" cm="1">
        <f t="array" ref="U31">_xll.qwRate($A$1,B31)</f>
        <v>#NUM!</v>
      </c>
      <c r="V31" s="5" t="e" cm="1">
        <f t="array" ref="V31">_xll.qwRelevantCoupon($A$1,B31)</f>
        <v>#NUM!</v>
      </c>
      <c r="W31" s="7" t="str" cm="1">
        <f t="array" ref="W31">_xll.qwRelevantCurve($A$1,B31)</f>
        <v>SOFRSWAP</v>
      </c>
      <c r="X31" s="1" t="e" cm="1">
        <f t="array" ref="X31">_xll.qwRateSpread($A$1,B31)</f>
        <v>#NUM!</v>
      </c>
      <c r="Y31" s="13" cm="1">
        <f t="array" ref="Y31">_xll.qwSettle($A$1,B31)</f>
        <v>46280</v>
      </c>
      <c r="Z31" t="str" cm="1">
        <f t="array" ref="Z31">_xll.qwSwapDiscountCurve($A$1,B31)</f>
        <v>SOFRSWAP</v>
      </c>
      <c r="AA31" s="8" cm="1">
        <f t="array" ref="AA31">_xll.qwSwapFixedRate($A$1,B31)</f>
        <v>4.6778649999999998E-2</v>
      </c>
      <c r="AB31" s="4" t="str" cm="1">
        <f t="array" ref="AB31">_xll.qwSwapFloatIndex($A$1,B31)</f>
        <v>SOFRRATE</v>
      </c>
      <c r="AC31" s="6" t="str" cm="1">
        <f t="array" ref="AC31">_xll.qwSwapResetCurve($A$1,B31)</f>
        <v>CRV.USOSFR15RESETS</v>
      </c>
      <c r="AD31" s="2" cm="1">
        <f t="array" ref="AD31">_xll.qwSwapResetDate($A$1,B31)</f>
        <v>46276</v>
      </c>
      <c r="AE31" s="8" cm="1">
        <f t="array" ref="AE31">_xll.qwSwapResetRate($A$1,B31)</f>
        <v>4.2858175156726963E-2</v>
      </c>
      <c r="AF31" t="str" cm="1">
        <f t="array" ref="AF31">_xll.qwSecType(B31)</f>
        <v>SwapBM</v>
      </c>
      <c r="AG31" s="8" cm="1">
        <f t="array" ref="AG31">_xll.qwYield($A$1,B31)</f>
        <v>4.6778649999999998E-2</v>
      </c>
      <c r="AH31" s="10" cm="1">
        <f t="array" ref="AH31">_xll.qwValBP($A$1,B31)</f>
        <v>0.10775911172585349</v>
      </c>
      <c r="AI31" t="str" cm="1">
        <f t="array" ref="AI31">_xll.qwTenor($A$1,B31)</f>
        <v>15Y</v>
      </c>
      <c r="AJ31" cm="1">
        <f t="array" ref="AJ31">_xll.qwYield($A$1,B31)</f>
        <v>4.6778649999999998E-2</v>
      </c>
      <c r="AK31">
        <v>56142</v>
      </c>
      <c r="AL31">
        <v>4.7009942777999996</v>
      </c>
      <c r="AM31">
        <v>56142</v>
      </c>
      <c r="AN31">
        <v>4.1394963342876423</v>
      </c>
    </row>
    <row r="32" spans="2:47" x14ac:dyDescent="0.25">
      <c r="B32" t="str">
        <v>USOSFR20</v>
      </c>
      <c r="C32" t="str" cm="1">
        <f t="array" ref="C32">_xll.qwAlias($A$1,B32)</f>
        <v>SW SOFRRATE R 4.72354 9/15/26-9/15/46*</v>
      </c>
      <c r="D32" s="8" cm="1">
        <f t="array" ref="D32">_xll.qwAsk($A$1,B32)</f>
        <v>4.7249999999999993E-2</v>
      </c>
      <c r="E32" s="7" t="str" cm="1">
        <f t="array" ref="E32">_xll.qwBlmUniqueID($A$1,B32)</f>
        <v>IX40587206-0</v>
      </c>
      <c r="F32" t="str" cm="1">
        <f t="array" ref="F32">_xll.qwBlmID($A$1,B32)</f>
        <v>USOSFR20 Curncy</v>
      </c>
      <c r="G32" cm="1">
        <f t="array" ref="G32">_xll.qwBid($A$1,B32)</f>
        <v>4.72208E-2</v>
      </c>
      <c r="H32" t="str" cm="1">
        <f t="array" ref="H32">_xll.qwCalName(B32)</f>
        <v>US</v>
      </c>
      <c r="I32" cm="1">
        <f t="array" ref="I32">_xll.qwCarry($A$1,B32,2)</f>
        <v>0</v>
      </c>
      <c r="J32" cm="1">
        <f t="array" ref="J32">_xll.qwConvexity($A$1,B32)</f>
        <v>2.2834539855987046E-4</v>
      </c>
      <c r="K32" s="12" cm="1">
        <f t="array" ref="K32">_xll.qwCurveYield($A$1,$A$2,B32)</f>
        <v>4.7235400000021889E-2</v>
      </c>
      <c r="L32" s="11" cm="1">
        <f t="array" ref="L32">_xll.qwCurvePrice($A$1,"SOFRSwap",B32)</f>
        <v>5.4656279502296456E-12</v>
      </c>
      <c r="M32" s="4" t="e" cm="1">
        <f t="array" ref="M32">_xll.qwDelta(A30,B41)</f>
        <v>#NUM!</v>
      </c>
      <c r="N32" s="8" cm="1">
        <f t="array" ref="N32">_xll.qwDV01($A$1,B32)</f>
        <v>0.12969244515014908</v>
      </c>
      <c r="O32" s="4" cm="1">
        <f t="array" ref="O32">_xll.qwEffective($A$1,B32)</f>
        <v>46280</v>
      </c>
      <c r="P32" cm="1">
        <f t="array" ref="P32">_xll.qwIncomeOvernight($A$1,B32)</f>
        <v>0</v>
      </c>
      <c r="Q32" cm="1">
        <f t="array" ref="Q32">_xll.qwMaturity($A$1,B32)</f>
        <v>53585</v>
      </c>
      <c r="R32" s="8" cm="1">
        <f t="array" ref="R32">_xll.qwMV01($A$1,B32)</f>
        <v>1296.9244515014907</v>
      </c>
      <c r="S32" s="7" cm="1">
        <f t="array" ref="S32">_xll.qwMVFactor($A$1,B32)</f>
        <v>10000</v>
      </c>
      <c r="T32" s="7" cm="1">
        <f t="array" ref="T32">_xll.qwPrice($A$1,B32)</f>
        <v>5.4656279502296456E-12</v>
      </c>
      <c r="U32" s="7" t="e" cm="1">
        <f t="array" ref="U32">_xll.qwRate($A$1,B32)</f>
        <v>#NUM!</v>
      </c>
      <c r="V32" s="5" t="e" cm="1">
        <f t="array" ref="V32">_xll.qwRelevantCoupon($A$1,B32)</f>
        <v>#NUM!</v>
      </c>
      <c r="W32" s="7" t="str" cm="1">
        <f t="array" ref="W32">_xll.qwRelevantCurve($A$1,B32)</f>
        <v>SOFRSWAP</v>
      </c>
      <c r="X32" s="1" t="e" cm="1">
        <f t="array" ref="X32">_xll.qwRateSpread($A$1,B32)</f>
        <v>#NUM!</v>
      </c>
      <c r="Y32" s="13" cm="1">
        <f t="array" ref="Y32">_xll.qwSettle($A$1,B32)</f>
        <v>46280</v>
      </c>
      <c r="Z32" t="str" cm="1">
        <f t="array" ref="Z32">_xll.qwSwapDiscountCurve($A$1,B32)</f>
        <v>SOFRSWAP</v>
      </c>
      <c r="AA32" s="8" cm="1">
        <f t="array" ref="AA32">_xll.qwSwapFixedRate($A$1,B32)</f>
        <v>4.7235399999999997E-2</v>
      </c>
      <c r="AB32" s="4" t="str" cm="1">
        <f t="array" ref="AB32">_xll.qwSwapFloatIndex($A$1,B32)</f>
        <v>SOFRRATE</v>
      </c>
      <c r="AC32" s="6" t="str" cm="1">
        <f t="array" ref="AC32">_xll.qwSwapResetCurve($A$1,B32)</f>
        <v>CRV.USOSFR20RESETS</v>
      </c>
      <c r="AD32" s="2" cm="1">
        <f t="array" ref="AD32">_xll.qwSwapResetDate($A$1,B32)</f>
        <v>46276</v>
      </c>
      <c r="AE32" s="8" cm="1">
        <f t="array" ref="AE32">_xll.qwSwapResetRate($A$1,B32)</f>
        <v>4.2858175156726963E-2</v>
      </c>
      <c r="AF32" t="str" cm="1">
        <f t="array" ref="AF32">_xll.qwSecType(B32)</f>
        <v>SwapBM</v>
      </c>
      <c r="AG32" s="8" cm="1">
        <f t="array" ref="AG32">_xll.qwYield($A$1,B32)</f>
        <v>4.7235399999999997E-2</v>
      </c>
      <c r="AH32" s="10" cm="1">
        <f t="array" ref="AH32">_xll.qwValBP($A$1,B32)</f>
        <v>0.12953755224758212</v>
      </c>
      <c r="AI32" t="str" cm="1">
        <f t="array" ref="AI32">_xll.qwTenor($A$1,B32)</f>
        <v>20Y</v>
      </c>
      <c r="AJ32" cm="1">
        <f t="array" ref="AJ32">_xll.qwYield($A$1,B32)</f>
        <v>4.7235399999999997E-2</v>
      </c>
      <c r="AK32">
        <v>56507</v>
      </c>
      <c r="AL32">
        <v>4.7139090972000002</v>
      </c>
      <c r="AM32">
        <v>56507</v>
      </c>
      <c r="AN32">
        <v>4.151101418115573</v>
      </c>
    </row>
    <row r="33" spans="2:40" x14ac:dyDescent="0.25">
      <c r="B33" t="str">
        <v>USOSFR25</v>
      </c>
      <c r="C33" t="str" cm="1">
        <f t="array" ref="C33">_xll.qwAlias($A$1,B33)</f>
        <v>SW SOFRRATE R 4.70207 9/15/26-9/15/51*</v>
      </c>
      <c r="D33" s="8" cm="1">
        <f t="array" ref="D33">_xll.qwAsk($A$1,B33)</f>
        <v>4.7036300000000003E-2</v>
      </c>
      <c r="E33" s="7" t="str" cm="1">
        <f t="array" ref="E33">_xll.qwBlmUniqueID($A$1,B33)</f>
        <v>IX40587212-0</v>
      </c>
      <c r="F33" t="str" cm="1">
        <f t="array" ref="F33">_xll.qwBlmID($A$1,B33)</f>
        <v>USOSFR25 Curncy</v>
      </c>
      <c r="G33" cm="1">
        <f t="array" ref="G33">_xll.qwBid($A$1,B33)</f>
        <v>4.7005100000000001E-2</v>
      </c>
      <c r="H33" t="str" cm="1">
        <f t="array" ref="H33">_xll.qwCalName(B33)</f>
        <v>US</v>
      </c>
      <c r="I33" cm="1">
        <f t="array" ref="I33">_xll.qwCarry($A$1,B33,2)</f>
        <v>0</v>
      </c>
      <c r="J33" cm="1">
        <f t="array" ref="J33">_xll.qwConvexity($A$1,B33)</f>
        <v>3.1002964340787198E-4</v>
      </c>
      <c r="K33" s="12" cm="1">
        <f t="array" ref="K33">_xll.qwCurveYield($A$1,$A$2,B33)</f>
        <v>4.7020699999959469E-2</v>
      </c>
      <c r="L33" s="11" cm="1">
        <f t="array" ref="L33">_xll.qwCurvePrice($A$1,"SOFRSwap",B33)</f>
        <v>4.7635208277885255E-11</v>
      </c>
      <c r="M33" s="4" t="e" cm="1">
        <f t="array" ref="M33">_xll.qwDelta(A31,B42)</f>
        <v>#NUM!</v>
      </c>
      <c r="N33" s="8" cm="1">
        <f t="array" ref="N33">_xll.qwDV01($A$1,B33)</f>
        <v>0.14695539766399582</v>
      </c>
      <c r="O33" s="4" cm="1">
        <f t="array" ref="O33">_xll.qwEffective($A$1,B33)</f>
        <v>46280</v>
      </c>
      <c r="P33" cm="1">
        <f t="array" ref="P33">_xll.qwIncomeOvernight($A$1,B33)</f>
        <v>0</v>
      </c>
      <c r="Q33" cm="1">
        <f t="array" ref="Q33">_xll.qwMaturity($A$1,B33)</f>
        <v>55411</v>
      </c>
      <c r="R33" s="8" cm="1">
        <f t="array" ref="R33">_xll.qwMV01($A$1,B33)</f>
        <v>1469.5539766399581</v>
      </c>
      <c r="S33" s="7" cm="1">
        <f t="array" ref="S33">_xll.qwMVFactor($A$1,B33)</f>
        <v>10000</v>
      </c>
      <c r="T33" s="7" cm="1">
        <f t="array" ref="T33">_xll.qwPrice($A$1,B33)</f>
        <v>4.7635208277885255E-11</v>
      </c>
      <c r="U33" s="7" t="e" cm="1">
        <f t="array" ref="U33">_xll.qwRate($A$1,B33)</f>
        <v>#NUM!</v>
      </c>
      <c r="V33" s="5" t="e" cm="1">
        <f t="array" ref="V33">_xll.qwRelevantCoupon($A$1,B33)</f>
        <v>#NUM!</v>
      </c>
      <c r="W33" s="7" t="str" cm="1">
        <f t="array" ref="W33">_xll.qwRelevantCurve($A$1,B33)</f>
        <v>SOFRSWAP</v>
      </c>
      <c r="X33" s="1" t="e" cm="1">
        <f t="array" ref="X33">_xll.qwRateSpread($A$1,B33)</f>
        <v>#NUM!</v>
      </c>
      <c r="Y33" s="13" cm="1">
        <f t="array" ref="Y33">_xll.qwSettle($A$1,B33)</f>
        <v>46280</v>
      </c>
      <c r="Z33" t="str" cm="1">
        <f t="array" ref="Z33">_xll.qwSwapDiscountCurve($A$1,B33)</f>
        <v>SOFRSWAP</v>
      </c>
      <c r="AA33" s="8" cm="1">
        <f t="array" ref="AA33">_xll.qwSwapFixedRate($A$1,B33)</f>
        <v>4.7020699999999999E-2</v>
      </c>
      <c r="AB33" s="4" t="str" cm="1">
        <f t="array" ref="AB33">_xll.qwSwapFloatIndex($A$1,B33)</f>
        <v>SOFRRATE</v>
      </c>
      <c r="AC33" s="6" t="str" cm="1">
        <f t="array" ref="AC33">_xll.qwSwapResetCurve($A$1,B33)</f>
        <v>CRV.USOSFR25RESETS</v>
      </c>
      <c r="AD33" s="2" cm="1">
        <f t="array" ref="AD33">_xll.qwSwapResetDate($A$1,B33)</f>
        <v>46276</v>
      </c>
      <c r="AE33" s="8" cm="1">
        <f t="array" ref="AE33">_xll.qwSwapResetRate($A$1,B33)</f>
        <v>4.2858175156726963E-2</v>
      </c>
      <c r="AF33" t="str" cm="1">
        <f t="array" ref="AF33">_xll.qwSecType(B33)</f>
        <v>SwapBM</v>
      </c>
      <c r="AG33" s="8" cm="1">
        <f t="array" ref="AG33">_xll.qwYield($A$1,B33)</f>
        <v>4.7020699999999999E-2</v>
      </c>
      <c r="AH33" s="10" cm="1">
        <f t="array" ref="AH33">_xll.qwValBP($A$1,B33)</f>
        <v>0.14675478810875608</v>
      </c>
      <c r="AI33" t="str" cm="1">
        <f t="array" ref="AI33">_xll.qwTenor($A$1,B33)</f>
        <v>25Y</v>
      </c>
      <c r="AJ33" cm="1">
        <f t="array" ref="AJ33">_xll.qwYield($A$1,B33)</f>
        <v>4.7020699999999999E-2</v>
      </c>
      <c r="AK33">
        <v>56872</v>
      </c>
      <c r="AL33">
        <v>4.7139090972000002</v>
      </c>
      <c r="AM33">
        <v>56872</v>
      </c>
      <c r="AN33">
        <v>4.1511014181156014</v>
      </c>
    </row>
    <row r="34" spans="2:40" x14ac:dyDescent="0.25">
      <c r="B34" t="str">
        <v>USOSFR30</v>
      </c>
      <c r="C34" t="str" cm="1">
        <f t="array" ref="C34">_xll.qwAlias($A$1,B34)</f>
        <v>SW SOFRRATE R 4.649335 9/15/26-9/15/56*</v>
      </c>
      <c r="D34" s="8" cm="1">
        <f t="array" ref="D34">_xll.qwAsk($A$1,B34)</f>
        <v>4.6507800000000002E-2</v>
      </c>
      <c r="E34" s="7" t="str" cm="1">
        <f t="array" ref="E34">_xll.qwBlmUniqueID($A$1,B34)</f>
        <v>IX40587218-0</v>
      </c>
      <c r="F34" t="str" cm="1">
        <f t="array" ref="F34">_xll.qwBlmID($A$1,B34)</f>
        <v>USOSFR30 Curncy</v>
      </c>
      <c r="G34" cm="1">
        <f t="array" ref="G34">_xll.qwBid($A$1,B34)</f>
        <v>4.6478900000000004E-2</v>
      </c>
      <c r="H34" t="str" cm="1">
        <f t="array" ref="H34">_xll.qwCalName(B34)</f>
        <v>US</v>
      </c>
      <c r="I34" cm="1">
        <f t="array" ref="I34">_xll.qwCarry($A$1,B34,2)</f>
        <v>0</v>
      </c>
      <c r="J34" cm="1">
        <f t="array" ref="J34">_xll.qwConvexity($A$1,B34)</f>
        <v>3.9435995744446783E-4</v>
      </c>
      <c r="K34" s="12" cm="1">
        <f t="array" ref="K34">_xll.qwCurveYield($A$1,$A$2,B34)</f>
        <v>4.6493350000007302E-2</v>
      </c>
      <c r="L34" s="11" cm="1">
        <f t="array" ref="L34">_xll.qwCurvePrice($A$1,"SOFRSwap",B34)</f>
        <v>3.6792791036077688E-13</v>
      </c>
      <c r="M34" s="4" t="e" cm="1">
        <f t="array" ref="M34">_xll.qwDelta(A32,B43)</f>
        <v>#NUM!</v>
      </c>
      <c r="N34" s="8" cm="1">
        <f t="array" ref="N34">_xll.qwDV01($A$1,B34)</f>
        <v>0.16094485708570241</v>
      </c>
      <c r="O34" s="4" cm="1">
        <f t="array" ref="O34">_xll.qwEffective($A$1,B34)</f>
        <v>46280</v>
      </c>
      <c r="P34" cm="1">
        <f t="array" ref="P34">_xll.qwIncomeOvernight($A$1,B34)</f>
        <v>0</v>
      </c>
      <c r="Q34" cm="1">
        <f t="array" ref="Q34">_xll.qwMaturity($A$1,B34)</f>
        <v>57238</v>
      </c>
      <c r="R34" s="8" cm="1">
        <f t="array" ref="R34">_xll.qwMV01($A$1,B34)</f>
        <v>1609.4485708570242</v>
      </c>
      <c r="S34" s="7" cm="1">
        <f t="array" ref="S34">_xll.qwMVFactor($A$1,B34)</f>
        <v>10000</v>
      </c>
      <c r="T34" s="7" cm="1">
        <f t="array" ref="T34">_xll.qwPrice($A$1,B34)</f>
        <v>3.6792791036077688E-13</v>
      </c>
      <c r="U34" s="7" t="e" cm="1">
        <f t="array" ref="U34">_xll.qwRate($A$1,B34)</f>
        <v>#NUM!</v>
      </c>
      <c r="V34" s="5" t="e" cm="1">
        <f t="array" ref="V34">_xll.qwRelevantCoupon($A$1,B34)</f>
        <v>#NUM!</v>
      </c>
      <c r="W34" s="7" t="str" cm="1">
        <f t="array" ref="W34">_xll.qwRelevantCurve($A$1,B34)</f>
        <v>SOFRSWAP</v>
      </c>
      <c r="X34" s="1" t="e" cm="1">
        <f t="array" ref="X34">_xll.qwRateSpread($A$1,B34)</f>
        <v>#NUM!</v>
      </c>
      <c r="Y34" s="13" cm="1">
        <f t="array" ref="Y34">_xll.qwSettle($A$1,B34)</f>
        <v>46280</v>
      </c>
      <c r="Z34" t="str" cm="1">
        <f t="array" ref="Z34">_xll.qwSwapDiscountCurve($A$1,B34)</f>
        <v>SOFRSWAP</v>
      </c>
      <c r="AA34" s="8" cm="1">
        <f t="array" ref="AA34">_xll.qwSwapFixedRate($A$1,B34)</f>
        <v>4.6493350000000003E-2</v>
      </c>
      <c r="AB34" s="4" t="str" cm="1">
        <f t="array" ref="AB34">_xll.qwSwapFloatIndex($A$1,B34)</f>
        <v>SOFRRATE</v>
      </c>
      <c r="AC34" s="6" t="str" cm="1">
        <f t="array" ref="AC34">_xll.qwSwapResetCurve($A$1,B34)</f>
        <v>CRV.USOSFR30RESETS</v>
      </c>
      <c r="AD34" s="2" cm="1">
        <f t="array" ref="AD34">_xll.qwSwapResetDate($A$1,B34)</f>
        <v>46276</v>
      </c>
      <c r="AE34" s="8" cm="1">
        <f t="array" ref="AE34">_xll.qwSwapResetRate($A$1,B34)</f>
        <v>4.2858175156726963E-2</v>
      </c>
      <c r="AF34" t="str" cm="1">
        <f t="array" ref="AF34">_xll.qwSecType(B34)</f>
        <v>SwapBM</v>
      </c>
      <c r="AG34" s="8" cm="1">
        <f t="array" ref="AG34">_xll.qwYield($A$1,B34)</f>
        <v>4.6493350000000003E-2</v>
      </c>
      <c r="AH34" s="10" cm="1">
        <f t="array" ref="AH34">_xll.qwValBP($A$1,B34)</f>
        <v>0.16069905425223047</v>
      </c>
      <c r="AI34" t="str" cm="1">
        <f t="array" ref="AI34">_xll.qwTenor($A$1,B34)</f>
        <v>30Y</v>
      </c>
      <c r="AJ34" cm="1">
        <f t="array" ref="AJ34">_xll.qwYield($A$1,B34)</f>
        <v>4.6493350000000003E-2</v>
      </c>
      <c r="AK34">
        <v>57238</v>
      </c>
      <c r="AL34">
        <v>104.7268239167</v>
      </c>
      <c r="AM34">
        <v>57238</v>
      </c>
      <c r="AN34">
        <v>104.16270779518939</v>
      </c>
    </row>
    <row r="35" spans="2:40" x14ac:dyDescent="0.25">
      <c r="B35" t="str">
        <v>USOSFR40</v>
      </c>
      <c r="C35" t="str" cm="1">
        <f t="array" ref="C35">_xll.qwAlias($A$1,B35)</f>
        <v>SW SOFRRATE R 4.522145 9/15/26-9/15/66*</v>
      </c>
      <c r="D35" s="8" cm="1">
        <f t="array" ref="D35">_xll.qwAsk($A$1,B35)</f>
        <v>4.5270000000000005E-2</v>
      </c>
      <c r="E35" s="7" t="str" cm="1">
        <f t="array" ref="E35">_xll.qwBlmUniqueID($A$1,B35)</f>
        <v>IX40587230-0</v>
      </c>
      <c r="F35" t="str" cm="1">
        <f t="array" ref="F35">_xll.qwBlmID($A$1,B35)</f>
        <v>USOSFR40 Curncy</v>
      </c>
      <c r="G35" cm="1">
        <f t="array" ref="G35">_xll.qwBid($A$1,B35)</f>
        <v>4.5172900000000002E-2</v>
      </c>
      <c r="H35" t="str" cm="1">
        <f t="array" ref="H35">_xll.qwCalName(B35)</f>
        <v>US</v>
      </c>
      <c r="I35" cm="1">
        <f t="array" ref="I35">_xll.qwCarry($A$1,B35,2)</f>
        <v>0</v>
      </c>
      <c r="J35" cm="1">
        <f t="array" ref="J35">_xll.qwConvexity($A$1,B35)</f>
        <v>5.6809708679125825E-4</v>
      </c>
      <c r="K35" s="12" cm="1">
        <f t="array" ref="K35">_xll.qwCurveYield($A$1,$A$2,B35)</f>
        <v>4.5221449999842116E-2</v>
      </c>
      <c r="L35" s="11" cm="1">
        <f t="array" ref="L35">_xll.qwCurvePrice($A$1,"SOFRSwap",B35)</f>
        <v>3.1777358522333543E-13</v>
      </c>
      <c r="M35" s="4" t="e" cm="1">
        <f t="array" ref="M35">_xll.qwDelta(A33,B44)</f>
        <v>#NUM!</v>
      </c>
      <c r="N35" s="8" cm="1">
        <f t="array" ref="N35">_xll.qwDV01($A$1,B35)</f>
        <v>0.18224271389531696</v>
      </c>
      <c r="O35" s="4" cm="1">
        <f t="array" ref="O35">_xll.qwEffective($A$1,B35)</f>
        <v>46280</v>
      </c>
      <c r="P35" cm="1">
        <f t="array" ref="P35">_xll.qwIncomeOvernight($A$1,B35)</f>
        <v>0</v>
      </c>
      <c r="Q35" cm="1">
        <f t="array" ref="Q35">_xll.qwMaturity($A$1,B35)</f>
        <v>60890</v>
      </c>
      <c r="R35" s="8" cm="1">
        <f t="array" ref="R35">_xll.qwMV01($A$1,B35)</f>
        <v>1822.4271389531696</v>
      </c>
      <c r="S35" s="7" cm="1">
        <f t="array" ref="S35">_xll.qwMVFactor($A$1,B35)</f>
        <v>10000</v>
      </c>
      <c r="T35" s="7" cm="1">
        <f t="array" ref="T35">_xll.qwPrice($A$1,B35)</f>
        <v>3.1777358522333543E-13</v>
      </c>
      <c r="U35" s="7" t="e" cm="1">
        <f t="array" ref="U35">_xll.qwRate($A$1,B35)</f>
        <v>#NUM!</v>
      </c>
      <c r="V35" s="5" t="e" cm="1">
        <f t="array" ref="V35">_xll.qwRelevantCoupon($A$1,B35)</f>
        <v>#NUM!</v>
      </c>
      <c r="W35" s="7" t="str" cm="1">
        <f t="array" ref="W35">_xll.qwRelevantCurve($A$1,B35)</f>
        <v>SOFRSWAP</v>
      </c>
      <c r="X35" s="1" t="e" cm="1">
        <f t="array" ref="X35">_xll.qwRateSpread($A$1,B35)</f>
        <v>#NUM!</v>
      </c>
      <c r="Y35" s="13" cm="1">
        <f t="array" ref="Y35">_xll.qwSettle($A$1,B35)</f>
        <v>46280</v>
      </c>
      <c r="Z35" t="str" cm="1">
        <f t="array" ref="Z35">_xll.qwSwapDiscountCurve($A$1,B35)</f>
        <v>SOFRSWAP</v>
      </c>
      <c r="AA35" s="8" cm="1">
        <f t="array" ref="AA35">_xll.qwSwapFixedRate($A$1,B35)</f>
        <v>4.5221450000000003E-2</v>
      </c>
      <c r="AB35" s="4" t="str" cm="1">
        <f t="array" ref="AB35">_xll.qwSwapFloatIndex($A$1,B35)</f>
        <v>SOFRRATE</v>
      </c>
      <c r="AC35" s="6" t="str" cm="1">
        <f t="array" ref="AC35">_xll.qwSwapResetCurve($A$1,B35)</f>
        <v>CRV.USOSFR40RESETS</v>
      </c>
      <c r="AD35" s="2" cm="1">
        <f t="array" ref="AD35">_xll.qwSwapResetDate($A$1,B35)</f>
        <v>46276</v>
      </c>
      <c r="AE35" s="8" cm="1">
        <f t="array" ref="AE35">_xll.qwSwapResetRate($A$1,B35)</f>
        <v>4.2858175156726963E-2</v>
      </c>
      <c r="AF35" t="str" cm="1">
        <f t="array" ref="AF35">_xll.qwSecType(B35)</f>
        <v>SwapBM</v>
      </c>
      <c r="AG35" s="8" cm="1">
        <f t="array" ref="AG35">_xll.qwYield($A$1,B35)</f>
        <v>4.5221450000000003E-2</v>
      </c>
      <c r="AH35" s="10" cm="1">
        <f t="array" ref="AH35">_xll.qwValBP($A$1,B35)</f>
        <v>0.18191394647255282</v>
      </c>
      <c r="AI35" t="str" cm="1">
        <f t="array" ref="AI35">_xll.qwTenor($A$1,B35)</f>
        <v>40Y</v>
      </c>
      <c r="AJ35" cm="1">
        <f t="array" ref="AJ35">_xll.qwYield($A$1,B35)</f>
        <v>4.5221450000000003E-2</v>
      </c>
    </row>
    <row r="36" spans="2:40" x14ac:dyDescent="0.25">
      <c r="G36" s="4"/>
      <c r="H36" s="4"/>
      <c r="I36" s="4"/>
      <c r="J36" s="1"/>
      <c r="K36" s="1"/>
      <c r="L36" s="1"/>
      <c r="M36" s="1"/>
      <c r="N36" s="1"/>
      <c r="X36" s="4"/>
      <c r="Z36" s="7"/>
      <c r="AB36" s="4"/>
      <c r="AC36" s="4"/>
      <c r="AD36" s="6"/>
      <c r="AE36" s="2"/>
      <c r="AF36" s="1"/>
      <c r="AH36" s="2"/>
    </row>
    <row r="37" spans="2:40" x14ac:dyDescent="0.25">
      <c r="G37" s="1"/>
      <c r="M37" s="1"/>
      <c r="N37" s="1"/>
      <c r="X37" s="4"/>
      <c r="Z37" s="7"/>
      <c r="AB37" s="4"/>
      <c r="AC37" s="4"/>
      <c r="AD37" s="6"/>
      <c r="AE37" s="2"/>
      <c r="AF37" s="1"/>
      <c r="AH37" s="2"/>
    </row>
    <row r="38" spans="2:40" x14ac:dyDescent="0.25">
      <c r="G38" s="1"/>
      <c r="J38" s="1"/>
      <c r="K38" s="1"/>
      <c r="L38" s="1"/>
      <c r="M38" s="1"/>
      <c r="N38" s="1"/>
      <c r="Z38" s="7"/>
      <c r="AB38" s="4"/>
      <c r="AC38" s="4"/>
      <c r="AD38" s="6"/>
      <c r="AE38" s="2"/>
      <c r="AF38" s="1"/>
      <c r="AH38" s="2"/>
    </row>
    <row r="39" spans="2:40" x14ac:dyDescent="0.25">
      <c r="G39" s="1"/>
      <c r="J39" s="1"/>
      <c r="K39" s="1"/>
      <c r="L39" s="1"/>
      <c r="M39" s="1"/>
      <c r="Y39" s="7"/>
      <c r="AA39" s="4"/>
      <c r="AB39" s="4"/>
      <c r="AC39" s="6"/>
      <c r="AG39" s="2"/>
    </row>
    <row r="40" spans="2:40" x14ac:dyDescent="0.25">
      <c r="G40" s="1"/>
      <c r="J40" s="2"/>
      <c r="K40" s="2"/>
      <c r="L40" s="2"/>
      <c r="Y40" s="5"/>
      <c r="Z40" s="5"/>
      <c r="AA40" s="4"/>
      <c r="AB40" s="3"/>
      <c r="AC40" s="3"/>
      <c r="AG40" s="2"/>
    </row>
    <row r="41" spans="2:40" x14ac:dyDescent="0.25">
      <c r="G41" s="1"/>
      <c r="J41" s="2"/>
      <c r="K41" s="2"/>
      <c r="L41" s="2"/>
      <c r="Y41" s="5"/>
      <c r="Z41" s="5"/>
      <c r="AA41" s="4"/>
      <c r="AB41" s="3"/>
      <c r="AC41" s="3"/>
      <c r="AG41" s="2"/>
    </row>
    <row r="42" spans="2:40" x14ac:dyDescent="0.25">
      <c r="H42" s="5"/>
      <c r="I42" s="5"/>
      <c r="J42" s="2"/>
      <c r="K42" s="2"/>
      <c r="L42" s="2"/>
      <c r="Y42" s="5"/>
      <c r="Z42" s="5"/>
      <c r="AA42" s="4"/>
      <c r="AB42" s="3"/>
      <c r="AC42" s="3"/>
      <c r="AG42" s="2"/>
    </row>
    <row r="43" spans="2:40" x14ac:dyDescent="0.25">
      <c r="H43" s="5"/>
      <c r="I43" s="5"/>
      <c r="J43" s="2"/>
      <c r="K43" s="2"/>
      <c r="L43" s="2"/>
      <c r="P43" s="4"/>
      <c r="Q43" s="4"/>
      <c r="R43" s="4"/>
      <c r="S43" s="4"/>
      <c r="T43" s="4"/>
      <c r="U43" s="4"/>
      <c r="V43" s="4"/>
      <c r="W43" s="4"/>
      <c r="Y43" s="5"/>
      <c r="Z43" s="5"/>
      <c r="AA43" s="4"/>
      <c r="AB43" s="3"/>
      <c r="AC43" s="3"/>
      <c r="AG43" s="2"/>
    </row>
    <row r="44" spans="2:40" x14ac:dyDescent="0.25">
      <c r="H44" s="5"/>
      <c r="I44" s="5"/>
      <c r="J44" s="2"/>
      <c r="K44" s="2"/>
      <c r="L44" s="2"/>
      <c r="O44" s="1"/>
      <c r="P44" s="9"/>
      <c r="Q44" s="9"/>
      <c r="R44" s="9"/>
      <c r="S44" s="9"/>
      <c r="T44" s="9"/>
      <c r="U44" s="9"/>
      <c r="W44" s="9"/>
      <c r="Y44" s="5"/>
      <c r="Z44" s="5"/>
      <c r="AA44" s="4"/>
      <c r="AB44" s="3"/>
      <c r="AC44" s="3"/>
      <c r="AG44" s="2"/>
    </row>
    <row r="45" spans="2:40" x14ac:dyDescent="0.25">
      <c r="H45" s="5"/>
      <c r="I45" s="5"/>
      <c r="J45" s="2"/>
      <c r="K45" s="2"/>
      <c r="L45" s="2"/>
      <c r="P45" s="9"/>
      <c r="Q45" s="9"/>
      <c r="R45" s="9"/>
      <c r="S45" s="9"/>
      <c r="T45" s="9"/>
      <c r="U45" s="9"/>
      <c r="V45" s="9"/>
      <c r="W45" s="9"/>
      <c r="Y45" s="5"/>
      <c r="Z45" s="5"/>
      <c r="AA45" s="4"/>
      <c r="AB45" s="3"/>
      <c r="AC45" s="3"/>
      <c r="AG45" s="2"/>
    </row>
    <row r="46" spans="2:40" x14ac:dyDescent="0.25">
      <c r="H46" s="5"/>
      <c r="I46" s="5"/>
      <c r="J46" s="2"/>
      <c r="K46" s="2"/>
      <c r="L46" s="2"/>
      <c r="P46" s="9"/>
      <c r="Q46" s="9"/>
      <c r="R46" s="9"/>
      <c r="S46" s="9"/>
      <c r="T46" s="9"/>
      <c r="U46" s="9"/>
      <c r="V46" s="9"/>
      <c r="W46" s="9"/>
      <c r="Y46" s="5"/>
      <c r="Z46" s="5"/>
      <c r="AA46" s="4"/>
      <c r="AB46" s="3"/>
      <c r="AC46" s="3"/>
      <c r="AG46" s="2"/>
    </row>
    <row r="47" spans="2:40" x14ac:dyDescent="0.25">
      <c r="I47" s="5"/>
      <c r="J47" s="2"/>
      <c r="K47" s="2"/>
      <c r="L47" s="2"/>
      <c r="P47" s="9"/>
      <c r="Q47" s="9"/>
      <c r="R47" s="9"/>
      <c r="S47" s="9"/>
      <c r="T47" s="9"/>
      <c r="U47" s="9"/>
      <c r="V47" s="9"/>
      <c r="W47" s="9"/>
      <c r="Y47" s="5"/>
      <c r="Z47" s="5"/>
      <c r="AA47" s="4"/>
      <c r="AB47" s="3"/>
      <c r="AC47" s="3"/>
      <c r="AG47" s="2"/>
    </row>
    <row r="48" spans="2:40" x14ac:dyDescent="0.25">
      <c r="H48" s="5"/>
      <c r="I48" s="5"/>
      <c r="J48" s="2"/>
      <c r="K48" s="2"/>
      <c r="L48" s="2"/>
      <c r="P48" s="9"/>
      <c r="Q48" s="9"/>
      <c r="R48" s="9"/>
      <c r="S48" s="9"/>
      <c r="T48" s="9"/>
      <c r="U48" s="9"/>
      <c r="V48" s="9"/>
      <c r="W48" s="9"/>
      <c r="Y48" s="5"/>
      <c r="Z48" s="5"/>
      <c r="AA48" s="4"/>
      <c r="AB48" s="3"/>
      <c r="AC48" s="3"/>
      <c r="AG48" s="2"/>
    </row>
    <row r="49" spans="8:33" x14ac:dyDescent="0.25">
      <c r="H49" s="5"/>
      <c r="I49" s="5"/>
      <c r="J49" s="2"/>
      <c r="K49" s="2"/>
      <c r="L49" s="2"/>
      <c r="O49" s="1"/>
      <c r="P49" s="4"/>
      <c r="Q49" s="4"/>
      <c r="R49" s="4"/>
      <c r="S49" s="4"/>
      <c r="T49" s="4"/>
      <c r="U49" s="4"/>
      <c r="V49" s="4"/>
      <c r="W49" s="4"/>
      <c r="Y49" s="5"/>
      <c r="Z49" s="5"/>
      <c r="AC49" s="3"/>
      <c r="AG49" s="2"/>
    </row>
    <row r="50" spans="8:33" x14ac:dyDescent="0.25">
      <c r="H50" s="5"/>
      <c r="I50" s="5"/>
      <c r="J50" s="2"/>
      <c r="K50" s="2"/>
      <c r="L50" s="2"/>
      <c r="P50" s="7"/>
      <c r="Q50" s="7"/>
      <c r="R50" s="7"/>
      <c r="S50" s="7"/>
      <c r="T50" s="7"/>
      <c r="U50" s="7"/>
      <c r="V50" s="7"/>
      <c r="W50" s="7"/>
      <c r="Y50" s="5"/>
      <c r="Z50" s="5"/>
      <c r="AA50" s="4"/>
      <c r="AB50" s="3"/>
      <c r="AC50" s="3"/>
      <c r="AG50" s="2"/>
    </row>
    <row r="51" spans="8:33" x14ac:dyDescent="0.25">
      <c r="H51" s="5"/>
      <c r="I51" s="5"/>
      <c r="J51" s="2"/>
      <c r="K51" s="2"/>
      <c r="L51" s="2"/>
      <c r="P51" s="7"/>
      <c r="Q51" s="7"/>
      <c r="R51" s="7"/>
      <c r="S51" s="7"/>
      <c r="T51" s="7"/>
      <c r="U51" s="7"/>
      <c r="V51" s="7"/>
      <c r="W51" s="7"/>
      <c r="Y51" s="5"/>
      <c r="Z51" s="5"/>
      <c r="AA51" s="4"/>
      <c r="AB51" s="3"/>
      <c r="AC51" s="3"/>
      <c r="AG51" s="2"/>
    </row>
    <row r="52" spans="8:33" x14ac:dyDescent="0.25">
      <c r="H52" s="5"/>
      <c r="I52" s="5"/>
      <c r="J52" s="2"/>
      <c r="K52" s="2"/>
      <c r="L52" s="2"/>
      <c r="P52" s="7"/>
      <c r="Q52" s="7"/>
      <c r="R52" s="7"/>
      <c r="S52" s="7"/>
      <c r="T52" s="7"/>
      <c r="U52" s="7"/>
      <c r="V52" s="7"/>
      <c r="W52" s="7"/>
      <c r="Y52" s="5"/>
      <c r="Z52" s="5"/>
      <c r="AA52" s="4"/>
      <c r="AB52" s="3"/>
      <c r="AC52" s="3"/>
      <c r="AG52" s="2"/>
    </row>
    <row r="53" spans="8:33" x14ac:dyDescent="0.25">
      <c r="H53" s="5"/>
      <c r="I53" s="5"/>
      <c r="J53" s="2"/>
      <c r="K53" s="2"/>
      <c r="L53" s="2"/>
      <c r="O53" s="2"/>
      <c r="X53" s="5"/>
      <c r="Y53" s="5"/>
      <c r="Z53" s="5"/>
      <c r="AA53" s="4"/>
      <c r="AB53" s="3"/>
      <c r="AC53" s="3"/>
      <c r="AG53" s="2"/>
    </row>
    <row r="54" spans="8:33" x14ac:dyDescent="0.25">
      <c r="H54" s="5"/>
      <c r="I54" s="5"/>
      <c r="J54" s="2"/>
      <c r="K54" s="2"/>
      <c r="L54" s="2"/>
      <c r="O54" s="2"/>
      <c r="X54" s="5"/>
      <c r="Y54" s="5"/>
      <c r="Z54" s="5"/>
      <c r="AA54" s="4"/>
      <c r="AB54" s="3"/>
      <c r="AC54" s="3"/>
      <c r="AG54" s="2"/>
    </row>
    <row r="55" spans="8:33" x14ac:dyDescent="0.25">
      <c r="H55" s="5"/>
      <c r="I55" s="5"/>
      <c r="J55" s="2"/>
      <c r="K55" s="2"/>
      <c r="L55" s="2"/>
      <c r="O55" s="2"/>
      <c r="X55" s="5"/>
      <c r="Y55" s="5"/>
      <c r="Z55" s="5"/>
      <c r="AA55" s="2"/>
      <c r="AB55" s="3"/>
      <c r="AC55" s="3"/>
      <c r="AG55" s="2"/>
    </row>
    <row r="56" spans="8:33" x14ac:dyDescent="0.25">
      <c r="H56" s="5"/>
      <c r="I56" s="5"/>
      <c r="J56" s="2"/>
      <c r="K56" s="2"/>
      <c r="L56" s="2"/>
      <c r="O56" s="2"/>
      <c r="X56" s="5"/>
      <c r="Y56" s="5"/>
      <c r="Z56" s="5"/>
      <c r="AA56" s="2"/>
      <c r="AB56" s="3"/>
      <c r="AC56" s="3"/>
      <c r="AG56" s="2"/>
    </row>
    <row r="57" spans="8:33" x14ac:dyDescent="0.25">
      <c r="H57" s="5"/>
      <c r="I57" s="5"/>
      <c r="J57" s="2"/>
      <c r="K57" s="2"/>
      <c r="L57" s="2"/>
      <c r="O57" s="2"/>
      <c r="X57" s="5"/>
      <c r="Y57" s="5"/>
      <c r="Z57" s="5"/>
      <c r="AA57" s="2"/>
      <c r="AB57" s="3"/>
      <c r="AC57" s="3"/>
      <c r="AG57" s="2"/>
    </row>
    <row r="58" spans="8:33" x14ac:dyDescent="0.25">
      <c r="H58" s="5"/>
      <c r="I58" s="5"/>
      <c r="J58" s="2"/>
      <c r="K58" s="2"/>
      <c r="L58" s="2"/>
      <c r="O58" s="2"/>
      <c r="X58" s="5"/>
      <c r="Y58" s="5"/>
      <c r="Z58" s="5"/>
      <c r="AA58" s="2"/>
      <c r="AB58" s="3"/>
      <c r="AC58" s="3"/>
      <c r="AG58" s="2"/>
    </row>
    <row r="59" spans="8:33" x14ac:dyDescent="0.25">
      <c r="H59" s="5"/>
      <c r="I59" s="5"/>
      <c r="J59" s="2"/>
      <c r="K59" s="2"/>
      <c r="L59" s="2"/>
      <c r="O59" s="2"/>
      <c r="X59" s="5"/>
      <c r="Y59" s="5"/>
      <c r="Z59" s="5"/>
      <c r="AA59" s="2"/>
      <c r="AB59" s="3"/>
      <c r="AC59" s="3"/>
      <c r="AG59" s="2"/>
    </row>
    <row r="60" spans="8:33" x14ac:dyDescent="0.25">
      <c r="H60" s="5"/>
      <c r="I60" s="5"/>
      <c r="J60" s="2"/>
      <c r="K60" s="2"/>
      <c r="L60" s="2"/>
      <c r="O60" s="2"/>
      <c r="X60" s="5"/>
      <c r="Y60" s="5"/>
      <c r="Z60" s="5"/>
      <c r="AA60" s="2"/>
      <c r="AB60" s="3"/>
      <c r="AC60" s="3"/>
      <c r="AG60" s="2"/>
    </row>
    <row r="61" spans="8:33" x14ac:dyDescent="0.25">
      <c r="H61" s="5"/>
      <c r="I61" s="5"/>
      <c r="J61" s="2"/>
      <c r="K61" s="2"/>
      <c r="L61" s="2"/>
      <c r="O61" s="2"/>
      <c r="X61" s="5"/>
      <c r="Y61" s="5"/>
      <c r="Z61" s="5"/>
      <c r="AA61" s="2"/>
      <c r="AB61" s="3"/>
      <c r="AC61" s="3"/>
      <c r="AG61" s="2"/>
    </row>
    <row r="62" spans="8:33" x14ac:dyDescent="0.25">
      <c r="H62" s="5"/>
      <c r="I62" s="5"/>
      <c r="J62" s="2"/>
      <c r="K62" s="2"/>
      <c r="L62" s="2"/>
      <c r="O62" s="2"/>
      <c r="X62" s="5"/>
      <c r="Y62" s="5"/>
      <c r="Z62" s="5"/>
      <c r="AA62" s="2"/>
      <c r="AB62" s="3"/>
      <c r="AC62" s="3"/>
      <c r="AG62" s="2"/>
    </row>
    <row r="63" spans="8:33" x14ac:dyDescent="0.25">
      <c r="H63" s="5"/>
      <c r="I63" s="5"/>
      <c r="J63" s="2"/>
      <c r="K63" s="2"/>
      <c r="L63" s="2"/>
      <c r="M63" s="1"/>
      <c r="N63" s="1"/>
      <c r="O63" s="2"/>
      <c r="X63" s="5"/>
      <c r="Y63" s="5"/>
      <c r="Z63" s="5"/>
      <c r="AA63" s="2"/>
      <c r="AB63" s="3"/>
      <c r="AC63" s="3"/>
      <c r="AG63" s="2"/>
    </row>
    <row r="64" spans="8:33" x14ac:dyDescent="0.25">
      <c r="H64" s="5"/>
      <c r="I64" s="5"/>
      <c r="J64" s="2"/>
      <c r="K64" s="2"/>
      <c r="L64" s="2"/>
      <c r="M64" s="1"/>
      <c r="N64" s="1"/>
      <c r="O64" s="2"/>
      <c r="X64" s="5"/>
      <c r="Y64" s="5"/>
      <c r="Z64" s="5"/>
      <c r="AA64" s="2"/>
      <c r="AB64" s="3"/>
      <c r="AC64" s="3"/>
      <c r="AG64" s="2"/>
    </row>
    <row r="65" spans="8:33" x14ac:dyDescent="0.25">
      <c r="H65" s="5"/>
      <c r="I65" s="5"/>
      <c r="J65" s="2"/>
      <c r="K65" s="2"/>
      <c r="L65" s="2"/>
      <c r="M65" s="1"/>
      <c r="N65" s="1"/>
      <c r="O65" s="2"/>
      <c r="X65" s="5"/>
      <c r="Y65" s="5"/>
      <c r="Z65" s="5"/>
      <c r="AA65" s="2"/>
      <c r="AB65" s="3"/>
      <c r="AC65" s="3"/>
      <c r="AG65" s="2"/>
    </row>
    <row r="66" spans="8:33" x14ac:dyDescent="0.25">
      <c r="H66" s="5"/>
      <c r="I66" s="5"/>
      <c r="J66" s="2"/>
      <c r="K66" s="2"/>
      <c r="L66" s="2"/>
      <c r="M66" s="1"/>
      <c r="N66" s="1"/>
      <c r="O66" s="2"/>
      <c r="X66" s="5"/>
      <c r="Y66" s="5"/>
      <c r="Z66" s="5"/>
      <c r="AA66" s="2"/>
      <c r="AB66" s="3"/>
      <c r="AC66" s="3"/>
      <c r="AG66" s="2"/>
    </row>
    <row r="67" spans="8:33" x14ac:dyDescent="0.25">
      <c r="H67" s="5"/>
      <c r="I67" s="5"/>
      <c r="J67" s="2"/>
      <c r="K67" s="2"/>
      <c r="L67" s="2"/>
      <c r="M67" s="1"/>
      <c r="N67" s="1"/>
      <c r="O67" s="2"/>
      <c r="X67" s="5"/>
      <c r="Y67" s="5"/>
      <c r="Z67" s="5"/>
      <c r="AA67" s="2"/>
      <c r="AB67" s="3"/>
      <c r="AC67" s="3"/>
      <c r="AG67" s="2"/>
    </row>
    <row r="68" spans="8:33" x14ac:dyDescent="0.25">
      <c r="H68" s="5"/>
      <c r="I68" s="5"/>
      <c r="J68" s="2"/>
      <c r="K68" s="2"/>
      <c r="L68" s="2"/>
      <c r="M68" s="1"/>
      <c r="N68" s="1"/>
      <c r="O68" s="2"/>
      <c r="X68" s="5"/>
      <c r="Y68" s="5"/>
      <c r="Z68" s="5"/>
      <c r="AA68" s="2"/>
      <c r="AB68" s="3"/>
      <c r="AC68" s="3"/>
      <c r="AG68" s="2"/>
    </row>
    <row r="69" spans="8:33" x14ac:dyDescent="0.25">
      <c r="H69" s="5"/>
      <c r="I69" s="5"/>
      <c r="J69" s="2"/>
      <c r="K69" s="2"/>
      <c r="L69" s="2"/>
      <c r="M69" s="1"/>
      <c r="N69" s="1"/>
      <c r="O69" s="2"/>
      <c r="X69" s="5"/>
      <c r="Y69" s="5"/>
      <c r="Z69" s="5"/>
      <c r="AA69" s="2"/>
      <c r="AB69" s="3"/>
      <c r="AC69" s="3"/>
      <c r="AG69" s="2"/>
    </row>
    <row r="70" spans="8:33" x14ac:dyDescent="0.25">
      <c r="H70" s="5"/>
      <c r="I70" s="5"/>
      <c r="J70" s="2"/>
      <c r="K70" s="2"/>
      <c r="L70" s="2"/>
      <c r="M70" s="1"/>
      <c r="N70" s="1"/>
      <c r="O70" s="2"/>
      <c r="X70" s="5"/>
      <c r="Y70" s="5"/>
      <c r="Z70" s="5"/>
      <c r="AA70" s="2"/>
      <c r="AB70" s="3"/>
      <c r="AC70" s="3"/>
      <c r="AG70" s="2"/>
    </row>
    <row r="71" spans="8:33" x14ac:dyDescent="0.25">
      <c r="H71" s="5"/>
      <c r="I71" s="5"/>
      <c r="J71" s="2"/>
      <c r="K71" s="2"/>
      <c r="L71" s="2"/>
      <c r="M71" s="1"/>
      <c r="N71" s="1"/>
      <c r="O71" s="2"/>
      <c r="X71" s="5"/>
      <c r="Y71" s="5"/>
      <c r="Z71" s="5"/>
      <c r="AA71" s="2"/>
      <c r="AB71" s="3"/>
      <c r="AC71" s="3"/>
      <c r="AG71" s="2"/>
    </row>
    <row r="72" spans="8:33" x14ac:dyDescent="0.25">
      <c r="H72" s="5"/>
      <c r="I72" s="5"/>
      <c r="J72" s="2"/>
      <c r="K72" s="2"/>
      <c r="L72" s="2"/>
      <c r="M72" s="1"/>
      <c r="N72" s="1"/>
      <c r="O72" s="2"/>
      <c r="X72" s="5"/>
      <c r="Y72" s="5"/>
      <c r="Z72" s="5"/>
      <c r="AA72" s="2"/>
      <c r="AB72" s="3"/>
      <c r="AC72" s="3"/>
      <c r="AG72" s="2"/>
    </row>
    <row r="73" spans="8:33" x14ac:dyDescent="0.25">
      <c r="H73" s="5"/>
      <c r="I73" s="5"/>
      <c r="J73" s="2"/>
      <c r="K73" s="2"/>
      <c r="L73" s="2"/>
      <c r="M73" s="1"/>
      <c r="N73" s="1"/>
      <c r="O73" s="2"/>
      <c r="X73" s="5"/>
      <c r="Y73" s="5"/>
      <c r="Z73" s="5"/>
      <c r="AA73" s="2"/>
      <c r="AB73" s="3"/>
      <c r="AC73" s="3"/>
      <c r="AG73" s="2"/>
    </row>
    <row r="74" spans="8:33" x14ac:dyDescent="0.25">
      <c r="H74" s="5"/>
      <c r="I74" s="5"/>
      <c r="J74" s="2"/>
      <c r="K74" s="2"/>
      <c r="L74" s="2"/>
      <c r="M74" s="1"/>
      <c r="N74" s="1"/>
      <c r="O74" s="2"/>
      <c r="X74" s="5"/>
      <c r="Y74" s="5"/>
      <c r="Z74" s="5"/>
      <c r="AA74" s="2"/>
      <c r="AB74" s="3"/>
      <c r="AC74" s="3"/>
      <c r="AG74" s="2"/>
    </row>
    <row r="75" spans="8:33" x14ac:dyDescent="0.25">
      <c r="H75" s="5"/>
      <c r="I75" s="5"/>
      <c r="J75" s="2"/>
      <c r="K75" s="2"/>
      <c r="L75" s="2"/>
      <c r="M75" s="1"/>
      <c r="N75" s="1"/>
      <c r="O75" s="2"/>
      <c r="X75" s="5"/>
      <c r="Y75" s="5"/>
      <c r="Z75" s="5"/>
      <c r="AA75" s="2"/>
      <c r="AB75" s="3"/>
      <c r="AC75" s="3"/>
      <c r="AG75" s="2"/>
    </row>
    <row r="76" spans="8:33" x14ac:dyDescent="0.25">
      <c r="H76" s="5"/>
      <c r="I76" s="5"/>
      <c r="J76" s="2"/>
      <c r="K76" s="2"/>
      <c r="L76" s="2"/>
      <c r="M76" s="1"/>
      <c r="N76" s="1"/>
      <c r="O76" s="2"/>
      <c r="X76" s="5"/>
      <c r="Y76" s="5"/>
      <c r="Z76" s="5"/>
      <c r="AA76" s="2"/>
      <c r="AB76" s="3"/>
      <c r="AC76" s="3"/>
      <c r="AG76" s="2"/>
    </row>
    <row r="77" spans="8:33" x14ac:dyDescent="0.25">
      <c r="H77" s="5"/>
      <c r="I77" s="5"/>
      <c r="J77" s="2"/>
      <c r="K77" s="2"/>
      <c r="L77" s="2"/>
      <c r="M77" s="1"/>
      <c r="N77" s="1"/>
      <c r="O77" s="2"/>
      <c r="X77" s="5"/>
      <c r="Y77" s="5"/>
      <c r="Z77" s="5"/>
      <c r="AA77" s="2"/>
      <c r="AB77" s="3"/>
      <c r="AC77" s="3"/>
      <c r="AG77" s="2"/>
    </row>
    <row r="78" spans="8:33" x14ac:dyDescent="0.25">
      <c r="H78" s="5"/>
      <c r="I78" s="5"/>
      <c r="J78" s="2"/>
      <c r="K78" s="2"/>
      <c r="L78" s="2"/>
      <c r="M78" s="1"/>
      <c r="N78" s="1"/>
      <c r="O78" s="2"/>
      <c r="X78" s="5"/>
      <c r="Y78" s="5"/>
      <c r="Z78" s="5"/>
      <c r="AA78" s="2"/>
      <c r="AB78" s="3"/>
      <c r="AC78" s="3"/>
      <c r="AG78" s="2"/>
    </row>
    <row r="79" spans="8:33" x14ac:dyDescent="0.25">
      <c r="H79" s="5"/>
      <c r="I79" s="5"/>
      <c r="J79" s="2"/>
      <c r="K79" s="2"/>
      <c r="L79" s="2"/>
      <c r="M79" s="1"/>
      <c r="N79" s="1"/>
      <c r="O79" s="2"/>
      <c r="X79" s="5"/>
      <c r="Y79" s="5"/>
      <c r="Z79" s="5"/>
      <c r="AA79" s="2"/>
      <c r="AB79" s="3"/>
      <c r="AC79" s="3"/>
      <c r="AG79" s="2"/>
    </row>
    <row r="80" spans="8:33" x14ac:dyDescent="0.25">
      <c r="H80" s="5"/>
      <c r="I80" s="5"/>
      <c r="J80" s="2"/>
      <c r="K80" s="2"/>
      <c r="L80" s="2"/>
      <c r="M80" s="1"/>
      <c r="N80" s="1"/>
      <c r="O80" s="2"/>
      <c r="X80" s="5"/>
      <c r="Y80" s="5"/>
      <c r="Z80" s="5"/>
      <c r="AA80" s="2"/>
      <c r="AB80" s="3"/>
      <c r="AC80" s="3"/>
      <c r="AG80" s="2"/>
    </row>
    <row r="81" spans="8:33" x14ac:dyDescent="0.25">
      <c r="H81" s="5"/>
      <c r="I81" s="5"/>
      <c r="J81" s="2"/>
      <c r="K81" s="2"/>
      <c r="L81" s="2"/>
      <c r="M81" s="1"/>
      <c r="N81" s="1"/>
      <c r="O81" s="2"/>
      <c r="X81" s="5"/>
      <c r="Y81" s="5"/>
      <c r="Z81" s="5"/>
      <c r="AA81" s="2"/>
      <c r="AB81" s="3"/>
      <c r="AC81" s="3"/>
      <c r="AG81" s="2"/>
    </row>
    <row r="82" spans="8:33" x14ac:dyDescent="0.25">
      <c r="H82" s="5"/>
      <c r="I82" s="5"/>
      <c r="J82" s="2"/>
      <c r="K82" s="2"/>
      <c r="L82" s="2"/>
      <c r="M82" s="1"/>
      <c r="N82" s="1"/>
      <c r="O82" s="2"/>
      <c r="X82" s="5"/>
      <c r="Y82" s="5"/>
      <c r="Z82" s="5"/>
      <c r="AA82" s="2"/>
      <c r="AB82" s="3"/>
      <c r="AC82" s="3"/>
      <c r="AG82" s="2"/>
    </row>
    <row r="83" spans="8:33" x14ac:dyDescent="0.25">
      <c r="H83" s="5"/>
      <c r="I83" s="5"/>
      <c r="J83" s="2"/>
      <c r="K83" s="2"/>
      <c r="L83" s="2"/>
      <c r="M83" s="1"/>
      <c r="N83" s="1"/>
      <c r="O83" s="2"/>
      <c r="X83" s="5"/>
      <c r="Y83" s="5"/>
      <c r="Z83" s="5"/>
      <c r="AA83" s="2"/>
      <c r="AB83" s="3"/>
      <c r="AC83" s="3"/>
      <c r="AG83" s="2"/>
    </row>
    <row r="84" spans="8:33" x14ac:dyDescent="0.25">
      <c r="H84" s="5"/>
      <c r="I84" s="5"/>
      <c r="J84" s="2"/>
      <c r="K84" s="2"/>
      <c r="L84" s="2"/>
      <c r="M84" s="1"/>
      <c r="N84" s="1"/>
      <c r="O84" s="2"/>
      <c r="X84" s="5"/>
      <c r="Y84" s="5"/>
      <c r="Z84" s="5"/>
      <c r="AA84" s="5"/>
    </row>
    <row r="85" spans="8:33" x14ac:dyDescent="0.25">
      <c r="H85" s="5"/>
      <c r="I85" s="5"/>
      <c r="J85" s="2"/>
      <c r="K85" s="2"/>
      <c r="L85" s="2"/>
      <c r="M85" s="1"/>
      <c r="N85" s="1"/>
      <c r="O85" s="2"/>
      <c r="X85" s="5"/>
      <c r="Y85" s="5"/>
      <c r="Z85" s="5"/>
      <c r="AA85" s="5"/>
    </row>
    <row r="86" spans="8:33" x14ac:dyDescent="0.25">
      <c r="H86" s="5"/>
      <c r="I86" s="5"/>
      <c r="J86" s="2"/>
      <c r="K86" s="2"/>
      <c r="L86" s="2"/>
      <c r="M86" s="1"/>
      <c r="N86" s="1"/>
      <c r="O86" s="2"/>
      <c r="X86" s="5"/>
      <c r="Y86" s="5"/>
      <c r="Z86" s="5"/>
      <c r="AA86" s="5"/>
    </row>
    <row r="87" spans="8:33" x14ac:dyDescent="0.25">
      <c r="H87" s="5"/>
      <c r="I87" s="5"/>
      <c r="J87" s="2"/>
      <c r="K87" s="2"/>
      <c r="L87" s="2"/>
      <c r="M87" s="1"/>
      <c r="N87" s="1"/>
      <c r="O87" s="2"/>
      <c r="X87" s="5"/>
      <c r="Y87" s="5"/>
      <c r="Z87" s="5"/>
      <c r="AA87" s="5"/>
    </row>
    <row r="88" spans="8:33" x14ac:dyDescent="0.25">
      <c r="H88" s="5"/>
      <c r="I88" s="5"/>
      <c r="J88" s="2"/>
      <c r="K88" s="2"/>
      <c r="L88" s="2"/>
      <c r="M88" s="1"/>
      <c r="N88" s="1"/>
      <c r="O88" s="2"/>
      <c r="X88" s="5"/>
      <c r="Y88" s="5"/>
      <c r="Z88" s="5"/>
      <c r="AA88" s="5"/>
    </row>
    <row r="89" spans="8:33" x14ac:dyDescent="0.25">
      <c r="H89" s="5"/>
      <c r="I89" s="5"/>
      <c r="J89" s="2"/>
      <c r="K89" s="2"/>
      <c r="L89" s="2"/>
      <c r="M89" s="1"/>
      <c r="N89" s="1"/>
      <c r="O89" s="2"/>
      <c r="X89" s="5"/>
      <c r="Y89" s="5"/>
      <c r="Z89" s="5"/>
      <c r="AA89" s="5"/>
    </row>
    <row r="90" spans="8:33" x14ac:dyDescent="0.25">
      <c r="H90" s="5"/>
      <c r="I90" s="5"/>
      <c r="J90" s="2"/>
      <c r="K90" s="2"/>
      <c r="L90" s="2"/>
      <c r="M90" s="1"/>
      <c r="N90" s="1"/>
      <c r="O90" s="2"/>
      <c r="X90" s="5"/>
      <c r="Y90" s="5"/>
      <c r="Z90" s="5"/>
      <c r="AA90" s="5"/>
    </row>
    <row r="91" spans="8:33" x14ac:dyDescent="0.25">
      <c r="H91" s="5"/>
      <c r="I91" s="5"/>
      <c r="J91" s="2"/>
      <c r="K91" s="2"/>
      <c r="L91" s="2"/>
      <c r="M91" s="1"/>
      <c r="N91" s="1"/>
      <c r="O91" s="2"/>
      <c r="X91" s="5"/>
      <c r="Y91" s="5"/>
      <c r="Z91" s="5"/>
      <c r="AA91" s="5"/>
    </row>
    <row r="92" spans="8:33" x14ac:dyDescent="0.25">
      <c r="H92" s="5"/>
      <c r="I92" s="5"/>
      <c r="J92" s="2"/>
      <c r="K92" s="2"/>
      <c r="L92" s="2"/>
      <c r="M92" s="1"/>
      <c r="N92" s="1"/>
      <c r="O92" s="2"/>
      <c r="X92" s="5"/>
      <c r="Y92" s="5"/>
      <c r="Z92" s="5"/>
      <c r="AA92" s="5"/>
    </row>
    <row r="93" spans="8:33" x14ac:dyDescent="0.25">
      <c r="H93" s="5"/>
      <c r="I93" s="5"/>
      <c r="J93" s="2"/>
      <c r="K93" s="2"/>
      <c r="L93" s="2"/>
      <c r="M93" s="1"/>
      <c r="N93" s="1"/>
      <c r="O93" s="2"/>
      <c r="X93" s="5"/>
      <c r="Y93" s="5"/>
      <c r="Z93" s="5"/>
      <c r="AA93" s="5"/>
    </row>
    <row r="94" spans="8:33" x14ac:dyDescent="0.25">
      <c r="H94" s="5"/>
      <c r="I94" s="5"/>
      <c r="J94" s="2"/>
      <c r="K94" s="2"/>
      <c r="L94" s="2"/>
      <c r="M94" s="1"/>
      <c r="N94" s="1"/>
      <c r="O94" s="2"/>
      <c r="X94" s="5"/>
      <c r="Y94" s="5"/>
      <c r="Z94" s="5"/>
      <c r="AA94" s="5"/>
    </row>
    <row r="95" spans="8:33" x14ac:dyDescent="0.25">
      <c r="H95" s="5"/>
      <c r="I95" s="5"/>
      <c r="J95" s="2"/>
      <c r="K95" s="2"/>
      <c r="L95" s="2"/>
      <c r="M95" s="1"/>
      <c r="N95" s="1"/>
      <c r="O95" s="2"/>
      <c r="X95" s="5"/>
      <c r="Y95" s="5"/>
      <c r="Z95" s="5"/>
      <c r="AA95" s="5"/>
    </row>
    <row r="96" spans="8:33" x14ac:dyDescent="0.25">
      <c r="H96" s="5"/>
      <c r="I96" s="5"/>
      <c r="J96" s="2"/>
      <c r="K96" s="2"/>
      <c r="L96" s="2"/>
      <c r="M96" s="1"/>
      <c r="N96" s="1"/>
      <c r="O96" s="2"/>
      <c r="X96" s="5"/>
      <c r="Y96" s="5"/>
      <c r="Z96" s="5"/>
      <c r="AA96" s="5"/>
    </row>
    <row r="97" spans="8:27" x14ac:dyDescent="0.25">
      <c r="H97" s="5"/>
      <c r="I97" s="5"/>
      <c r="J97" s="2"/>
      <c r="K97" s="2"/>
      <c r="L97" s="2"/>
      <c r="M97" s="1"/>
      <c r="N97" s="1"/>
      <c r="O97" s="2"/>
      <c r="X97" s="5"/>
      <c r="Y97" s="5"/>
      <c r="Z97" s="5"/>
      <c r="AA97" s="5"/>
    </row>
    <row r="98" spans="8:27" x14ac:dyDescent="0.25">
      <c r="H98" s="5"/>
      <c r="I98" s="5"/>
      <c r="J98" s="2"/>
      <c r="K98" s="2"/>
      <c r="L98" s="2"/>
      <c r="M98" s="1"/>
      <c r="N98" s="1"/>
      <c r="O98" s="2"/>
      <c r="X98" s="5"/>
      <c r="Y98" s="5"/>
      <c r="Z98" s="5"/>
      <c r="AA98" s="5"/>
    </row>
    <row r="99" spans="8:27" x14ac:dyDescent="0.25">
      <c r="H99" s="5"/>
      <c r="I99" s="5"/>
      <c r="J99" s="2"/>
      <c r="K99" s="2"/>
      <c r="L99" s="2"/>
      <c r="M99" s="1"/>
      <c r="N99" s="1"/>
      <c r="O99" s="2"/>
      <c r="X99" s="5"/>
      <c r="Y99" s="5"/>
      <c r="Z99" s="5"/>
      <c r="AA99" s="5"/>
    </row>
    <row r="100" spans="8:27" x14ac:dyDescent="0.25">
      <c r="H100" s="5"/>
      <c r="I100" s="5"/>
      <c r="J100" s="2"/>
      <c r="K100" s="2"/>
      <c r="L100" s="2"/>
      <c r="M100" s="1"/>
      <c r="N100" s="1"/>
      <c r="O100" s="2"/>
      <c r="X100" s="5"/>
      <c r="Y100" s="5"/>
      <c r="Z100" s="5"/>
      <c r="AA100" s="5"/>
    </row>
    <row r="101" spans="8:27" x14ac:dyDescent="0.25">
      <c r="H101" s="5"/>
      <c r="I101" s="5"/>
      <c r="J101" s="2"/>
      <c r="K101" s="2"/>
      <c r="L101" s="2"/>
      <c r="M101" s="1"/>
      <c r="N101" s="1"/>
      <c r="O101" s="2"/>
      <c r="X101" s="5"/>
      <c r="Y101" s="5"/>
      <c r="Z101" s="5"/>
      <c r="AA101" s="5"/>
    </row>
    <row r="102" spans="8:27" x14ac:dyDescent="0.25">
      <c r="H102" s="5"/>
      <c r="I102" s="5"/>
      <c r="J102" s="2"/>
      <c r="K102" s="2"/>
      <c r="L102" s="2"/>
      <c r="M102" s="1"/>
      <c r="N102" s="1"/>
      <c r="O102" s="2"/>
      <c r="X102" s="5"/>
      <c r="Y102" s="5"/>
      <c r="Z102" s="5"/>
      <c r="AA102" s="5"/>
    </row>
    <row r="103" spans="8:27" x14ac:dyDescent="0.25">
      <c r="H103" s="5"/>
      <c r="I103" s="5"/>
      <c r="J103" s="2"/>
      <c r="K103" s="2"/>
      <c r="L103" s="2"/>
      <c r="M103" s="1"/>
      <c r="N103" s="1"/>
      <c r="O103" s="2"/>
      <c r="X103" s="5"/>
      <c r="Y103" s="5"/>
      <c r="Z103" s="5"/>
      <c r="AA103" s="5"/>
    </row>
    <row r="104" spans="8:27" x14ac:dyDescent="0.25">
      <c r="H104" s="5"/>
      <c r="I104" s="5"/>
      <c r="J104" s="2"/>
      <c r="K104" s="2"/>
      <c r="L104" s="2"/>
      <c r="M104" s="1"/>
      <c r="N104" s="1"/>
      <c r="O104" s="2"/>
      <c r="X104" s="5"/>
      <c r="Y104" s="5"/>
      <c r="Z104" s="5"/>
      <c r="AA104" s="5"/>
    </row>
    <row r="105" spans="8:27" x14ac:dyDescent="0.25">
      <c r="H105" s="5"/>
      <c r="I105" s="5"/>
      <c r="J105" s="2"/>
      <c r="K105" s="2"/>
      <c r="L105" s="2"/>
      <c r="M105" s="1"/>
      <c r="N105" s="1"/>
      <c r="O105" s="2"/>
      <c r="X105" s="5"/>
      <c r="Y105" s="5"/>
      <c r="Z105" s="5"/>
      <c r="AA105" s="5"/>
    </row>
    <row r="106" spans="8:27" x14ac:dyDescent="0.25">
      <c r="H106" s="5"/>
      <c r="I106" s="5"/>
      <c r="J106" s="2"/>
      <c r="K106" s="2"/>
      <c r="L106" s="2"/>
      <c r="M106" s="1"/>
      <c r="N106" s="1"/>
      <c r="O106" s="2"/>
      <c r="X106" s="5"/>
      <c r="Y106" s="5"/>
      <c r="Z106" s="5"/>
      <c r="AA106" s="5"/>
    </row>
    <row r="107" spans="8:27" x14ac:dyDescent="0.25">
      <c r="H107" s="5"/>
      <c r="I107" s="5"/>
      <c r="J107" s="2"/>
      <c r="K107" s="2"/>
      <c r="L107" s="2"/>
      <c r="M107" s="1"/>
      <c r="N107" s="1"/>
      <c r="O107" s="2"/>
      <c r="X107" s="5"/>
      <c r="Y107" s="5"/>
      <c r="Z107" s="5"/>
      <c r="AA107" s="5"/>
    </row>
    <row r="108" spans="8:27" x14ac:dyDescent="0.25">
      <c r="H108" s="5"/>
      <c r="I108" s="5"/>
      <c r="J108" s="2"/>
      <c r="K108" s="2"/>
      <c r="L108" s="2"/>
      <c r="M108" s="1"/>
      <c r="N108" s="1"/>
      <c r="O108" s="2"/>
      <c r="X108" s="5"/>
      <c r="Y108" s="5"/>
      <c r="Z108" s="5"/>
      <c r="AA108" s="5"/>
    </row>
    <row r="109" spans="8:27" x14ac:dyDescent="0.25">
      <c r="H109" s="5"/>
      <c r="I109" s="5"/>
      <c r="J109" s="2"/>
      <c r="K109" s="2"/>
      <c r="L109" s="2"/>
      <c r="M109" s="1"/>
      <c r="N109" s="1"/>
      <c r="O109" s="2"/>
      <c r="X109" s="5"/>
      <c r="Y109" s="5"/>
      <c r="Z109" s="5"/>
      <c r="AA109" s="5"/>
    </row>
    <row r="110" spans="8:27" x14ac:dyDescent="0.25">
      <c r="H110" s="5"/>
      <c r="I110" s="5"/>
      <c r="J110" s="2"/>
      <c r="K110" s="2"/>
      <c r="L110" s="2"/>
      <c r="M110" s="1"/>
      <c r="N110" s="1"/>
      <c r="O110" s="2"/>
      <c r="X110" s="5"/>
      <c r="Y110" s="5"/>
      <c r="Z110" s="5"/>
      <c r="AA110" s="5"/>
    </row>
    <row r="111" spans="8:27" x14ac:dyDescent="0.25">
      <c r="H111" s="5"/>
      <c r="I111" s="5"/>
      <c r="J111" s="2"/>
      <c r="K111" s="2"/>
      <c r="L111" s="2"/>
      <c r="M111" s="1"/>
      <c r="N111" s="1"/>
      <c r="O111" s="2"/>
      <c r="X111" s="5"/>
      <c r="Y111" s="5"/>
      <c r="Z111" s="5"/>
      <c r="AA111" s="5"/>
    </row>
    <row r="112" spans="8:27" x14ac:dyDescent="0.25">
      <c r="H112" s="5"/>
      <c r="I112" s="5"/>
      <c r="J112" s="2"/>
      <c r="K112" s="2"/>
      <c r="L112" s="2"/>
      <c r="M112" s="1"/>
      <c r="N112" s="1"/>
      <c r="O112" s="2"/>
      <c r="X112" s="5"/>
      <c r="Y112" s="5"/>
      <c r="Z112" s="5"/>
      <c r="AA112" s="5"/>
    </row>
    <row r="113" spans="8:27" x14ac:dyDescent="0.25">
      <c r="H113" s="5"/>
      <c r="I113" s="5"/>
      <c r="J113" s="2"/>
      <c r="K113" s="2"/>
      <c r="L113" s="2"/>
      <c r="M113" s="1"/>
      <c r="N113" s="1"/>
      <c r="O113" s="2"/>
      <c r="X113" s="5"/>
      <c r="Y113" s="5"/>
      <c r="Z113" s="5"/>
      <c r="AA113" s="5"/>
    </row>
    <row r="114" spans="8:27" x14ac:dyDescent="0.25">
      <c r="H114" s="5"/>
      <c r="I114" s="5"/>
      <c r="J114" s="2"/>
      <c r="K114" s="2"/>
      <c r="L114" s="2"/>
      <c r="M114" s="1"/>
      <c r="N114" s="1"/>
      <c r="O114" s="2"/>
      <c r="X114" s="5"/>
      <c r="Y114" s="5"/>
      <c r="Z114" s="5"/>
      <c r="AA114" s="5"/>
    </row>
    <row r="115" spans="8:27" x14ac:dyDescent="0.25">
      <c r="H115" s="5"/>
      <c r="I115" s="5"/>
      <c r="J115" s="2"/>
      <c r="K115" s="2"/>
      <c r="L115" s="2"/>
      <c r="M115" s="1"/>
      <c r="N115" s="1"/>
      <c r="O115" s="2"/>
      <c r="X115" s="5"/>
      <c r="Y115" s="5"/>
      <c r="Z115" s="5"/>
      <c r="AA115" s="5"/>
    </row>
    <row r="116" spans="8:27" x14ac:dyDescent="0.25">
      <c r="H116" s="5"/>
      <c r="I116" s="5"/>
      <c r="J116" s="2"/>
      <c r="K116" s="2"/>
      <c r="L116" s="2"/>
      <c r="M116" s="1"/>
      <c r="N116" s="1"/>
      <c r="O116" s="2"/>
      <c r="X116" s="5"/>
      <c r="Y116" s="5"/>
      <c r="Z116" s="5"/>
      <c r="AA116" s="5"/>
    </row>
    <row r="117" spans="8:27" x14ac:dyDescent="0.25"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8:27" x14ac:dyDescent="0.25"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8:27" x14ac:dyDescent="0.25"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8:27" x14ac:dyDescent="0.25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8:27" x14ac:dyDescent="0.25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8:27" x14ac:dyDescent="0.25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8:27" x14ac:dyDescent="0.25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8:27" x14ac:dyDescent="0.25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8:27" x14ac:dyDescent="0.25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8:27" x14ac:dyDescent="0.25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8:27" x14ac:dyDescent="0.25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8:27" x14ac:dyDescent="0.25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8:27" x14ac:dyDescent="0.25"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8:27" x14ac:dyDescent="0.25"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8:27" x14ac:dyDescent="0.25"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8:27" x14ac:dyDescent="0.25"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8:27" x14ac:dyDescent="0.25"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8:27" x14ac:dyDescent="0.25"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8:27" x14ac:dyDescent="0.25"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8:27" x14ac:dyDescent="0.25"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8:27" x14ac:dyDescent="0.25"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8:27" x14ac:dyDescent="0.25"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8:27" x14ac:dyDescent="0.25"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8:27" x14ac:dyDescent="0.25"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8:27" x14ac:dyDescent="0.25"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8:27" x14ac:dyDescent="0.25"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8:27" x14ac:dyDescent="0.25"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8:27" x14ac:dyDescent="0.25"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8:27" x14ac:dyDescent="0.25"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8:27" x14ac:dyDescent="0.25"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8:27" x14ac:dyDescent="0.25"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8:27" x14ac:dyDescent="0.25"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8:27" x14ac:dyDescent="0.25"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8:27" x14ac:dyDescent="0.25"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8:27" x14ac:dyDescent="0.25"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8:27" x14ac:dyDescent="0.25"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8:27" x14ac:dyDescent="0.25"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8:27" x14ac:dyDescent="0.25"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8:27" x14ac:dyDescent="0.25"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8:27" x14ac:dyDescent="0.25"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8:27" x14ac:dyDescent="0.25"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8:27" x14ac:dyDescent="0.25"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8:27" x14ac:dyDescent="0.25"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8:27" x14ac:dyDescent="0.25"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8:27" x14ac:dyDescent="0.25"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8:27" x14ac:dyDescent="0.25"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8:27" x14ac:dyDescent="0.25"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8:27" x14ac:dyDescent="0.25"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8:27" x14ac:dyDescent="0.25"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8:27" x14ac:dyDescent="0.25"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8:27" x14ac:dyDescent="0.25"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8:27" x14ac:dyDescent="0.25"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8:27" x14ac:dyDescent="0.25"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8:27" x14ac:dyDescent="0.25"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8:27" x14ac:dyDescent="0.25"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8:27" x14ac:dyDescent="0.25"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8:27" x14ac:dyDescent="0.25"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8:27" x14ac:dyDescent="0.25"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8:27" x14ac:dyDescent="0.25"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8:27" x14ac:dyDescent="0.25"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8:27" x14ac:dyDescent="0.25"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8:27" x14ac:dyDescent="0.25"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8:27" x14ac:dyDescent="0.25"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8:27" x14ac:dyDescent="0.25"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8:27" x14ac:dyDescent="0.25"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8:27" x14ac:dyDescent="0.25"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8:27" x14ac:dyDescent="0.25"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8:27" x14ac:dyDescent="0.25"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8:27" x14ac:dyDescent="0.25"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8:27" x14ac:dyDescent="0.25"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8:27" x14ac:dyDescent="0.25"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8:27" x14ac:dyDescent="0.25"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8:27" x14ac:dyDescent="0.25"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8:27" x14ac:dyDescent="0.25"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8:27" x14ac:dyDescent="0.25"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8:27" x14ac:dyDescent="0.25"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8:27" x14ac:dyDescent="0.25"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8:27" x14ac:dyDescent="0.25"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8:27" x14ac:dyDescent="0.25"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8:27" x14ac:dyDescent="0.25"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8:27" x14ac:dyDescent="0.25"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8:27" x14ac:dyDescent="0.25"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8:27" x14ac:dyDescent="0.25"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8:27" x14ac:dyDescent="0.25"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SOFRUSD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Gazzano, Pierre</dc:creator>
  <cp:keywords/>
  <dc:description/>
  <cp:lastModifiedBy>Gazzano, Pierre</cp:lastModifiedBy>
  <cp:revision/>
  <dcterms:created xsi:type="dcterms:W3CDTF">2026-06-22T15:32:48Z</dcterms:created>
  <dcterms:modified xsi:type="dcterms:W3CDTF">2026-09-11T18:35:09Z</dcterms:modified>
  <cp:category/>
  <cp:contentStatus/>
</cp:coreProperties>
</file>
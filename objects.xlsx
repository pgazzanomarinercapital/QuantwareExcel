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rinercapital-my.sharepoint.com/personal/pgazzano_marinercapital_com/Documents/Attachments/"/>
    </mc:Choice>
  </mc:AlternateContent>
  <xr:revisionPtr revIDLastSave="2356" documentId="8_{6705DC6D-6C52-4BC4-A906-3EF206E003C9}" xr6:coauthVersionLast="47" xr6:coauthVersionMax="47" xr10:uidLastSave="{B4C65C6F-6110-4004-8653-F5EB48E6AAAB}"/>
  <bookViews>
    <workbookView xWindow="20970" yWindow="3960" windowWidth="28800" windowHeight="15885" tabRatio="702" firstSheet="2" activeTab="7" xr2:uid="{1AF19F3D-FF90-43FB-B854-0247124A8D23}"/>
  </bookViews>
  <sheets>
    <sheet name="Sheet2" sheetId="2" r:id="rId1"/>
    <sheet name="Bloomberg" sheetId="3" r:id="rId2"/>
    <sheet name="QWSecurity Spring Object" sheetId="1" r:id="rId3"/>
    <sheet name="Loader" sheetId="6" r:id="rId4"/>
    <sheet name="Sheet1" sheetId="8" r:id="rId5"/>
    <sheet name="ICurves" sheetId="7" r:id="rId6"/>
    <sheet name="ICurveFitter" sheetId="11" r:id="rId7"/>
    <sheet name="DiscountFunction" sheetId="10" r:id="rId8"/>
    <sheet name="FXCurve" sheetId="4" r:id="rId9"/>
  </sheets>
  <definedNames>
    <definedName name="_xlnm._FilterDatabase" localSheetId="2" hidden="1">'QWSecurity Spring Object'!$A$1:$E$601</definedName>
    <definedName name="solver_adj" localSheetId="8" hidden="1">FXCurve!$E$9</definedName>
    <definedName name="solver_cvg" localSheetId="8" hidden="1">0.0001</definedName>
    <definedName name="solver_drv" localSheetId="8" hidden="1">2</definedName>
    <definedName name="solver_eng" localSheetId="8" hidden="1">1</definedName>
    <definedName name="solver_est" localSheetId="8" hidden="1">1</definedName>
    <definedName name="solver_itr" localSheetId="8" hidden="1">2147483647</definedName>
    <definedName name="solver_mip" localSheetId="8" hidden="1">2147483647</definedName>
    <definedName name="solver_mni" localSheetId="8" hidden="1">30</definedName>
    <definedName name="solver_mrt" localSheetId="8" hidden="1">0.075</definedName>
    <definedName name="solver_msl" localSheetId="8" hidden="1">2</definedName>
    <definedName name="solver_neg" localSheetId="8" hidden="1">1</definedName>
    <definedName name="solver_nod" localSheetId="8" hidden="1">2147483647</definedName>
    <definedName name="solver_num" localSheetId="8" hidden="1">0</definedName>
    <definedName name="solver_nwt" localSheetId="8" hidden="1">1</definedName>
    <definedName name="solver_opt" localSheetId="8" hidden="1">FXCurve!$E$14</definedName>
    <definedName name="solver_pre" localSheetId="8" hidden="1">0.000001</definedName>
    <definedName name="solver_rbv" localSheetId="8" hidden="1">2</definedName>
    <definedName name="solver_rlx" localSheetId="8" hidden="1">2</definedName>
    <definedName name="solver_rsd" localSheetId="8" hidden="1">0</definedName>
    <definedName name="solver_scl" localSheetId="8" hidden="1">2</definedName>
    <definedName name="solver_sho" localSheetId="8" hidden="1">2</definedName>
    <definedName name="solver_ssz" localSheetId="8" hidden="1">100</definedName>
    <definedName name="solver_tim" localSheetId="8" hidden="1">2147483647</definedName>
    <definedName name="solver_tol" localSheetId="8" hidden="1">0.01</definedName>
    <definedName name="solver_typ" localSheetId="8" hidden="1">3</definedName>
    <definedName name="solver_val" localSheetId="8" hidden="1">1</definedName>
    <definedName name="solver_ver" localSheetId="8" hidden="1">3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4" i="10"/>
  <c r="E3" i="10"/>
  <c r="E2" i="10"/>
  <c r="E1" i="10"/>
  <c r="C70" i="8"/>
  <c r="C62" i="8"/>
  <c r="E2" i="7"/>
  <c r="D23" i="7"/>
  <c r="A29" i="1"/>
  <c r="A171" i="1"/>
  <c r="A139" i="1"/>
  <c r="A27" i="1"/>
  <c r="A221" i="1"/>
  <c r="A128" i="1"/>
  <c r="A170" i="1"/>
  <c r="A62" i="1"/>
  <c r="A30" i="1"/>
  <c r="A156" i="1"/>
  <c r="A28" i="1"/>
  <c r="A155" i="1"/>
  <c r="A174" i="1"/>
  <c r="A241" i="1"/>
  <c r="A73" i="1"/>
  <c r="A168" i="1"/>
  <c r="A268" i="1"/>
  <c r="A169" i="1"/>
  <c r="A220" i="1"/>
  <c r="A80" i="1"/>
  <c r="A295" i="1"/>
  <c r="A294" i="1"/>
  <c r="A213" i="1"/>
  <c r="A153" i="1"/>
  <c r="A167" i="1"/>
  <c r="A79" i="1"/>
  <c r="A165" i="1"/>
  <c r="A166" i="1"/>
  <c r="A152" i="1"/>
  <c r="A293" i="1"/>
  <c r="A267" i="1"/>
  <c r="A236" i="1"/>
  <c r="A164" i="1"/>
  <c r="A149" i="1"/>
  <c r="A266" i="1"/>
  <c r="A291" i="1"/>
  <c r="A148" i="1"/>
  <c r="A87" i="1"/>
  <c r="A150" i="1"/>
  <c r="A292" i="1"/>
  <c r="A163" i="1"/>
  <c r="A265" i="1"/>
  <c r="A234" i="1"/>
  <c r="A209" i="1"/>
  <c r="A235" i="1"/>
  <c r="A112" i="1"/>
  <c r="A111" i="1"/>
  <c r="A117" i="1"/>
  <c r="A57" i="1"/>
  <c r="A173" i="1"/>
  <c r="A264" i="1"/>
  <c r="A204" i="1"/>
  <c r="A162" i="1"/>
  <c r="A263" i="1"/>
  <c r="A290" i="1"/>
  <c r="A233" i="1"/>
  <c r="A102" i="1"/>
  <c r="A110" i="1"/>
  <c r="A137" i="1"/>
  <c r="A45" i="1"/>
  <c r="A232" i="1"/>
  <c r="A203" i="1"/>
  <c r="A147" i="1"/>
  <c r="A48" i="1"/>
  <c r="A198" i="1"/>
  <c r="A189" i="1"/>
  <c r="A288" i="1"/>
  <c r="A287" i="1"/>
  <c r="A289" i="1"/>
  <c r="A127" i="1"/>
  <c r="A183" i="1"/>
  <c r="A97" i="1"/>
  <c r="A296" i="1"/>
  <c r="A184" i="1"/>
  <c r="A225" i="1"/>
  <c r="A47" i="1"/>
  <c r="A188" i="1"/>
  <c r="A185" i="1"/>
  <c r="A177" i="1"/>
  <c r="A186" i="1"/>
  <c r="A96" i="1"/>
  <c r="A116" i="1"/>
  <c r="A42" i="1"/>
  <c r="A15" i="1"/>
  <c r="A99" i="1"/>
  <c r="A109" i="1"/>
  <c r="A95" i="1"/>
  <c r="A182" i="1"/>
  <c r="A41" i="1"/>
  <c r="A161" i="1"/>
  <c r="A314" i="1"/>
  <c r="A262" i="1"/>
  <c r="A59" i="1"/>
  <c r="A108" i="1"/>
  <c r="A36" i="1"/>
  <c r="A126" i="1"/>
  <c r="A231" i="1"/>
  <c r="A251" i="1"/>
  <c r="A252" i="1"/>
  <c r="A93" i="1"/>
  <c r="A94" i="1"/>
  <c r="A253" i="1"/>
  <c r="A261" i="1"/>
  <c r="A115" i="1"/>
  <c r="A31" i="1"/>
  <c r="A51" i="1"/>
  <c r="A259" i="1"/>
  <c r="A16" i="1"/>
  <c r="A101" i="1"/>
  <c r="A100" i="1"/>
  <c r="A302" i="1"/>
  <c r="A250" i="1"/>
  <c r="A71" i="1"/>
  <c r="A64" i="1"/>
  <c r="A56" i="1"/>
  <c r="A63" i="1"/>
  <c r="A39" i="1"/>
  <c r="A25" i="1"/>
  <c r="A32" i="1"/>
  <c r="A37" i="1"/>
  <c r="A38" i="1"/>
  <c r="A46" i="1"/>
  <c r="A269" i="1"/>
  <c r="A18" i="1"/>
  <c r="A228" i="1"/>
  <c r="A278" i="1"/>
  <c r="A142" i="1"/>
  <c r="A274" i="1"/>
  <c r="A33" i="1"/>
  <c r="A270" i="1"/>
  <c r="A40" i="1"/>
  <c r="A273" i="1"/>
  <c r="A160" i="1"/>
  <c r="A277" i="1"/>
  <c r="A77" i="1"/>
  <c r="A144" i="1"/>
  <c r="A276" i="1"/>
  <c r="A70" i="1"/>
  <c r="A69" i="1"/>
  <c r="A68" i="1"/>
  <c r="A179" i="1"/>
  <c r="A50" i="1"/>
  <c r="A180" i="1"/>
  <c r="A133" i="1"/>
  <c r="A135" i="1"/>
  <c r="A67" i="1"/>
  <c r="A66" i="1"/>
  <c r="A281" i="1"/>
  <c r="A279" i="1"/>
  <c r="A146" i="1"/>
  <c r="A282" i="1"/>
  <c r="A21" i="1"/>
  <c r="A258" i="1"/>
  <c r="A89" i="1"/>
  <c r="A55" i="1"/>
  <c r="A91" i="1"/>
  <c r="A52" i="1"/>
  <c r="A145" i="1"/>
  <c r="A90" i="1"/>
  <c r="A43" i="1"/>
  <c r="A143" i="1"/>
  <c r="A60" i="1"/>
  <c r="A92" i="1"/>
  <c r="A17" i="1"/>
  <c r="A72" i="1"/>
  <c r="A284" i="1"/>
  <c r="A65" i="1"/>
  <c r="A35" i="1"/>
  <c r="A256" i="1"/>
  <c r="A124" i="1"/>
  <c r="A229" i="1"/>
  <c r="A26" i="1"/>
  <c r="A129" i="1"/>
  <c r="A34" i="1"/>
  <c r="A254" i="1"/>
  <c r="A85" i="1"/>
  <c r="A227" i="1"/>
  <c r="A54" i="1"/>
  <c r="A61" i="1"/>
  <c r="A76" i="1"/>
  <c r="A75" i="1"/>
  <c r="A74" i="1"/>
  <c r="A81" i="1"/>
  <c r="A78" i="1"/>
  <c r="A106" i="1"/>
  <c r="A44" i="1"/>
  <c r="A83" i="1"/>
  <c r="A118" i="1"/>
  <c r="A181" i="1"/>
  <c r="A230" i="1"/>
  <c r="A53" i="1"/>
  <c r="A24" i="1"/>
  <c r="A22" i="1"/>
  <c r="A107" i="1"/>
  <c r="A121" i="1"/>
  <c r="A120" i="1"/>
  <c r="A119" i="1"/>
  <c r="A20" i="1"/>
  <c r="A134" i="1"/>
  <c r="A86" i="1"/>
  <c r="A84" i="1"/>
  <c r="A82" i="1"/>
  <c r="A275" i="1"/>
  <c r="A23" i="1"/>
  <c r="A141" i="1"/>
  <c r="A136" i="1"/>
  <c r="A132" i="1"/>
  <c r="A19" i="1"/>
  <c r="A122" i="1"/>
  <c r="A178" i="1"/>
  <c r="A298" i="1"/>
  <c r="A297" i="1"/>
  <c r="A280" i="1"/>
  <c r="A283" i="1"/>
  <c r="A125" i="1"/>
  <c r="A123" i="1"/>
  <c r="A226" i="1"/>
  <c r="A257" i="1"/>
  <c r="A244" i="1"/>
  <c r="A243" i="1"/>
  <c r="A248" i="1"/>
  <c r="A307" i="1"/>
  <c r="A271" i="1"/>
  <c r="A272" i="1"/>
  <c r="A247" i="1"/>
  <c r="A114" i="1"/>
  <c r="A260" i="1"/>
  <c r="A105" i="1"/>
  <c r="A305" i="1"/>
  <c r="A255" i="1"/>
  <c r="A222" i="1"/>
  <c r="A300" i="1"/>
  <c r="A98" i="1"/>
  <c r="A299" i="1"/>
  <c r="A246" i="1"/>
  <c r="A175" i="1"/>
  <c r="A158" i="1"/>
  <c r="A157" i="1"/>
  <c r="A176" i="1"/>
  <c r="A58" i="1"/>
  <c r="A223" i="1"/>
  <c r="A172" i="1"/>
  <c r="A113" i="1"/>
  <c r="A249" i="1"/>
  <c r="A131" i="1"/>
  <c r="A245" i="1"/>
  <c r="A140" i="1"/>
  <c r="A103" i="1"/>
  <c r="A104" i="1"/>
  <c r="A88" i="1"/>
  <c r="A130" i="1"/>
  <c r="A159" i="1"/>
  <c r="K3" i="4"/>
  <c r="K4" i="4"/>
  <c r="E14" i="4"/>
  <c r="P9" i="4" l="1"/>
  <c r="E13" i="4" s="1"/>
  <c r="E7" i="4"/>
  <c r="B1048576" i="2"/>
</calcChain>
</file>

<file path=xl/sharedStrings.xml><?xml version="1.0" encoding="utf-8"?>
<sst xmlns="http://schemas.openxmlformats.org/spreadsheetml/2006/main" count="3177" uniqueCount="1153">
  <si>
    <t>Name</t>
  </si>
  <si>
    <t>Value</t>
  </si>
  <si>
    <t>["SnapSubMap"]</t>
  </si>
  <si>
    <t>["MarketServerContractFactory"]</t>
  </si>
  <si>
    <t>["tblMacInfo"]</t>
  </si>
  <si>
    <t>["ClosePriceReader"]</t>
  </si>
  <si>
    <t>["QWPriceServerSubListener"]</t>
  </si>
  <si>
    <t>["CurveFitterNSL"]</t>
  </si>
  <si>
    <t>["CubicFlatEnds"]</t>
  </si>
  <si>
    <t>["SnapPublisherMsg"]</t>
  </si>
  <si>
    <t>["tblSecMstRequestDev"]</t>
  </si>
  <si>
    <t>["tblStratList"]</t>
  </si>
  <si>
    <t>["tblFR"]</t>
  </si>
  <si>
    <t>["TWPriceReader"]</t>
  </si>
  <si>
    <t>["CloseSubMap"]</t>
  </si>
  <si>
    <t>["QWPriceServerPubWriter"]</t>
  </si>
  <si>
    <t>["Street"]</t>
  </si>
  <si>
    <t>["CapFloor"]</t>
  </si>
  <si>
    <t>["HistSubMap"]</t>
  </si>
  <si>
    <t>["NonDollarWeightCalc"]</t>
  </si>
  <si>
    <t>["CurrencyFuture"]</t>
  </si>
  <si>
    <t>["ActualActualISDA"]</t>
  </si>
  <si>
    <t>["CashFlowGeneratorMock"]</t>
  </si>
  <si>
    <t>["VixFutureLoader"]</t>
  </si>
  <si>
    <t>["VolCubeUSDPremiumSkew"]</t>
  </si>
  <si>
    <t>["tblCloses"]</t>
  </si>
  <si>
    <t>["FxSpotData"]</t>
  </si>
  <si>
    <t>["CurveOISSwap"]</t>
  </si>
  <si>
    <t>["Invalid"]</t>
  </si>
  <si>
    <t>["ParserTR"]</t>
  </si>
  <si>
    <t>["LivePublisher"]</t>
  </si>
  <si>
    <t>["WeightCalc"]</t>
  </si>
  <si>
    <t>["qwEquityOptFactory"]</t>
  </si>
  <si>
    <t>["CurrentsRunnerRT"]</t>
  </si>
  <si>
    <t>["VolCubeEURLogNormalR100"]</t>
  </si>
  <si>
    <t>["CommodityFutureData"]</t>
  </si>
  <si>
    <t>["AussieBondFutureFetcherFull"]</t>
  </si>
  <si>
    <t>["SecCreator"]</t>
  </si>
  <si>
    <t>["tblBill"]</t>
  </si>
  <si>
    <t>["tblBondType"]</t>
  </si>
  <si>
    <t>["VolCubeUSDLogNormalSkew"]</t>
  </si>
  <si>
    <t>["QWPriceServerHistRequestListener"]</t>
  </si>
  <si>
    <t>["SwaptionBMData"]</t>
  </si>
  <si>
    <t>["pnlLoader"]</t>
  </si>
  <si>
    <t>["SwapIndexPropertyMap"]</t>
  </si>
  <si>
    <t>["GCMPositions"]</t>
  </si>
  <si>
    <t>["PubHistorical"]</t>
  </si>
  <si>
    <t>["Binding"]</t>
  </si>
  <si>
    <t>["SubPubStatic"]</t>
  </si>
  <si>
    <t>["AussieBondFutureFetcherMsg"]</t>
  </si>
  <si>
    <t>["CurveFlatForward"]</t>
  </si>
  <si>
    <t>["snapLoader"]</t>
  </si>
  <si>
    <t>["FutureOptionFetcherMsg"]</t>
  </si>
  <si>
    <t>["ActualActual"]</t>
  </si>
  <si>
    <t>["TradesQueryPRODold"]</t>
  </si>
  <si>
    <t>["QWSecuritySettings"]</t>
  </si>
  <si>
    <t>["NSFast"]</t>
  </si>
  <si>
    <t>["Endpoint"]</t>
  </si>
  <si>
    <t>["tblGCMIDMap"]</t>
  </si>
  <si>
    <t>["curyLoader"]</t>
  </si>
  <si>
    <t>["CommodityRollingForwardLoader"]</t>
  </si>
  <si>
    <t>["ECBDates"]</t>
  </si>
  <si>
    <t>["VolCubeAUDPremium"]</t>
  </si>
  <si>
    <t>["CalBZ"]</t>
  </si>
  <si>
    <t>["SubPubHistorical"]</t>
  </si>
  <si>
    <t>["qwEquityOptLogNormalPut"]</t>
  </si>
  <si>
    <t>["twHistPublisher"]</t>
  </si>
  <si>
    <t>["AUDCBDates"]</t>
  </si>
  <si>
    <t>["QWPriceServerHistResponseWriter"]</t>
  </si>
  <si>
    <t>["QWDaemonMsgWriter"]</t>
  </si>
  <si>
    <t>["QW.Framework.UI.Duck.ObjectPropertyEventToDuckCommandBinder#1"]</t>
  </si>
  <si>
    <t>["BondData"]</t>
  </si>
  <si>
    <t>["RateStub"]</t>
  </si>
  <si>
    <t>["tblSecMstRequest"]</t>
  </si>
  <si>
    <t>["NSSFast"]</t>
  </si>
  <si>
    <t>["SnapDataProvider"]</t>
  </si>
  <si>
    <t>["CalSW"]</t>
  </si>
  <si>
    <t>["YCMap"]</t>
  </si>
  <si>
    <t>["CalEN"]</t>
  </si>
  <si>
    <t>["BillFetcherMsg"]</t>
  </si>
  <si>
    <t>["CurveFitterMLES_Opt_9"]</t>
  </si>
  <si>
    <t>["dbQWAdmin"]</t>
  </si>
  <si>
    <t>["Spring.Objects.Factory.Config.VariablePlaceholderConfigurer#0"]</t>
  </si>
  <si>
    <t>["CurrencyFutureLoader"]</t>
  </si>
  <si>
    <t>["VolCubeEURLogNormalP50"]</t>
  </si>
  <si>
    <t>["CalSZ"]</t>
  </si>
  <si>
    <t>["SwaptionPricerLogNormal"]</t>
  </si>
  <si>
    <t>["MachineLocation"]</t>
  </si>
  <si>
    <t>["qwOptNormalCall"]</t>
  </si>
  <si>
    <t>["CalSA"]</t>
  </si>
  <si>
    <t>["CalAsia"]</t>
  </si>
  <si>
    <t>["tblClosesBondDL"]</t>
  </si>
  <si>
    <t>["BondFutureFetcher"]</t>
  </si>
  <si>
    <t>["HistAttBinder"]</t>
  </si>
  <si>
    <t>["repoHistLoader"]</t>
  </si>
  <si>
    <t>["VolCubeUSDNormal"]</t>
  </si>
  <si>
    <t>["yahooLoader"]</t>
  </si>
  <si>
    <t>["CalSK"]</t>
  </si>
  <si>
    <t>["dbQWFeedBloombergDev"]</t>
  </si>
  <si>
    <t>["tblGCMRTP"]</t>
  </si>
  <si>
    <t>["CalEmerging2"]</t>
  </si>
  <si>
    <t>["TWHistPublisherBlm"]</t>
  </si>
  <si>
    <t>["impLoader"]</t>
  </si>
  <si>
    <t>["BondFutureLoader"]</t>
  </si>
  <si>
    <t>["CurveNSS"]</t>
  </si>
  <si>
    <t>["BondFutureData"]</t>
  </si>
  <si>
    <t>["CurveLoadersWrapper"]</t>
  </si>
  <si>
    <t>["RateFuture"]</t>
  </si>
  <si>
    <t>["tblBondReturns"]</t>
  </si>
  <si>
    <t>["curaLoader"]</t>
  </si>
  <si>
    <t>["expLoader"]</t>
  </si>
  <si>
    <t>["AussieBondFutureFetcher"]</t>
  </si>
  <si>
    <t>["IndexFutureOptionFetcher"]</t>
  </si>
  <si>
    <t>["CalNameMap"]</t>
  </si>
  <si>
    <t>["SwapFuture"]</t>
  </si>
  <si>
    <t>["CalEurope"]</t>
  </si>
  <si>
    <t>["PosNames"]</t>
  </si>
  <si>
    <t>["OptionData"]</t>
  </si>
  <si>
    <t>["QWPriceServerPubListener"]</t>
  </si>
  <si>
    <t>["BillFetcherFull"]</t>
  </si>
  <si>
    <t>["CalDeveloped3"]</t>
  </si>
  <si>
    <t>["amaLoader"]</t>
  </si>
  <si>
    <t>["CommodityRollingForwardData"]</t>
  </si>
  <si>
    <t>["FRAData"]</t>
  </si>
  <si>
    <t>["tblActivesM"]</t>
  </si>
  <si>
    <t>["SwaptionPricerNormalQW"]</t>
  </si>
  <si>
    <t>["CalKR"]</t>
  </si>
  <si>
    <t>["VolCubeUSDLogNormalR200"]</t>
  </si>
  <si>
    <t>["VolCubeEURLogNormalSkew"]</t>
  </si>
  <si>
    <t>["DBToSystemTypeMap"]</t>
  </si>
  <si>
    <t>["Mesh"]</t>
  </si>
  <si>
    <t>["dbQWFeedSecMstReq"]</t>
  </si>
  <si>
    <t>["CurveBasis"]</t>
  </si>
  <si>
    <t>["EquityOptionLoader"]</t>
  </si>
  <si>
    <t>["nfiLoader"]</t>
  </si>
  <si>
    <t>["IndexLoader"]</t>
  </si>
  <si>
    <t>["LivePublisherBlm"]</t>
  </si>
  <si>
    <t>["CurveMLES_2_15"]</t>
  </si>
  <si>
    <t>["dbEnfusion"]</t>
  </si>
  <si>
    <t>["VolCubeEURLogNormalR200"]</t>
  </si>
  <si>
    <t>["OTRFuture"]</t>
  </si>
  <si>
    <t>["IndexFutureLoader"]</t>
  </si>
  <si>
    <t>["FutureOptionFetcher"]</t>
  </si>
  <si>
    <t>["CalAU"]</t>
  </si>
  <si>
    <t>["SwaptionPricerNormal"]</t>
  </si>
  <si>
    <t>["CFCalculatorGeneric"]</t>
  </si>
  <si>
    <t>["FutureOptionTranslator"]</t>
  </si>
  <si>
    <t>["tblCurves"]</t>
  </si>
  <si>
    <t>["QWPriceServerHistRequestWriter"]</t>
  </si>
  <si>
    <t>["Actual365"]</t>
  </si>
  <si>
    <t>["varLoader"]</t>
  </si>
  <si>
    <t>["qwOptFactory"]</t>
  </si>
  <si>
    <t>["BondFuture"]</t>
  </si>
  <si>
    <t>["Actual360"]</t>
  </si>
  <si>
    <t>["CurveMLES_2_9"]</t>
  </si>
  <si>
    <t>["CurveMLES_F_8"]</t>
  </si>
  <si>
    <t>["DuckSwitch"]</t>
  </si>
  <si>
    <t>["RepoCurve"]</t>
  </si>
  <si>
    <t>["BondFutureFetcherMsg"]</t>
  </si>
  <si>
    <t>["TradesQueryPROD"]</t>
  </si>
  <si>
    <t>["SecMstInserter"]</t>
  </si>
  <si>
    <t>["RateFF"]</t>
  </si>
  <si>
    <t>["tblTrades"]</t>
  </si>
  <si>
    <t>["IndexFutureOptionTranslator"]</t>
  </si>
  <si>
    <t>["SwapFutureProcessor"]</t>
  </si>
  <si>
    <t>["tblTradesDev"]</t>
  </si>
  <si>
    <t>["SwaptionBMLoader"]</t>
  </si>
  <si>
    <t>["OTRFutureFetcher"]</t>
  </si>
  <si>
    <t>["Equity"]</t>
  </si>
  <si>
    <t>["CurveLoaders"]</t>
  </si>
  <si>
    <t>["CalAMEU"]</t>
  </si>
  <si>
    <t>["tblGCMDice"]</t>
  </si>
  <si>
    <t>["tblReopen"]</t>
  </si>
  <si>
    <t>["TradeDate"]</t>
  </si>
  <si>
    <t>["CalCA"]</t>
  </si>
  <si>
    <t>["tblBlmFills"]</t>
  </si>
  <si>
    <t>["SnapAttBinder"]</t>
  </si>
  <si>
    <t>["EquityLoader"]</t>
  </si>
  <si>
    <t>["AlphaIndex"]</t>
  </si>
  <si>
    <t>["SwapFutureData"]</t>
  </si>
  <si>
    <t>["SwaptionPricerLogNormalQW"]</t>
  </si>
  <si>
    <t>["CalDevelopedR"]</t>
  </si>
  <si>
    <t>["DummyDBLoader"]</t>
  </si>
  <si>
    <t>["PositionProviderQW"]</t>
  </si>
  <si>
    <t>["mqConnection"]</t>
  </si>
  <si>
    <t>["FutData"]</t>
  </si>
  <si>
    <t>["CalGBPUSD"]</t>
  </si>
  <si>
    <t>["VolCubeUSDLogNormalP100"]</t>
  </si>
  <si>
    <t>["dbQWTrading"]</t>
  </si>
  <si>
    <t>["SwapFutureFetcher"]</t>
  </si>
  <si>
    <t>["QWUserDefaultSettings"]</t>
  </si>
  <si>
    <t>["Continuous"]</t>
  </si>
  <si>
    <t>["DuckGetValueLogger"]</t>
  </si>
  <si>
    <t>["PositionProviderNA"]</t>
  </si>
  <si>
    <t>["CalCATsx"]</t>
  </si>
  <si>
    <t>["tblIntradayActives"]</t>
  </si>
  <si>
    <t>["InvalidData"]</t>
  </si>
  <si>
    <t>["Rate"]</t>
  </si>
  <si>
    <t>["VolCubeUSDLogNormalR100"]</t>
  </si>
  <si>
    <t>["CommodityFutureLoader"]</t>
  </si>
  <si>
    <t>["CalNZ"]</t>
  </si>
  <si>
    <t>["VolCubeUSDLogNormalP25"]</t>
  </si>
  <si>
    <t>["curbrLoader"]</t>
  </si>
  <si>
    <t>["SubPubBarDataSync"]</t>
  </si>
  <si>
    <t>["TrayIcon"]</t>
  </si>
  <si>
    <t>["QWServer"]</t>
  </si>
  <si>
    <t>["nfaLoader"]</t>
  </si>
  <si>
    <t>["BondFetcherMsg"]</t>
  </si>
  <si>
    <t>["PosBuilder"]</t>
  </si>
  <si>
    <t>["SwaptionBM"]</t>
  </si>
  <si>
    <t>["BondFutureOptionLoader"]</t>
  </si>
  <si>
    <t>["VStoxxFuture"]</t>
  </si>
  <si>
    <t>["WhiteList"]</t>
  </si>
  <si>
    <t>["tblActives"]</t>
  </si>
  <si>
    <t>["VolCubeGBPPremium"]</t>
  </si>
  <si>
    <t>["MessageNames"]</t>
  </si>
  <si>
    <t>["BillData"]</t>
  </si>
  <si>
    <t>["InvalidLoader"]</t>
  </si>
  <si>
    <t>["activesLoader"]</t>
  </si>
  <si>
    <t>["CurveZS"]</t>
  </si>
  <si>
    <t>["VolCubeEURLogNormalP100"]</t>
  </si>
  <si>
    <t>["CapFloorTradeFetcher"]</t>
  </si>
  <si>
    <t>["CFCalculatorUS"]</t>
  </si>
  <si>
    <t>["CalJN"]</t>
  </si>
  <si>
    <t>["CalMX"]</t>
  </si>
  <si>
    <t>["CalAmericas"]</t>
  </si>
  <si>
    <t>["SwaptionTradeLoader"]</t>
  </si>
  <si>
    <t>["MLESFunc_5_9"]</t>
  </si>
  <si>
    <t>["QW.Framework.UI.Duck.ObjectPropertyEventToDuckCommandBinder#0"]</t>
  </si>
  <si>
    <t>["CurveCalibratedConvexity"]</t>
  </si>
  <si>
    <t>["CalUSNyse"]</t>
  </si>
  <si>
    <t>["bcLoader"]</t>
  </si>
  <si>
    <t>["FxSpotLoaderOld"]</t>
  </si>
  <si>
    <t>["Bill"]</t>
  </si>
  <si>
    <t>["FRAFetcher"]</t>
  </si>
  <si>
    <t>["ContextIDTranslator"]</t>
  </si>
  <si>
    <t>["MarketServerProxy"]</t>
  </si>
  <si>
    <t>["InterpDict"]</t>
  </si>
  <si>
    <t>["MixedClosePublisherBlm"]</t>
  </si>
  <si>
    <t>["UriPipe"]</t>
  </si>
  <si>
    <t>["tblBond"]</t>
  </si>
  <si>
    <t>["CurveFitter"]</t>
  </si>
  <si>
    <t>["VolCubeEURNormal"]</t>
  </si>
  <si>
    <t>["AussieBondFutureLoader"]</t>
  </si>
  <si>
    <t>["ParserObj"]</t>
  </si>
  <si>
    <t>["qwOptLogNormalPut"]</t>
  </si>
  <si>
    <t>["IndexFutureOptionLoader"]</t>
  </si>
  <si>
    <t>["RateProvider"]</t>
  </si>
  <si>
    <t>["Aussie90BankBillFuture"]</t>
  </si>
  <si>
    <t>["VolCubeUSDPremium"]</t>
  </si>
  <si>
    <t>["CalGE2"]</t>
  </si>
  <si>
    <t>["CalWeekday"]</t>
  </si>
  <si>
    <t>["QWAdminSubmitListener"]</t>
  </si>
  <si>
    <t>["EnfusionSwapTradeFetcher"]</t>
  </si>
  <si>
    <t>["FRALoader"]</t>
  </si>
  <si>
    <t>["IndexFutureData"]</t>
  </si>
  <si>
    <t>["tblRepoExtract"]</t>
  </si>
  <si>
    <t>["VolCubeAUDLogNormal"]</t>
  </si>
  <si>
    <t>["VolCubeUSDLogNormalR50"]</t>
  </si>
  <si>
    <t>["HistPublisherBlm"]</t>
  </si>
  <si>
    <t>["PublisherMsg"]</t>
  </si>
  <si>
    <t>["VolCubeUSDLogNormalP50"]</t>
  </si>
  <si>
    <t>["HistoryProvider"]</t>
  </si>
  <si>
    <t>["PubDict"]</t>
  </si>
  <si>
    <t>["SnapPublisherBlm"]</t>
  </si>
  <si>
    <t>["BundesbankDataProvider"]</t>
  </si>
  <si>
    <t>["CubicFlatEnds2"]</t>
  </si>
  <si>
    <t>["FarHistSubMap"]</t>
  </si>
  <si>
    <t>["VolCubeGBPLogNormal"]</t>
  </si>
  <si>
    <t>["CapFloorLoader"]</t>
  </si>
  <si>
    <t>["tblNewTTFills"]</t>
  </si>
  <si>
    <t>["PubBarData"]</t>
  </si>
  <si>
    <t>["tblIntraday"]</t>
  </si>
  <si>
    <t>["dbExt"]</t>
  </si>
  <si>
    <t>["Thirty360"]</t>
  </si>
  <si>
    <t>["tblBondFutureDeliverables"]</t>
  </si>
  <si>
    <t>["DummyLoader"]</t>
  </si>
  <si>
    <t>["RepoCurveLoadertrue"]</t>
  </si>
  <si>
    <t>["CalDeveloped2"]</t>
  </si>
  <si>
    <t>["CubicLinearEnds"]</t>
  </si>
  <si>
    <t>["Renderer"]</t>
  </si>
  <si>
    <t>["CurveFitterQW"]</t>
  </si>
  <si>
    <t>["DummyDB"]</t>
  </si>
  <si>
    <t>["tblTTFills"]</t>
  </si>
  <si>
    <t>["UriTcp"]</t>
  </si>
  <si>
    <t>["Snap10PublisherMsg"]</t>
  </si>
  <si>
    <t>["MarketCoordinator"]</t>
  </si>
  <si>
    <t>["NL365"]</t>
  </si>
  <si>
    <t>["VixFutureData"]</t>
  </si>
  <si>
    <t>["QWPositions"]</t>
  </si>
  <si>
    <t>["CFCalculator"]</t>
  </si>
  <si>
    <t>["dbQWFeedBloomberg"]</t>
  </si>
  <si>
    <t>["CashFlowGenerator"]</t>
  </si>
  <si>
    <t>["CalIT"]</t>
  </si>
  <si>
    <t>["FxSpotLoader"]</t>
  </si>
  <si>
    <t>["CalAll"]</t>
  </si>
  <si>
    <t>["DataProvider"]</t>
  </si>
  <si>
    <t>["NSSFunc"]</t>
  </si>
  <si>
    <t>["NSLocked"]</t>
  </si>
  <si>
    <t>["EnfusionSwaptionTradeFetcher"]</t>
  </si>
  <si>
    <t>["NZDCBDateData"]</t>
  </si>
  <si>
    <t>["tblRepoHist"]</t>
  </si>
  <si>
    <t>["BindingTcp"]</t>
  </si>
  <si>
    <t>["VolCubeKRWPremium"]</t>
  </si>
  <si>
    <t>["BondPricer"]</t>
  </si>
  <si>
    <t>["PublisherProvider"]</t>
  </si>
  <si>
    <t>["CurveFitterNSSFast"]</t>
  </si>
  <si>
    <t>["CountryToCurrencyMap"]</t>
  </si>
  <si>
    <t>["CalIN"]</t>
  </si>
  <si>
    <t>["TradesQueryDEVold"]</t>
  </si>
  <si>
    <t>["SwaptionTrade"]</t>
  </si>
  <si>
    <t>["DaemonIcon"]</t>
  </si>
  <si>
    <t>["RepoLoader"]</t>
  </si>
  <si>
    <t>["CurveFitterZS"]</t>
  </si>
  <si>
    <t>["EnfusionSwaptionTradeUnderlyingLoader"]</t>
  </si>
  <si>
    <t>["dbQWFeedSecMstReqDev"]</t>
  </si>
  <si>
    <t>["EnfusionSwaptionSecurityUnderlyingLoader"]</t>
  </si>
  <si>
    <t>["LivePublisherMsg"]</t>
  </si>
  <si>
    <t>["TWHistPublisherMsg"]</t>
  </si>
  <si>
    <t>["SwapTradeFetcher"]</t>
  </si>
  <si>
    <t>["VolCubeKRWLogNormal"]</t>
  </si>
  <si>
    <t>["tblAspects"]</t>
  </si>
  <si>
    <t>["closeHistPublisher"]</t>
  </si>
  <si>
    <t>["CashFlowGeneratorQW"]</t>
  </si>
  <si>
    <t>["VStoxxFutureLoader"]</t>
  </si>
  <si>
    <t>["curvesLoader"]</t>
  </si>
  <si>
    <t>["riskLoader"]</t>
  </si>
  <si>
    <t>["SwapPropertyMap"]</t>
  </si>
  <si>
    <t>["closesLoader"]</t>
  </si>
  <si>
    <t>["BondPricerQW"]</t>
  </si>
  <si>
    <t>["LiveAttBinder2"]</t>
  </si>
  <si>
    <t>["BlmSectors"]</t>
  </si>
  <si>
    <t>["FRA"]</t>
  </si>
  <si>
    <t>["AUDCBDateRate"]</t>
  </si>
  <si>
    <t>["VStoxxFutureData"]</t>
  </si>
  <si>
    <t>["QWUserSettings"]</t>
  </si>
  <si>
    <t>["ZeroSpline"]</t>
  </si>
  <si>
    <t>["ClosePublisher"]</t>
  </si>
  <si>
    <t>["CalEurope2"]</t>
  </si>
  <si>
    <t>["tblNormFut"]</t>
  </si>
  <si>
    <t>["ZeroFitWeight"]</t>
  </si>
  <si>
    <t>["CalNO"]</t>
  </si>
  <si>
    <t>["FxSpot"]</t>
  </si>
  <si>
    <t>["AttNames"]</t>
  </si>
  <si>
    <t>["EquityOption"]</t>
  </si>
  <si>
    <t>["qwEquityOptLogNormalCall"]</t>
  </si>
  <si>
    <t>["RateFutureFF1"]</t>
  </si>
  <si>
    <t>["AlphaIndexData"]</t>
  </si>
  <si>
    <t>["qwOptNormalPut"]</t>
  </si>
  <si>
    <t>["CBasisSwapTradeLoader"]</t>
  </si>
  <si>
    <t>["CurveMLES_5_9"]</t>
  </si>
  <si>
    <t>["SwapFutureLoader"]</t>
  </si>
  <si>
    <t>["CloseNames"]</t>
  </si>
  <si>
    <t>["BlmReal"]</t>
  </si>
  <si>
    <t>["MarketContext"]</t>
  </si>
  <si>
    <t>["BillFetcher"]</t>
  </si>
  <si>
    <t>["tblBlotFills"]</t>
  </si>
  <si>
    <t>["FutureOption"]</t>
  </si>
  <si>
    <t>["RateFutureOption"]</t>
  </si>
  <si>
    <t>["SecLoaderCR"]</t>
  </si>
  <si>
    <t>["MarketModelProxy"]</t>
  </si>
  <si>
    <t>["PubRealTime"]</t>
  </si>
  <si>
    <t>["Blm"]</t>
  </si>
  <si>
    <t>["ParserTR2"]</t>
  </si>
  <si>
    <t>["tblBondFuture"]</t>
  </si>
  <si>
    <t>["SecDBNames"]</t>
  </si>
  <si>
    <t>["TRSwapTrade"]</t>
  </si>
  <si>
    <t>["CurveNSL"]</t>
  </si>
  <si>
    <t>["CalDict"]</t>
  </si>
  <si>
    <t>["SubPubBarData"]</t>
  </si>
  <si>
    <t>["Dummy"]</t>
  </si>
  <si>
    <t>["CalUS"]</t>
  </si>
  <si>
    <t>["IndexFutureOptionFetcherFull"]</t>
  </si>
  <si>
    <t>["EnfusionSwaptionTradeLoader"]</t>
  </si>
  <si>
    <t>["DataImporter"]</t>
  </si>
  <si>
    <t>["SwaptionTradeData"]</t>
  </si>
  <si>
    <t>["FxSwapLoader"]</t>
  </si>
  <si>
    <t>["EquityOptionFetcherFull"]</t>
  </si>
  <si>
    <t>["VolCubeEURLogNormalP25"]</t>
  </si>
  <si>
    <t>["BillLoader"]</t>
  </si>
  <si>
    <t>["RepoData"]</t>
  </si>
  <si>
    <t>["ECBDateRateLoader"]</t>
  </si>
  <si>
    <t>["tblEvents"]</t>
  </si>
  <si>
    <t>["CapFloorData"]</t>
  </si>
  <si>
    <t>["CommodityRollingForward"]</t>
  </si>
  <si>
    <t>["Simple"]</t>
  </si>
  <si>
    <t>["LiveAttBinder"]</t>
  </si>
  <si>
    <t>["SwapData"]</t>
  </si>
  <si>
    <t>["tblGCMStrats"]</t>
  </si>
  <si>
    <t>["tblNewTTFillsDev"]</t>
  </si>
  <si>
    <t>["IndexFuture"]</t>
  </si>
  <si>
    <t>["tblNormFutID"]</t>
  </si>
  <si>
    <t>["Snap10PublisherBlm"]</t>
  </si>
  <si>
    <t>["HostRaw"]</t>
  </si>
  <si>
    <t>["tblSecMst"]</t>
  </si>
  <si>
    <t>["Host"]</t>
  </si>
  <si>
    <t>["zsampleLoader"]</t>
  </si>
  <si>
    <t>["RateFFLoader"]</t>
  </si>
  <si>
    <t>["CalHK"]</t>
  </si>
  <si>
    <t>["BlmDataProvider"]</t>
  </si>
  <si>
    <t>["MersenneTwister"]</t>
  </si>
  <si>
    <t>["VolCubeJPYLogNormal"]</t>
  </si>
  <si>
    <t>["QWPriceServerSubWriter"]</t>
  </si>
  <si>
    <t>["RateFutureOptionLoader"]</t>
  </si>
  <si>
    <t>["QWMarketModelSettings"]</t>
  </si>
  <si>
    <t>["VolCubeEURLogNormalP200"]</t>
  </si>
  <si>
    <t>["SwapTrade"]</t>
  </si>
  <si>
    <t>["VolCubeEURPremium"]</t>
  </si>
  <si>
    <t>["BillTranslator"]</t>
  </si>
  <si>
    <t>["CalLME"]</t>
  </si>
  <si>
    <t>["SwaptionTradeFetcher"]</t>
  </si>
  <si>
    <t>["brLoader"]</t>
  </si>
  <si>
    <t>["PubStatic"]</t>
  </si>
  <si>
    <t>["EquityOptionFetcher"]</t>
  </si>
  <si>
    <t>["CurveFitterNSFast"]</t>
  </si>
  <si>
    <t>["ECBDateData"]</t>
  </si>
  <si>
    <t>["tblModelPositions"]</t>
  </si>
  <si>
    <t>["BondFetcher"]</t>
  </si>
  <si>
    <t>["PositionProvider"]</t>
  </si>
  <si>
    <t>["CubicSpline"]</t>
  </si>
  <si>
    <t>["DummyData"]</t>
  </si>
  <si>
    <t>["tblEnfusionFills"]</t>
  </si>
  <si>
    <t>["BondLoader"]</t>
  </si>
  <si>
    <t>["SwapTradeLoader"]</t>
  </si>
  <si>
    <t>["tblCurrents"]</t>
  </si>
  <si>
    <t>["CalEurope3"]</t>
  </si>
  <si>
    <t>["Snap10SubMap"]</t>
  </si>
  <si>
    <t>["AlphaIndexLoader"]</t>
  </si>
  <si>
    <t>["qwEquityOptNormalCall"]</t>
  </si>
  <si>
    <t>["HolidayNames"]</t>
  </si>
  <si>
    <t>["DoubleMesh"]</t>
  </si>
  <si>
    <t>["dbQWBot"]</t>
  </si>
  <si>
    <t>["EquityOptionData"]</t>
  </si>
  <si>
    <t>["StaticDict"]</t>
  </si>
  <si>
    <t>["BondFutureOption"]</t>
  </si>
  <si>
    <t>["VolCubeUSDLogNormalR25"]</t>
  </si>
  <si>
    <t>["CFCalculatorEUR"]</t>
  </si>
  <si>
    <t>["QWTrades"]</t>
  </si>
  <si>
    <t>["DebugBehavior"]</t>
  </si>
  <si>
    <t>["CalDevelopedEmerging2"]</t>
  </si>
  <si>
    <t>["NZDCBDateRateLoader"]</t>
  </si>
  <si>
    <t>["PrevDate"]</t>
  </si>
  <si>
    <t>["SnapPublisher"]</t>
  </si>
  <si>
    <t>["tblEnfusionFillsDev"]</t>
  </si>
  <si>
    <t>["RestartMenuItem"]</t>
  </si>
  <si>
    <t>["CFCalculatorQW"]</t>
  </si>
  <si>
    <t>["NZDCBDates"]</t>
  </si>
  <si>
    <t>["TRSwapTradeFetcher"]</t>
  </si>
  <si>
    <t>["Compounded"]</t>
  </si>
  <si>
    <t>["CurveNS"]</t>
  </si>
  <si>
    <t>["QW.Framework.UI.Duck.SubscriberMessageToDuckBinder#0"]</t>
  </si>
  <si>
    <t>["SubPubHistoricalSync"]</t>
  </si>
  <si>
    <t>["CurveMLES_2_12"]</t>
  </si>
  <si>
    <t>["CalTU"]</t>
  </si>
  <si>
    <t>["blmLoader"]</t>
  </si>
  <si>
    <t>["ExitMenuItem"]</t>
  </si>
  <si>
    <t>["CalTR"]</t>
  </si>
  <si>
    <t>["FutureOptionFetcherFull"]</t>
  </si>
  <si>
    <t>["BondFutureFetcherFull"]</t>
  </si>
  <si>
    <t>["AussieBondFuture"]</t>
  </si>
  <si>
    <t>["ParserPound"]</t>
  </si>
  <si>
    <t>["FarHistSubMap2"]</t>
  </si>
  <si>
    <t>["qwEquityOptNormalPut"]</t>
  </si>
  <si>
    <t>["CurveMLES_4_15"]</t>
  </si>
  <si>
    <t>["Repo"]</t>
  </si>
  <si>
    <t>["LiveSourceMap"]</t>
  </si>
  <si>
    <t>["DayCountDict"]</t>
  </si>
  <si>
    <t>["HistPublisherMsg"]</t>
  </si>
  <si>
    <t>["BasisSwapTradeLoader"]</t>
  </si>
  <si>
    <t>["CurveMLES_F_9"]</t>
  </si>
  <si>
    <t>["CurrencyFutureData"]</t>
  </si>
  <si>
    <t>["OTRFutureLoader"]</t>
  </si>
  <si>
    <t>["AussieBondFutureTranslator"]</t>
  </si>
  <si>
    <t>["NZDCBDateRate"]</t>
  </si>
  <si>
    <t>["CanadaAccrued"]</t>
  </si>
  <si>
    <t>["activesmLoader"]</t>
  </si>
  <si>
    <t>["SecurityProvider"]</t>
  </si>
  <si>
    <t>["ThrottleBehavior"]</t>
  </si>
  <si>
    <t>["EnfusionSwaptionTradeUnderlyingFetcher"]</t>
  </si>
  <si>
    <t>["Linear"]</t>
  </si>
  <si>
    <t>["LiveSubMap2"]</t>
  </si>
  <si>
    <t>["VolCubeEURPremiumSkew"]</t>
  </si>
  <si>
    <t>["RepoCurveLoader"]</t>
  </si>
  <si>
    <t>["dbQWTradingDev"]</t>
  </si>
  <si>
    <t>["AUDCBDateRateLoader"]</t>
  </si>
  <si>
    <t>["CloseSourceMap"]</t>
  </si>
  <si>
    <t>["LiveSubMap"]</t>
  </si>
  <si>
    <t>["VolCubeEURLogNormalR25"]</t>
  </si>
  <si>
    <t>["FmtrDict"]</t>
  </si>
  <si>
    <t>["DummyDBData"]</t>
  </si>
  <si>
    <t>["HistSnap10PublisherBlm"]</t>
  </si>
  <si>
    <t>["MarketModelFullQW"]</t>
  </si>
  <si>
    <t>["Index"]</t>
  </si>
  <si>
    <t>["YahooDataProvider"]</t>
  </si>
  <si>
    <t>["QWPriceServerHistResponseListener"]</t>
  </si>
  <si>
    <t>["VixFuture"]</t>
  </si>
  <si>
    <t>["frLoader"]</t>
  </si>
  <si>
    <t>["CurveMLES_F_L"]</t>
  </si>
  <si>
    <t>["Snap10Publisher"]</t>
  </si>
  <si>
    <t>["RateFutureSOFR"]</t>
  </si>
  <si>
    <t>["tblCommodityPositions"]</t>
  </si>
  <si>
    <t>["tblStrategyRisk"]</t>
  </si>
  <si>
    <t>["VolCubeEURLogNormalR50"]</t>
  </si>
  <si>
    <t>["FxSwapData"]</t>
  </si>
  <si>
    <t>["SwapHistExpBuilder"]</t>
  </si>
  <si>
    <t>["ErrorCodes"]</t>
  </si>
  <si>
    <t>["CalGE"]</t>
  </si>
  <si>
    <t>["VolCubeUSDLogNormal"]</t>
  </si>
  <si>
    <t>["Aussie30BankBillFuture"]</t>
  </si>
  <si>
    <t>["BlmAliases"]</t>
  </si>
  <si>
    <t>["RateFutureOptionData"]</t>
  </si>
  <si>
    <t>["VolCubeUSDLogNormalP200"]</t>
  </si>
  <si>
    <t>["CurveFitterBootstrap"]</t>
  </si>
  <si>
    <t>["RepoCurveLoaderfalse"]</t>
  </si>
  <si>
    <t>["RateFutureLoader"]</t>
  </si>
  <si>
    <t>["tblRepoCurve"]</t>
  </si>
  <si>
    <t>["qwOptLogNormalCall"]</t>
  </si>
  <si>
    <t>["FxSwap"]</t>
  </si>
  <si>
    <t>["SecMstRequestInserter"]</t>
  </si>
  <si>
    <t>["TRSwapData"]</t>
  </si>
  <si>
    <t>["Snap10AttBinder"]</t>
  </si>
  <si>
    <t>["RepoProvider"]</t>
  </si>
  <si>
    <t>["rcaLoader"]</t>
  </si>
  <si>
    <t>["AnnualActAct"]</t>
  </si>
  <si>
    <t>["EquityOptionTranslator"]</t>
  </si>
  <si>
    <t>["EuriborFutTurns"]</t>
  </si>
  <si>
    <t>["RateLoader"]</t>
  </si>
  <si>
    <t>["CapFloorTradeLoader"]</t>
  </si>
  <si>
    <t>["CurveFitterMock"]</t>
  </si>
  <si>
    <t>["FmtrDict2"]</t>
  </si>
  <si>
    <t>["IndexFutureOption"]</t>
  </si>
  <si>
    <t>["dbRepoHist"]</t>
  </si>
  <si>
    <t>["ElementNames"]</t>
  </si>
  <si>
    <t>["SubPubStaticSyncCR"]</t>
  </si>
  <si>
    <t>["VolCubeNZDLogNormal"]</t>
  </si>
  <si>
    <t>["CurveMLES_Opt_9"]</t>
  </si>
  <si>
    <t>["bundesbankLoader"]</t>
  </si>
  <si>
    <t>["dbQW"]</t>
  </si>
  <si>
    <t>["oldSwapHistExpBuilder"]</t>
  </si>
  <si>
    <t>["TRSwapTradeLoader"]</t>
  </si>
  <si>
    <t>["ParserDbl"]</t>
  </si>
  <si>
    <t>["CloseAttBinder"]</t>
  </si>
  <si>
    <t>["BindingPipe"]</t>
  </si>
  <si>
    <t>["EnfusionSwapTradeLoader"]</t>
  </si>
  <si>
    <t>["BondTranslator"]</t>
  </si>
  <si>
    <t>["RollingPublisherBlm"]</t>
  </si>
  <si>
    <t>["OTRFutureData"]</t>
  </si>
  <si>
    <t>["zsliceLoader"]</t>
  </si>
  <si>
    <t>["SwapBMLoader"]</t>
  </si>
  <si>
    <t>["dbQWData"]</t>
  </si>
  <si>
    <t>["SwapFutSecMstProcessor"]</t>
  </si>
  <si>
    <t>["ParserStr"]</t>
  </si>
  <si>
    <t>["CFCalculatorMock"]</t>
  </si>
  <si>
    <t>["DE"]</t>
  </si>
  <si>
    <t>["SwapBM"]</t>
  </si>
  <si>
    <t>["CurveBootstrap"]</t>
  </si>
  <si>
    <t>["BlmMock"]</t>
  </si>
  <si>
    <t>["nfLoader"]</t>
  </si>
  <si>
    <t>["QWActiveMQSettings"]</t>
  </si>
  <si>
    <t>["CurveFactory"]</t>
  </si>
  <si>
    <t>["EnfusionSwaptionSecurityFetcher"]</t>
  </si>
  <si>
    <t>["CalDeveloped"]</t>
  </si>
  <si>
    <t>["CommodityFuture"]</t>
  </si>
  <si>
    <t>["QWDaemonMsgListener"]</t>
  </si>
  <si>
    <t>["EnfusionSwapSecurityFetcher"]</t>
  </si>
  <si>
    <t>["EnfusionSwapSecurityLoader"]</t>
  </si>
  <si>
    <t>["EnfusionSwaptionSecurityLoader"]</t>
  </si>
  <si>
    <t>["CalEmerging"]</t>
  </si>
  <si>
    <t>["BondFetcherFull"]</t>
  </si>
  <si>
    <t>["BondPricerMock"]</t>
  </si>
  <si>
    <t>["tblPositions"]</t>
  </si>
  <si>
    <t>["CalDevelopedEmerging"]</t>
  </si>
  <si>
    <t>["ClosePublisherMsg"]</t>
  </si>
  <si>
    <t>["VolCubeEURLogNormal"]</t>
  </si>
  <si>
    <t>["SecurityFetcherDict"]</t>
  </si>
  <si>
    <t>["aspectsLoader"]</t>
  </si>
  <si>
    <t>["Spring.Objects.Factory.Config.TypeAliasConfigurer#0"]</t>
  </si>
  <si>
    <t>["Spring.Objects.Factory.Config.TypeAliasConfigurer#1"]</t>
  </si>
  <si>
    <t>["Spring.Objects.Factory.Config.TypeAliasConfigurer#2"]</t>
  </si>
  <si>
    <t>["Spring.Objects.Factory.Config.TypeAliasConfigurer#3"]</t>
  </si>
  <si>
    <t>["Spring.Objects.Factory.Config.TypeAliasConfigurer#4"]</t>
  </si>
  <si>
    <t>["ClosePublisherBlm"]</t>
  </si>
  <si>
    <t>["EquityOptionFetcherMsg"]</t>
  </si>
  <si>
    <t>["ECBDateRate"]</t>
  </si>
  <si>
    <t>["USWeightCalc"]</t>
  </si>
  <si>
    <t>["tblBlmFillsDev"]</t>
  </si>
  <si>
    <t>["VolCubeGBPNormal"]</t>
  </si>
  <si>
    <t>["HistSnapPublisherBlm"]</t>
  </si>
  <si>
    <t>["CurveMLES_4_15_FL"]</t>
  </si>
  <si>
    <t>["tblICAPFills"]</t>
  </si>
  <si>
    <t>["RateStubLoader"]</t>
  </si>
  <si>
    <t>["FutureOptionLoader"]</t>
  </si>
  <si>
    <t>["GCMTrades"]</t>
  </si>
  <si>
    <t>["CalFI"]</t>
  </si>
  <si>
    <t>["EnfusionSwaptionSecurityUnderlyingFetcher"]</t>
  </si>
  <si>
    <t>["SwapTermMap"]</t>
  </si>
  <si>
    <t>["PositionProviderGCM"]</t>
  </si>
  <si>
    <t>["SubPubRealTime"]</t>
  </si>
  <si>
    <t>["BondFutureTranslator"]</t>
  </si>
  <si>
    <t>["tblBondFutureCTD"]</t>
  </si>
  <si>
    <t>["CapFloorTrade"]</t>
  </si>
  <si>
    <t>["Bond"]</t>
  </si>
  <si>
    <t>[QW.Framework.RegexDictionaryGeneric&lt;IDict_str_str&gt;, QWFramework]</t>
  </si>
  <si>
    <t>[QW.MarketModelWCF.MarketServerContractFactory]</t>
  </si>
  <si>
    <t>[QW.Framework.DBTable]</t>
  </si>
  <si>
    <t>[QW.Security.SecurityUpdaterDB]</t>
  </si>
  <si>
    <t>[QW.Framework.ActiveMQ.Subscriber]</t>
  </si>
  <si>
    <t>[QW.Security.Curve.CurveFitterModel]</t>
  </si>
  <si>
    <t>[QW.Analytics.Functions.InterpolatorQLNetCubicFlatEnds]</t>
  </si>
  <si>
    <t>[QW.Security.PublisherMix]</t>
  </si>
  <si>
    <t>[QW.Framework.DBTableTS]</t>
  </si>
  <si>
    <t>[QW.Framework.ActiveMQ.Publisher]</t>
  </si>
  <si>
    <t>[QW.Security.Rate.RateTypeCompounded]</t>
  </si>
  <si>
    <t>[QW.Security.CapFloor.CapFloor]</t>
  </si>
  <si>
    <t>[QW.Security.Curve.WeightCalculatorList]</t>
  </si>
  <si>
    <t>[QW.Security.Dummy.Dummy]</t>
  </si>
  <si>
    <t>[QW.Framework.DayCounterQLNet]</t>
  </si>
  <si>
    <t>[QW.Security.CashFlowGeneratorMock]</t>
  </si>
  <si>
    <t>[QW.Security.Future.Loader]</t>
  </si>
  <si>
    <t>[QW.Security.VolCubeMeta]</t>
  </si>
  <si>
    <t>[QW.Security.FX.Data]</t>
  </si>
  <si>
    <t>[QW.Security.Curve.CurveFitByModel]</t>
  </si>
  <si>
    <t>[QW.Security.Invalid.Invalid]</t>
  </si>
  <si>
    <t>[QW.Framework.Translation.ParserTR]</t>
  </si>
  <si>
    <t>[QW.Framework.Spring.FactoryObjectCheckFile]</t>
  </si>
  <si>
    <t>[QW.Security.Curve.WeightCalculatorCouponMarketness]</t>
  </si>
  <si>
    <t>[QW.Framework.SpringDictionary&lt;IQWOption&gt;, QWFramework]</t>
  </si>
  <si>
    <t>[QW.Framework.Translation.Coordinator]</t>
  </si>
  <si>
    <t>[QW.Security.VolCube]</t>
  </si>
  <si>
    <t>[QW.Security.SecurityData]</t>
  </si>
  <si>
    <t>[QW.Security.SecurityFetcher]</t>
  </si>
  <si>
    <t>[QW.MarketModel.SecCreator]</t>
  </si>
  <si>
    <t>[QW.Security.Swaption.Data]</t>
  </si>
  <si>
    <t>[QW.Data.LoaderDataProv]</t>
  </si>
  <si>
    <t>[QW.Framework.RegexDictionaryGeneric&lt;IDict_str_obj&gt;, QWFramework]</t>
  </si>
  <si>
    <t>[QW.Security.TradeSource]</t>
  </si>
  <si>
    <t>[QW.Blm3x.PublisherCached]</t>
  </si>
  <si>
    <t>[QW.Framework.Spring.AddSuffixFactoryObject]</t>
  </si>
  <si>
    <t>[QW.Blm3x.SubPubSyncStatic]</t>
  </si>
  <si>
    <t>[QW.Security.SecurityFetcherMsg]</t>
  </si>
  <si>
    <t>[QW.Security.Curve.Curve]</t>
  </si>
  <si>
    <t>[System.String]</t>
  </si>
  <si>
    <t>[QW.Framework.SpringVariableSource]</t>
  </si>
  <si>
    <t>[QW.Security.Curve.NSSFast]</t>
  </si>
  <si>
    <t>[System.ServiceModel.EndpointAddress]</t>
  </si>
  <si>
    <t>[QW.Data.Loaders.Joiner]</t>
  </si>
  <si>
    <t>[QW.Security.Dummy.Loader]</t>
  </si>
  <si>
    <t>[Spring.Objects.Factory.Config.PropertyRetrievingFactoryObject]</t>
  </si>
  <si>
    <t>[QW.Framework.CalendarQLNet]</t>
  </si>
  <si>
    <t>[QW.Blm3x.SubPubSyncHistorical]</t>
  </si>
  <si>
    <t>[QW.Analytics.Functions.OptionPut]</t>
  </si>
  <si>
    <t>[QW.Framework.UI.Duck.ObjectPropertyEventToDuckCommandBinder]</t>
  </si>
  <si>
    <t>[QW.Security.Bond.Data]</t>
  </si>
  <si>
    <t>[QW.Security.Rate.RateStub]</t>
  </si>
  <si>
    <t>[QW.Blm3x.SnapProvider]</t>
  </si>
  <si>
    <t>[QW.Security.Curve.CurveFitterOptimize]</t>
  </si>
  <si>
    <t>[QW.Framework.DBConnSql]</t>
  </si>
  <si>
    <t>[Spring.Objects.Factory.Config.VariablePlaceholderConfigurer]</t>
  </si>
  <si>
    <t>[QW.Analytics.Functions.OptionCallNormal]</t>
  </si>
  <si>
    <t>[QW.Framework.Date.CalendarList]</t>
  </si>
  <si>
    <t>[QW.Security.AttBinder]</t>
  </si>
  <si>
    <t>[QW.Security.Publisher]</t>
  </si>
  <si>
    <t>[QW.Security.BondFuture.Loader]</t>
  </si>
  <si>
    <t>[QW.Security.Curve.CurveFitByModelOpt]</t>
  </si>
  <si>
    <t>[QW.Security.BondFuture.Data]</t>
  </si>
  <si>
    <t>[QW.Framework.Placeholder]</t>
  </si>
  <si>
    <t>[QW.Security.RateFuture.RateFuture]</t>
  </si>
  <si>
    <t>[QW.Data.LoaderExp]</t>
  </si>
  <si>
    <t>[QW.Framework.RegexDictionaryGeneric`1[[System.String, mscorlib, Version=4.0.0.0, Culture=neutral, PublicKeyToken=b77a5c561934e089]]]</t>
  </si>
  <si>
    <t>[QW.Security.SwapFuture.SwapFuture]</t>
  </si>
  <si>
    <t>[QW.MarketModel.PosNames]</t>
  </si>
  <si>
    <t>[QW.Security.Option.Data]</t>
  </si>
  <si>
    <t>[QW.Security.FRA.Data]</t>
  </si>
  <si>
    <t>[QW.Security.Swaption.SwaptionPricer]</t>
  </si>
  <si>
    <t>[SwarmOps.Optimizers.MESH]</t>
  </si>
  <si>
    <t>[QW.Security.Curve.BasisCurve]</t>
  </si>
  <si>
    <t>[QW.Security.BondFuture.OTRFuture]</t>
  </si>
  <si>
    <t>[QW.Security.BondFuture.CFCalculator]</t>
  </si>
  <si>
    <t>[QW.Framework.Translation.Translator]</t>
  </si>
  <si>
    <t>[QW.Security.BondFuture.BondFuture]</t>
  </si>
  <si>
    <t>[QW.MarketModel.DuckSwitch]</t>
  </si>
  <si>
    <t>[QW.Framework.Translation.ProcessorDBTable]</t>
  </si>
  <si>
    <t>[QW.Security.Rate.RateFF]</t>
  </si>
  <si>
    <t>[QW.Framework.Translation.ProcessorMeta]</t>
  </si>
  <si>
    <t>[QW.Security.Swaption.Loader]</t>
  </si>
  <si>
    <t>[QW.Security.SwapFuture.Data]</t>
  </si>
  <si>
    <t>[QW.Security.DummyDB.Loader]</t>
  </si>
  <si>
    <t>[QW.Security.PositionProvider]</t>
  </si>
  <si>
    <t>[QW.Framework.ActiveMQ.MockNMSConnection]</t>
  </si>
  <si>
    <t>[QW.Security.RateFuture.Data]</t>
  </si>
  <si>
    <t>[QW.Framework.CalendarJoint]</t>
  </si>
  <si>
    <t>[QW.Security.Rate.RateTypeContinuous]</t>
  </si>
  <si>
    <t>[Spring.Aop.Support.RegularExpressionMethodPointcutAdvisor]</t>
  </si>
  <si>
    <t>[QW.Security.PositionProviderMock]</t>
  </si>
  <si>
    <t>[QW.Security.Rate.Rate]</t>
  </si>
  <si>
    <t>[QW.Blm3x.SubPubSyncBarData]</t>
  </si>
  <si>
    <t>[System.Windows.Forms.NotifyIcon]</t>
  </si>
  <si>
    <t>[QW.Daemon.Server]</t>
  </si>
  <si>
    <t>[QW.MarketModel.PositionTableBuilder]</t>
  </si>
  <si>
    <t>[QW.Security.Swaption.Swaption]</t>
  </si>
  <si>
    <t>[QW.Security.LoaderDB]</t>
  </si>
  <si>
    <t>[QW.Security.VixFuture.VixFuture]</t>
  </si>
  <si>
    <t>[QW.Blm3x.MessageNames]</t>
  </si>
  <si>
    <t>[QW.Security.Bill.Data]</t>
  </si>
  <si>
    <t>[QW.Security.Loader]</t>
  </si>
  <si>
    <t>[QW.Security.BondFuture.CFCalculatorUS]</t>
  </si>
  <si>
    <t>[QW.Security.Curve.MLES]</t>
  </si>
  <si>
    <t>[QW.Security.Curve.CalibratedConvexityCurve]</t>
  </si>
  <si>
    <t>[QW.Security.Bill.Bill]</t>
  </si>
  <si>
    <t>[QW.Framework.IDTranslatorLookup]</t>
  </si>
  <si>
    <t>[QW.MarketModelWCF.MarketServerAdapter]</t>
  </si>
  <si>
    <t>[QW.Framework.SpringDictionary&lt;IInterpolator&gt;, QWFramework]</t>
  </si>
  <si>
    <t>[QW.Security.PublisherRegionClose]</t>
  </si>
  <si>
    <t>[System.Uri]</t>
  </si>
  <si>
    <t>[QW.Framework.Parser`1[[QW.Framework.EvaluatorStr, QWFramework, Version=1.1.6.4, Culture=neutral, PublicKeyToken=null]]]</t>
  </si>
  <si>
    <t>[QW.Security.Rate.RateTypeProvider]</t>
  </si>
  <si>
    <t>[QW.Security.RateFuture.Aussie90BankBillFuture]</t>
  </si>
  <si>
    <t>[QW.Framework.CalendarWeekday]</t>
  </si>
  <si>
    <t>[QW.Security.FRA.Loader]</t>
  </si>
  <si>
    <t>[QW.Security.PublisherMsg]</t>
  </si>
  <si>
    <t>[QW.Data.HistoryProvider]</t>
  </si>
  <si>
    <t>[QW.Framework.SpringDictionary&lt;IMsgPublisher&gt;, QWFramework]</t>
  </si>
  <si>
    <t>[QW.Data.WebDataProvider]</t>
  </si>
  <si>
    <t>[QW.Analytics.Functions.InterpolatorFlatEnds]</t>
  </si>
  <si>
    <t>[QW.Security.Curve.CurveLoaderBms]</t>
  </si>
  <si>
    <t>[QW.Analytics.Functions.InterpolatorLinearEnds]</t>
  </si>
  <si>
    <t>[QW.Widget.RendererMock]</t>
  </si>
  <si>
    <t>[QW.Security.Curve.CurveFitter]</t>
  </si>
  <si>
    <t>[QW.Security.DummyDB.DummyDB]</t>
  </si>
  <si>
    <t>[QW.Security.MarketCoordinator]</t>
  </si>
  <si>
    <t>[QW.Framework.Date.DayCounters.NL365]</t>
  </si>
  <si>
    <t>[QW.Security.VixFuture.Data]</t>
  </si>
  <si>
    <t>[QW.Framework.CalendarAll]</t>
  </si>
  <si>
    <t>[QW.Data.Provider]</t>
  </si>
  <si>
    <t>[QW.Security.Curve.NSSDiscounter]</t>
  </si>
  <si>
    <t>[QW.Security.Rate.Data]</t>
  </si>
  <si>
    <t>[System.ServiceModel.NetTcpBinding]</t>
  </si>
  <si>
    <t>[QW.Security.PublisherProvider]</t>
  </si>
  <si>
    <t>[Spring.Objects.Factory.Config.MethodInvokingFactoryObject]</t>
  </si>
  <si>
    <t>[QW.Security.Repo.Loader]</t>
  </si>
  <si>
    <t>[QW.Security.Swap.LoaderBase]</t>
  </si>
  <si>
    <t>[QW.Security.CashFlowGenerator]</t>
  </si>
  <si>
    <t>[QW.Security.Bond.BondPricer]</t>
  </si>
  <si>
    <t>[QW.Security.FRA.Fra]</t>
  </si>
  <si>
    <t>[QW.Security.Curve.ZeroSpline]</t>
  </si>
  <si>
    <t>[QW.Analytics.Functions.Exponential]</t>
  </si>
  <si>
    <t>[QW.Security.FX.FxSpot]</t>
  </si>
  <si>
    <t>[QW.MarketModel.AttributeNames]</t>
  </si>
  <si>
    <t>[QW.Security.Option.OptionFuture]</t>
  </si>
  <si>
    <t>[QW.Analytics.Functions.OptionCall]</t>
  </si>
  <si>
    <t>[QW.Security.RateFuture.RateFutureFF1]</t>
  </si>
  <si>
    <t>[QW.Analytics.Functions.OptionPutNormal]</t>
  </si>
  <si>
    <t>[QW.Security.SwapFuture.Loader]</t>
  </si>
  <si>
    <t>[QW.Framework.CloseNames]</t>
  </si>
  <si>
    <t>[QW.Blm3x.Blm]</t>
  </si>
  <si>
    <t>[QW.Security.MarketContext]</t>
  </si>
  <si>
    <t>[QW.Security.Option.OptionRateFuture]</t>
  </si>
  <si>
    <t>[QW.Security.ProcessorSecLoad]</t>
  </si>
  <si>
    <t>[QW.MarketModel.MarketModel]</t>
  </si>
  <si>
    <t>[QW.Security.SecDBNames]</t>
  </si>
  <si>
    <t>[QW.Security.TRSwap.TRSwap]</t>
  </si>
  <si>
    <t>[QW.Data.DataImporter]</t>
  </si>
  <si>
    <t>[QW.Security.Bill.Loader]</t>
  </si>
  <si>
    <t>[QW.Security.Repo.Data]</t>
  </si>
  <si>
    <t>[QW.Security.Rate.MeetingDateLoader]</t>
  </si>
  <si>
    <t>[QW.Security.CapFloor.Data]</t>
  </si>
  <si>
    <t>[QW.Security.Rate.RateTypeSimple]</t>
  </si>
  <si>
    <t>[QW.Security.Swap.Data]</t>
  </si>
  <si>
    <t>[QW.Daemon.Host]</t>
  </si>
  <si>
    <t>[Spring.Aop.Framework.ProxyFactoryObject]</t>
  </si>
  <si>
    <t>[QW.Data.Loaders.ZSample]</t>
  </si>
  <si>
    <t>[QW.Security.Rate.Loader]</t>
  </si>
  <si>
    <t>[QW.Blm3x.DataProvider]</t>
  </si>
  <si>
    <t>[RandomOps.MersenneTwister]</t>
  </si>
  <si>
    <t>[QW.Security.Swap.Swap]</t>
  </si>
  <si>
    <t>[QW.Analytics.Functions.InterpolatorQLNetCubic]</t>
  </si>
  <si>
    <t>[QW.Security.Bond.Loader]</t>
  </si>
  <si>
    <t>[QW.Framework.HolidayNames]</t>
  </si>
  <si>
    <t>[QW.Security.Curve.DoubleMesh]</t>
  </si>
  <si>
    <t>[QW.Framework.DBDictionary]</t>
  </si>
  <si>
    <t>[QW.Security.Option.OptionYieldAwareFuture]</t>
  </si>
  <si>
    <t>[System.ServiceModel.Description.ServiceDebugBehavior]</t>
  </si>
  <si>
    <t>[System.Windows.Forms.MenuItem]</t>
  </si>
  <si>
    <t>[QW.Security.BondFuture.CFCalculatorMeta]</t>
  </si>
  <si>
    <t>[QW.Framework.UI.Duck.SubscriberMessageToDuckBinder]</t>
  </si>
  <si>
    <t>[QW.Security.BondFuture.AussieBondFuture]</t>
  </si>
  <si>
    <t>[QW.Framework.ParserStr]</t>
  </si>
  <si>
    <t>[QW.Security.Repo.Repo]</t>
  </si>
  <si>
    <t>[QW.Security.SecurityProvider]</t>
  </si>
  <si>
    <t>[System.ServiceModel.Description.ServiceThrottlingBehavior]</t>
  </si>
  <si>
    <t>[QW.Analytics.Functions.InterpolatorQLNetLinear]</t>
  </si>
  <si>
    <t>[QW.Framework.RegexDictionaryGeneric&lt;IFormatter&gt;, QWFramework]</t>
  </si>
  <si>
    <t>[QW.Security.DummyDB.Data]</t>
  </si>
  <si>
    <t>[QW.Security.MarketModel]</t>
  </si>
  <si>
    <t>[QW.Security.RateFuture.RateFutureSOFR]</t>
  </si>
  <si>
    <t>[QW.Security.FX.DataSwap]</t>
  </si>
  <si>
    <t>[QW.Framework.RegexDictionaryGeneric&lt;IHistExpBuilder&gt;, QWFramework]</t>
  </si>
  <si>
    <t>[QW.Blm3x.ErrorCodes]</t>
  </si>
  <si>
    <t>[QW.Security.RateFuture.Aussie30DayInterbankFuture]</t>
  </si>
  <si>
    <t>[QW.Security.Curve.CurveFitterBootstrap]</t>
  </si>
  <si>
    <t>[QW.Security.Curve.CurveLoaderRepo]</t>
  </si>
  <si>
    <t>[QW.Security.RateFuture.Loader]</t>
  </si>
  <si>
    <t>[QW.Security.FX.FxSwap]</t>
  </si>
  <si>
    <t>[QW.Security.TRSwap.Data]</t>
  </si>
  <si>
    <t>[QW.MarketModel.RepoProvider]</t>
  </si>
  <si>
    <t>[QW.Security.CapFloor.LoaderBase]</t>
  </si>
  <si>
    <t>[QW.Security.Curve.CurveFitterMock]</t>
  </si>
  <si>
    <t>[QW.Blm3x.ElementNames]</t>
  </si>
  <si>
    <t>[QW.Framework.DBConnSqlBatch]</t>
  </si>
  <si>
    <t>[QW.Security.TRSwap.LoaderBase]</t>
  </si>
  <si>
    <t>[QW.Framework.ParserDbl]</t>
  </si>
  <si>
    <t>[System.ServiceModel.NetNamedPipeBinding]</t>
  </si>
  <si>
    <t>[QW.Framework.Translation.TranslatorLookup]</t>
  </si>
  <si>
    <t>[QW.Security.PublisherRolling]</t>
  </si>
  <si>
    <t>[QW.Security.BondFuture.OTRData]</t>
  </si>
  <si>
    <t>[QW.Security.BondFuture.CFCalculatorMock]</t>
  </si>
  <si>
    <t>[SwarmOps.Optimizers.DESuite]</t>
  </si>
  <si>
    <t>[QW.Blm3x.BlmMock]</t>
  </si>
  <si>
    <t>[QW.Framework.SpringDictionary&lt;ICurveBase&gt;, QWFramework]</t>
  </si>
  <si>
    <t>[QW.Security.Bond.BondPricerMock]</t>
  </si>
  <si>
    <t>[QW.Framework.SpringDictionary&lt;ISecurityFetcher&gt;, QWFramework]</t>
  </si>
  <si>
    <t>[Spring.Objects.Factory.Config.TypeAliasConfigurer]</t>
  </si>
  <si>
    <t>[QW.Security.GCMTradeSource]</t>
  </si>
  <si>
    <t>[QW.Framework.RegexDictionaryGeneric&lt;ITermExtractor&gt;, QWFramework]</t>
  </si>
  <si>
    <t>[QW.Blm3x.SubPubRealTime]</t>
  </si>
  <si>
    <t>[QW.Security.Bond.Bond]</t>
  </si>
  <si>
    <t>Row Labels</t>
  </si>
  <si>
    <t>Grand Total</t>
  </si>
  <si>
    <t>Count of Name</t>
  </si>
  <si>
    <t>DB</t>
  </si>
  <si>
    <t>Rate</t>
  </si>
  <si>
    <t>Publisher</t>
  </si>
  <si>
    <t>Curve</t>
  </si>
  <si>
    <t>Loader</t>
  </si>
  <si>
    <t>Calendar</t>
  </si>
  <si>
    <t>Trade</t>
  </si>
  <si>
    <t>DBBloomberg</t>
  </si>
  <si>
    <t>CountryToCurrencyMap</t>
  </si>
  <si>
    <t>DayCountConvention</t>
  </si>
  <si>
    <t>CashFlowGenerator</t>
  </si>
  <si>
    <t>VolCube</t>
  </si>
  <si>
    <t>Pricer</t>
  </si>
  <si>
    <t>Provider</t>
  </si>
  <si>
    <t>Fetcher</t>
  </si>
  <si>
    <t>Context</t>
  </si>
  <si>
    <t>Instrument</t>
  </si>
  <si>
    <t>InstrumentLoader</t>
  </si>
  <si>
    <t>InstrumentPricer</t>
  </si>
  <si>
    <t>Translator</t>
  </si>
  <si>
    <t>TradeLoader</t>
  </si>
  <si>
    <t>InstrumentStaticData</t>
  </si>
  <si>
    <t>RateTypeConvention</t>
  </si>
  <si>
    <t>PricingModel</t>
  </si>
  <si>
    <t xml:space="preserve">Instrument </t>
  </si>
  <si>
    <t>DBTable</t>
  </si>
  <si>
    <t>Deamon</t>
  </si>
  <si>
    <t>Other</t>
  </si>
  <si>
    <t>Math</t>
  </si>
  <si>
    <t>RegexMap</t>
  </si>
  <si>
    <t>GDBR2,CTFRF10Y,CTITL10Y,CTGBP2Y,CT2,CTBEF5Y</t>
  </si>
  <si>
    <t>Types</t>
  </si>
  <si>
    <t>BBM</t>
  </si>
  <si>
    <t>LMAH,LMAA,LMNA,LMCA,LMPB,LMNI,LMSN,LMZS,LMFM</t>
  </si>
  <si>
    <t>FEDL12M,FEDL01,SOFRRATE,MUTKCALM,ESTRON,ESTRON12M,EONIA,EONIA12M,CAONREPO,OISCAD12M,SONI,US0001M,US0003M,USA0003M,USQ0003M,EUR006M,BP0006M,BP0003M,EUR003M,ADBB3M,ADBB6M,NIBOR6M,SF0006M,STIB3M,CDOR03,NZOCRS,NDBB3M,KWCDC,TOISTOIS,JY0003M,JY0006M,RBACOR,HIHD03M</t>
  </si>
  <si>
    <t>USSWIM[0-9]+S$,EUSW[0-9]+V3$,BPSA[0-9]+V3$,USSO,USOSFR,JYSO,USSN,USSV,CDSO,EUSWE,EESWE,SFSWT,SFSW,BPSWS,USSW[0-9]+V1,USSQA,USSA,US,EU,BPBN,BP,SAFD,ANFD,QWUS,QWBP,QWEU,ADSWAP[0-9],ADSW[0-9]+Q,ADSV,SKSW[0-9],NKSW[0-9],CDSW,NDSWAP,NDSO,NDSV,NDSP,KWS,JYSW,JYSV,ADSO,HDSW"</t>
  </si>
  <si>
    <t>CDOR03,US0003M,EUR006M,EUR003M,BP0006M,FEDL01,SOFRRATE,ESTRON,EONIA,SONIA,SONIO/N,EONIA12M,ESTRON12M,SONIA12M,CAONREPO,MUTKCALM</t>
  </si>
  <si>
    <t>EONIA,ESTRON,NZOCRS,RBACOR</t>
  </si>
  <si>
    <t>US0003M,EUR003M,EUR006M,BP0003M,BP0006M,JY0006M,ADBB3M</t>
  </si>
  <si>
    <r>
      <t>CB CIXBCAD1,BABXDOT1,BACXCTNB,CIEQDUV5,CIFXTODH,CIIRVUT2,CICXSKBE,BACVCT1X,</t>
    </r>
    <r>
      <rPr>
        <b/>
        <sz val="11"/>
        <color theme="1"/>
        <rFont val="Aptos Narrow"/>
        <family val="2"/>
        <scheme val="minor"/>
      </rPr>
      <t>MLCVBB1X,</t>
    </r>
    <r>
      <rPr>
        <sz val="11"/>
        <color theme="1"/>
        <rFont val="Aptos Narrow"/>
        <family val="2"/>
        <scheme val="minor"/>
      </rPr>
      <t>MLFICOTF</t>
    </r>
  </si>
  <si>
    <t>BPSWSA,BPSWSB,BPSWSC,BPSWSD,BPSWSE,BPSWSF,BPSWSG,BPSWSH,BPSWSI,BPSWSJ,BPSWSK,EUSWEA,EUSWEB,EUSWEC,OISEF,CDSOA,CDSOB,CDSOC,CDSOD,CDSOE,CDSOF,CDSOG,CDSOH,CDSOI,CDSOJ,CDSOK,EESWEA,EESWEB,EESWEC,EESWED,EESWEE,EESWEF,EESWEG,EESWEH,EESWEI,EESWEJ,EESWEK,VIX,UX1,UX2,UX3,UX4,UX5,UX6,UX7,V2X,FVS1,FVS2,FVS3,BP0001M,BP0002M,BP0003M,EUR001M,EUR002M,EUR003M,EUSF1A,EUSF2A,EUSF3A,EUSF4A,EUSF5A,EUSF6A,EUSF7A,EUSF8A,EUSF9A,NDSF1A,NDSF2A,NDSF3A,NDSF4A,NDSF5A,NDSF6A,ADSF1A,ADSF2A,ADSF3A,ADSF4A,ADSF5A,ADSF6A,ADSF7A,EUSWEA,EUSWEB,EUSWEC</t>
  </si>
  <si>
    <t>1W</t>
  </si>
  <si>
    <t>EUR/USD</t>
  </si>
  <si>
    <t>aturity</t>
  </si>
  <si>
    <t>Couple</t>
  </si>
  <si>
    <t>Master</t>
  </si>
  <si>
    <t>Begin</t>
  </si>
  <si>
    <t>End</t>
  </si>
  <si>
    <t>EUTA</t>
  </si>
  <si>
    <t>USNY</t>
  </si>
  <si>
    <t>16/10/2013</t>
  </si>
  <si>
    <t>2W</t>
  </si>
  <si>
    <t>23/10/2013</t>
  </si>
  <si>
    <t>3W</t>
  </si>
  <si>
    <t>30/10/2013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</si>
  <si>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</si>
  <si>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</si>
  <si>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</si>
  <si>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</si>
  <si>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</si>
  <si>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</si>
  <si>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</si>
  <si>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</si>
  <si>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</si>
  <si>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</si>
  <si>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</si>
  <si>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</si>
  <si>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18M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</si>
  <si>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</si>
  <si>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</si>
  <si>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</si>
  <si>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</si>
  <si>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</si>
  <si>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</si>
  <si>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</si>
  <si>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</si>
  <si>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</si>
  <si>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ON</t>
  </si>
  <si>
    <t>TN</t>
  </si>
  <si>
    <t>Fxinstant</t>
  </si>
  <si>
    <t>DF(USD, 09/10/2013)</t>
  </si>
  <si>
    <t>DF(EUR, 09/10/2013)</t>
  </si>
  <si>
    <t>DF(USD, 16/10/2013)</t>
  </si>
  <si>
    <t>DF(EUR, 16/10/2013)</t>
  </si>
  <si>
    <t>DF*(EUR/USD, 09/10/2013</t>
  </si>
  <si>
    <t>Ma formule</t>
  </si>
  <si>
    <t>Formule du pdf</t>
  </si>
  <si>
    <t>M</t>
  </si>
  <si>
    <t>m</t>
  </si>
  <si>
    <t>Nblignes</t>
  </si>
  <si>
    <t>CurveMLES_5_9</t>
  </si>
  <si>
    <t>USMLESQ</t>
  </si>
  <si>
    <t>USACTIVESM</t>
  </si>
  <si>
    <t>USACTIVESQ</t>
  </si>
  <si>
    <t>USMLES5</t>
  </si>
  <si>
    <t>USMLES6</t>
  </si>
  <si>
    <t>USMLES-DB.*</t>
  </si>
  <si>
    <t>USMLES-WI</t>
  </si>
  <si>
    <t>USMLES-X</t>
  </si>
  <si>
    <t>USMLESW5</t>
  </si>
  <si>
    <t>(GE|CA|IT|FR|JN|SP|NE|BE|EN)MLES5</t>
  </si>
  <si>
    <t>(GE|CA|IT|FR|JN|SP|NE|BE|EN)MLESW2</t>
  </si>
  <si>
    <t>CurveMLES_2_9</t>
  </si>
  <si>
    <t>USMLESW2</t>
  </si>
  <si>
    <t>CurveMLES_F_L</t>
  </si>
  <si>
    <t>USMLESFL</t>
  </si>
  <si>
    <t>(GE|CA|FR|JN|SP|NE|BE|EN)MLESFL</t>
  </si>
  <si>
    <t>(IT)MLESFL</t>
  </si>
  <si>
    <t>CurveMLES_F_8</t>
  </si>
  <si>
    <t>USMLESF</t>
  </si>
  <si>
    <t>(GE|CA|IT|FR|JN|SP|NE|BE|EN)MLESF</t>
  </si>
  <si>
    <t>CurveMLES_F_9</t>
  </si>
  <si>
    <t>USMLESF9</t>
  </si>
  <si>
    <t>(GE|CA|FR|JN|SP|NE|BE|EN)MLESF9</t>
  </si>
  <si>
    <t>(EU)MLESF9</t>
  </si>
  <si>
    <t>(IT)MLESF9</t>
  </si>
  <si>
    <t>CurveMLES_2_15</t>
  </si>
  <si>
    <t>CurveMLES_2_12</t>
  </si>
  <si>
    <t>CurveMLES_4_15</t>
  </si>
  <si>
    <t>CurveMLES_4_15_FL</t>
  </si>
  <si>
    <t>CurveNSL</t>
  </si>
  <si>
    <t>CurveZS</t>
  </si>
  <si>
    <t>CurveFitterNSL</t>
  </si>
  <si>
    <t>USZS</t>
  </si>
  <si>
    <t>(EN|GE|CA|IT|FR|JN)ZS</t>
  </si>
  <si>
    <t>CurveFitterZS</t>
  </si>
  <si>
    <t>StubTerms=1d, Alpha=0.05, Degree=9, WeightAtt=1.0/Math.Pow($this.DV01,2.0)</t>
  </si>
  <si>
    <t>StubTerms=1d, Alpha=0.05, Degree=8, WeightAtt=1.0/Math.Pow($this.DV01,2.0)</t>
  </si>
  <si>
    <t>StubTerms=1d, Alpha=0.02, Degree=9, WeightAtt=1.0/Math.Pow($this.DV01,2.0)</t>
  </si>
  <si>
    <t>StubTerms=1d,Alpha=0.05,  Degree=9,TargetTerm=60,AlphaFromLast=true, WeightAtt=1.0/Math.Pow($this.DV01,2.0)</t>
  </si>
  <si>
    <t>Alpha=0.02, Degree=15, WeightAtt=1.0/Math.Pow($this.DV01,2.0)</t>
  </si>
  <si>
    <t>Alpha=0.02, Degree=12, WeightAtt=1.0/Math.Pow($this.DV01,2.0)</t>
  </si>
  <si>
    <t>Alpha=0.04, Degree=15, WeightAtt=1.0/Math.Pow($this.DV01,2.0)</t>
  </si>
  <si>
    <t>Alpha=0.04, Degree=15, TargetTerm=60, WeightAtt=1.0/Math.Pow($this.DV01,2.0)</t>
  </si>
  <si>
    <t>CurveOISSwap</t>
  </si>
  <si>
    <t>Alpha=0.03, Degree=15, TargetTerm=60, WeightAtt=1.0/Math.Pow($this.DV01,2.0)</t>
  </si>
  <si>
    <t>QW.Security.Curve.CurveLoaderModel</t>
  </si>
  <si>
    <t>QW.Security.Curve.CurveLoaderActives</t>
  </si>
  <si>
    <t>QW.Security.Curve.CurveLoaderDB</t>
  </si>
  <si>
    <t>newCurve</t>
  </si>
  <si>
    <t>GC.GBP</t>
  </si>
  <si>
    <t>OLD.GC.EUR</t>
  </si>
  <si>
    <t>OLD.GC.EN</t>
  </si>
  <si>
    <t>GC.EN</t>
  </si>
  <si>
    <t>GC.CA</t>
  </si>
  <si>
    <t>(^GC.GE|^GC.FR|^GC.IT|^GC.BE|^GC.IR|^GC.EUR)</t>
  </si>
  <si>
    <t>SOFR</t>
  </si>
  <si>
    <t>SOFR23</t>
  </si>
  <si>
    <t>SFR3M</t>
  </si>
  <si>
    <t>GC.US</t>
  </si>
  <si>
    <t>VIX</t>
  </si>
  <si>
    <t>V2X</t>
  </si>
  <si>
    <t>CurveSmooth</t>
  </si>
  <si>
    <t>NORMVIX</t>
  </si>
  <si>
    <t>NORMV2X</t>
  </si>
  <si>
    <t>BPLIBORFUT</t>
  </si>
  <si>
    <t>BPLIBORFUTTA</t>
  </si>
  <si>
    <t>SONIAFUT</t>
  </si>
  <si>
    <t>EURIBORFUT</t>
  </si>
  <si>
    <t>EURIBORFUTTA</t>
  </si>
  <si>
    <t>EONIADATES</t>
  </si>
  <si>
    <t>NZOCRSDATES</t>
  </si>
  <si>
    <t>RBACORDATES</t>
  </si>
  <si>
    <t>EONIAFUT</t>
  </si>
  <si>
    <t>ESTRONFUT</t>
  </si>
  <si>
    <t>LIBORFUT</t>
  </si>
  <si>
    <t>CORFUT</t>
  </si>
  <si>
    <t>BAFUT</t>
  </si>
  <si>
    <t>DMFUT</t>
  </si>
  <si>
    <t>LIBORFUTTA</t>
  </si>
  <si>
    <t>OISFUT</t>
  </si>
  <si>
    <t>BPLIBORSWAP</t>
  </si>
  <si>
    <t>BPLIBORSWAP3M</t>
  </si>
  <si>
    <t>EURIBORSWAPOLD</t>
  </si>
  <si>
    <t>EURIBORSWAP</t>
  </si>
  <si>
    <t>CurveSmoothEUR</t>
  </si>
  <si>
    <t>CurveSmoothGBP</t>
  </si>
  <si>
    <t>EURIBORSWAPFRA</t>
  </si>
  <si>
    <t>EURIBORSWAPBOOT</t>
  </si>
  <si>
    <t>CurveBootstrap</t>
  </si>
  <si>
    <t>EURIBORSWAP3M</t>
  </si>
  <si>
    <t>EURIBORSWAP3MSJB</t>
  </si>
  <si>
    <t>LIBORSWAP</t>
  </si>
  <si>
    <t>SOFRSWAPFUT</t>
  </si>
  <si>
    <t>SOFRSWAP</t>
  </si>
  <si>
    <t>JPYOIS</t>
  </si>
  <si>
    <t>CHFLIBORSWAP</t>
  </si>
  <si>
    <t>JPYLIBORSWAP</t>
  </si>
  <si>
    <t>CHFOISSWAP</t>
  </si>
  <si>
    <t>SEKLIBORSWAP</t>
  </si>
  <si>
    <t>NOKLIBORSWAP</t>
  </si>
  <si>
    <t>USDSWAPSPOT</t>
  </si>
  <si>
    <t>GBPSWAPSPOT</t>
  </si>
  <si>
    <t>EURSWAPSPOT</t>
  </si>
  <si>
    <t>USDSWAPFWD</t>
  </si>
  <si>
    <t>GBPSWAPFWD</t>
  </si>
  <si>
    <t>EURSWAPFWD</t>
  </si>
  <si>
    <t>USSWF</t>
  </si>
  <si>
    <t>USEDSW_U</t>
  </si>
  <si>
    <t>USEDSW</t>
  </si>
  <si>
    <t>CurveCalibratedConvexity</t>
  </si>
  <si>
    <t>USSW1M</t>
  </si>
  <si>
    <t>USEDSW_UFLAT</t>
  </si>
  <si>
    <t>CurveFlatFwd</t>
  </si>
  <si>
    <t>USEDSWFLAT</t>
  </si>
  <si>
    <t>EUSWF</t>
  </si>
  <si>
    <t>EUEDSW_U</t>
  </si>
  <si>
    <t>EUEDSW</t>
  </si>
  <si>
    <t>BPSWF</t>
  </si>
  <si>
    <t>BPEDSW_U</t>
  </si>
  <si>
    <t>BPEDSW</t>
  </si>
  <si>
    <t>NORMED</t>
  </si>
  <si>
    <t>CurveFlatForward</t>
  </si>
  <si>
    <t>QWUSIBOR</t>
  </si>
  <si>
    <t>CurveScenario</t>
  </si>
  <si>
    <t>QWANNUALFWD</t>
  </si>
  <si>
    <t>QWSEMIFWD</t>
  </si>
  <si>
    <t>QWANNUALSPOT</t>
  </si>
  <si>
    <t>QWSEMISPOT</t>
  </si>
  <si>
    <t>QWUSIBORCT</t>
  </si>
  <si>
    <t>QWBPIBOR</t>
  </si>
  <si>
    <t>QWEUIBOR</t>
  </si>
  <si>
    <t>AUDLIBORSWAP</t>
  </si>
  <si>
    <t>CADLIBORSWAP</t>
  </si>
  <si>
    <t>HKDLIBORSWAP</t>
  </si>
  <si>
    <t>KRWSWAP</t>
  </si>
  <si>
    <t>OISSWAP</t>
  </si>
  <si>
    <t>OISSWAPFL</t>
  </si>
  <si>
    <t>CurveSmoothFL</t>
  </si>
  <si>
    <t>OISCADSWAP</t>
  </si>
  <si>
    <t>OISCADSWAPSM</t>
  </si>
  <si>
    <t>EONIASWAP</t>
  </si>
  <si>
    <t>ESTRONSWAP</t>
  </si>
  <si>
    <t>EONIASWAPFL</t>
  </si>
  <si>
    <t>ESTRONSWAPFL</t>
  </si>
  <si>
    <t>SONIASWAP</t>
  </si>
  <si>
    <t>OISNZDSWAP</t>
  </si>
  <si>
    <t>NZDLIBORSWAP</t>
  </si>
  <si>
    <t>OISAUDSWAP</t>
  </si>
  <si>
    <t>LIBORSWAPQUAD</t>
  </si>
  <si>
    <t>LIBOR</t>
  </si>
  <si>
    <t>FEDFUND</t>
  </si>
  <si>
    <t>GCF</t>
  </si>
  <si>
    <t>IFF</t>
  </si>
  <si>
    <t>XMT</t>
  </si>
  <si>
    <t>DEOTR</t>
  </si>
  <si>
    <t>ENOTR</t>
  </si>
  <si>
    <t>ITOTR</t>
  </si>
  <si>
    <t>CAOTR</t>
  </si>
  <si>
    <t>USOTR</t>
  </si>
  <si>
    <t>USCMT</t>
  </si>
  <si>
    <t>USCMTX</t>
  </si>
  <si>
    <t>USCMTX2o</t>
  </si>
  <si>
    <t>USCMTX2</t>
  </si>
  <si>
    <t>USCMTX10</t>
  </si>
  <si>
    <t>DECMT</t>
  </si>
  <si>
    <t>GEBUCKETS</t>
  </si>
  <si>
    <t>FTBUCKETS</t>
  </si>
  <si>
    <t>ENCMT</t>
  </si>
  <si>
    <t>IMM</t>
  </si>
  <si>
    <t>GOFWD</t>
  </si>
  <si>
    <t>GOZCPN</t>
  </si>
  <si>
    <t>CPURNSA</t>
  </si>
  <si>
    <t>OISFFLIBOR</t>
  </si>
  <si>
    <t>CurveBasis</t>
  </si>
  <si>
    <t>QW.Security.Curve.CurveFitByModel</t>
  </si>
  <si>
    <t>CurveMLES_F_9_NG</t>
  </si>
  <si>
    <t>QW.Security.Curve.Curve</t>
  </si>
  <si>
    <t>Alias</t>
  </si>
  <si>
    <t>object id</t>
  </si>
  <si>
    <t>QW.Security.Curve.NSSFast</t>
  </si>
  <si>
    <t>NSSFast</t>
  </si>
  <si>
    <t>NSFast</t>
  </si>
  <si>
    <t>NSLocked</t>
  </si>
  <si>
    <t>ZeroSpline</t>
  </si>
  <si>
    <t>QW.Security.Curve.ZeroSpline</t>
  </si>
  <si>
    <t>QW.Security.Curve.CalibratedConvexityCurve</t>
  </si>
  <si>
    <t>RepoCurve</t>
  </si>
  <si>
    <t>CurveNSS</t>
  </si>
  <si>
    <t>QW.Security.Curve.CurveFitByModelOpt</t>
  </si>
  <si>
    <t>CurveNS</t>
  </si>
  <si>
    <t>QW.Security.Curve.BasisCurve</t>
  </si>
  <si>
    <t>CurveFitterNSSFast</t>
  </si>
  <si>
    <t>CurveFitterNSFast</t>
  </si>
  <si>
    <t>Fitter</t>
  </si>
  <si>
    <t>None</t>
  </si>
  <si>
    <t>CurveFitterBootstrap</t>
  </si>
  <si>
    <t>None car herite de zeroFit</t>
  </si>
  <si>
    <t>None car herite pas de Curve</t>
  </si>
  <si>
    <t>CurveFitter</t>
  </si>
  <si>
    <t>Type</t>
  </si>
  <si>
    <t>LoaderBMS</t>
  </si>
  <si>
    <t>Benchmarks</t>
  </si>
  <si>
    <t>isUsed</t>
  </si>
  <si>
    <t>USNSS</t>
  </si>
  <si>
    <t>(EN|GE|CA|IT|FR|JN|SP|NE|BE)NSS</t>
  </si>
  <si>
    <t>USNS</t>
  </si>
  <si>
    <t>(^9128)|(^GC\.US$)|(^GC\.GE)|(^GC\.EN)|(^GC\.IT)|(^GC\.FR)|(^\.T)|(^BD\.)|(^DE000)|(^EU000)|(^GB00)|(^\.BKO)|(^\.OBL)|(^\.DBR)|(^\.CAN)|^IT0|(^\.UKT)|(^\.BTPS)|^FR0</t>
  </si>
  <si>
    <t>QW.Security.Curve.CurveLoaderRepo</t>
  </si>
  <si>
    <t>IDPattern</t>
  </si>
  <si>
    <t>CurveMLES_Opt_9</t>
  </si>
  <si>
    <t>USMLES</t>
  </si>
  <si>
    <t>(GE|CA|IT|FR|JN|SP|NE|BE|EN)MLES</t>
  </si>
  <si>
    <t>USBUCKETS</t>
  </si>
  <si>
    <t>USACTIVESP</t>
  </si>
  <si>
    <t>USACTIVESOTR</t>
  </si>
  <si>
    <t>(GE|CA|IT|FR|JN|SP|NE|BE|EN)MLESW5</t>
  </si>
  <si>
    <t>(EN|GE|CA|IT|FR|JN|SP|NE|BE)NS</t>
  </si>
  <si>
    <t>QW.Security.Curve.CurveLoaderActiveSubset</t>
  </si>
  <si>
    <t>Type of Curve</t>
  </si>
  <si>
    <t>CurveFitterMLES_Opt_9</t>
  </si>
  <si>
    <t>ICurveFitter</t>
  </si>
  <si>
    <t>Icurve Type</t>
  </si>
  <si>
    <t>ICurveFitter  Type</t>
  </si>
  <si>
    <t>ICurveFitterModel</t>
  </si>
  <si>
    <t>Model</t>
  </si>
  <si>
    <t>Heritag</t>
  </si>
  <si>
    <t>QW.Security.Curve.CurveFitterBootstrap</t>
  </si>
  <si>
    <t>QW.Framework.Spring.AddSuffixFactoryObject</t>
  </si>
  <si>
    <t>QW.Security.Curve.CurveFitterModel</t>
  </si>
  <si>
    <t>QW.Security.Curve.CurveFitterOptimize</t>
  </si>
  <si>
    <t>AddRateDFs, AddFutureDFs, AddSwapDFs</t>
  </si>
  <si>
    <t>AddBondDFs and AddSwapDFs</t>
  </si>
  <si>
    <t>MLESFunc_5_9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</si>
</sst>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00000"/>
    <numFmt numFmtId="166" formatCode="0.0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zzano, Pierre" refreshedDate="46146.625278009262" createdVersion="8" refreshedVersion="8" minRefreshableVersion="3" recordCount="600" xr:uid="{6A83861F-F1C3-404F-8B5C-0C5931072DF4}">
  <cacheSource type="worksheet">
    <worksheetSource ref="B1:C601" sheet="QWSecurity Spring Object"/>
  </cacheSource>
  <cacheFields count="2">
    <cacheField name="Name" numFmtId="0">
      <sharedItems count="600">
        <s v="[&quot;SnapSubMap&quot;]"/>
        <s v="[&quot;MarketServerContractFactory&quot;]"/>
        <s v="[&quot;tblMacInfo&quot;]"/>
        <s v="[&quot;ClosePriceReader&quot;]"/>
        <s v="[&quot;QWPriceServerSubListener&quot;]"/>
        <s v="[&quot;CurveFitterNSL&quot;]"/>
        <s v="[&quot;CubicFlatEnds&quot;]"/>
        <s v="[&quot;SnapPublisherMsg&quot;]"/>
        <s v="[&quot;tblSecMstRequestDev&quot;]"/>
        <s v="[&quot;tblStratList&quot;]"/>
        <s v="[&quot;tblFR&quot;]"/>
        <s v="[&quot;TWPriceReader&quot;]"/>
        <s v="[&quot;CloseSubMap&quot;]"/>
        <s v="[&quot;QWPriceServerPubWriter&quot;]"/>
        <s v="[&quot;Street&quot;]"/>
        <s v="[&quot;CapFloor&quot;]"/>
        <s v="[&quot;HistSubMap&quot;]"/>
        <s v="[&quot;NonDollarWeightCalc&quot;]"/>
        <s v="[&quot;CurrencyFuture&quot;]"/>
        <s v="[&quot;ActualActualISDA&quot;]"/>
        <s v="[&quot;CashFlowGeneratorMock&quot;]"/>
        <s v="[&quot;VixFutureLoader&quot;]"/>
        <s v="[&quot;VolCubeUSDPremiumSkew&quot;]"/>
        <s v="[&quot;tblCloses&quot;]"/>
        <s v="[&quot;FxSpotData&quot;]"/>
        <s v="[&quot;CurveOISSwap&quot;]"/>
        <s v="[&quot;Invalid&quot;]"/>
        <s v="[&quot;ParserTR&quot;]"/>
        <s v="[&quot;LivePublisher&quot;]"/>
        <s v="[&quot;WeightCalc&quot;]"/>
        <s v="[&quot;qwEquityOptFactory&quot;]"/>
        <s v="[&quot;CurrentsRunnerRT&quot;]"/>
        <s v="[&quot;VolCubeEURLogNormalR100&quot;]"/>
        <s v="[&quot;CommodityFutureData&quot;]"/>
        <s v="[&quot;AussieBondFutureFetcherFull&quot;]"/>
        <s v="[&quot;SecCreator&quot;]"/>
        <s v="[&quot;tblBill&quot;]"/>
        <s v="[&quot;tblBondType&quot;]"/>
        <s v="[&quot;VolCubeUSDLogNormalSkew&quot;]"/>
        <s v="[&quot;QWPriceServerHistRequestListener&quot;]"/>
        <s v="[&quot;SwaptionBMData&quot;]"/>
        <s v="[&quot;pnlLoader&quot;]"/>
        <s v="[&quot;SwapIndexPropertyMap&quot;]"/>
        <s v="[&quot;GCMPositions&quot;]"/>
        <s v="[&quot;PubHistorical&quot;]"/>
        <s v="[&quot;Binding&quot;]"/>
        <s v="[&quot;SubPubStatic&quot;]"/>
        <s v="[&quot;AussieBondFutureFetcherMsg&quot;]"/>
        <s v="[&quot;CurveFlatForward&quot;]"/>
        <s v="[&quot;snapLoader&quot;]"/>
        <s v="[&quot;FutureOptionFetcherMsg&quot;]"/>
        <s v="[&quot;ActualActual&quot;]"/>
        <s v="[&quot;TradesQueryPRODold&quot;]"/>
        <s v="[&quot;QWSecuritySettings&quot;]"/>
        <s v="[&quot;NSFast&quot;]"/>
        <s v="[&quot;Endpoint&quot;]"/>
        <s v="[&quot;tblGCMIDMap&quot;]"/>
        <s v="[&quot;curyLoader&quot;]"/>
        <s v="[&quot;CommodityRollingForwardLoader&quot;]"/>
        <s v="[&quot;ECBDates&quot;]"/>
        <s v="[&quot;VolCubeAUDPremium&quot;]"/>
        <s v="[&quot;CalBZ&quot;]"/>
        <s v="[&quot;SubPubHistorical&quot;]"/>
        <s v="[&quot;qwEquityOptLogNormalPut&quot;]"/>
        <s v="[&quot;twHistPublisher&quot;]"/>
        <s v="[&quot;AUDCBDates&quot;]"/>
        <s v="[&quot;QWPriceServerHistResponseWriter&quot;]"/>
        <s v="[&quot;QWDaemonMsgWriter&quot;]"/>
        <s v="[&quot;QW.Framework.UI.Duck.ObjectPropertyEventToDuckCommandBinder#1&quot;]"/>
        <s v="[&quot;BondData&quot;]"/>
        <s v="[&quot;RateStub&quot;]"/>
        <s v="[&quot;tblSecMstRequest&quot;]"/>
        <s v="[&quot;NSSFast&quot;]"/>
        <s v="[&quot;SnapDataProvider&quot;]"/>
        <s v="[&quot;CalSW&quot;]"/>
        <s v="[&quot;YCMap&quot;]"/>
        <s v="[&quot;CalEN&quot;]"/>
        <s v="[&quot;BillFetcherMsg&quot;]"/>
        <s v="[&quot;CurveFitterMLES_Opt_9&quot;]"/>
        <s v="[&quot;dbQWAdmin&quot;]"/>
        <s v="[&quot;Spring.Objects.Factory.Config.VariablePlaceholderConfigurer#0&quot;]"/>
        <s v="[&quot;CurrencyFutureLoader&quot;]"/>
        <s v="[&quot;VolCubeEURLogNormalP50&quot;]"/>
        <s v="[&quot;CalSZ&quot;]"/>
        <s v="[&quot;SwaptionPricerLogNormal&quot;]"/>
        <s v="[&quot;MachineLocation&quot;]"/>
        <s v="[&quot;qwOptNormalCall&quot;]"/>
        <s v="[&quot;CalSA&quot;]"/>
        <s v="[&quot;CalAsia&quot;]"/>
        <s v="[&quot;tblClosesBondDL&quot;]"/>
        <s v="[&quot;BondFutureFetcher&quot;]"/>
        <s v="[&quot;HistAttBinder&quot;]"/>
        <s v="[&quot;repoHistLoader&quot;]"/>
        <s v="[&quot;VolCubeUSDNormal&quot;]"/>
        <s v="[&quot;yahooLoader&quot;]"/>
        <s v="[&quot;CalSK&quot;]"/>
        <s v="[&quot;dbQWFeedBloombergDev&quot;]"/>
        <s v="[&quot;tblGCMRTP&quot;]"/>
        <s v="[&quot;CalEmerging2&quot;]"/>
        <s v="[&quot;TWHistPublisherBlm&quot;]"/>
        <s v="[&quot;impLoader&quot;]"/>
        <s v="[&quot;BondFutureLoader&quot;]"/>
        <s v="[&quot;CurveNSS&quot;]"/>
        <s v="[&quot;BondFutureData&quot;]"/>
        <s v="[&quot;CurveLoadersWrapper&quot;]"/>
        <s v="[&quot;RateFuture&quot;]"/>
        <s v="[&quot;tblBondReturns&quot;]"/>
        <s v="[&quot;curaLoader&quot;]"/>
        <s v="[&quot;expLoader&quot;]"/>
        <s v="[&quot;AussieBondFutureFetcher&quot;]"/>
        <s v="[&quot;IndexFutureOptionFetcher&quot;]"/>
        <s v="[&quot;CalNameMap&quot;]"/>
        <s v="[&quot;SwapFuture&quot;]"/>
        <s v="[&quot;CalEurope&quot;]"/>
        <s v="[&quot;PosNames&quot;]"/>
        <s v="[&quot;OptionData&quot;]"/>
        <s v="[&quot;QWPriceServerPubListener&quot;]"/>
        <s v="[&quot;BillFetcherFull&quot;]"/>
        <s v="[&quot;CalDeveloped3&quot;]"/>
        <s v="[&quot;amaLoader&quot;]"/>
        <s v="[&quot;CommodityRollingForwardData&quot;]"/>
        <s v="[&quot;FRAData&quot;]"/>
        <s v="[&quot;tblActivesM&quot;]"/>
        <s v="[&quot;SwaptionPricerNormalQW&quot;]"/>
        <s v="[&quot;CalKR&quot;]"/>
        <s v="[&quot;VolCubeUSDLogNormalR200&quot;]"/>
        <s v="[&quot;VolCubeEURLogNormalSkew&quot;]"/>
        <s v="[&quot;DBToSystemTypeMap&quot;]"/>
        <s v="[&quot;Mesh&quot;]"/>
        <s v="[&quot;dbQWFeedSecMstReq&quot;]"/>
        <s v="[&quot;CurveBasis&quot;]"/>
        <s v="[&quot;EquityOptionLoader&quot;]"/>
        <s v="[&quot;nfiLoader&quot;]"/>
        <s v="[&quot;IndexLoader&quot;]"/>
        <s v="[&quot;LivePublisherBlm&quot;]"/>
        <s v="[&quot;CurveMLES_2_15&quot;]"/>
        <s v="[&quot;dbEnfusion&quot;]"/>
        <s v="[&quot;VolCubeEURLogNormalR200&quot;]"/>
        <s v="[&quot;OTRFuture&quot;]"/>
        <s v="[&quot;IndexFutureLoader&quot;]"/>
        <s v="[&quot;FutureOptionFetcher&quot;]"/>
        <s v="[&quot;CalAU&quot;]"/>
        <s v="[&quot;SwaptionPricerNormal&quot;]"/>
        <s v="[&quot;CFCalculatorGeneric&quot;]"/>
        <s v="[&quot;FutureOptionTranslator&quot;]"/>
        <s v="[&quot;tblCurves&quot;]"/>
        <s v="[&quot;QWPriceServerHistRequestWriter&quot;]"/>
        <s v="[&quot;Actual365&quot;]"/>
        <s v="[&quot;varLoader&quot;]"/>
        <s v="[&quot;qwOptFactory&quot;]"/>
        <s v="[&quot;BondFuture&quot;]"/>
        <s v="[&quot;Actual360&quot;]"/>
        <s v="[&quot;CurveMLES_2_9&quot;]"/>
        <s v="[&quot;CurveMLES_F_8&quot;]"/>
        <s v="[&quot;DuckSwitch&quot;]"/>
        <s v="[&quot;RepoCurve&quot;]"/>
        <s v="[&quot;BondFutureFetcherMsg&quot;]"/>
        <s v="[&quot;TradesQueryPROD&quot;]"/>
        <s v="[&quot;SecMstInserter&quot;]"/>
        <s v="[&quot;RateFF&quot;]"/>
        <s v="[&quot;tblTrades&quot;]"/>
        <s v="[&quot;IndexFutureOptionTranslator&quot;]"/>
        <s v="[&quot;SwapFutureProcessor&quot;]"/>
        <s v="[&quot;tblTradesDev&quot;]"/>
        <s v="[&quot;SwaptionBMLoader&quot;]"/>
        <s v="[&quot;OTRFutureFetcher&quot;]"/>
        <s v="[&quot;Equity&quot;]"/>
        <s v="[&quot;CurveLoaders&quot;]"/>
        <s v="[&quot;CalAMEU&quot;]"/>
        <s v="[&quot;tblGCMDice&quot;]"/>
        <s v="[&quot;tblReopen&quot;]"/>
        <s v="[&quot;TradeDate&quot;]"/>
        <s v="[&quot;CalCA&quot;]"/>
        <s v="[&quot;tblBlmFills&quot;]"/>
        <s v="[&quot;SnapAttBinder&quot;]"/>
        <s v="[&quot;EquityLoader&quot;]"/>
        <s v="[&quot;AlphaIndex&quot;]"/>
        <s v="[&quot;SwapFutureData&quot;]"/>
        <s v="[&quot;SwaptionPricerLogNormalQW&quot;]"/>
        <s v="[&quot;CalDevelopedR&quot;]"/>
        <s v="[&quot;DummyDBLoader&quot;]"/>
        <s v="[&quot;PositionProviderQW&quot;]"/>
        <s v="[&quot;mqConnection&quot;]"/>
        <s v="[&quot;FutData&quot;]"/>
        <s v="[&quot;CalGBPUSD&quot;]"/>
        <s v="[&quot;VolCubeUSDLogNormalP100&quot;]"/>
        <s v="[&quot;dbQWTrading&quot;]"/>
        <s v="[&quot;SwapFutureFetcher&quot;]"/>
        <s v="[&quot;QWUserDefaultSettings&quot;]"/>
        <s v="[&quot;Continuous&quot;]"/>
        <s v="[&quot;DuckGetValueLogger&quot;]"/>
        <s v="[&quot;PositionProviderNA&quot;]"/>
        <s v="[&quot;CalCATsx&quot;]"/>
        <s v="[&quot;tblIntradayActives&quot;]"/>
        <s v="[&quot;InvalidData&quot;]"/>
        <s v="[&quot;Rate&quot;]"/>
        <s v="[&quot;VolCubeUSDLogNormalR100&quot;]"/>
        <s v="[&quot;CommodityFutureLoader&quot;]"/>
        <s v="[&quot;CalNZ&quot;]"/>
        <s v="[&quot;VolCubeUSDLogNormalP25&quot;]"/>
        <s v="[&quot;curbrLoader&quot;]"/>
        <s v="[&quot;SubPubBarDataSync&quot;]"/>
        <s v="[&quot;TrayIcon&quot;]"/>
        <s v="[&quot;QWServer&quot;]"/>
        <s v="[&quot;nfaLoader&quot;]"/>
        <s v="[&quot;BondFetcherMsg&quot;]"/>
        <s v="[&quot;PosBuilder&quot;]"/>
        <s v="[&quot;SwaptionBM&quot;]"/>
        <s v="[&quot;BondFutureOptionLoader&quot;]"/>
        <s v="[&quot;VStoxxFuture&quot;]"/>
        <s v="[&quot;WhiteList&quot;]"/>
        <s v="[&quot;tblActives&quot;]"/>
        <s v="[&quot;VolCubeGBPPremium&quot;]"/>
        <s v="[&quot;MessageNames&quot;]"/>
        <s v="[&quot;BillData&quot;]"/>
        <s v="[&quot;InvalidLoader&quot;]"/>
        <s v="[&quot;activesLoader&quot;]"/>
        <s v="[&quot;CurveZS&quot;]"/>
        <s v="[&quot;VolCubeEURLogNormalP100&quot;]"/>
        <s v="[&quot;CapFloorTradeFetcher&quot;]"/>
        <s v="[&quot;CFCalculatorUS&quot;]"/>
        <s v="[&quot;CalJN&quot;]"/>
        <s v="[&quot;CalMX&quot;]"/>
        <s v="[&quot;CalAmericas&quot;]"/>
        <s v="[&quot;SwaptionTradeLoader&quot;]"/>
        <s v="[&quot;MLESFunc_5_9&quot;]"/>
        <s v="[&quot;QW.Framework.UI.Duck.ObjectPropertyEventToDuckCommandBinder#0&quot;]"/>
        <s v="[&quot;CurveCalibratedConvexity&quot;]"/>
        <s v="[&quot;CalUSNyse&quot;]"/>
        <s v="[&quot;bcLoader&quot;]"/>
        <s v="[&quot;FxSpotLoaderOld&quot;]"/>
        <s v="[&quot;Bill&quot;]"/>
        <s v="[&quot;FRAFetcher&quot;]"/>
        <s v="[&quot;ContextIDTranslator&quot;]"/>
        <s v="[&quot;MarketServerProxy&quot;]"/>
        <s v="[&quot;InterpDict&quot;]"/>
        <s v="[&quot;MixedClosePublisherBlm&quot;]"/>
        <s v="[&quot;UriPipe&quot;]"/>
        <s v="[&quot;tblBond&quot;]"/>
        <s v="[&quot;CurveFitter&quot;]"/>
        <s v="[&quot;VolCubeEURNormal&quot;]"/>
        <s v="[&quot;AussieBondFutureLoader&quot;]"/>
        <s v="[&quot;ParserObj&quot;]"/>
        <s v="[&quot;qwOptLogNormalPut&quot;]"/>
        <s v="[&quot;IndexFutureOptionLoader&quot;]"/>
        <s v="[&quot;RateProvider&quot;]"/>
        <s v="[&quot;Aussie90BankBillFuture&quot;]"/>
        <s v="[&quot;VolCubeUSDPremium&quot;]"/>
        <s v="[&quot;CalGE2&quot;]"/>
        <s v="[&quot;CalWeekday&quot;]"/>
        <s v="[&quot;QWAdminSubmitListener&quot;]"/>
        <s v="[&quot;EnfusionSwapTradeFetcher&quot;]"/>
        <s v="[&quot;FRALoader&quot;]"/>
        <s v="[&quot;IndexFutureData&quot;]"/>
        <s v="[&quot;tblRepoExtract&quot;]"/>
        <s v="[&quot;VolCubeAUDLogNormal&quot;]"/>
        <s v="[&quot;VolCubeUSDLogNormalR50&quot;]"/>
        <s v="[&quot;HistPublisherBlm&quot;]"/>
        <s v="[&quot;PublisherMsg&quot;]"/>
        <s v="[&quot;VolCubeUSDLogNormalP50&quot;]"/>
        <s v="[&quot;HistoryProvider&quot;]"/>
        <s v="[&quot;PubDict&quot;]"/>
        <s v="[&quot;SnapPublisherBlm&quot;]"/>
        <s v="[&quot;BundesbankDataProvider&quot;]"/>
        <s v="[&quot;CubicFlatEnds2&quot;]"/>
        <s v="[&quot;FarHistSubMap&quot;]"/>
        <s v="[&quot;VolCubeGBPLogNormal&quot;]"/>
        <s v="[&quot;CapFloorLoader&quot;]"/>
        <s v="[&quot;tblNewTTFills&quot;]"/>
        <s v="[&quot;PubBarData&quot;]"/>
        <s v="[&quot;tblIntraday&quot;]"/>
        <s v="[&quot;dbExt&quot;]"/>
        <s v="[&quot;Thirty360&quot;]"/>
        <s v="[&quot;tblBondFutureDeliverables&quot;]"/>
        <s v="[&quot;DummyLoader&quot;]"/>
        <s v="[&quot;RepoCurveLoadertrue&quot;]"/>
        <s v="[&quot;CalDeveloped2&quot;]"/>
        <s v="[&quot;CubicLinearEnds&quot;]"/>
        <s v="[&quot;Renderer&quot;]"/>
        <s v="[&quot;CurveFitterQW&quot;]"/>
        <s v="[&quot;DummyDB&quot;]"/>
        <s v="[&quot;tblTTFills&quot;]"/>
        <s v="[&quot;UriTcp&quot;]"/>
        <s v="[&quot;Snap10PublisherMsg&quot;]"/>
        <s v="[&quot;MarketCoordinator&quot;]"/>
        <s v="[&quot;NL365&quot;]"/>
        <s v="[&quot;VixFutureData&quot;]"/>
        <s v="[&quot;QWPositions&quot;]"/>
        <s v="[&quot;CFCalculator&quot;]"/>
        <s v="[&quot;dbQWFeedBloomberg&quot;]"/>
        <s v="[&quot;CashFlowGenerator&quot;]"/>
        <s v="[&quot;CalIT&quot;]"/>
        <s v="[&quot;FxSpotLoader&quot;]"/>
        <s v="[&quot;CalAll&quot;]"/>
        <s v="[&quot;DataProvider&quot;]"/>
        <s v="[&quot;NSSFunc&quot;]"/>
        <s v="[&quot;NSLocked&quot;]"/>
        <s v="[&quot;EnfusionSwaptionTradeFetcher&quot;]"/>
        <s v="[&quot;NZDCBDateData&quot;]"/>
        <s v="[&quot;tblRepoHist&quot;]"/>
        <s v="[&quot;BindingTcp&quot;]"/>
        <s v="[&quot;VolCubeKRWPremium&quot;]"/>
        <s v="[&quot;BondPricer&quot;]"/>
        <s v="[&quot;PublisherProvider&quot;]"/>
        <s v="[&quot;CurveFitterNSSFast&quot;]"/>
        <s v="[&quot;CountryToCurrencyMap&quot;]"/>
        <s v="[&quot;CalIN&quot;]"/>
        <s v="[&quot;TradesQueryDEVold&quot;]"/>
        <s v="[&quot;SwaptionTrade&quot;]"/>
        <s v="[&quot;DaemonIcon&quot;]"/>
        <s v="[&quot;RepoLoader&quot;]"/>
        <s v="[&quot;CurveFitterZS&quot;]"/>
        <s v="[&quot;EnfusionSwaptionTradeUnderlyingLoader&quot;]"/>
        <s v="[&quot;dbQWFeedSecMstReqDev&quot;]"/>
        <s v="[&quot;EnfusionSwaptionSecurityUnderlyingLoader&quot;]"/>
        <s v="[&quot;LivePublisherMsg&quot;]"/>
        <s v="[&quot;TWHistPublisherMsg&quot;]"/>
        <s v="[&quot;SwapTradeFetcher&quot;]"/>
        <s v="[&quot;VolCubeKRWLogNormal&quot;]"/>
        <s v="[&quot;tblAspects&quot;]"/>
        <s v="[&quot;closeHistPublisher&quot;]"/>
        <s v="[&quot;CashFlowGeneratorQW&quot;]"/>
        <s v="[&quot;VStoxxFutureLoader&quot;]"/>
        <s v="[&quot;curvesLoader&quot;]"/>
        <s v="[&quot;riskLoader&quot;]"/>
        <s v="[&quot;SwapPropertyMap&quot;]"/>
        <s v="[&quot;closesLoader&quot;]"/>
        <s v="[&quot;BondPricerQW&quot;]"/>
        <s v="[&quot;LiveAttBinder2&quot;]"/>
        <s v="[&quot;BlmSectors&quot;]"/>
        <s v="[&quot;FRA&quot;]"/>
        <s v="[&quot;AUDCBDateRate&quot;]"/>
        <s v="[&quot;VStoxxFutureData&quot;]"/>
        <s v="[&quot;QWUserSettings&quot;]"/>
        <s v="[&quot;ZeroSpline&quot;]"/>
        <s v="[&quot;ClosePublisher&quot;]"/>
        <s v="[&quot;CalEurope2&quot;]"/>
        <s v="[&quot;tblNormFut&quot;]"/>
        <s v="[&quot;ZeroFitWeight&quot;]"/>
        <s v="[&quot;CalNO&quot;]"/>
        <s v="[&quot;FxSpot&quot;]"/>
        <s v="[&quot;AttNames&quot;]"/>
        <s v="[&quot;EquityOption&quot;]"/>
        <s v="[&quot;qwEquityOptLogNormalCall&quot;]"/>
        <s v="[&quot;RateFutureFF1&quot;]"/>
        <s v="[&quot;AlphaIndexData&quot;]"/>
        <s v="[&quot;qwOptNormalPut&quot;]"/>
        <s v="[&quot;CBasisSwapTradeLoader&quot;]"/>
        <s v="[&quot;CurveMLES_5_9&quot;]"/>
        <s v="[&quot;SwapFutureLoader&quot;]"/>
        <s v="[&quot;CloseNames&quot;]"/>
        <s v="[&quot;BlmReal&quot;]"/>
        <s v="[&quot;MarketContext&quot;]"/>
        <s v="[&quot;BillFetcher&quot;]"/>
        <s v="[&quot;tblBlotFills&quot;]"/>
        <s v="[&quot;FutureOption&quot;]"/>
        <s v="[&quot;RateFutureOption&quot;]"/>
        <s v="[&quot;SecLoaderCR&quot;]"/>
        <s v="[&quot;MarketModelProxy&quot;]"/>
        <s v="[&quot;PubRealTime&quot;]"/>
        <s v="[&quot;Blm&quot;]"/>
        <s v="[&quot;ParserTR2&quot;]"/>
        <s v="[&quot;tblBondFuture&quot;]"/>
        <s v="[&quot;SecDBNames&quot;]"/>
        <s v="[&quot;TRSwapTrade&quot;]"/>
        <s v="[&quot;CurveNSL&quot;]"/>
        <s v="[&quot;CalDict&quot;]"/>
        <s v="[&quot;SubPubBarData&quot;]"/>
        <s v="[&quot;Dummy&quot;]"/>
        <s v="[&quot;CalUS&quot;]"/>
        <s v="[&quot;IndexFutureOptionFetcherFull&quot;]"/>
        <s v="[&quot;EnfusionSwaptionTradeLoader&quot;]"/>
        <s v="[&quot;DataImporter&quot;]"/>
        <s v="[&quot;SwaptionTradeData&quot;]"/>
        <s v="[&quot;FxSwapLoader&quot;]"/>
        <s v="[&quot;EquityOptionFetcherFull&quot;]"/>
        <s v="[&quot;VolCubeEURLogNormalP25&quot;]"/>
        <s v="[&quot;BillLoader&quot;]"/>
        <s v="[&quot;RepoData&quot;]"/>
        <s v="[&quot;ECBDateRateLoader&quot;]"/>
        <s v="[&quot;tblEvents&quot;]"/>
        <s v="[&quot;CapFloorData&quot;]"/>
        <s v="[&quot;CommodityRollingForward&quot;]"/>
        <s v="[&quot;Simple&quot;]"/>
        <s v="[&quot;LiveAttBinder&quot;]"/>
        <s v="[&quot;SwapData&quot;]"/>
        <s v="[&quot;tblGCMStrats&quot;]"/>
        <s v="[&quot;tblNewTTFillsDev&quot;]"/>
        <s v="[&quot;IndexFuture&quot;]"/>
        <s v="[&quot;tblNormFutID&quot;]"/>
        <s v="[&quot;Snap10PublisherBlm&quot;]"/>
        <s v="[&quot;HostRaw&quot;]"/>
        <s v="[&quot;tblSecMst&quot;]"/>
        <s v="[&quot;Host&quot;]"/>
        <s v="[&quot;zsampleLoader&quot;]"/>
        <s v="[&quot;RateFFLoader&quot;]"/>
        <s v="[&quot;CalHK&quot;]"/>
        <s v="[&quot;BlmDataProvider&quot;]"/>
        <s v="[&quot;MersenneTwister&quot;]"/>
        <s v="[&quot;VolCubeJPYLogNormal&quot;]"/>
        <s v="[&quot;QWPriceServerSubWriter&quot;]"/>
        <s v="[&quot;RateFutureOptionLoader&quot;]"/>
        <s v="[&quot;QWMarketModelSettings&quot;]"/>
        <s v="[&quot;VolCubeEURLogNormalP200&quot;]"/>
        <s v="[&quot;SwapTrade&quot;]"/>
        <s v="[&quot;VolCubeEURPremium&quot;]"/>
        <s v="[&quot;BillTranslator&quot;]"/>
        <s v="[&quot;CalLME&quot;]"/>
        <s v="[&quot;SwaptionTradeFetcher&quot;]"/>
        <s v="[&quot;brLoader&quot;]"/>
        <s v="[&quot;PubStatic&quot;]"/>
        <s v="[&quot;EquityOptionFetcher&quot;]"/>
        <s v="[&quot;CurveFitterNSFast&quot;]"/>
        <s v="[&quot;ECBDateData&quot;]"/>
        <s v="[&quot;tblModelPositions&quot;]"/>
        <s v="[&quot;BondFetcher&quot;]"/>
        <s v="[&quot;PositionProvider&quot;]"/>
        <s v="[&quot;CubicSpline&quot;]"/>
        <s v="[&quot;DummyData&quot;]"/>
        <s v="[&quot;tblEnfusionFills&quot;]"/>
        <s v="[&quot;BondLoader&quot;]"/>
        <s v="[&quot;SwapTradeLoader&quot;]"/>
        <s v="[&quot;tblCurrents&quot;]"/>
        <s v="[&quot;CalEurope3&quot;]"/>
        <s v="[&quot;Snap10SubMap&quot;]"/>
        <s v="[&quot;AlphaIndexLoader&quot;]"/>
        <s v="[&quot;qwEquityOptNormalCall&quot;]"/>
        <s v="[&quot;HolidayNames&quot;]"/>
        <s v="[&quot;DoubleMesh&quot;]"/>
        <s v="[&quot;dbQWBot&quot;]"/>
        <s v="[&quot;EquityOptionData&quot;]"/>
        <s v="[&quot;StaticDict&quot;]"/>
        <s v="[&quot;BondFutureOption&quot;]"/>
        <s v="[&quot;VolCubeUSDLogNormalR25&quot;]"/>
        <s v="[&quot;CFCalculatorEUR&quot;]"/>
        <s v="[&quot;QWTrades&quot;]"/>
        <s v="[&quot;DebugBehavior&quot;]"/>
        <s v="[&quot;CalDevelopedEmerging2&quot;]"/>
        <s v="[&quot;NZDCBDateRateLoader&quot;]"/>
        <s v="[&quot;PrevDate&quot;]"/>
        <s v="[&quot;SnapPublisher&quot;]"/>
        <s v="[&quot;tblEnfusionFillsDev&quot;]"/>
        <s v="[&quot;RestartMenuItem&quot;]"/>
        <s v="[&quot;CFCalculatorQW&quot;]"/>
        <s v="[&quot;NZDCBDates&quot;]"/>
        <s v="[&quot;TRSwapTradeFetcher&quot;]"/>
        <s v="[&quot;Compounded&quot;]"/>
        <s v="[&quot;CurveNS&quot;]"/>
        <s v="[&quot;QW.Framework.UI.Duck.SubscriberMessageToDuckBinder#0&quot;]"/>
        <s v="[&quot;SubPubHistoricalSync&quot;]"/>
        <s v="[&quot;CurveMLES_2_12&quot;]"/>
        <s v="[&quot;CalTU&quot;]"/>
        <s v="[&quot;blmLoader&quot;]"/>
        <s v="[&quot;ExitMenuItem&quot;]"/>
        <s v="[&quot;CalTR&quot;]"/>
        <s v="[&quot;FutureOptionFetcherFull&quot;]"/>
        <s v="[&quot;BondFutureFetcherFull&quot;]"/>
        <s v="[&quot;AussieBondFuture&quot;]"/>
        <s v="[&quot;ParserPound&quot;]"/>
        <s v="[&quot;FarHistSubMap2&quot;]"/>
        <s v="[&quot;qwEquityOptNormalPut&quot;]"/>
        <s v="[&quot;CurveMLES_4_15&quot;]"/>
        <s v="[&quot;Repo&quot;]"/>
        <s v="[&quot;LiveSourceMap&quot;]"/>
        <s v="[&quot;DayCountDict&quot;]"/>
        <s v="[&quot;HistPublisherMsg&quot;]"/>
        <s v="[&quot;BasisSwapTradeLoader&quot;]"/>
        <s v="[&quot;CurveMLES_F_9&quot;]"/>
        <s v="[&quot;CurrencyFutureData&quot;]"/>
        <s v="[&quot;OTRFutureLoader&quot;]"/>
        <s v="[&quot;AussieBondFutureTranslator&quot;]"/>
        <s v="[&quot;NZDCBDateRate&quot;]"/>
        <s v="[&quot;CanadaAccrued&quot;]"/>
        <s v="[&quot;activesmLoader&quot;]"/>
        <s v="[&quot;SecurityProvider&quot;]"/>
        <s v="[&quot;ThrottleBehavior&quot;]"/>
        <s v="[&quot;EnfusionSwaptionTradeUnderlyingFetcher&quot;]"/>
        <s v="[&quot;Linear&quot;]"/>
        <s v="[&quot;LiveSubMap2&quot;]"/>
        <s v="[&quot;VolCubeEURPremiumSkew&quot;]"/>
        <s v="[&quot;RepoCurveLoader&quot;]"/>
        <s v="[&quot;dbQWTradingDev&quot;]"/>
        <s v="[&quot;AUDCBDateRateLoader&quot;]"/>
        <s v="[&quot;CloseSourceMap&quot;]"/>
        <s v="[&quot;LiveSubMap&quot;]"/>
        <s v="[&quot;VolCubeEURLogNormalR25&quot;]"/>
        <s v="[&quot;FmtrDict&quot;]"/>
        <s v="[&quot;DummyDBData&quot;]"/>
        <s v="[&quot;HistSnap10PublisherBlm&quot;]"/>
        <s v="[&quot;MarketModelFullQW&quot;]"/>
        <s v="[&quot;Index&quot;]"/>
        <s v="[&quot;YahooDataProvider&quot;]"/>
        <s v="[&quot;QWPriceServerHistResponseListener&quot;]"/>
        <s v="[&quot;VixFuture&quot;]"/>
        <s v="[&quot;frLoader&quot;]"/>
        <s v="[&quot;CurveMLES_F_L&quot;]"/>
        <s v="[&quot;Snap10Publisher&quot;]"/>
        <s v="[&quot;RateFutureSOFR&quot;]"/>
        <s v="[&quot;tblCommodityPositions&quot;]"/>
        <s v="[&quot;tblStrategyRisk&quot;]"/>
        <s v="[&quot;VolCubeEURLogNormalR50&quot;]"/>
        <s v="[&quot;FxSwapData&quot;]"/>
        <s v="[&quot;SwapHistExpBuilder&quot;]"/>
        <s v="[&quot;ErrorCodes&quot;]"/>
        <s v="[&quot;CalGE&quot;]"/>
        <s v="[&quot;VolCubeUSDLogNormal&quot;]"/>
        <s v="[&quot;Aussie30BankBillFuture&quot;]"/>
        <s v="[&quot;BlmAliases&quot;]"/>
        <s v="[&quot;RateFutureOptionData&quot;]"/>
        <s v="[&quot;VolCubeUSDLogNormalP200&quot;]"/>
        <s v="[&quot;CurveFitterBootstrap&quot;]"/>
        <s v="[&quot;RepoCurveLoaderfalse&quot;]"/>
        <s v="[&quot;RateFutureLoader&quot;]"/>
        <s v="[&quot;tblRepoCurve&quot;]"/>
        <s v="[&quot;qwOptLogNormalCall&quot;]"/>
        <s v="[&quot;FxSwap&quot;]"/>
        <s v="[&quot;SecMstRequestInserter&quot;]"/>
        <s v="[&quot;TRSwapData&quot;]"/>
        <s v="[&quot;Snap10AttBinder&quot;]"/>
        <s v="[&quot;RepoProvider&quot;]"/>
        <s v="[&quot;rcaLoader&quot;]"/>
        <s v="[&quot;AnnualActAct&quot;]"/>
        <s v="[&quot;EquityOptionTranslator&quot;]"/>
        <s v="[&quot;EuriborFutTurns&quot;]"/>
        <s v="[&quot;RateLoader&quot;]"/>
        <s v="[&quot;CapFloorTradeLoader&quot;]"/>
        <s v="[&quot;CurveFitterMock&quot;]"/>
        <s v="[&quot;FmtrDict2&quot;]"/>
        <s v="[&quot;IndexFutureOption&quot;]"/>
        <s v="[&quot;dbRepoHist&quot;]"/>
        <s v="[&quot;ElementNames&quot;]"/>
        <s v="[&quot;SubPubStaticSyncCR&quot;]"/>
        <s v="[&quot;VolCubeNZDLogNormal&quot;]"/>
        <s v="[&quot;CurveMLES_Opt_9&quot;]"/>
        <s v="[&quot;bundesbankLoader&quot;]"/>
        <s v="[&quot;dbQW&quot;]"/>
        <s v="[&quot;oldSwapHistExpBuilder&quot;]"/>
        <s v="[&quot;TRSwapTradeLoader&quot;]"/>
        <s v="[&quot;ParserDbl&quot;]"/>
        <s v="[&quot;CloseAttBinder&quot;]"/>
        <s v="[&quot;BindingPipe&quot;]"/>
        <s v="[&quot;EnfusionSwapTradeLoader&quot;]"/>
        <s v="[&quot;BondTranslator&quot;]"/>
        <s v="[&quot;RollingPublisherBlm&quot;]"/>
        <s v="[&quot;OTRFutureData&quot;]"/>
        <s v="[&quot;zsliceLoader&quot;]"/>
        <s v="[&quot;SwapBMLoader&quot;]"/>
        <s v="[&quot;dbQWData&quot;]"/>
        <s v="[&quot;SwapFutSecMstProcessor&quot;]"/>
        <s v="[&quot;ParserStr&quot;]"/>
        <s v="[&quot;CFCalculatorMock&quot;]"/>
        <s v="[&quot;DE&quot;]"/>
        <s v="[&quot;SwapBM&quot;]"/>
        <s v="[&quot;CurveBootstrap&quot;]"/>
        <s v="[&quot;BlmMock&quot;]"/>
        <s v="[&quot;nfLoader&quot;]"/>
        <s v="[&quot;QWActiveMQSettings&quot;]"/>
        <s v="[&quot;CurveFactory&quot;]"/>
        <s v="[&quot;EnfusionSwaptionSecurityFetcher&quot;]"/>
        <s v="[&quot;CalDeveloped&quot;]"/>
        <s v="[&quot;CommodityFuture&quot;]"/>
        <s v="[&quot;QWDaemonMsgListener&quot;]"/>
        <s v="[&quot;EnfusionSwapSecurityFetcher&quot;]"/>
        <s v="[&quot;EnfusionSwapSecurityLoader&quot;]"/>
        <s v="[&quot;EnfusionSwaptionSecurityLoader&quot;]"/>
        <s v="[&quot;CalEmerging&quot;]"/>
        <s v="[&quot;BondFetcherFull&quot;]"/>
        <s v="[&quot;BondPricerMock&quot;]"/>
        <s v="[&quot;tblPositions&quot;]"/>
        <s v="[&quot;CalDevelopedEmerging&quot;]"/>
        <s v="[&quot;ClosePublisherMsg&quot;]"/>
        <s v="[&quot;VolCubeEURLogNormal&quot;]"/>
        <s v="[&quot;SecurityFetcherDict&quot;]"/>
        <s v="[&quot;aspectsLoader&quot;]"/>
        <s v="[&quot;Spring.Objects.Factory.Config.TypeAliasConfigurer#0&quot;]"/>
        <s v="[&quot;Spring.Objects.Factory.Config.TypeAliasConfigurer#1&quot;]"/>
        <s v="[&quot;Spring.Objects.Factory.Config.TypeAliasConfigurer#2&quot;]"/>
        <s v="[&quot;Spring.Objects.Factory.Config.TypeAliasConfigurer#3&quot;]"/>
        <s v="[&quot;Spring.Objects.Factory.Config.TypeAliasConfigurer#4&quot;]"/>
        <s v="[&quot;ClosePublisherBlm&quot;]"/>
        <s v="[&quot;EquityOptionFetcherMsg&quot;]"/>
        <s v="[&quot;ECBDateRate&quot;]"/>
        <s v="[&quot;USWeightCalc&quot;]"/>
        <s v="[&quot;tblBlmFillsDev&quot;]"/>
        <s v="[&quot;VolCubeGBPNormal&quot;]"/>
        <s v="[&quot;HistSnapPublisherBlm&quot;]"/>
        <s v="[&quot;CurveMLES_4_15_FL&quot;]"/>
        <s v="[&quot;tblICAPFills&quot;]"/>
        <s v="[&quot;RateStubLoader&quot;]"/>
        <s v="[&quot;FutureOptionLoader&quot;]"/>
        <s v="[&quot;GCMTrades&quot;]"/>
        <s v="[&quot;CalFI&quot;]"/>
        <s v="[&quot;EnfusionSwaptionSecurityUnderlyingFetcher&quot;]"/>
        <s v="[&quot;SwapTermMap&quot;]"/>
        <s v="[&quot;PositionProviderGCM&quot;]"/>
        <s v="[&quot;SubPubRealTime&quot;]"/>
        <s v="[&quot;BondFutureTranslator&quot;]"/>
        <s v="[&quot;tblBondFutureCTD&quot;]"/>
        <s v="[&quot;CapFloorTrade&quot;]"/>
        <s v="[&quot;Bond&quot;]"/>
      </sharedItems>
    </cacheField>
    <cacheField name="Value" numFmtId="0">
      <sharedItems count="224">
        <s v="[QW.Framework.RegexDictionaryGeneric&lt;IDict_str_str&gt;, QWFramework]"/>
        <s v="[QW.MarketModelWCF.MarketServerContractFactory]"/>
        <s v="[QW.Framework.DBTable]"/>
        <s v="[QW.Security.SecurityUpdaterDB]"/>
        <s v="[QW.Framework.ActiveMQ.Subscriber]"/>
        <s v="[QW.Security.Curve.CurveFitterModel]"/>
        <s v="[QW.Analytics.Functions.InterpolatorQLNetCubicFlatEnds]"/>
        <s v="[QW.Security.PublisherMix]"/>
        <s v="[QW.Framework.DBTableTS]"/>
        <s v="[QW.Framework.ActiveMQ.Publisher]"/>
        <s v="[QW.Security.Rate.RateTypeCompounded]"/>
        <s v="[QW.Security.CapFloor.CapFloor]"/>
        <s v="[QW.Security.Curve.WeightCalculatorList]"/>
        <s v="[QW.Security.Dummy.Dummy]"/>
        <s v="[QW.Framework.DayCounterQLNet]"/>
        <s v="[QW.Security.CashFlowGeneratorMock]"/>
        <s v="[QW.Security.Future.Loader]"/>
        <s v="[QW.Security.VolCubeMeta]"/>
        <s v="[QW.Security.FX.Data]"/>
        <s v="[QW.Security.Curve.CurveFitByModel]"/>
        <s v="[QW.Security.Invalid.Invalid]"/>
        <s v="[QW.Framework.Translation.ParserTR]"/>
        <s v="[QW.Framework.Spring.FactoryObjectCheckFile]"/>
        <s v="[QW.Security.Curve.WeightCalculatorCouponMarketness]"/>
        <s v="[QW.Framework.SpringDictionary&lt;IQWOption&gt;, QWFramework]"/>
        <s v="[QW.Framework.Translation.Coordinator]"/>
        <s v="[QW.Security.VolCube]"/>
        <s v="[QW.Security.SecurityData]"/>
        <s v="[QW.Security.SecurityFetcher]"/>
        <s v="[QW.MarketModel.SecCreator]"/>
        <s v="[QW.Security.Swaption.Data]"/>
        <s v="[QW.Data.LoaderDataProv]"/>
        <s v="[QW.Framework.RegexDictionaryGeneric&lt;IDict_str_obj&gt;, QWFramework]"/>
        <s v="[QW.Security.TradeSource]"/>
        <s v="[QW.Blm3x.PublisherCached]"/>
        <s v="[QW.Framework.Spring.AddSuffixFactoryObject]"/>
        <s v="[QW.Blm3x.SubPubSyncStatic]"/>
        <s v="[QW.Security.SecurityFetcherMsg]"/>
        <s v="[QW.Security.Curve.Curve]"/>
        <s v="[System.String]"/>
        <s v="[QW.Framework.SpringVariableSource]"/>
        <s v="[QW.Security.Curve.NSSFast]"/>
        <s v="[System.ServiceModel.EndpointAddress]"/>
        <s v="[QW.Data.Loaders.Joiner]"/>
        <s v="[QW.Security.Dummy.Loader]"/>
        <s v="[Spring.Objects.Factory.Config.PropertyRetrievingFactoryObject]"/>
        <s v="[QW.Framework.CalendarQLNet]"/>
        <s v="[QW.Blm3x.SubPubSyncHistorical]"/>
        <s v="[QW.Analytics.Functions.OptionPut]"/>
        <s v="[QW.Framework.UI.Duck.ObjectPropertyEventToDuckCommandBinder]"/>
        <s v="[QW.Security.Bond.Data]"/>
        <s v="[QW.Security.Rate.RateStub]"/>
        <s v="[QW.Blm3x.SnapProvider]"/>
        <s v="[QW.Security.Curve.CurveFitterOptimize]"/>
        <s v="[QW.Framework.DBConnSql]"/>
        <s v="[Spring.Objects.Factory.Config.VariablePlaceholderConfigurer]"/>
        <s v="[QW.Analytics.Functions.OptionCallNormal]"/>
        <s v="[QW.Framework.Date.CalendarList]"/>
        <s v="[QW.Security.AttBinder]"/>
        <s v="[QW.Security.Publisher]"/>
        <s v="[QW.Security.BondFuture.Loader]"/>
        <s v="[QW.Security.Curve.CurveFitByModelOpt]"/>
        <s v="[QW.Security.BondFuture.Data]"/>
        <s v="[QW.Framework.Placeholder]"/>
        <s v="[QW.Security.RateFuture.RateFuture]"/>
        <s v="[QW.Data.LoaderExp]"/>
        <s v="[QW.Framework.RegexDictionaryGeneric`1[[System.String, mscorlib, Version=4.0.0.0, Culture=neutral, PublicKeyToken=b77a5c561934e089]]]"/>
        <s v="[QW.Security.SwapFuture.SwapFuture]"/>
        <s v="[QW.MarketModel.PosNames]"/>
        <s v="[QW.Security.Option.Data]"/>
        <s v="[QW.Security.FRA.Data]"/>
        <s v="[QW.Security.Swaption.SwaptionPricer]"/>
        <s v="[SwarmOps.Optimizers.MESH]"/>
        <s v="[QW.Security.Curve.BasisCurve]"/>
        <s v="[QW.Security.BondFuture.OTRFuture]"/>
        <s v="[QW.Security.BondFuture.CFCalculator]"/>
        <s v="[QW.Framework.Translation.Translator]"/>
        <s v="[QW.Security.BondFuture.BondFuture]"/>
        <s v="[QW.MarketModel.DuckSwitch]"/>
        <s v="[QW.Framework.Translation.ProcessorDBTable]"/>
        <s v="[QW.Security.Rate.RateFF]"/>
        <s v="[QW.Framework.Translation.ProcessorMeta]"/>
        <s v="[QW.Security.Swaption.Loader]"/>
        <s v="[QW.Security.SwapFuture.Data]"/>
        <s v="[QW.Security.DummyDB.Loader]"/>
        <s v="[QW.Security.PositionProvider]"/>
        <s v="[QW.Framework.ActiveMQ.MockNMSConnection]"/>
        <s v="[QW.Security.RateFuture.Data]"/>
        <s v="[QW.Framework.CalendarJoint]"/>
        <s v="[QW.Security.Rate.RateTypeContinuous]"/>
        <s v="[Spring.Aop.Support.RegularExpressionMethodPointcutAdvisor]"/>
        <s v="[QW.Security.PositionProviderMock]"/>
        <s v="[QW.Security.Rate.Rate]"/>
        <s v="[QW.Blm3x.SubPubSyncBarData]"/>
        <s v="[System.Windows.Forms.NotifyIcon]"/>
        <s v="[QW.Daemon.Server]"/>
        <s v="[QW.MarketModel.PositionTableBuilder]"/>
        <s v="[QW.Security.Swaption.Swaption]"/>
        <s v="[QW.Security.LoaderDB]"/>
        <s v="[QW.Security.VixFuture.VixFuture]"/>
        <s v="[QW.Blm3x.MessageNames]"/>
        <s v="[QW.Security.Bill.Data]"/>
        <s v="[QW.Security.Loader]"/>
        <s v="[QW.Security.BondFuture.CFCalculatorUS]"/>
        <s v="[QW.Security.Curve.MLES]"/>
        <s v="[QW.Security.Curve.CalibratedConvexityCurve]"/>
        <s v="[QW.Security.Bill.Bill]"/>
        <s v="[QW.Framework.IDTranslatorLookup]"/>
        <s v="[QW.MarketModelWCF.MarketServerAdapter]"/>
        <s v="[QW.Framework.SpringDictionary&lt;IInterpolator&gt;, QWFramework]"/>
        <s v="[QW.Security.PublisherRegionClose]"/>
        <s v="[System.Uri]"/>
        <s v="[QW.Framework.Parser`1[[QW.Framework.EvaluatorStr, QWFramework, Version=1.1.6.4, Culture=neutral, PublicKeyToken=null]]]"/>
        <s v="[QW.Security.Rate.RateTypeProvider]"/>
        <s v="[QW.Security.RateFuture.Aussie90BankBillFuture]"/>
        <s v="[QW.Framework.CalendarWeekday]"/>
        <s v="[QW.Security.FRA.Loader]"/>
        <s v="[QW.Security.PublisherMsg]"/>
        <s v="[QW.Data.HistoryProvider]"/>
        <s v="[QW.Framework.SpringDictionary&lt;IMsgPublisher&gt;, QWFramework]"/>
        <s v="[QW.Data.WebDataProvider]"/>
        <s v="[QW.Analytics.Functions.InterpolatorFlatEnds]"/>
        <s v="[QW.Security.Curve.CurveLoaderBms]"/>
        <s v="[QW.Analytics.Functions.InterpolatorLinearEnds]"/>
        <s v="[QW.Widget.RendererMock]"/>
        <s v="[QW.Security.Curve.CurveFitter]"/>
        <s v="[QW.Security.DummyDB.DummyDB]"/>
        <s v="[QW.Security.MarketCoordinator]"/>
        <s v="[QW.Framework.Date.DayCounters.NL365]"/>
        <s v="[QW.Security.VixFuture.Data]"/>
        <s v="[QW.Framework.CalendarAll]"/>
        <s v="[QW.Data.Provider]"/>
        <s v="[QW.Security.Curve.NSSDiscounter]"/>
        <s v="[QW.Security.Rate.Data]"/>
        <s v="[System.ServiceModel.NetTcpBinding]"/>
        <s v="[QW.Security.PublisherProvider]"/>
        <s v="[Spring.Objects.Factory.Config.MethodInvokingFactoryObject]"/>
        <s v="[QW.Security.Repo.Loader]"/>
        <s v="[QW.Security.Swap.LoaderBase]"/>
        <s v="[QW.Security.CashFlowGenerator]"/>
        <s v="[QW.Security.Bond.BondPricer]"/>
        <s v="[QW.Security.FRA.Fra]"/>
        <s v="[QW.Security.Curve.ZeroSpline]"/>
        <s v="[QW.Analytics.Functions.Exponential]"/>
        <s v="[QW.Security.FX.FxSpot]"/>
        <s v="[QW.MarketModel.AttributeNames]"/>
        <s v="[QW.Security.Option.OptionFuture]"/>
        <s v="[QW.Analytics.Functions.OptionCall]"/>
        <s v="[QW.Security.RateFuture.RateFutureFF1]"/>
        <s v="[QW.Analytics.Functions.OptionPutNormal]"/>
        <s v="[QW.Security.SwapFuture.Loader]"/>
        <s v="[QW.Framework.CloseNames]"/>
        <s v="[QW.Blm3x.Blm]"/>
        <s v="[QW.Security.MarketContext]"/>
        <s v="[QW.Security.Option.OptionRateFuture]"/>
        <s v="[QW.Security.ProcessorSecLoad]"/>
        <s v="[QW.MarketModel.MarketModel]"/>
        <s v="[QW.Security.SecDBNames]"/>
        <s v="[QW.Security.TRSwap.TRSwap]"/>
        <s v="[QW.Data.DataImporter]"/>
        <s v="[QW.Security.Bill.Loader]"/>
        <s v="[QW.Security.Repo.Data]"/>
        <s v="[QW.Security.Rate.MeetingDateLoader]"/>
        <s v="[QW.Security.CapFloor.Data]"/>
        <s v="[QW.Security.Rate.RateTypeSimple]"/>
        <s v="[QW.Security.Swap.Data]"/>
        <s v="[QW.Daemon.Host]"/>
        <s v="[Spring.Aop.Framework.ProxyFactoryObject]"/>
        <s v="[QW.Data.Loaders.ZSample]"/>
        <s v="[QW.Security.Rate.Loader]"/>
        <s v="[QW.Blm3x.DataProvider]"/>
        <s v="[RandomOps.MersenneTwister]"/>
        <s v="[QW.Security.Swap.Swap]"/>
        <s v="[QW.Analytics.Functions.InterpolatorQLNetCubic]"/>
        <s v="[QW.Security.Bond.Loader]"/>
        <s v="[QW.Framework.HolidayNames]"/>
        <s v="[QW.Security.Curve.DoubleMesh]"/>
        <s v="[QW.Framework.DBDictionary]"/>
        <s v="[QW.Security.Option.OptionYieldAwareFuture]"/>
        <s v="[System.ServiceModel.Description.ServiceDebugBehavior]"/>
        <s v="[System.Windows.Forms.MenuItem]"/>
        <s v="[QW.Security.BondFuture.CFCalculatorMeta]"/>
        <s v="[QW.Framework.UI.Duck.SubscriberMessageToDuckBinder]"/>
        <s v="[QW.Security.BondFuture.AussieBondFuture]"/>
        <s v="[QW.Framework.ParserStr]"/>
        <s v="[QW.Security.Repo.Repo]"/>
        <s v="[QW.Security.SecurityProvider]"/>
        <s v="[System.ServiceModel.Description.ServiceThrottlingBehavior]"/>
        <s v="[QW.Analytics.Functions.InterpolatorQLNetLinear]"/>
        <s v="[QW.Framework.RegexDictionaryGeneric&lt;IFormatter&gt;, QWFramework]"/>
        <s v="[QW.Security.DummyDB.Data]"/>
        <s v="[QW.Security.MarketModel]"/>
        <s v="[QW.Security.RateFuture.RateFutureSOFR]"/>
        <s v="[QW.Security.FX.DataSwap]"/>
        <s v="[QW.Framework.RegexDictionaryGeneric&lt;IHistExpBuilder&gt;, QWFramework]"/>
        <s v="[QW.Blm3x.ErrorCodes]"/>
        <s v="[QW.Security.RateFuture.Aussie30DayInterbankFuture]"/>
        <s v="[QW.Security.Curve.CurveFitterBootstrap]"/>
        <s v="[QW.Security.Curve.CurveLoaderRepo]"/>
        <s v="[QW.Security.RateFuture.Loader]"/>
        <s v="[QW.Security.FX.FxSwap]"/>
        <s v="[QW.Security.TRSwap.Data]"/>
        <s v="[QW.MarketModel.RepoProvider]"/>
        <s v="[QW.Security.CapFloor.LoaderBase]"/>
        <s v="[QW.Security.Curve.CurveFitterMock]"/>
        <s v="[QW.Blm3x.ElementNames]"/>
        <s v="[QW.Framework.DBConnSqlBatch]"/>
        <s v="[QW.Security.TRSwap.LoaderBase]"/>
        <s v="[QW.Framework.ParserDbl]"/>
        <s v="[System.ServiceModel.NetNamedPipeBinding]"/>
        <s v="[QW.Framework.Translation.TranslatorLookup]"/>
        <s v="[QW.Security.PublisherRolling]"/>
        <s v="[QW.Security.BondFuture.OTRData]"/>
        <s v="[QW.Security.BondFuture.CFCalculatorMock]"/>
        <s v="[SwarmOps.Optimizers.DESuite]"/>
        <s v="[QW.Blm3x.BlmMock]"/>
        <s v="[QW.Framework.SpringDictionary&lt;ICurveBase&gt;, QWFramework]"/>
        <s v="[QW.Security.Bond.BondPricerMock]"/>
        <s v="[QW.Framework.SpringDictionary&lt;ISecurityFetcher&gt;, QWFramework]"/>
        <s v="[Spring.Objects.Factory.Config.TypeAliasConfigurer]"/>
        <s v="[QW.Security.GCMTradeSource]"/>
        <s v="[QW.Framework.RegexDictionaryGeneric&lt;ITermExtractor&gt;, QWFramework]"/>
        <s v="[QW.Blm3x.SubPubRealTime]"/>
        <s v="[QW.Security.Bond.Bond]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2"/>
  </r>
  <r>
    <x v="9"/>
    <x v="2"/>
  </r>
  <r>
    <x v="10"/>
    <x v="8"/>
  </r>
  <r>
    <x v="11"/>
    <x v="3"/>
  </r>
  <r>
    <x v="12"/>
    <x v="0"/>
  </r>
  <r>
    <x v="13"/>
    <x v="9"/>
  </r>
  <r>
    <x v="14"/>
    <x v="10"/>
  </r>
  <r>
    <x v="15"/>
    <x v="11"/>
  </r>
  <r>
    <x v="16"/>
    <x v="0"/>
  </r>
  <r>
    <x v="17"/>
    <x v="12"/>
  </r>
  <r>
    <x v="18"/>
    <x v="13"/>
  </r>
  <r>
    <x v="19"/>
    <x v="14"/>
  </r>
  <r>
    <x v="20"/>
    <x v="15"/>
  </r>
  <r>
    <x v="21"/>
    <x v="16"/>
  </r>
  <r>
    <x v="22"/>
    <x v="17"/>
  </r>
  <r>
    <x v="23"/>
    <x v="8"/>
  </r>
  <r>
    <x v="24"/>
    <x v="18"/>
  </r>
  <r>
    <x v="25"/>
    <x v="19"/>
  </r>
  <r>
    <x v="26"/>
    <x v="20"/>
  </r>
  <r>
    <x v="27"/>
    <x v="21"/>
  </r>
  <r>
    <x v="28"/>
    <x v="22"/>
  </r>
  <r>
    <x v="29"/>
    <x v="23"/>
  </r>
  <r>
    <x v="30"/>
    <x v="24"/>
  </r>
  <r>
    <x v="31"/>
    <x v="25"/>
  </r>
  <r>
    <x v="32"/>
    <x v="26"/>
  </r>
  <r>
    <x v="33"/>
    <x v="27"/>
  </r>
  <r>
    <x v="34"/>
    <x v="28"/>
  </r>
  <r>
    <x v="35"/>
    <x v="29"/>
  </r>
  <r>
    <x v="36"/>
    <x v="2"/>
  </r>
  <r>
    <x v="37"/>
    <x v="2"/>
  </r>
  <r>
    <x v="38"/>
    <x v="17"/>
  </r>
  <r>
    <x v="39"/>
    <x v="4"/>
  </r>
  <r>
    <x v="40"/>
    <x v="30"/>
  </r>
  <r>
    <x v="41"/>
    <x v="31"/>
  </r>
  <r>
    <x v="42"/>
    <x v="32"/>
  </r>
  <r>
    <x v="43"/>
    <x v="33"/>
  </r>
  <r>
    <x v="44"/>
    <x v="34"/>
  </r>
  <r>
    <x v="45"/>
    <x v="35"/>
  </r>
  <r>
    <x v="46"/>
    <x v="36"/>
  </r>
  <r>
    <x v="47"/>
    <x v="37"/>
  </r>
  <r>
    <x v="48"/>
    <x v="38"/>
  </r>
  <r>
    <x v="49"/>
    <x v="31"/>
  </r>
  <r>
    <x v="50"/>
    <x v="37"/>
  </r>
  <r>
    <x v="51"/>
    <x v="14"/>
  </r>
  <r>
    <x v="52"/>
    <x v="39"/>
  </r>
  <r>
    <x v="53"/>
    <x v="40"/>
  </r>
  <r>
    <x v="54"/>
    <x v="41"/>
  </r>
  <r>
    <x v="55"/>
    <x v="42"/>
  </r>
  <r>
    <x v="56"/>
    <x v="2"/>
  </r>
  <r>
    <x v="57"/>
    <x v="43"/>
  </r>
  <r>
    <x v="58"/>
    <x v="44"/>
  </r>
  <r>
    <x v="59"/>
    <x v="45"/>
  </r>
  <r>
    <x v="60"/>
    <x v="26"/>
  </r>
  <r>
    <x v="61"/>
    <x v="46"/>
  </r>
  <r>
    <x v="62"/>
    <x v="47"/>
  </r>
  <r>
    <x v="63"/>
    <x v="48"/>
  </r>
  <r>
    <x v="64"/>
    <x v="22"/>
  </r>
  <r>
    <x v="65"/>
    <x v="45"/>
  </r>
  <r>
    <x v="66"/>
    <x v="9"/>
  </r>
  <r>
    <x v="67"/>
    <x v="9"/>
  </r>
  <r>
    <x v="68"/>
    <x v="49"/>
  </r>
  <r>
    <x v="69"/>
    <x v="50"/>
  </r>
  <r>
    <x v="70"/>
    <x v="51"/>
  </r>
  <r>
    <x v="71"/>
    <x v="2"/>
  </r>
  <r>
    <x v="72"/>
    <x v="41"/>
  </r>
  <r>
    <x v="73"/>
    <x v="52"/>
  </r>
  <r>
    <x v="74"/>
    <x v="46"/>
  </r>
  <r>
    <x v="75"/>
    <x v="45"/>
  </r>
  <r>
    <x v="76"/>
    <x v="46"/>
  </r>
  <r>
    <x v="77"/>
    <x v="37"/>
  </r>
  <r>
    <x v="78"/>
    <x v="53"/>
  </r>
  <r>
    <x v="79"/>
    <x v="54"/>
  </r>
  <r>
    <x v="80"/>
    <x v="55"/>
  </r>
  <r>
    <x v="81"/>
    <x v="44"/>
  </r>
  <r>
    <x v="82"/>
    <x v="26"/>
  </r>
  <r>
    <x v="83"/>
    <x v="46"/>
  </r>
  <r>
    <x v="84"/>
    <x v="35"/>
  </r>
  <r>
    <x v="85"/>
    <x v="35"/>
  </r>
  <r>
    <x v="86"/>
    <x v="56"/>
  </r>
  <r>
    <x v="87"/>
    <x v="46"/>
  </r>
  <r>
    <x v="88"/>
    <x v="57"/>
  </r>
  <r>
    <x v="89"/>
    <x v="8"/>
  </r>
  <r>
    <x v="90"/>
    <x v="22"/>
  </r>
  <r>
    <x v="91"/>
    <x v="58"/>
  </r>
  <r>
    <x v="92"/>
    <x v="31"/>
  </r>
  <r>
    <x v="93"/>
    <x v="26"/>
  </r>
  <r>
    <x v="94"/>
    <x v="31"/>
  </r>
  <r>
    <x v="95"/>
    <x v="46"/>
  </r>
  <r>
    <x v="96"/>
    <x v="54"/>
  </r>
  <r>
    <x v="97"/>
    <x v="2"/>
  </r>
  <r>
    <x v="98"/>
    <x v="57"/>
  </r>
  <r>
    <x v="99"/>
    <x v="59"/>
  </r>
  <r>
    <x v="100"/>
    <x v="31"/>
  </r>
  <r>
    <x v="101"/>
    <x v="60"/>
  </r>
  <r>
    <x v="102"/>
    <x v="61"/>
  </r>
  <r>
    <x v="103"/>
    <x v="62"/>
  </r>
  <r>
    <x v="104"/>
    <x v="63"/>
  </r>
  <r>
    <x v="105"/>
    <x v="64"/>
  </r>
  <r>
    <x v="106"/>
    <x v="8"/>
  </r>
  <r>
    <x v="107"/>
    <x v="43"/>
  </r>
  <r>
    <x v="108"/>
    <x v="65"/>
  </r>
  <r>
    <x v="109"/>
    <x v="22"/>
  </r>
  <r>
    <x v="110"/>
    <x v="22"/>
  </r>
  <r>
    <x v="111"/>
    <x v="66"/>
  </r>
  <r>
    <x v="112"/>
    <x v="67"/>
  </r>
  <r>
    <x v="113"/>
    <x v="57"/>
  </r>
  <r>
    <x v="114"/>
    <x v="68"/>
  </r>
  <r>
    <x v="115"/>
    <x v="69"/>
  </r>
  <r>
    <x v="116"/>
    <x v="4"/>
  </r>
  <r>
    <x v="117"/>
    <x v="28"/>
  </r>
  <r>
    <x v="118"/>
    <x v="57"/>
  </r>
  <r>
    <x v="119"/>
    <x v="43"/>
  </r>
  <r>
    <x v="120"/>
    <x v="27"/>
  </r>
  <r>
    <x v="121"/>
    <x v="70"/>
  </r>
  <r>
    <x v="122"/>
    <x v="8"/>
  </r>
  <r>
    <x v="123"/>
    <x v="71"/>
  </r>
  <r>
    <x v="124"/>
    <x v="46"/>
  </r>
  <r>
    <x v="125"/>
    <x v="26"/>
  </r>
  <r>
    <x v="126"/>
    <x v="17"/>
  </r>
  <r>
    <x v="127"/>
    <x v="45"/>
  </r>
  <r>
    <x v="128"/>
    <x v="72"/>
  </r>
  <r>
    <x v="129"/>
    <x v="54"/>
  </r>
  <r>
    <x v="130"/>
    <x v="73"/>
  </r>
  <r>
    <x v="131"/>
    <x v="44"/>
  </r>
  <r>
    <x v="132"/>
    <x v="31"/>
  </r>
  <r>
    <x v="133"/>
    <x v="44"/>
  </r>
  <r>
    <x v="134"/>
    <x v="59"/>
  </r>
  <r>
    <x v="135"/>
    <x v="19"/>
  </r>
  <r>
    <x v="136"/>
    <x v="54"/>
  </r>
  <r>
    <x v="137"/>
    <x v="26"/>
  </r>
  <r>
    <x v="138"/>
    <x v="74"/>
  </r>
  <r>
    <x v="139"/>
    <x v="44"/>
  </r>
  <r>
    <x v="140"/>
    <x v="22"/>
  </r>
  <r>
    <x v="141"/>
    <x v="46"/>
  </r>
  <r>
    <x v="142"/>
    <x v="35"/>
  </r>
  <r>
    <x v="143"/>
    <x v="75"/>
  </r>
  <r>
    <x v="144"/>
    <x v="76"/>
  </r>
  <r>
    <x v="145"/>
    <x v="8"/>
  </r>
  <r>
    <x v="146"/>
    <x v="9"/>
  </r>
  <r>
    <x v="147"/>
    <x v="14"/>
  </r>
  <r>
    <x v="148"/>
    <x v="31"/>
  </r>
  <r>
    <x v="149"/>
    <x v="24"/>
  </r>
  <r>
    <x v="150"/>
    <x v="77"/>
  </r>
  <r>
    <x v="151"/>
    <x v="14"/>
  </r>
  <r>
    <x v="152"/>
    <x v="19"/>
  </r>
  <r>
    <x v="153"/>
    <x v="19"/>
  </r>
  <r>
    <x v="154"/>
    <x v="78"/>
  </r>
  <r>
    <x v="155"/>
    <x v="38"/>
  </r>
  <r>
    <x v="156"/>
    <x v="37"/>
  </r>
  <r>
    <x v="157"/>
    <x v="39"/>
  </r>
  <r>
    <x v="158"/>
    <x v="79"/>
  </r>
  <r>
    <x v="159"/>
    <x v="80"/>
  </r>
  <r>
    <x v="160"/>
    <x v="2"/>
  </r>
  <r>
    <x v="161"/>
    <x v="76"/>
  </r>
  <r>
    <x v="162"/>
    <x v="81"/>
  </r>
  <r>
    <x v="163"/>
    <x v="2"/>
  </r>
  <r>
    <x v="164"/>
    <x v="82"/>
  </r>
  <r>
    <x v="165"/>
    <x v="28"/>
  </r>
  <r>
    <x v="166"/>
    <x v="13"/>
  </r>
  <r>
    <x v="167"/>
    <x v="45"/>
  </r>
  <r>
    <x v="168"/>
    <x v="57"/>
  </r>
  <r>
    <x v="169"/>
    <x v="2"/>
  </r>
  <r>
    <x v="170"/>
    <x v="2"/>
  </r>
  <r>
    <x v="171"/>
    <x v="45"/>
  </r>
  <r>
    <x v="172"/>
    <x v="46"/>
  </r>
  <r>
    <x v="173"/>
    <x v="2"/>
  </r>
  <r>
    <x v="174"/>
    <x v="58"/>
  </r>
  <r>
    <x v="175"/>
    <x v="44"/>
  </r>
  <r>
    <x v="176"/>
    <x v="13"/>
  </r>
  <r>
    <x v="177"/>
    <x v="83"/>
  </r>
  <r>
    <x v="178"/>
    <x v="71"/>
  </r>
  <r>
    <x v="179"/>
    <x v="57"/>
  </r>
  <r>
    <x v="180"/>
    <x v="84"/>
  </r>
  <r>
    <x v="181"/>
    <x v="85"/>
  </r>
  <r>
    <x v="182"/>
    <x v="86"/>
  </r>
  <r>
    <x v="183"/>
    <x v="87"/>
  </r>
  <r>
    <x v="184"/>
    <x v="88"/>
  </r>
  <r>
    <x v="185"/>
    <x v="26"/>
  </r>
  <r>
    <x v="186"/>
    <x v="54"/>
  </r>
  <r>
    <x v="187"/>
    <x v="28"/>
  </r>
  <r>
    <x v="188"/>
    <x v="40"/>
  </r>
  <r>
    <x v="189"/>
    <x v="89"/>
  </r>
  <r>
    <x v="190"/>
    <x v="90"/>
  </r>
  <r>
    <x v="191"/>
    <x v="91"/>
  </r>
  <r>
    <x v="192"/>
    <x v="46"/>
  </r>
  <r>
    <x v="193"/>
    <x v="8"/>
  </r>
  <r>
    <x v="194"/>
    <x v="27"/>
  </r>
  <r>
    <x v="195"/>
    <x v="92"/>
  </r>
  <r>
    <x v="196"/>
    <x v="26"/>
  </r>
  <r>
    <x v="197"/>
    <x v="44"/>
  </r>
  <r>
    <x v="198"/>
    <x v="46"/>
  </r>
  <r>
    <x v="199"/>
    <x v="26"/>
  </r>
  <r>
    <x v="200"/>
    <x v="43"/>
  </r>
  <r>
    <x v="201"/>
    <x v="93"/>
  </r>
  <r>
    <x v="202"/>
    <x v="94"/>
  </r>
  <r>
    <x v="203"/>
    <x v="95"/>
  </r>
  <r>
    <x v="204"/>
    <x v="31"/>
  </r>
  <r>
    <x v="205"/>
    <x v="37"/>
  </r>
  <r>
    <x v="206"/>
    <x v="96"/>
  </r>
  <r>
    <x v="207"/>
    <x v="97"/>
  </r>
  <r>
    <x v="208"/>
    <x v="98"/>
  </r>
  <r>
    <x v="209"/>
    <x v="99"/>
  </r>
  <r>
    <x v="210"/>
    <x v="45"/>
  </r>
  <r>
    <x v="211"/>
    <x v="8"/>
  </r>
  <r>
    <x v="212"/>
    <x v="26"/>
  </r>
  <r>
    <x v="213"/>
    <x v="100"/>
  </r>
  <r>
    <x v="214"/>
    <x v="101"/>
  </r>
  <r>
    <x v="215"/>
    <x v="102"/>
  </r>
  <r>
    <x v="216"/>
    <x v="31"/>
  </r>
  <r>
    <x v="217"/>
    <x v="19"/>
  </r>
  <r>
    <x v="218"/>
    <x v="26"/>
  </r>
  <r>
    <x v="219"/>
    <x v="28"/>
  </r>
  <r>
    <x v="220"/>
    <x v="103"/>
  </r>
  <r>
    <x v="221"/>
    <x v="46"/>
  </r>
  <r>
    <x v="222"/>
    <x v="46"/>
  </r>
  <r>
    <x v="223"/>
    <x v="57"/>
  </r>
  <r>
    <x v="224"/>
    <x v="98"/>
  </r>
  <r>
    <x v="225"/>
    <x v="104"/>
  </r>
  <r>
    <x v="226"/>
    <x v="49"/>
  </r>
  <r>
    <x v="227"/>
    <x v="105"/>
  </r>
  <r>
    <x v="228"/>
    <x v="46"/>
  </r>
  <r>
    <x v="229"/>
    <x v="31"/>
  </r>
  <r>
    <x v="230"/>
    <x v="102"/>
  </r>
  <r>
    <x v="231"/>
    <x v="106"/>
  </r>
  <r>
    <x v="232"/>
    <x v="28"/>
  </r>
  <r>
    <x v="233"/>
    <x v="107"/>
  </r>
  <r>
    <x v="234"/>
    <x v="108"/>
  </r>
  <r>
    <x v="235"/>
    <x v="109"/>
  </r>
  <r>
    <x v="236"/>
    <x v="110"/>
  </r>
  <r>
    <x v="237"/>
    <x v="111"/>
  </r>
  <r>
    <x v="238"/>
    <x v="2"/>
  </r>
  <r>
    <x v="239"/>
    <x v="35"/>
  </r>
  <r>
    <x v="240"/>
    <x v="26"/>
  </r>
  <r>
    <x v="241"/>
    <x v="60"/>
  </r>
  <r>
    <x v="242"/>
    <x v="112"/>
  </r>
  <r>
    <x v="243"/>
    <x v="48"/>
  </r>
  <r>
    <x v="244"/>
    <x v="98"/>
  </r>
  <r>
    <x v="245"/>
    <x v="113"/>
  </r>
  <r>
    <x v="246"/>
    <x v="114"/>
  </r>
  <r>
    <x v="247"/>
    <x v="26"/>
  </r>
  <r>
    <x v="248"/>
    <x v="46"/>
  </r>
  <r>
    <x v="249"/>
    <x v="115"/>
  </r>
  <r>
    <x v="250"/>
    <x v="4"/>
  </r>
  <r>
    <x v="251"/>
    <x v="28"/>
  </r>
  <r>
    <x v="252"/>
    <x v="116"/>
  </r>
  <r>
    <x v="253"/>
    <x v="27"/>
  </r>
  <r>
    <x v="254"/>
    <x v="2"/>
  </r>
  <r>
    <x v="255"/>
    <x v="26"/>
  </r>
  <r>
    <x v="256"/>
    <x v="26"/>
  </r>
  <r>
    <x v="257"/>
    <x v="59"/>
  </r>
  <r>
    <x v="258"/>
    <x v="117"/>
  </r>
  <r>
    <x v="259"/>
    <x v="26"/>
  </r>
  <r>
    <x v="260"/>
    <x v="118"/>
  </r>
  <r>
    <x v="261"/>
    <x v="119"/>
  </r>
  <r>
    <x v="262"/>
    <x v="59"/>
  </r>
  <r>
    <x v="263"/>
    <x v="120"/>
  </r>
  <r>
    <x v="264"/>
    <x v="121"/>
  </r>
  <r>
    <x v="265"/>
    <x v="0"/>
  </r>
  <r>
    <x v="266"/>
    <x v="26"/>
  </r>
  <r>
    <x v="267"/>
    <x v="44"/>
  </r>
  <r>
    <x v="268"/>
    <x v="2"/>
  </r>
  <r>
    <x v="269"/>
    <x v="34"/>
  </r>
  <r>
    <x v="270"/>
    <x v="8"/>
  </r>
  <r>
    <x v="271"/>
    <x v="54"/>
  </r>
  <r>
    <x v="272"/>
    <x v="14"/>
  </r>
  <r>
    <x v="273"/>
    <x v="2"/>
  </r>
  <r>
    <x v="274"/>
    <x v="44"/>
  </r>
  <r>
    <x v="275"/>
    <x v="122"/>
  </r>
  <r>
    <x v="276"/>
    <x v="57"/>
  </r>
  <r>
    <x v="277"/>
    <x v="123"/>
  </r>
  <r>
    <x v="278"/>
    <x v="124"/>
  </r>
  <r>
    <x v="279"/>
    <x v="125"/>
  </r>
  <r>
    <x v="280"/>
    <x v="126"/>
  </r>
  <r>
    <x v="281"/>
    <x v="2"/>
  </r>
  <r>
    <x v="282"/>
    <x v="111"/>
  </r>
  <r>
    <x v="283"/>
    <x v="7"/>
  </r>
  <r>
    <x v="284"/>
    <x v="127"/>
  </r>
  <r>
    <x v="285"/>
    <x v="128"/>
  </r>
  <r>
    <x v="286"/>
    <x v="129"/>
  </r>
  <r>
    <x v="287"/>
    <x v="33"/>
  </r>
  <r>
    <x v="288"/>
    <x v="35"/>
  </r>
  <r>
    <x v="289"/>
    <x v="54"/>
  </r>
  <r>
    <x v="290"/>
    <x v="35"/>
  </r>
  <r>
    <x v="291"/>
    <x v="46"/>
  </r>
  <r>
    <x v="292"/>
    <x v="98"/>
  </r>
  <r>
    <x v="293"/>
    <x v="130"/>
  </r>
  <r>
    <x v="294"/>
    <x v="131"/>
  </r>
  <r>
    <x v="295"/>
    <x v="132"/>
  </r>
  <r>
    <x v="296"/>
    <x v="41"/>
  </r>
  <r>
    <x v="297"/>
    <x v="28"/>
  </r>
  <r>
    <x v="298"/>
    <x v="133"/>
  </r>
  <r>
    <x v="299"/>
    <x v="8"/>
  </r>
  <r>
    <x v="300"/>
    <x v="134"/>
  </r>
  <r>
    <x v="301"/>
    <x v="26"/>
  </r>
  <r>
    <x v="302"/>
    <x v="35"/>
  </r>
  <r>
    <x v="303"/>
    <x v="135"/>
  </r>
  <r>
    <x v="304"/>
    <x v="53"/>
  </r>
  <r>
    <x v="305"/>
    <x v="45"/>
  </r>
  <r>
    <x v="306"/>
    <x v="46"/>
  </r>
  <r>
    <x v="307"/>
    <x v="39"/>
  </r>
  <r>
    <x v="308"/>
    <x v="97"/>
  </r>
  <r>
    <x v="309"/>
    <x v="136"/>
  </r>
  <r>
    <x v="310"/>
    <x v="137"/>
  </r>
  <r>
    <x v="311"/>
    <x v="5"/>
  </r>
  <r>
    <x v="312"/>
    <x v="138"/>
  </r>
  <r>
    <x v="313"/>
    <x v="54"/>
  </r>
  <r>
    <x v="314"/>
    <x v="138"/>
  </r>
  <r>
    <x v="315"/>
    <x v="7"/>
  </r>
  <r>
    <x v="316"/>
    <x v="7"/>
  </r>
  <r>
    <x v="317"/>
    <x v="28"/>
  </r>
  <r>
    <x v="318"/>
    <x v="26"/>
  </r>
  <r>
    <x v="319"/>
    <x v="8"/>
  </r>
  <r>
    <x v="320"/>
    <x v="22"/>
  </r>
  <r>
    <x v="321"/>
    <x v="139"/>
  </r>
  <r>
    <x v="322"/>
    <x v="16"/>
  </r>
  <r>
    <x v="323"/>
    <x v="31"/>
  </r>
  <r>
    <x v="324"/>
    <x v="31"/>
  </r>
  <r>
    <x v="325"/>
    <x v="32"/>
  </r>
  <r>
    <x v="326"/>
    <x v="31"/>
  </r>
  <r>
    <x v="327"/>
    <x v="140"/>
  </r>
  <r>
    <x v="328"/>
    <x v="58"/>
  </r>
  <r>
    <x v="329"/>
    <x v="45"/>
  </r>
  <r>
    <x v="330"/>
    <x v="141"/>
  </r>
  <r>
    <x v="331"/>
    <x v="92"/>
  </r>
  <r>
    <x v="332"/>
    <x v="129"/>
  </r>
  <r>
    <x v="333"/>
    <x v="40"/>
  </r>
  <r>
    <x v="334"/>
    <x v="142"/>
  </r>
  <r>
    <x v="335"/>
    <x v="22"/>
  </r>
  <r>
    <x v="336"/>
    <x v="57"/>
  </r>
  <r>
    <x v="337"/>
    <x v="8"/>
  </r>
  <r>
    <x v="338"/>
    <x v="143"/>
  </r>
  <r>
    <x v="339"/>
    <x v="46"/>
  </r>
  <r>
    <x v="340"/>
    <x v="144"/>
  </r>
  <r>
    <x v="341"/>
    <x v="145"/>
  </r>
  <r>
    <x v="342"/>
    <x v="146"/>
  </r>
  <r>
    <x v="343"/>
    <x v="147"/>
  </r>
  <r>
    <x v="344"/>
    <x v="148"/>
  </r>
  <r>
    <x v="345"/>
    <x v="27"/>
  </r>
  <r>
    <x v="346"/>
    <x v="149"/>
  </r>
  <r>
    <x v="347"/>
    <x v="138"/>
  </r>
  <r>
    <x v="348"/>
    <x v="19"/>
  </r>
  <r>
    <x v="349"/>
    <x v="150"/>
  </r>
  <r>
    <x v="350"/>
    <x v="151"/>
  </r>
  <r>
    <x v="351"/>
    <x v="152"/>
  </r>
  <r>
    <x v="352"/>
    <x v="153"/>
  </r>
  <r>
    <x v="353"/>
    <x v="22"/>
  </r>
  <r>
    <x v="354"/>
    <x v="2"/>
  </r>
  <r>
    <x v="355"/>
    <x v="146"/>
  </r>
  <r>
    <x v="356"/>
    <x v="154"/>
  </r>
  <r>
    <x v="357"/>
    <x v="155"/>
  </r>
  <r>
    <x v="358"/>
    <x v="156"/>
  </r>
  <r>
    <x v="359"/>
    <x v="34"/>
  </r>
  <r>
    <x v="360"/>
    <x v="22"/>
  </r>
  <r>
    <x v="361"/>
    <x v="21"/>
  </r>
  <r>
    <x v="362"/>
    <x v="2"/>
  </r>
  <r>
    <x v="363"/>
    <x v="157"/>
  </r>
  <r>
    <x v="364"/>
    <x v="158"/>
  </r>
  <r>
    <x v="365"/>
    <x v="19"/>
  </r>
  <r>
    <x v="366"/>
    <x v="45"/>
  </r>
  <r>
    <x v="367"/>
    <x v="93"/>
  </r>
  <r>
    <x v="368"/>
    <x v="13"/>
  </r>
  <r>
    <x v="369"/>
    <x v="46"/>
  </r>
  <r>
    <x v="370"/>
    <x v="28"/>
  </r>
  <r>
    <x v="371"/>
    <x v="98"/>
  </r>
  <r>
    <x v="372"/>
    <x v="159"/>
  </r>
  <r>
    <x v="373"/>
    <x v="30"/>
  </r>
  <r>
    <x v="374"/>
    <x v="102"/>
  </r>
  <r>
    <x v="375"/>
    <x v="28"/>
  </r>
  <r>
    <x v="376"/>
    <x v="26"/>
  </r>
  <r>
    <x v="377"/>
    <x v="160"/>
  </r>
  <r>
    <x v="378"/>
    <x v="161"/>
  </r>
  <r>
    <x v="379"/>
    <x v="162"/>
  </r>
  <r>
    <x v="380"/>
    <x v="2"/>
  </r>
  <r>
    <x v="381"/>
    <x v="163"/>
  </r>
  <r>
    <x v="382"/>
    <x v="13"/>
  </r>
  <r>
    <x v="383"/>
    <x v="164"/>
  </r>
  <r>
    <x v="384"/>
    <x v="58"/>
  </r>
  <r>
    <x v="385"/>
    <x v="165"/>
  </r>
  <r>
    <x v="386"/>
    <x v="2"/>
  </r>
  <r>
    <x v="387"/>
    <x v="2"/>
  </r>
  <r>
    <x v="388"/>
    <x v="13"/>
  </r>
  <r>
    <x v="389"/>
    <x v="8"/>
  </r>
  <r>
    <x v="390"/>
    <x v="59"/>
  </r>
  <r>
    <x v="391"/>
    <x v="166"/>
  </r>
  <r>
    <x v="392"/>
    <x v="2"/>
  </r>
  <r>
    <x v="393"/>
    <x v="167"/>
  </r>
  <r>
    <x v="394"/>
    <x v="168"/>
  </r>
  <r>
    <x v="395"/>
    <x v="169"/>
  </r>
  <r>
    <x v="396"/>
    <x v="46"/>
  </r>
  <r>
    <x v="397"/>
    <x v="170"/>
  </r>
  <r>
    <x v="398"/>
    <x v="171"/>
  </r>
  <r>
    <x v="399"/>
    <x v="26"/>
  </r>
  <r>
    <x v="400"/>
    <x v="9"/>
  </r>
  <r>
    <x v="401"/>
    <x v="98"/>
  </r>
  <r>
    <x v="402"/>
    <x v="40"/>
  </r>
  <r>
    <x v="403"/>
    <x v="26"/>
  </r>
  <r>
    <x v="404"/>
    <x v="172"/>
  </r>
  <r>
    <x v="405"/>
    <x v="26"/>
  </r>
  <r>
    <x v="406"/>
    <x v="76"/>
  </r>
  <r>
    <x v="407"/>
    <x v="46"/>
  </r>
  <r>
    <x v="408"/>
    <x v="28"/>
  </r>
  <r>
    <x v="409"/>
    <x v="31"/>
  </r>
  <r>
    <x v="410"/>
    <x v="34"/>
  </r>
  <r>
    <x v="411"/>
    <x v="22"/>
  </r>
  <r>
    <x v="412"/>
    <x v="53"/>
  </r>
  <r>
    <x v="413"/>
    <x v="133"/>
  </r>
  <r>
    <x v="414"/>
    <x v="2"/>
  </r>
  <r>
    <x v="415"/>
    <x v="22"/>
  </r>
  <r>
    <x v="416"/>
    <x v="35"/>
  </r>
  <r>
    <x v="417"/>
    <x v="173"/>
  </r>
  <r>
    <x v="418"/>
    <x v="27"/>
  </r>
  <r>
    <x v="419"/>
    <x v="2"/>
  </r>
  <r>
    <x v="420"/>
    <x v="174"/>
  </r>
  <r>
    <x v="421"/>
    <x v="138"/>
  </r>
  <r>
    <x v="422"/>
    <x v="2"/>
  </r>
  <r>
    <x v="423"/>
    <x v="57"/>
  </r>
  <r>
    <x v="424"/>
    <x v="0"/>
  </r>
  <r>
    <x v="425"/>
    <x v="102"/>
  </r>
  <r>
    <x v="426"/>
    <x v="56"/>
  </r>
  <r>
    <x v="427"/>
    <x v="175"/>
  </r>
  <r>
    <x v="428"/>
    <x v="176"/>
  </r>
  <r>
    <x v="429"/>
    <x v="54"/>
  </r>
  <r>
    <x v="430"/>
    <x v="69"/>
  </r>
  <r>
    <x v="431"/>
    <x v="177"/>
  </r>
  <r>
    <x v="432"/>
    <x v="178"/>
  </r>
  <r>
    <x v="433"/>
    <x v="26"/>
  </r>
  <r>
    <x v="434"/>
    <x v="75"/>
  </r>
  <r>
    <x v="435"/>
    <x v="33"/>
  </r>
  <r>
    <x v="436"/>
    <x v="179"/>
  </r>
  <r>
    <x v="437"/>
    <x v="57"/>
  </r>
  <r>
    <x v="438"/>
    <x v="162"/>
  </r>
  <r>
    <x v="439"/>
    <x v="45"/>
  </r>
  <r>
    <x v="440"/>
    <x v="22"/>
  </r>
  <r>
    <x v="441"/>
    <x v="2"/>
  </r>
  <r>
    <x v="442"/>
    <x v="180"/>
  </r>
  <r>
    <x v="443"/>
    <x v="181"/>
  </r>
  <r>
    <x v="444"/>
    <x v="45"/>
  </r>
  <r>
    <x v="445"/>
    <x v="28"/>
  </r>
  <r>
    <x v="446"/>
    <x v="10"/>
  </r>
  <r>
    <x v="447"/>
    <x v="61"/>
  </r>
  <r>
    <x v="448"/>
    <x v="182"/>
  </r>
  <r>
    <x v="449"/>
    <x v="47"/>
  </r>
  <r>
    <x v="450"/>
    <x v="19"/>
  </r>
  <r>
    <x v="451"/>
    <x v="46"/>
  </r>
  <r>
    <x v="452"/>
    <x v="31"/>
  </r>
  <r>
    <x v="453"/>
    <x v="180"/>
  </r>
  <r>
    <x v="454"/>
    <x v="46"/>
  </r>
  <r>
    <x v="455"/>
    <x v="28"/>
  </r>
  <r>
    <x v="456"/>
    <x v="28"/>
  </r>
  <r>
    <x v="457"/>
    <x v="183"/>
  </r>
  <r>
    <x v="458"/>
    <x v="184"/>
  </r>
  <r>
    <x v="459"/>
    <x v="0"/>
  </r>
  <r>
    <x v="460"/>
    <x v="149"/>
  </r>
  <r>
    <x v="461"/>
    <x v="19"/>
  </r>
  <r>
    <x v="462"/>
    <x v="185"/>
  </r>
  <r>
    <x v="463"/>
    <x v="66"/>
  </r>
  <r>
    <x v="464"/>
    <x v="45"/>
  </r>
  <r>
    <x v="465"/>
    <x v="7"/>
  </r>
  <r>
    <x v="466"/>
    <x v="138"/>
  </r>
  <r>
    <x v="467"/>
    <x v="19"/>
  </r>
  <r>
    <x v="468"/>
    <x v="27"/>
  </r>
  <r>
    <x v="469"/>
    <x v="98"/>
  </r>
  <r>
    <x v="470"/>
    <x v="76"/>
  </r>
  <r>
    <x v="471"/>
    <x v="92"/>
  </r>
  <r>
    <x v="472"/>
    <x v="164"/>
  </r>
  <r>
    <x v="473"/>
    <x v="31"/>
  </r>
  <r>
    <x v="474"/>
    <x v="186"/>
  </r>
  <r>
    <x v="475"/>
    <x v="187"/>
  </r>
  <r>
    <x v="476"/>
    <x v="28"/>
  </r>
  <r>
    <x v="477"/>
    <x v="188"/>
  </r>
  <r>
    <x v="478"/>
    <x v="0"/>
  </r>
  <r>
    <x v="479"/>
    <x v="17"/>
  </r>
  <r>
    <x v="480"/>
    <x v="35"/>
  </r>
  <r>
    <x v="481"/>
    <x v="54"/>
  </r>
  <r>
    <x v="482"/>
    <x v="162"/>
  </r>
  <r>
    <x v="483"/>
    <x v="66"/>
  </r>
  <r>
    <x v="484"/>
    <x v="0"/>
  </r>
  <r>
    <x v="485"/>
    <x v="26"/>
  </r>
  <r>
    <x v="486"/>
    <x v="189"/>
  </r>
  <r>
    <x v="487"/>
    <x v="190"/>
  </r>
  <r>
    <x v="488"/>
    <x v="59"/>
  </r>
  <r>
    <x v="489"/>
    <x v="191"/>
  </r>
  <r>
    <x v="490"/>
    <x v="13"/>
  </r>
  <r>
    <x v="491"/>
    <x v="120"/>
  </r>
  <r>
    <x v="492"/>
    <x v="4"/>
  </r>
  <r>
    <x v="493"/>
    <x v="99"/>
  </r>
  <r>
    <x v="494"/>
    <x v="31"/>
  </r>
  <r>
    <x v="495"/>
    <x v="19"/>
  </r>
  <r>
    <x v="496"/>
    <x v="22"/>
  </r>
  <r>
    <x v="497"/>
    <x v="192"/>
  </r>
  <r>
    <x v="498"/>
    <x v="2"/>
  </r>
  <r>
    <x v="499"/>
    <x v="8"/>
  </r>
  <r>
    <x v="500"/>
    <x v="26"/>
  </r>
  <r>
    <x v="501"/>
    <x v="193"/>
  </r>
  <r>
    <x v="502"/>
    <x v="194"/>
  </r>
  <r>
    <x v="503"/>
    <x v="195"/>
  </r>
  <r>
    <x v="504"/>
    <x v="46"/>
  </r>
  <r>
    <x v="505"/>
    <x v="26"/>
  </r>
  <r>
    <x v="506"/>
    <x v="196"/>
  </r>
  <r>
    <x v="507"/>
    <x v="45"/>
  </r>
  <r>
    <x v="508"/>
    <x v="69"/>
  </r>
  <r>
    <x v="509"/>
    <x v="26"/>
  </r>
  <r>
    <x v="510"/>
    <x v="197"/>
  </r>
  <r>
    <x v="511"/>
    <x v="198"/>
  </r>
  <r>
    <x v="512"/>
    <x v="199"/>
  </r>
  <r>
    <x v="513"/>
    <x v="2"/>
  </r>
  <r>
    <x v="514"/>
    <x v="147"/>
  </r>
  <r>
    <x v="515"/>
    <x v="200"/>
  </r>
  <r>
    <x v="516"/>
    <x v="79"/>
  </r>
  <r>
    <x v="517"/>
    <x v="201"/>
  </r>
  <r>
    <x v="518"/>
    <x v="58"/>
  </r>
  <r>
    <x v="519"/>
    <x v="202"/>
  </r>
  <r>
    <x v="520"/>
    <x v="31"/>
  </r>
  <r>
    <x v="521"/>
    <x v="10"/>
  </r>
  <r>
    <x v="522"/>
    <x v="76"/>
  </r>
  <r>
    <x v="523"/>
    <x v="45"/>
  </r>
  <r>
    <x v="524"/>
    <x v="169"/>
  </r>
  <r>
    <x v="525"/>
    <x v="203"/>
  </r>
  <r>
    <x v="526"/>
    <x v="204"/>
  </r>
  <r>
    <x v="527"/>
    <x v="189"/>
  </r>
  <r>
    <x v="528"/>
    <x v="146"/>
  </r>
  <r>
    <x v="529"/>
    <x v="54"/>
  </r>
  <r>
    <x v="530"/>
    <x v="205"/>
  </r>
  <r>
    <x v="531"/>
    <x v="36"/>
  </r>
  <r>
    <x v="532"/>
    <x v="26"/>
  </r>
  <r>
    <x v="533"/>
    <x v="61"/>
  </r>
  <r>
    <x v="534"/>
    <x v="31"/>
  </r>
  <r>
    <x v="535"/>
    <x v="206"/>
  </r>
  <r>
    <x v="536"/>
    <x v="194"/>
  </r>
  <r>
    <x v="537"/>
    <x v="207"/>
  </r>
  <r>
    <x v="538"/>
    <x v="208"/>
  </r>
  <r>
    <x v="539"/>
    <x v="58"/>
  </r>
  <r>
    <x v="540"/>
    <x v="209"/>
  </r>
  <r>
    <x v="541"/>
    <x v="138"/>
  </r>
  <r>
    <x v="542"/>
    <x v="210"/>
  </r>
  <r>
    <x v="543"/>
    <x v="211"/>
  </r>
  <r>
    <x v="544"/>
    <x v="212"/>
  </r>
  <r>
    <x v="545"/>
    <x v="168"/>
  </r>
  <r>
    <x v="546"/>
    <x v="138"/>
  </r>
  <r>
    <x v="547"/>
    <x v="54"/>
  </r>
  <r>
    <x v="548"/>
    <x v="81"/>
  </r>
  <r>
    <x v="549"/>
    <x v="184"/>
  </r>
  <r>
    <x v="550"/>
    <x v="213"/>
  </r>
  <r>
    <x v="551"/>
    <x v="214"/>
  </r>
  <r>
    <x v="552"/>
    <x v="172"/>
  </r>
  <r>
    <x v="553"/>
    <x v="38"/>
  </r>
  <r>
    <x v="554"/>
    <x v="215"/>
  </r>
  <r>
    <x v="555"/>
    <x v="31"/>
  </r>
  <r>
    <x v="556"/>
    <x v="40"/>
  </r>
  <r>
    <x v="557"/>
    <x v="216"/>
  </r>
  <r>
    <x v="558"/>
    <x v="28"/>
  </r>
  <r>
    <x v="559"/>
    <x v="57"/>
  </r>
  <r>
    <x v="560"/>
    <x v="13"/>
  </r>
  <r>
    <x v="561"/>
    <x v="4"/>
  </r>
  <r>
    <x v="562"/>
    <x v="28"/>
  </r>
  <r>
    <x v="563"/>
    <x v="138"/>
  </r>
  <r>
    <x v="564"/>
    <x v="98"/>
  </r>
  <r>
    <x v="565"/>
    <x v="57"/>
  </r>
  <r>
    <x v="566"/>
    <x v="28"/>
  </r>
  <r>
    <x v="567"/>
    <x v="217"/>
  </r>
  <r>
    <x v="568"/>
    <x v="2"/>
  </r>
  <r>
    <x v="569"/>
    <x v="57"/>
  </r>
  <r>
    <x v="570"/>
    <x v="7"/>
  </r>
  <r>
    <x v="571"/>
    <x v="26"/>
  </r>
  <r>
    <x v="572"/>
    <x v="218"/>
  </r>
  <r>
    <x v="573"/>
    <x v="31"/>
  </r>
  <r>
    <x v="574"/>
    <x v="219"/>
  </r>
  <r>
    <x v="575"/>
    <x v="219"/>
  </r>
  <r>
    <x v="576"/>
    <x v="219"/>
  </r>
  <r>
    <x v="577"/>
    <x v="219"/>
  </r>
  <r>
    <x v="578"/>
    <x v="219"/>
  </r>
  <r>
    <x v="579"/>
    <x v="59"/>
  </r>
  <r>
    <x v="580"/>
    <x v="37"/>
  </r>
  <r>
    <x v="581"/>
    <x v="92"/>
  </r>
  <r>
    <x v="582"/>
    <x v="12"/>
  </r>
  <r>
    <x v="583"/>
    <x v="2"/>
  </r>
  <r>
    <x v="584"/>
    <x v="26"/>
  </r>
  <r>
    <x v="585"/>
    <x v="59"/>
  </r>
  <r>
    <x v="586"/>
    <x v="19"/>
  </r>
  <r>
    <x v="587"/>
    <x v="2"/>
  </r>
  <r>
    <x v="588"/>
    <x v="169"/>
  </r>
  <r>
    <x v="589"/>
    <x v="98"/>
  </r>
  <r>
    <x v="590"/>
    <x v="220"/>
  </r>
  <r>
    <x v="591"/>
    <x v="46"/>
  </r>
  <r>
    <x v="592"/>
    <x v="28"/>
  </r>
  <r>
    <x v="593"/>
    <x v="221"/>
  </r>
  <r>
    <x v="594"/>
    <x v="85"/>
  </r>
  <r>
    <x v="595"/>
    <x v="222"/>
  </r>
  <r>
    <x v="596"/>
    <x v="76"/>
  </r>
  <r>
    <x v="597"/>
    <x v="2"/>
  </r>
  <r>
    <x v="598"/>
    <x v="11"/>
  </r>
  <r>
    <x v="599"/>
    <x v="2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4726BD-F39C-49BA-8FA9-1CB55C67032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26" firstHeaderRow="1" firstDataRow="1" firstDataCol="1"/>
  <pivotFields count="2">
    <pivotField axis="axisRow" dataField="1" showAll="0">
      <items count="601">
        <item x="216"/>
        <item x="473"/>
        <item x="151"/>
        <item x="147"/>
        <item x="51"/>
        <item x="19"/>
        <item x="176"/>
        <item x="345"/>
        <item x="425"/>
        <item x="119"/>
        <item x="521"/>
        <item x="573"/>
        <item x="341"/>
        <item x="331"/>
        <item x="482"/>
        <item x="65"/>
        <item x="506"/>
        <item x="246"/>
        <item x="457"/>
        <item x="109"/>
        <item x="34"/>
        <item x="47"/>
        <item x="241"/>
        <item x="470"/>
        <item x="466"/>
        <item x="229"/>
        <item x="231"/>
        <item x="214"/>
        <item x="353"/>
        <item x="117"/>
        <item x="77"/>
        <item x="377"/>
        <item x="406"/>
        <item x="45"/>
        <item x="540"/>
        <item x="300"/>
        <item x="360"/>
        <item x="507"/>
        <item x="397"/>
        <item x="452"/>
        <item x="554"/>
        <item x="351"/>
        <item x="329"/>
        <item x="599"/>
        <item x="69"/>
        <item x="415"/>
        <item x="566"/>
        <item x="205"/>
        <item x="150"/>
        <item x="103"/>
        <item x="90"/>
        <item x="456"/>
        <item x="156"/>
        <item x="101"/>
        <item x="432"/>
        <item x="208"/>
        <item x="596"/>
        <item x="420"/>
        <item x="302"/>
        <item x="567"/>
        <item x="327"/>
        <item x="542"/>
        <item x="409"/>
        <item x="263"/>
        <item x="534"/>
        <item x="293"/>
        <item x="223"/>
        <item x="168"/>
        <item x="88"/>
        <item x="141"/>
        <item x="61"/>
        <item x="172"/>
        <item x="192"/>
        <item x="559"/>
        <item x="276"/>
        <item x="118"/>
        <item x="569"/>
        <item x="437"/>
        <item x="179"/>
        <item x="366"/>
        <item x="565"/>
        <item x="98"/>
        <item x="76"/>
        <item x="113"/>
        <item x="336"/>
        <item x="423"/>
        <item x="591"/>
        <item x="184"/>
        <item x="504"/>
        <item x="248"/>
        <item x="396"/>
        <item x="306"/>
        <item x="291"/>
        <item x="221"/>
        <item x="124"/>
        <item x="407"/>
        <item x="222"/>
        <item x="111"/>
        <item x="339"/>
        <item x="198"/>
        <item x="87"/>
        <item x="95"/>
        <item x="74"/>
        <item x="83"/>
        <item x="454"/>
        <item x="451"/>
        <item x="369"/>
        <item x="228"/>
        <item x="249"/>
        <item x="472"/>
        <item x="15"/>
        <item x="381"/>
        <item x="267"/>
        <item x="598"/>
        <item x="219"/>
        <item x="525"/>
        <item x="290"/>
        <item x="20"/>
        <item x="321"/>
        <item x="347"/>
        <item x="288"/>
        <item x="434"/>
        <item x="143"/>
        <item x="550"/>
        <item x="443"/>
        <item x="220"/>
        <item x="539"/>
        <item x="320"/>
        <item x="350"/>
        <item x="3"/>
        <item x="335"/>
        <item x="579"/>
        <item x="570"/>
        <item x="326"/>
        <item x="483"/>
        <item x="12"/>
        <item x="560"/>
        <item x="33"/>
        <item x="197"/>
        <item x="382"/>
        <item x="120"/>
        <item x="58"/>
        <item x="446"/>
        <item x="233"/>
        <item x="189"/>
        <item x="305"/>
        <item x="6"/>
        <item x="264"/>
        <item x="277"/>
        <item x="417"/>
        <item x="107"/>
        <item x="200"/>
        <item x="18"/>
        <item x="468"/>
        <item x="81"/>
        <item x="31"/>
        <item x="130"/>
        <item x="553"/>
        <item x="227"/>
        <item x="557"/>
        <item x="239"/>
        <item x="510"/>
        <item x="78"/>
        <item x="526"/>
        <item x="412"/>
        <item x="5"/>
        <item x="304"/>
        <item x="279"/>
        <item x="311"/>
        <item x="48"/>
        <item x="167"/>
        <item x="104"/>
        <item x="450"/>
        <item x="135"/>
        <item x="152"/>
        <item x="461"/>
        <item x="586"/>
        <item x="348"/>
        <item x="153"/>
        <item x="467"/>
        <item x="495"/>
        <item x="533"/>
        <item x="447"/>
        <item x="365"/>
        <item x="102"/>
        <item x="25"/>
        <item x="323"/>
        <item x="217"/>
        <item x="57"/>
        <item x="309"/>
        <item x="372"/>
        <item x="294"/>
        <item x="464"/>
        <item x="136"/>
        <item x="271"/>
        <item x="535"/>
        <item x="79"/>
        <item x="429"/>
        <item x="547"/>
        <item x="289"/>
        <item x="96"/>
        <item x="129"/>
        <item x="313"/>
        <item x="186"/>
        <item x="481"/>
        <item x="529"/>
        <item x="127"/>
        <item x="551"/>
        <item x="436"/>
        <item x="428"/>
        <item x="190"/>
        <item x="154"/>
        <item x="368"/>
        <item x="418"/>
        <item x="280"/>
        <item x="487"/>
        <item x="180"/>
        <item x="274"/>
        <item x="413"/>
        <item x="581"/>
        <item x="379"/>
        <item x="59"/>
        <item x="530"/>
        <item x="55"/>
        <item x="562"/>
        <item x="563"/>
        <item x="558"/>
        <item x="564"/>
        <item x="592"/>
        <item x="314"/>
        <item x="297"/>
        <item x="371"/>
        <item x="476"/>
        <item x="312"/>
        <item x="251"/>
        <item x="541"/>
        <item x="166"/>
        <item x="175"/>
        <item x="342"/>
        <item x="430"/>
        <item x="411"/>
        <item x="375"/>
        <item x="580"/>
        <item x="131"/>
        <item x="522"/>
        <item x="503"/>
        <item x="523"/>
        <item x="453"/>
        <item x="108"/>
        <item x="265"/>
        <item x="459"/>
        <item x="486"/>
        <item x="527"/>
        <item x="330"/>
        <item x="121"/>
        <item x="232"/>
        <item x="252"/>
        <item x="494"/>
        <item x="183"/>
        <item x="355"/>
        <item x="140"/>
        <item x="455"/>
        <item x="50"/>
        <item x="589"/>
        <item x="144"/>
        <item x="340"/>
        <item x="24"/>
        <item x="292"/>
        <item x="230"/>
        <item x="515"/>
        <item x="501"/>
        <item x="374"/>
        <item x="43"/>
        <item x="590"/>
        <item x="91"/>
        <item x="260"/>
        <item x="257"/>
        <item x="465"/>
        <item x="488"/>
        <item x="585"/>
        <item x="16"/>
        <item x="427"/>
        <item x="393"/>
        <item x="391"/>
        <item x="100"/>
        <item x="490"/>
        <item x="388"/>
        <item x="253"/>
        <item x="139"/>
        <item x="528"/>
        <item x="110"/>
        <item x="370"/>
        <item x="244"/>
        <item x="161"/>
        <item x="133"/>
        <item x="235"/>
        <item x="26"/>
        <item x="194"/>
        <item x="215"/>
        <item x="477"/>
        <item x="384"/>
        <item x="328"/>
        <item x="28"/>
        <item x="134"/>
        <item x="315"/>
        <item x="463"/>
        <item x="484"/>
        <item x="478"/>
        <item x="85"/>
        <item x="352"/>
        <item x="284"/>
        <item x="489"/>
        <item x="358"/>
        <item x="1"/>
        <item x="234"/>
        <item x="398"/>
        <item x="128"/>
        <item x="213"/>
        <item x="236"/>
        <item x="225"/>
        <item x="182"/>
        <item x="204"/>
        <item x="132"/>
        <item x="555"/>
        <item x="285"/>
        <item x="17"/>
        <item x="54"/>
        <item x="296"/>
        <item x="72"/>
        <item x="295"/>
        <item x="298"/>
        <item x="471"/>
        <item x="438"/>
        <item x="444"/>
        <item x="536"/>
        <item x="115"/>
        <item x="138"/>
        <item x="544"/>
        <item x="165"/>
        <item x="469"/>
        <item x="538"/>
        <item x="242"/>
        <item x="458"/>
        <item x="549"/>
        <item x="27"/>
        <item x="361"/>
        <item x="41"/>
        <item x="206"/>
        <item x="416"/>
        <item x="594"/>
        <item x="191"/>
        <item x="181"/>
        <item x="114"/>
        <item x="439"/>
        <item x="269"/>
        <item x="261"/>
        <item x="44"/>
        <item x="258"/>
        <item x="303"/>
        <item x="359"/>
        <item x="410"/>
        <item x="226"/>
        <item x="68"/>
        <item x="448"/>
        <item x="556"/>
        <item x="250"/>
        <item x="561"/>
        <item x="67"/>
        <item x="30"/>
        <item x="343"/>
        <item x="63"/>
        <item x="426"/>
        <item x="460"/>
        <item x="402"/>
        <item x="149"/>
        <item x="514"/>
        <item x="243"/>
        <item x="86"/>
        <item x="346"/>
        <item x="287"/>
        <item x="39"/>
        <item x="146"/>
        <item x="492"/>
        <item x="66"/>
        <item x="116"/>
        <item x="13"/>
        <item x="4"/>
        <item x="400"/>
        <item x="53"/>
        <item x="203"/>
        <item x="435"/>
        <item x="188"/>
        <item x="333"/>
        <item x="195"/>
        <item x="159"/>
        <item x="395"/>
        <item x="105"/>
        <item x="344"/>
        <item x="512"/>
        <item x="356"/>
        <item x="508"/>
        <item x="401"/>
        <item x="497"/>
        <item x="524"/>
        <item x="245"/>
        <item x="70"/>
        <item x="588"/>
        <item x="520"/>
        <item x="278"/>
        <item x="462"/>
        <item x="155"/>
        <item x="480"/>
        <item x="511"/>
        <item x="275"/>
        <item x="378"/>
        <item x="92"/>
        <item x="310"/>
        <item x="519"/>
        <item x="442"/>
        <item x="324"/>
        <item x="543"/>
        <item x="35"/>
        <item x="363"/>
        <item x="357"/>
        <item x="158"/>
        <item x="516"/>
        <item x="572"/>
        <item x="474"/>
        <item x="383"/>
        <item x="518"/>
        <item x="496"/>
        <item x="390"/>
        <item x="283"/>
        <item x="424"/>
        <item x="174"/>
        <item x="73"/>
        <item x="49"/>
        <item x="440"/>
        <item x="262"/>
        <item x="7"/>
        <item x="0"/>
        <item x="574"/>
        <item x="575"/>
        <item x="576"/>
        <item x="577"/>
        <item x="578"/>
        <item x="80"/>
        <item x="431"/>
        <item x="14"/>
        <item x="367"/>
        <item x="201"/>
        <item x="62"/>
        <item x="449"/>
        <item x="595"/>
        <item x="46"/>
        <item x="531"/>
        <item x="552"/>
        <item x="546"/>
        <item x="385"/>
        <item x="548"/>
        <item x="112"/>
        <item x="177"/>
        <item x="187"/>
        <item x="349"/>
        <item x="162"/>
        <item x="502"/>
        <item x="42"/>
        <item x="325"/>
        <item x="593"/>
        <item x="207"/>
        <item x="40"/>
        <item x="164"/>
        <item x="84"/>
        <item x="178"/>
        <item x="142"/>
        <item x="123"/>
        <item x="308"/>
        <item x="373"/>
        <item x="408"/>
        <item x="224"/>
        <item x="404"/>
        <item x="317"/>
        <item x="421"/>
        <item x="211"/>
        <item x="122"/>
        <item x="319"/>
        <item x="36"/>
        <item x="173"/>
        <item x="583"/>
        <item x="354"/>
        <item x="238"/>
        <item x="362"/>
        <item x="597"/>
        <item x="273"/>
        <item x="106"/>
        <item x="37"/>
        <item x="23"/>
        <item x="89"/>
        <item x="498"/>
        <item x="422"/>
        <item x="145"/>
        <item x="419"/>
        <item x="441"/>
        <item x="380"/>
        <item x="10"/>
        <item x="169"/>
        <item x="56"/>
        <item x="97"/>
        <item x="386"/>
        <item x="587"/>
        <item x="270"/>
        <item x="193"/>
        <item x="2"/>
        <item x="414"/>
        <item x="268"/>
        <item x="387"/>
        <item x="337"/>
        <item x="389"/>
        <item x="568"/>
        <item x="170"/>
        <item x="513"/>
        <item x="254"/>
        <item x="299"/>
        <item x="392"/>
        <item x="71"/>
        <item x="8"/>
        <item x="499"/>
        <item x="9"/>
        <item x="160"/>
        <item x="163"/>
        <item x="281"/>
        <item x="272"/>
        <item x="475"/>
        <item x="171"/>
        <item x="307"/>
        <item x="157"/>
        <item x="52"/>
        <item x="202"/>
        <item x="517"/>
        <item x="364"/>
        <item x="445"/>
        <item x="537"/>
        <item x="64"/>
        <item x="99"/>
        <item x="316"/>
        <item x="11"/>
        <item x="237"/>
        <item x="282"/>
        <item x="582"/>
        <item x="148"/>
        <item x="493"/>
        <item x="286"/>
        <item x="21"/>
        <item x="255"/>
        <item x="60"/>
        <item x="571"/>
        <item x="218"/>
        <item x="403"/>
        <item x="376"/>
        <item x="82"/>
        <item x="32"/>
        <item x="137"/>
        <item x="485"/>
        <item x="500"/>
        <item x="126"/>
        <item x="240"/>
        <item x="405"/>
        <item x="479"/>
        <item x="266"/>
        <item x="584"/>
        <item x="212"/>
        <item x="399"/>
        <item x="318"/>
        <item x="301"/>
        <item x="532"/>
        <item x="505"/>
        <item x="185"/>
        <item x="509"/>
        <item x="199"/>
        <item x="259"/>
        <item x="196"/>
        <item x="125"/>
        <item x="433"/>
        <item x="256"/>
        <item x="38"/>
        <item x="93"/>
        <item x="247"/>
        <item x="22"/>
        <item x="209"/>
        <item x="332"/>
        <item x="322"/>
        <item x="29"/>
        <item x="210"/>
        <item x="491"/>
        <item x="94"/>
        <item x="75"/>
        <item x="338"/>
        <item x="334"/>
        <item x="394"/>
        <item x="545"/>
        <item t="default"/>
      </items>
    </pivotField>
    <pivotField axis="axisRow" showAll="0" sortType="descending">
      <items count="225">
        <item sd="0" x="143"/>
        <item sd="0" x="121"/>
        <item sd="0" x="123"/>
        <item sd="0" x="173"/>
        <item sd="0" x="6"/>
        <item sd="0" x="188"/>
        <item sd="0" x="147"/>
        <item sd="0" x="56"/>
        <item sd="0" x="48"/>
        <item sd="0" x="149"/>
        <item sd="0" x="152"/>
        <item sd="0" x="215"/>
        <item sd="0" x="170"/>
        <item sd="0" x="205"/>
        <item sd="0" x="195"/>
        <item sd="0" x="100"/>
        <item sd="0" x="34"/>
        <item sd="0" x="52"/>
        <item sd="0" x="222"/>
        <item sd="0" x="93"/>
        <item sd="0" x="47"/>
        <item sd="0" x="36"/>
        <item sd="0" x="166"/>
        <item sd="0" x="95"/>
        <item sd="0" x="159"/>
        <item sd="0" x="118"/>
        <item sd="0" x="31"/>
        <item sd="0" x="65"/>
        <item sd="0" x="43"/>
        <item sd="0" x="168"/>
        <item sd="0" x="131"/>
        <item sd="0" x="120"/>
        <item sd="0" x="86"/>
        <item sd="0" x="9"/>
        <item sd="0" x="4"/>
        <item sd="0" x="130"/>
        <item sd="0" x="88"/>
        <item sd="0" x="46"/>
        <item sd="0" x="115"/>
        <item sd="0" x="151"/>
        <item sd="0" x="57"/>
        <item sd="0" x="128"/>
        <item sd="0" x="14"/>
        <item sd="0" x="54"/>
        <item sd="0" x="206"/>
        <item sd="0" x="177"/>
        <item sd="0" x="2"/>
        <item sd="0" x="8"/>
        <item sd="0" x="175"/>
        <item sd="0" x="107"/>
        <item sd="0" x="112"/>
        <item sd="0" x="208"/>
        <item sd="0" x="184"/>
        <item sd="0" x="63"/>
        <item sd="0" x="66"/>
        <item sd="0" x="32"/>
        <item sd="0" x="0"/>
        <item sd="0" x="189"/>
        <item sd="0" x="194"/>
        <item sd="0" x="221"/>
        <item sd="0" x="35"/>
        <item sd="0" x="22"/>
        <item sd="0" x="216"/>
        <item sd="0" x="109"/>
        <item sd="0" x="119"/>
        <item sd="0" x="24"/>
        <item sd="0" x="218"/>
        <item sd="0" x="40"/>
        <item sd="0" x="25"/>
        <item sd="0" x="21"/>
        <item sd="0" x="79"/>
        <item sd="0" x="81"/>
        <item sd="0" x="76"/>
        <item sd="0" x="210"/>
        <item sd="0" x="49"/>
        <item sd="0" x="182"/>
        <item sd="0" x="145"/>
        <item sd="0" x="78"/>
        <item sd="0" x="156"/>
        <item sd="0" x="96"/>
        <item sd="0" x="68"/>
        <item sd="0" x="202"/>
        <item sd="0" x="29"/>
        <item sd="0" x="108"/>
        <item sd="0" x="1"/>
        <item sd="0" x="58"/>
        <item sd="0" x="106"/>
        <item sd="0" x="101"/>
        <item sd="0" x="160"/>
        <item sd="0" x="223"/>
        <item sd="0" x="140"/>
        <item sd="0" x="217"/>
        <item sd="0" x="50"/>
        <item sd="0" x="174"/>
        <item sd="0" x="183"/>
        <item sd="0" x="77"/>
        <item sd="0" x="75"/>
        <item sd="0" x="181"/>
        <item sd="0" x="213"/>
        <item sd="0" x="103"/>
        <item sd="0" x="62"/>
        <item sd="0" x="60"/>
        <item sd="0" x="212"/>
        <item sd="0" x="74"/>
        <item sd="0" x="11"/>
        <item sd="0" x="163"/>
        <item sd="0" x="203"/>
        <item sd="0" x="139"/>
        <item sd="0" x="15"/>
        <item sd="0" x="73"/>
        <item sd="0" x="105"/>
        <item sd="0" x="38"/>
        <item sd="0" x="19"/>
        <item sd="0" x="61"/>
        <item sd="0" x="125"/>
        <item sd="0" x="197"/>
        <item sd="0" x="204"/>
        <item sd="0" x="5"/>
        <item sd="0" x="53"/>
        <item sd="0" x="122"/>
        <item sd="0" x="198"/>
        <item sd="0" x="176"/>
        <item sd="0" x="104"/>
        <item sd="0" x="132"/>
        <item sd="0" x="41"/>
        <item sd="0" x="23"/>
        <item sd="0" x="12"/>
        <item sd="0" x="142"/>
        <item sd="0" x="13"/>
        <item sd="0" x="44"/>
        <item sd="0" x="190"/>
        <item sd="0" x="126"/>
        <item sd="0" x="84"/>
        <item sd="0" x="70"/>
        <item sd="0" x="141"/>
        <item sd="0" x="116"/>
        <item sd="0" x="16"/>
        <item sd="0" x="18"/>
        <item sd="0" x="193"/>
        <item sd="0" x="144"/>
        <item sd="0" x="200"/>
        <item sd="0" x="220"/>
        <item sd="0" x="20"/>
        <item sd="0" x="102"/>
        <item sd="0" x="98"/>
        <item sd="0" x="153"/>
        <item sd="0" x="127"/>
        <item sd="0" x="191"/>
        <item sd="0" x="69"/>
        <item sd="0" x="146"/>
        <item sd="0" x="154"/>
        <item sd="0" x="178"/>
        <item sd="0" x="85"/>
        <item sd="0" x="91"/>
        <item sd="0" x="155"/>
        <item sd="0" x="59"/>
        <item sd="0" x="7"/>
        <item sd="0" x="117"/>
        <item sd="0" x="135"/>
        <item sd="0" x="110"/>
        <item sd="0" x="211"/>
        <item sd="0" x="133"/>
        <item sd="0" x="169"/>
        <item sd="0" x="162"/>
        <item sd="0" x="92"/>
        <item sd="0" x="80"/>
        <item sd="0" x="51"/>
        <item sd="0" x="10"/>
        <item sd="0" x="89"/>
        <item sd="0" x="113"/>
        <item sd="0" x="164"/>
        <item sd="0" x="196"/>
        <item sd="0" x="114"/>
        <item sd="0" x="87"/>
        <item sd="0" x="199"/>
        <item sd="0" x="64"/>
        <item sd="0" x="148"/>
        <item sd="0" x="192"/>
        <item sd="0" x="161"/>
        <item sd="0" x="137"/>
        <item sd="0" x="185"/>
        <item sd="0" x="157"/>
        <item sd="0" x="27"/>
        <item sd="0" x="28"/>
        <item sd="0" x="37"/>
        <item sd="0" x="186"/>
        <item sd="0" x="3"/>
        <item sd="0" x="165"/>
        <item sd="0" x="138"/>
        <item sd="0" x="172"/>
        <item sd="0" x="83"/>
        <item sd="0" x="150"/>
        <item sd="0" x="67"/>
        <item sd="0" x="30"/>
        <item sd="0" x="82"/>
        <item sd="0" x="97"/>
        <item sd="0" x="71"/>
        <item sd="0" x="33"/>
        <item sd="0" x="201"/>
        <item sd="0" x="207"/>
        <item sd="0" x="158"/>
        <item sd="0" x="129"/>
        <item sd="0" x="99"/>
        <item sd="0" x="26"/>
        <item sd="0" x="17"/>
        <item sd="0" x="124"/>
        <item sd="0" x="171"/>
        <item sd="0" x="167"/>
        <item sd="0" x="90"/>
        <item sd="0" x="136"/>
        <item sd="0" x="45"/>
        <item sd="0" x="219"/>
        <item sd="0" x="55"/>
        <item sd="0" x="214"/>
        <item sd="0" x="72"/>
        <item sd="0" x="179"/>
        <item sd="0" x="187"/>
        <item sd="0" x="42"/>
        <item sd="0" x="209"/>
        <item sd="0" x="134"/>
        <item sd="0" x="39"/>
        <item sd="0" x="111"/>
        <item sd="0" x="180"/>
        <item sd="0" x="94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0"/>
  </rowFields>
  <rowItems count="225">
    <i>
      <x v="46"/>
    </i>
    <i>
      <x v="203"/>
    </i>
    <i>
      <x v="37"/>
    </i>
    <i>
      <x v="26"/>
    </i>
    <i>
      <x v="183"/>
    </i>
    <i>
      <x v="210"/>
    </i>
    <i>
      <x v="61"/>
    </i>
    <i>
      <x v="47"/>
    </i>
    <i>
      <x v="40"/>
    </i>
    <i>
      <x v="112"/>
    </i>
    <i>
      <x v="43"/>
    </i>
    <i>
      <x v="60"/>
    </i>
    <i>
      <x v="144"/>
    </i>
    <i>
      <x v="129"/>
    </i>
    <i>
      <x v="56"/>
    </i>
    <i>
      <x v="155"/>
    </i>
    <i>
      <x v="188"/>
    </i>
    <i>
      <x v="128"/>
    </i>
    <i>
      <x v="182"/>
    </i>
    <i>
      <x v="72"/>
    </i>
    <i>
      <x v="184"/>
    </i>
    <i>
      <x v="85"/>
    </i>
    <i>
      <x v="34"/>
    </i>
    <i>
      <x v="156"/>
    </i>
    <i>
      <x v="33"/>
    </i>
    <i>
      <x v="211"/>
    </i>
    <i>
      <x v="42"/>
    </i>
    <i>
      <x v="67"/>
    </i>
    <i>
      <x v="204"/>
    </i>
    <i>
      <x v="16"/>
    </i>
    <i>
      <x v="143"/>
    </i>
    <i>
      <x v="28"/>
    </i>
    <i>
      <x v="164"/>
    </i>
    <i>
      <x v="148"/>
    </i>
    <i>
      <x v="54"/>
    </i>
    <i>
      <x v="163"/>
    </i>
    <i>
      <x v="149"/>
    </i>
    <i>
      <x v="197"/>
    </i>
    <i>
      <x v="124"/>
    </i>
    <i>
      <x v="162"/>
    </i>
    <i>
      <x v="167"/>
    </i>
    <i>
      <x v="113"/>
    </i>
    <i>
      <x v="220"/>
    </i>
    <i>
      <x v="118"/>
    </i>
    <i>
      <x v="111"/>
    </i>
    <i>
      <x v="201"/>
    </i>
    <i>
      <x v="31"/>
    </i>
    <i>
      <x v="136"/>
    </i>
    <i>
      <x v="52"/>
    </i>
    <i>
      <x v="189"/>
    </i>
    <i>
      <x v="55"/>
    </i>
    <i>
      <x v="9"/>
    </i>
    <i>
      <x v="57"/>
    </i>
    <i>
      <x v="29"/>
    </i>
    <i>
      <x v="58"/>
    </i>
    <i>
      <x v="6"/>
    </i>
    <i>
      <x v="65"/>
    </i>
    <i>
      <x v="195"/>
    </i>
    <i>
      <x v="69"/>
    </i>
    <i>
      <x v="7"/>
    </i>
    <i>
      <x v="70"/>
    </i>
    <i>
      <x v="222"/>
    </i>
    <i>
      <x v="71"/>
    </i>
    <i>
      <x v="152"/>
    </i>
    <i>
      <x v="74"/>
    </i>
    <i>
      <x v="161"/>
    </i>
    <i>
      <x v="96"/>
    </i>
    <i>
      <x v="170"/>
    </i>
    <i>
      <x v="101"/>
    </i>
    <i>
      <x v="186"/>
    </i>
    <i>
      <x v="104"/>
    </i>
    <i>
      <x v="193"/>
    </i>
    <i>
      <x v="19"/>
    </i>
    <i>
      <x v="196"/>
    </i>
    <i>
      <x v="20"/>
    </i>
    <i>
      <x v="202"/>
    </i>
    <i>
      <x v="117"/>
    </i>
    <i>
      <x v="8"/>
    </i>
    <i>
      <x v="21"/>
    </i>
    <i>
      <x v="126"/>
    </i>
    <i>
      <x v="221"/>
    </i>
    <i>
      <x v="208"/>
    </i>
    <i>
      <x v="176"/>
    </i>
    <i>
      <x v="160"/>
    </i>
    <i>
      <x v="82"/>
    </i>
    <i>
      <x v="192"/>
    </i>
    <i>
      <x v="83"/>
    </i>
    <i>
      <x v="50"/>
    </i>
    <i>
      <x v="84"/>
    </i>
    <i>
      <x v="168"/>
    </i>
    <i>
      <x v="18"/>
    </i>
    <i>
      <x v="10"/>
    </i>
    <i>
      <x v="86"/>
    </i>
    <i>
      <x v="200"/>
    </i>
    <i>
      <x v="87"/>
    </i>
    <i>
      <x v="216"/>
    </i>
    <i>
      <x v="88"/>
    </i>
    <i>
      <x v="30"/>
    </i>
    <i>
      <x v="89"/>
    </i>
    <i>
      <x v="4"/>
    </i>
    <i>
      <x v="90"/>
    </i>
    <i>
      <x v="172"/>
    </i>
    <i>
      <x v="91"/>
    </i>
    <i>
      <x v="180"/>
    </i>
    <i>
      <x v="92"/>
    </i>
    <i>
      <x v="38"/>
    </i>
    <i>
      <x v="93"/>
    </i>
    <i>
      <x v="75"/>
    </i>
    <i>
      <x v="94"/>
    </i>
    <i>
      <x v="41"/>
    </i>
    <i>
      <x v="95"/>
    </i>
    <i>
      <x v="212"/>
    </i>
    <i>
      <x v="11"/>
    </i>
    <i>
      <x v="81"/>
    </i>
    <i>
      <x v="97"/>
    </i>
    <i>
      <x v="154"/>
    </i>
    <i>
      <x v="98"/>
    </i>
    <i>
      <x v="158"/>
    </i>
    <i>
      <x v="99"/>
    </i>
    <i>
      <x v="68"/>
    </i>
    <i>
      <x v="100"/>
    </i>
    <i>
      <x v="166"/>
    </i>
    <i>
      <x v="13"/>
    </i>
    <i>
      <x v="51"/>
    </i>
    <i>
      <x v="102"/>
    </i>
    <i>
      <x v="174"/>
    </i>
    <i>
      <x v="103"/>
    </i>
    <i>
      <x v="178"/>
    </i>
    <i>
      <x v="48"/>
    </i>
    <i>
      <x v="35"/>
    </i>
    <i>
      <x v="105"/>
    </i>
    <i>
      <x v="53"/>
    </i>
    <i>
      <x v="106"/>
    </i>
    <i>
      <x v="190"/>
    </i>
    <i>
      <x v="107"/>
    </i>
    <i>
      <x v="194"/>
    </i>
    <i>
      <x v="108"/>
    </i>
    <i>
      <x v="198"/>
    </i>
    <i>
      <x v="109"/>
    </i>
    <i>
      <x v="77"/>
    </i>
    <i>
      <x v="110"/>
    </i>
    <i>
      <x v="206"/>
    </i>
    <i>
      <x/>
    </i>
    <i>
      <x v="79"/>
    </i>
    <i>
      <x v="49"/>
    </i>
    <i>
      <x v="214"/>
    </i>
    <i>
      <x v="59"/>
    </i>
    <i>
      <x v="218"/>
    </i>
    <i>
      <x v="114"/>
    </i>
    <i>
      <x v="151"/>
    </i>
    <i>
      <x v="115"/>
    </i>
    <i>
      <x v="153"/>
    </i>
    <i>
      <x v="116"/>
    </i>
    <i>
      <x v="66"/>
    </i>
    <i>
      <x v="14"/>
    </i>
    <i>
      <x v="157"/>
    </i>
    <i>
      <x v="15"/>
    </i>
    <i>
      <x v="159"/>
    </i>
    <i>
      <x v="119"/>
    </i>
    <i>
      <x v="1"/>
    </i>
    <i>
      <x v="120"/>
    </i>
    <i>
      <x v="32"/>
    </i>
    <i>
      <x v="121"/>
    </i>
    <i>
      <x v="165"/>
    </i>
    <i>
      <x v="122"/>
    </i>
    <i>
      <x v="5"/>
    </i>
    <i>
      <x v="123"/>
    </i>
    <i>
      <x v="169"/>
    </i>
    <i>
      <x v="22"/>
    </i>
    <i>
      <x v="171"/>
    </i>
    <i>
      <x v="125"/>
    </i>
    <i>
      <x v="173"/>
    </i>
    <i>
      <x v="62"/>
    </i>
    <i>
      <x v="175"/>
    </i>
    <i>
      <x v="127"/>
    </i>
    <i>
      <x v="177"/>
    </i>
    <i>
      <x v="23"/>
    </i>
    <i>
      <x v="179"/>
    </i>
    <i>
      <x v="24"/>
    </i>
    <i>
      <x v="181"/>
    </i>
    <i>
      <x v="130"/>
    </i>
    <i>
      <x v="36"/>
    </i>
    <i>
      <x v="131"/>
    </i>
    <i>
      <x v="185"/>
    </i>
    <i>
      <x v="44"/>
    </i>
    <i>
      <x v="187"/>
    </i>
    <i>
      <x v="63"/>
    </i>
    <i>
      <x v="17"/>
    </i>
    <i>
      <x v="45"/>
    </i>
    <i>
      <x v="191"/>
    </i>
    <i>
      <x v="135"/>
    </i>
    <i>
      <x v="73"/>
    </i>
    <i>
      <x v="64"/>
    </i>
    <i>
      <x v="12"/>
    </i>
    <i>
      <x v="137"/>
    </i>
    <i>
      <x v="39"/>
    </i>
    <i>
      <x v="138"/>
    </i>
    <i>
      <x v="199"/>
    </i>
    <i>
      <x v="139"/>
    </i>
    <i>
      <x v="76"/>
    </i>
    <i>
      <x v="140"/>
    </i>
    <i>
      <x v="78"/>
    </i>
    <i>
      <x v="141"/>
    </i>
    <i>
      <x v="205"/>
    </i>
    <i>
      <x v="142"/>
    </i>
    <i>
      <x v="207"/>
    </i>
    <i>
      <x v="25"/>
    </i>
    <i>
      <x v="209"/>
    </i>
    <i>
      <x v="2"/>
    </i>
    <i>
      <x v="80"/>
    </i>
    <i>
      <x v="145"/>
    </i>
    <i>
      <x v="213"/>
    </i>
    <i>
      <x v="146"/>
    </i>
    <i>
      <x v="215"/>
    </i>
    <i>
      <x v="147"/>
    </i>
    <i>
      <x v="217"/>
    </i>
    <i>
      <x v="27"/>
    </i>
    <i>
      <x v="219"/>
    </i>
    <i>
      <x v="3"/>
    </i>
    <i>
      <x v="150"/>
    </i>
    <i>
      <x v="132"/>
    </i>
    <i>
      <x v="223"/>
    </i>
    <i>
      <x v="133"/>
    </i>
    <i>
      <x v="134"/>
    </i>
    <i t="grand">
      <x/>
    </i>
  </rowItems>
  <colItems count="1">
    <i/>
  </colItems>
  <dataFields count="1">
    <dataField name="Count of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70788-E125-43B7-BD61-CE95D5A33708}">
  <dimension ref="A1:B1048576"/>
  <sheetViews>
    <sheetView topLeftCell="A90" workbookViewId="0">
      <selection activeCell="A160" sqref="A160"/>
    </sheetView>
  </sheetViews>
  <sheetFormatPr defaultRowHeight="15" x14ac:dyDescent="0.25"/>
  <cols>
    <col min="1" max="1" width="133.42578125" bestFit="1" customWidth="1"/>
    <col min="2" max="2" width="14.7109375" bestFit="1" customWidth="1"/>
  </cols>
  <sheetData>
    <row r="1" spans="1:2" x14ac:dyDescent="0.25">
      <c r="A1" s="1" t="s">
        <v>826</v>
      </c>
      <c r="B1" t="s">
        <v>828</v>
      </c>
    </row>
    <row r="2" spans="1:2" x14ac:dyDescent="0.25">
      <c r="A2" s="2" t="s">
        <v>604</v>
      </c>
      <c r="B2">
        <v>34</v>
      </c>
    </row>
    <row r="3" spans="1:2" x14ac:dyDescent="0.25">
      <c r="A3" s="2" t="s">
        <v>628</v>
      </c>
      <c r="B3">
        <v>31</v>
      </c>
    </row>
    <row r="4" spans="1:2" x14ac:dyDescent="0.25">
      <c r="A4" s="2" t="s">
        <v>648</v>
      </c>
      <c r="B4">
        <v>25</v>
      </c>
    </row>
    <row r="5" spans="1:2" x14ac:dyDescent="0.25">
      <c r="A5" s="2" t="s">
        <v>633</v>
      </c>
      <c r="B5">
        <v>21</v>
      </c>
    </row>
    <row r="6" spans="1:2" x14ac:dyDescent="0.25">
      <c r="A6" s="2" t="s">
        <v>630</v>
      </c>
      <c r="B6">
        <v>20</v>
      </c>
    </row>
    <row r="7" spans="1:2" x14ac:dyDescent="0.25">
      <c r="A7" s="2" t="s">
        <v>647</v>
      </c>
      <c r="B7">
        <v>15</v>
      </c>
    </row>
    <row r="8" spans="1:2" x14ac:dyDescent="0.25">
      <c r="A8" s="2" t="s">
        <v>624</v>
      </c>
      <c r="B8">
        <v>14</v>
      </c>
    </row>
    <row r="9" spans="1:2" x14ac:dyDescent="0.25">
      <c r="A9" s="2" t="s">
        <v>610</v>
      </c>
      <c r="B9">
        <v>14</v>
      </c>
    </row>
    <row r="10" spans="1:2" x14ac:dyDescent="0.25">
      <c r="A10" s="2" t="s">
        <v>659</v>
      </c>
      <c r="B10">
        <v>14</v>
      </c>
    </row>
    <row r="11" spans="1:2" x14ac:dyDescent="0.25">
      <c r="A11" s="2" t="s">
        <v>621</v>
      </c>
      <c r="B11">
        <v>12</v>
      </c>
    </row>
    <row r="12" spans="1:2" x14ac:dyDescent="0.25">
      <c r="A12" s="2" t="s">
        <v>656</v>
      </c>
      <c r="B12">
        <v>12</v>
      </c>
    </row>
    <row r="13" spans="1:2" x14ac:dyDescent="0.25">
      <c r="A13" s="2" t="s">
        <v>637</v>
      </c>
      <c r="B13">
        <v>10</v>
      </c>
    </row>
    <row r="14" spans="1:2" x14ac:dyDescent="0.25">
      <c r="A14" s="2" t="s">
        <v>700</v>
      </c>
      <c r="B14">
        <v>9</v>
      </c>
    </row>
    <row r="15" spans="1:2" x14ac:dyDescent="0.25">
      <c r="A15" s="2" t="s">
        <v>646</v>
      </c>
      <c r="B15">
        <v>9</v>
      </c>
    </row>
    <row r="16" spans="1:2" x14ac:dyDescent="0.25">
      <c r="A16" s="2" t="s">
        <v>602</v>
      </c>
      <c r="B16">
        <v>8</v>
      </c>
    </row>
    <row r="17" spans="1:2" x14ac:dyDescent="0.25">
      <c r="A17" s="2" t="s">
        <v>661</v>
      </c>
      <c r="B17">
        <v>8</v>
      </c>
    </row>
    <row r="18" spans="1:2" x14ac:dyDescent="0.25">
      <c r="A18" s="2" t="s">
        <v>740</v>
      </c>
      <c r="B18">
        <v>8</v>
      </c>
    </row>
    <row r="19" spans="1:2" x14ac:dyDescent="0.25">
      <c r="A19" s="2" t="s">
        <v>615</v>
      </c>
      <c r="B19">
        <v>8</v>
      </c>
    </row>
    <row r="20" spans="1:2" x14ac:dyDescent="0.25">
      <c r="A20" s="2" t="s">
        <v>629</v>
      </c>
      <c r="B20">
        <v>7</v>
      </c>
    </row>
    <row r="21" spans="1:2" x14ac:dyDescent="0.25">
      <c r="A21" s="2" t="s">
        <v>678</v>
      </c>
      <c r="B21">
        <v>6</v>
      </c>
    </row>
    <row r="22" spans="1:2" x14ac:dyDescent="0.25">
      <c r="A22" s="2" t="s">
        <v>639</v>
      </c>
      <c r="B22">
        <v>6</v>
      </c>
    </row>
    <row r="23" spans="1:2" x14ac:dyDescent="0.25">
      <c r="A23" s="2" t="s">
        <v>660</v>
      </c>
      <c r="B23">
        <v>6</v>
      </c>
    </row>
    <row r="24" spans="1:2" x14ac:dyDescent="0.25">
      <c r="A24" s="2" t="s">
        <v>606</v>
      </c>
      <c r="B24">
        <v>6</v>
      </c>
    </row>
    <row r="25" spans="1:2" x14ac:dyDescent="0.25">
      <c r="A25" s="2" t="s">
        <v>609</v>
      </c>
      <c r="B25">
        <v>6</v>
      </c>
    </row>
    <row r="26" spans="1:2" x14ac:dyDescent="0.25">
      <c r="A26" s="2" t="s">
        <v>611</v>
      </c>
      <c r="B26">
        <v>5</v>
      </c>
    </row>
    <row r="27" spans="1:2" x14ac:dyDescent="0.25">
      <c r="A27" s="2" t="s">
        <v>821</v>
      </c>
      <c r="B27">
        <v>5</v>
      </c>
    </row>
    <row r="28" spans="1:2" x14ac:dyDescent="0.25">
      <c r="A28" s="2" t="s">
        <v>616</v>
      </c>
      <c r="B28">
        <v>5</v>
      </c>
    </row>
    <row r="29" spans="1:2" x14ac:dyDescent="0.25">
      <c r="A29" s="2" t="s">
        <v>642</v>
      </c>
      <c r="B29">
        <v>5</v>
      </c>
    </row>
    <row r="30" spans="1:2" x14ac:dyDescent="0.25">
      <c r="A30" s="2" t="s">
        <v>619</v>
      </c>
      <c r="B30">
        <v>4</v>
      </c>
    </row>
    <row r="31" spans="1:2" x14ac:dyDescent="0.25">
      <c r="A31" s="2" t="s">
        <v>636</v>
      </c>
      <c r="B31">
        <v>4</v>
      </c>
    </row>
    <row r="32" spans="1:2" x14ac:dyDescent="0.25">
      <c r="A32" s="2" t="s">
        <v>704</v>
      </c>
      <c r="B32">
        <v>4</v>
      </c>
    </row>
    <row r="33" spans="1:2" x14ac:dyDescent="0.25">
      <c r="A33" s="2" t="s">
        <v>645</v>
      </c>
      <c r="B33">
        <v>4</v>
      </c>
    </row>
    <row r="34" spans="1:2" x14ac:dyDescent="0.25">
      <c r="A34" s="2" t="s">
        <v>694</v>
      </c>
      <c r="B34">
        <v>4</v>
      </c>
    </row>
    <row r="35" spans="1:2" x14ac:dyDescent="0.25">
      <c r="A35" s="2" t="s">
        <v>671</v>
      </c>
      <c r="B35">
        <v>3</v>
      </c>
    </row>
    <row r="36" spans="1:2" x14ac:dyDescent="0.25">
      <c r="A36" s="2" t="s">
        <v>668</v>
      </c>
      <c r="B36">
        <v>3</v>
      </c>
    </row>
    <row r="37" spans="1:2" x14ac:dyDescent="0.25">
      <c r="A37" s="2" t="s">
        <v>764</v>
      </c>
      <c r="B37">
        <v>3</v>
      </c>
    </row>
    <row r="38" spans="1:2" x14ac:dyDescent="0.25">
      <c r="A38" s="2" t="s">
        <v>748</v>
      </c>
      <c r="B38">
        <v>3</v>
      </c>
    </row>
    <row r="39" spans="1:2" x14ac:dyDescent="0.25">
      <c r="A39" s="2" t="s">
        <v>635</v>
      </c>
      <c r="B39">
        <v>3</v>
      </c>
    </row>
    <row r="40" spans="1:2" x14ac:dyDescent="0.25">
      <c r="A40" s="2" t="s">
        <v>643</v>
      </c>
      <c r="B40">
        <v>3</v>
      </c>
    </row>
    <row r="41" spans="1:2" x14ac:dyDescent="0.25">
      <c r="A41" s="2" t="s">
        <v>771</v>
      </c>
      <c r="B41">
        <v>3</v>
      </c>
    </row>
    <row r="42" spans="1:2" x14ac:dyDescent="0.25">
      <c r="A42" s="2" t="s">
        <v>612</v>
      </c>
      <c r="B42">
        <v>3</v>
      </c>
    </row>
    <row r="43" spans="1:2" x14ac:dyDescent="0.25">
      <c r="A43" s="2" t="s">
        <v>663</v>
      </c>
      <c r="B43">
        <v>3</v>
      </c>
    </row>
    <row r="44" spans="1:2" x14ac:dyDescent="0.25">
      <c r="A44" s="2" t="s">
        <v>641</v>
      </c>
      <c r="B44">
        <v>3</v>
      </c>
    </row>
    <row r="45" spans="1:2" x14ac:dyDescent="0.25">
      <c r="A45" s="2" t="s">
        <v>655</v>
      </c>
      <c r="B45">
        <v>3</v>
      </c>
    </row>
    <row r="46" spans="1:2" x14ac:dyDescent="0.25">
      <c r="A46" s="2" t="s">
        <v>640</v>
      </c>
      <c r="B46">
        <v>3</v>
      </c>
    </row>
    <row r="47" spans="1:2" x14ac:dyDescent="0.25">
      <c r="A47" s="2" t="s">
        <v>731</v>
      </c>
      <c r="B47">
        <v>2</v>
      </c>
    </row>
    <row r="48" spans="1:2" x14ac:dyDescent="0.25">
      <c r="A48" s="2" t="s">
        <v>722</v>
      </c>
      <c r="B48">
        <v>2</v>
      </c>
    </row>
    <row r="49" spans="1:2" x14ac:dyDescent="0.25">
      <c r="A49" s="2" t="s">
        <v>618</v>
      </c>
      <c r="B49">
        <v>2</v>
      </c>
    </row>
    <row r="50" spans="1:2" x14ac:dyDescent="0.25">
      <c r="A50" s="2" t="s">
        <v>786</v>
      </c>
      <c r="B50">
        <v>2</v>
      </c>
    </row>
    <row r="51" spans="1:2" x14ac:dyDescent="0.25">
      <c r="A51" s="2" t="s">
        <v>774</v>
      </c>
      <c r="B51">
        <v>2</v>
      </c>
    </row>
    <row r="52" spans="1:2" x14ac:dyDescent="0.25">
      <c r="A52" s="2" t="s">
        <v>634</v>
      </c>
      <c r="B52">
        <v>2</v>
      </c>
    </row>
    <row r="53" spans="1:2" x14ac:dyDescent="0.25">
      <c r="A53" s="2" t="s">
        <v>751</v>
      </c>
      <c r="B53">
        <v>2</v>
      </c>
    </row>
    <row r="54" spans="1:2" x14ac:dyDescent="0.25">
      <c r="A54" s="2" t="s">
        <v>791</v>
      </c>
      <c r="B54">
        <v>2</v>
      </c>
    </row>
    <row r="55" spans="1:2" x14ac:dyDescent="0.25">
      <c r="A55" s="2" t="s">
        <v>770</v>
      </c>
      <c r="B55">
        <v>2</v>
      </c>
    </row>
    <row r="56" spans="1:2" x14ac:dyDescent="0.25">
      <c r="A56" s="2" t="s">
        <v>796</v>
      </c>
      <c r="B56">
        <v>2</v>
      </c>
    </row>
    <row r="57" spans="1:2" x14ac:dyDescent="0.25">
      <c r="A57" s="2" t="s">
        <v>749</v>
      </c>
      <c r="B57">
        <v>2</v>
      </c>
    </row>
    <row r="58" spans="1:2" x14ac:dyDescent="0.25">
      <c r="A58" s="2" t="s">
        <v>626</v>
      </c>
      <c r="B58">
        <v>2</v>
      </c>
    </row>
    <row r="59" spans="1:2" x14ac:dyDescent="0.25">
      <c r="A59" s="2" t="s">
        <v>699</v>
      </c>
      <c r="B59">
        <v>2</v>
      </c>
    </row>
    <row r="60" spans="1:2" x14ac:dyDescent="0.25">
      <c r="A60" s="2" t="s">
        <v>623</v>
      </c>
      <c r="B60">
        <v>2</v>
      </c>
    </row>
    <row r="61" spans="1:2" x14ac:dyDescent="0.25">
      <c r="A61" s="2" t="s">
        <v>658</v>
      </c>
      <c r="B61">
        <v>2</v>
      </c>
    </row>
    <row r="62" spans="1:2" x14ac:dyDescent="0.25">
      <c r="A62" s="2" t="s">
        <v>681</v>
      </c>
      <c r="B62">
        <v>2</v>
      </c>
    </row>
    <row r="63" spans="1:2" x14ac:dyDescent="0.25">
      <c r="A63" s="2" t="s">
        <v>782</v>
      </c>
      <c r="B63">
        <v>2</v>
      </c>
    </row>
    <row r="64" spans="1:2" x14ac:dyDescent="0.25">
      <c r="A64" s="2" t="s">
        <v>683</v>
      </c>
      <c r="B64">
        <v>2</v>
      </c>
    </row>
    <row r="65" spans="1:2" x14ac:dyDescent="0.25">
      <c r="A65" s="2" t="s">
        <v>687</v>
      </c>
      <c r="B65">
        <v>2</v>
      </c>
    </row>
    <row r="66" spans="1:2" x14ac:dyDescent="0.25">
      <c r="A66" s="2" t="s">
        <v>651</v>
      </c>
      <c r="B66">
        <v>2</v>
      </c>
    </row>
    <row r="67" spans="1:2" x14ac:dyDescent="0.25">
      <c r="A67" s="2" t="s">
        <v>735</v>
      </c>
      <c r="B67">
        <v>2</v>
      </c>
    </row>
    <row r="68" spans="1:2" x14ac:dyDescent="0.25">
      <c r="A68" s="2" t="s">
        <v>677</v>
      </c>
      <c r="B68">
        <v>2</v>
      </c>
    </row>
    <row r="69" spans="1:2" x14ac:dyDescent="0.25">
      <c r="A69" s="2" t="s">
        <v>766</v>
      </c>
      <c r="B69">
        <v>2</v>
      </c>
    </row>
    <row r="70" spans="1:2" x14ac:dyDescent="0.25">
      <c r="A70" s="2" t="s">
        <v>662</v>
      </c>
      <c r="B70">
        <v>2</v>
      </c>
    </row>
    <row r="71" spans="1:2" x14ac:dyDescent="0.25">
      <c r="A71" s="2" t="s">
        <v>605</v>
      </c>
      <c r="B71">
        <v>2</v>
      </c>
    </row>
    <row r="72" spans="1:2" x14ac:dyDescent="0.25">
      <c r="A72" s="2" t="s">
        <v>613</v>
      </c>
      <c r="B72">
        <v>2</v>
      </c>
    </row>
    <row r="73" spans="1:2" x14ac:dyDescent="0.25">
      <c r="A73" s="2" t="s">
        <v>632</v>
      </c>
      <c r="B73">
        <v>2</v>
      </c>
    </row>
    <row r="74" spans="1:2" x14ac:dyDescent="0.25">
      <c r="A74" s="2" t="s">
        <v>695</v>
      </c>
      <c r="B74">
        <v>2</v>
      </c>
    </row>
    <row r="75" spans="1:2" x14ac:dyDescent="0.25">
      <c r="A75" s="2" t="s">
        <v>673</v>
      </c>
      <c r="B75">
        <v>2</v>
      </c>
    </row>
    <row r="76" spans="1:2" x14ac:dyDescent="0.25">
      <c r="A76" s="2" t="s">
        <v>649</v>
      </c>
      <c r="B76">
        <v>2</v>
      </c>
    </row>
    <row r="77" spans="1:2" x14ac:dyDescent="0.25">
      <c r="A77" s="2" t="s">
        <v>701</v>
      </c>
      <c r="B77">
        <v>2</v>
      </c>
    </row>
    <row r="78" spans="1:2" x14ac:dyDescent="0.25">
      <c r="A78" s="2" t="s">
        <v>607</v>
      </c>
      <c r="B78">
        <v>2</v>
      </c>
    </row>
    <row r="79" spans="1:2" x14ac:dyDescent="0.25">
      <c r="A79" s="2" t="s">
        <v>650</v>
      </c>
      <c r="B79">
        <v>2</v>
      </c>
    </row>
    <row r="80" spans="1:2" x14ac:dyDescent="0.25">
      <c r="A80" s="2" t="s">
        <v>638</v>
      </c>
      <c r="B80">
        <v>2</v>
      </c>
    </row>
    <row r="81" spans="1:2" x14ac:dyDescent="0.25">
      <c r="A81" s="2" t="s">
        <v>614</v>
      </c>
      <c r="B81">
        <v>2</v>
      </c>
    </row>
    <row r="82" spans="1:2" x14ac:dyDescent="0.25">
      <c r="A82" s="2" t="s">
        <v>713</v>
      </c>
      <c r="B82">
        <v>2</v>
      </c>
    </row>
    <row r="83" spans="1:2" x14ac:dyDescent="0.25">
      <c r="A83" s="2" t="s">
        <v>692</v>
      </c>
      <c r="B83">
        <v>1</v>
      </c>
    </row>
    <row r="84" spans="1:2" x14ac:dyDescent="0.25">
      <c r="A84" s="2" t="s">
        <v>750</v>
      </c>
      <c r="B84">
        <v>1</v>
      </c>
    </row>
    <row r="85" spans="1:2" x14ac:dyDescent="0.25">
      <c r="A85" s="2" t="s">
        <v>813</v>
      </c>
      <c r="B85">
        <v>1</v>
      </c>
    </row>
    <row r="86" spans="1:2" x14ac:dyDescent="0.25">
      <c r="A86" s="2" t="s">
        <v>631</v>
      </c>
      <c r="B86">
        <v>1</v>
      </c>
    </row>
    <row r="87" spans="1:2" x14ac:dyDescent="0.25">
      <c r="A87" s="2" t="s">
        <v>669</v>
      </c>
      <c r="B87">
        <v>1</v>
      </c>
    </row>
    <row r="88" spans="1:2" x14ac:dyDescent="0.25">
      <c r="A88" s="2" t="s">
        <v>710</v>
      </c>
      <c r="B88">
        <v>1</v>
      </c>
    </row>
    <row r="89" spans="1:2" x14ac:dyDescent="0.25">
      <c r="A89" s="2" t="s">
        <v>714</v>
      </c>
      <c r="B89">
        <v>1</v>
      </c>
    </row>
    <row r="90" spans="1:2" x14ac:dyDescent="0.25">
      <c r="A90" s="2" t="s">
        <v>603</v>
      </c>
      <c r="B90">
        <v>1</v>
      </c>
    </row>
    <row r="91" spans="1:2" x14ac:dyDescent="0.25">
      <c r="A91" s="2" t="s">
        <v>691</v>
      </c>
      <c r="B91">
        <v>1</v>
      </c>
    </row>
    <row r="92" spans="1:2" x14ac:dyDescent="0.25">
      <c r="A92" s="2" t="s">
        <v>824</v>
      </c>
      <c r="B92">
        <v>1</v>
      </c>
    </row>
    <row r="93" spans="1:2" x14ac:dyDescent="0.25">
      <c r="A93" s="2" t="s">
        <v>754</v>
      </c>
      <c r="B93">
        <v>1</v>
      </c>
    </row>
    <row r="94" spans="1:2" x14ac:dyDescent="0.25">
      <c r="A94" s="2" t="s">
        <v>708</v>
      </c>
      <c r="B94">
        <v>1</v>
      </c>
    </row>
    <row r="95" spans="1:2" x14ac:dyDescent="0.25">
      <c r="A95" s="2" t="s">
        <v>760</v>
      </c>
      <c r="B95">
        <v>1</v>
      </c>
    </row>
    <row r="96" spans="1:2" x14ac:dyDescent="0.25">
      <c r="A96" s="2" t="s">
        <v>703</v>
      </c>
      <c r="B96">
        <v>1</v>
      </c>
    </row>
    <row r="97" spans="1:2" x14ac:dyDescent="0.25">
      <c r="A97" s="2" t="s">
        <v>789</v>
      </c>
      <c r="B97">
        <v>1</v>
      </c>
    </row>
    <row r="98" spans="1:2" x14ac:dyDescent="0.25">
      <c r="A98" s="2" t="s">
        <v>762</v>
      </c>
      <c r="B98">
        <v>1</v>
      </c>
    </row>
    <row r="99" spans="1:2" x14ac:dyDescent="0.25">
      <c r="A99" s="2" t="s">
        <v>733</v>
      </c>
      <c r="B99">
        <v>1</v>
      </c>
    </row>
    <row r="100" spans="1:2" x14ac:dyDescent="0.25">
      <c r="A100" s="2" t="s">
        <v>825</v>
      </c>
      <c r="B100">
        <v>1</v>
      </c>
    </row>
    <row r="101" spans="1:2" x14ac:dyDescent="0.25">
      <c r="A101" s="2" t="s">
        <v>608</v>
      </c>
      <c r="B101">
        <v>1</v>
      </c>
    </row>
    <row r="102" spans="1:2" x14ac:dyDescent="0.25">
      <c r="A102" s="2" t="s">
        <v>742</v>
      </c>
      <c r="B102">
        <v>1</v>
      </c>
    </row>
    <row r="103" spans="1:2" x14ac:dyDescent="0.25">
      <c r="A103" s="2" t="s">
        <v>716</v>
      </c>
      <c r="B103">
        <v>1</v>
      </c>
    </row>
    <row r="104" spans="1:2" x14ac:dyDescent="0.25">
      <c r="A104" s="2" t="s">
        <v>819</v>
      </c>
      <c r="B104">
        <v>1</v>
      </c>
    </row>
    <row r="105" spans="1:2" x14ac:dyDescent="0.25">
      <c r="A105" s="2" t="s">
        <v>787</v>
      </c>
      <c r="B105">
        <v>1</v>
      </c>
    </row>
    <row r="106" spans="1:2" x14ac:dyDescent="0.25">
      <c r="A106" s="2" t="s">
        <v>652</v>
      </c>
      <c r="B106">
        <v>1</v>
      </c>
    </row>
    <row r="107" spans="1:2" x14ac:dyDescent="0.25">
      <c r="A107" s="2" t="s">
        <v>717</v>
      </c>
      <c r="B107">
        <v>1</v>
      </c>
    </row>
    <row r="108" spans="1:2" x14ac:dyDescent="0.25">
      <c r="A108" s="2" t="s">
        <v>776</v>
      </c>
      <c r="B108">
        <v>1</v>
      </c>
    </row>
    <row r="109" spans="1:2" x14ac:dyDescent="0.25">
      <c r="A109" s="2" t="s">
        <v>784</v>
      </c>
      <c r="B109">
        <v>1</v>
      </c>
    </row>
    <row r="110" spans="1:2" x14ac:dyDescent="0.25">
      <c r="A110" s="2" t="s">
        <v>785</v>
      </c>
      <c r="B110">
        <v>1</v>
      </c>
    </row>
    <row r="111" spans="1:2" x14ac:dyDescent="0.25">
      <c r="A111" s="2" t="s">
        <v>730</v>
      </c>
      <c r="B111">
        <v>1</v>
      </c>
    </row>
    <row r="112" spans="1:2" x14ac:dyDescent="0.25">
      <c r="A112" s="2" t="s">
        <v>679</v>
      </c>
      <c r="B112">
        <v>1</v>
      </c>
    </row>
    <row r="113" spans="1:2" x14ac:dyDescent="0.25">
      <c r="A113" s="2" t="s">
        <v>657</v>
      </c>
      <c r="B113">
        <v>1</v>
      </c>
    </row>
    <row r="114" spans="1:2" x14ac:dyDescent="0.25">
      <c r="A114" s="2" t="s">
        <v>817</v>
      </c>
      <c r="B114">
        <v>1</v>
      </c>
    </row>
    <row r="115" spans="1:2" x14ac:dyDescent="0.25">
      <c r="A115" s="2" t="s">
        <v>804</v>
      </c>
      <c r="B115">
        <v>1</v>
      </c>
    </row>
    <row r="116" spans="1:2" x14ac:dyDescent="0.25">
      <c r="A116" s="2" t="s">
        <v>783</v>
      </c>
      <c r="B116">
        <v>1</v>
      </c>
    </row>
    <row r="117" spans="1:2" x14ac:dyDescent="0.25">
      <c r="A117" s="2" t="s">
        <v>757</v>
      </c>
      <c r="B117">
        <v>1</v>
      </c>
    </row>
    <row r="118" spans="1:2" x14ac:dyDescent="0.25">
      <c r="A118" s="2" t="s">
        <v>815</v>
      </c>
      <c r="B118">
        <v>1</v>
      </c>
    </row>
    <row r="119" spans="1:2" x14ac:dyDescent="0.25">
      <c r="A119" s="2" t="s">
        <v>737</v>
      </c>
      <c r="B119">
        <v>1</v>
      </c>
    </row>
    <row r="120" spans="1:2" x14ac:dyDescent="0.25">
      <c r="A120" s="2" t="s">
        <v>705</v>
      </c>
      <c r="B120">
        <v>1</v>
      </c>
    </row>
    <row r="121" spans="1:2" x14ac:dyDescent="0.25">
      <c r="A121" s="2" t="s">
        <v>627</v>
      </c>
      <c r="B121">
        <v>1</v>
      </c>
    </row>
    <row r="122" spans="1:2" x14ac:dyDescent="0.25">
      <c r="A122" s="2" t="s">
        <v>664</v>
      </c>
      <c r="B122">
        <v>1</v>
      </c>
    </row>
    <row r="123" spans="1:2" x14ac:dyDescent="0.25">
      <c r="A123" s="2" t="s">
        <v>653</v>
      </c>
      <c r="B123">
        <v>1</v>
      </c>
    </row>
    <row r="124" spans="1:2" x14ac:dyDescent="0.25">
      <c r="A124" s="2" t="s">
        <v>807</v>
      </c>
      <c r="B124">
        <v>1</v>
      </c>
    </row>
    <row r="125" spans="1:2" x14ac:dyDescent="0.25">
      <c r="A125" s="2" t="s">
        <v>810</v>
      </c>
      <c r="B125">
        <v>1</v>
      </c>
    </row>
    <row r="126" spans="1:2" x14ac:dyDescent="0.25">
      <c r="A126" s="2" t="s">
        <v>814</v>
      </c>
      <c r="B126">
        <v>1</v>
      </c>
    </row>
    <row r="127" spans="1:2" x14ac:dyDescent="0.25">
      <c r="A127" s="2" t="s">
        <v>801</v>
      </c>
      <c r="B127">
        <v>1</v>
      </c>
    </row>
    <row r="128" spans="1:2" x14ac:dyDescent="0.25">
      <c r="A128" s="2" t="s">
        <v>676</v>
      </c>
      <c r="B128">
        <v>1</v>
      </c>
    </row>
    <row r="129" spans="1:2" x14ac:dyDescent="0.25">
      <c r="A129" s="2" t="s">
        <v>763</v>
      </c>
      <c r="B129">
        <v>1</v>
      </c>
    </row>
    <row r="130" spans="1:2" x14ac:dyDescent="0.25">
      <c r="A130" s="2" t="s">
        <v>777</v>
      </c>
      <c r="B130">
        <v>1</v>
      </c>
    </row>
    <row r="131" spans="1:2" x14ac:dyDescent="0.25">
      <c r="A131" s="2" t="s">
        <v>732</v>
      </c>
      <c r="B131">
        <v>1</v>
      </c>
    </row>
    <row r="132" spans="1:2" x14ac:dyDescent="0.25">
      <c r="A132" s="2" t="s">
        <v>765</v>
      </c>
      <c r="B132">
        <v>1</v>
      </c>
    </row>
    <row r="133" spans="1:2" x14ac:dyDescent="0.25">
      <c r="A133" s="2" t="s">
        <v>665</v>
      </c>
      <c r="B133">
        <v>1</v>
      </c>
    </row>
    <row r="134" spans="1:2" x14ac:dyDescent="0.25">
      <c r="A134" s="2" t="s">
        <v>805</v>
      </c>
      <c r="B134">
        <v>1</v>
      </c>
    </row>
    <row r="135" spans="1:2" x14ac:dyDescent="0.25">
      <c r="A135" s="2" t="s">
        <v>685</v>
      </c>
      <c r="B135">
        <v>1</v>
      </c>
    </row>
    <row r="136" spans="1:2" x14ac:dyDescent="0.25">
      <c r="A136" s="2" t="s">
        <v>741</v>
      </c>
      <c r="B136">
        <v>1</v>
      </c>
    </row>
    <row r="137" spans="1:2" x14ac:dyDescent="0.25">
      <c r="A137" s="2" t="s">
        <v>684</v>
      </c>
      <c r="B137">
        <v>1</v>
      </c>
    </row>
    <row r="138" spans="1:2" x14ac:dyDescent="0.25">
      <c r="A138" s="2" t="s">
        <v>617</v>
      </c>
      <c r="B138">
        <v>1</v>
      </c>
    </row>
    <row r="139" spans="1:2" x14ac:dyDescent="0.25">
      <c r="A139" s="2" t="s">
        <v>803</v>
      </c>
      <c r="B139">
        <v>1</v>
      </c>
    </row>
    <row r="140" spans="1:2" x14ac:dyDescent="0.25">
      <c r="A140" s="2" t="s">
        <v>675</v>
      </c>
      <c r="B140">
        <v>1</v>
      </c>
    </row>
    <row r="141" spans="1:2" x14ac:dyDescent="0.25">
      <c r="A141" s="2" t="s">
        <v>680</v>
      </c>
      <c r="B141">
        <v>1</v>
      </c>
    </row>
    <row r="142" spans="1:2" x14ac:dyDescent="0.25">
      <c r="A142" s="2" t="s">
        <v>707</v>
      </c>
      <c r="B142">
        <v>1</v>
      </c>
    </row>
    <row r="143" spans="1:2" x14ac:dyDescent="0.25">
      <c r="A143" s="2" t="s">
        <v>773</v>
      </c>
      <c r="B143">
        <v>1</v>
      </c>
    </row>
    <row r="144" spans="1:2" x14ac:dyDescent="0.25">
      <c r="A144" s="2" t="s">
        <v>745</v>
      </c>
      <c r="B144">
        <v>1</v>
      </c>
    </row>
    <row r="145" spans="1:2" x14ac:dyDescent="0.25">
      <c r="A145" s="2" t="s">
        <v>698</v>
      </c>
      <c r="B145">
        <v>1</v>
      </c>
    </row>
    <row r="146" spans="1:2" x14ac:dyDescent="0.25">
      <c r="A146" s="2" t="s">
        <v>709</v>
      </c>
      <c r="B146">
        <v>1</v>
      </c>
    </row>
    <row r="147" spans="1:2" x14ac:dyDescent="0.25">
      <c r="A147" s="2" t="s">
        <v>674</v>
      </c>
      <c r="B147">
        <v>1</v>
      </c>
    </row>
    <row r="148" spans="1:2" x14ac:dyDescent="0.25">
      <c r="A148" s="2" t="s">
        <v>823</v>
      </c>
      <c r="B148">
        <v>1</v>
      </c>
    </row>
    <row r="149" spans="1:2" x14ac:dyDescent="0.25">
      <c r="A149" s="2" t="s">
        <v>811</v>
      </c>
      <c r="B149">
        <v>1</v>
      </c>
    </row>
    <row r="150" spans="1:2" x14ac:dyDescent="0.25">
      <c r="A150" s="2" t="s">
        <v>727</v>
      </c>
      <c r="B150">
        <v>1</v>
      </c>
    </row>
    <row r="151" spans="1:2" x14ac:dyDescent="0.25">
      <c r="A151" s="2" t="s">
        <v>780</v>
      </c>
      <c r="B151">
        <v>1</v>
      </c>
    </row>
    <row r="152" spans="1:2" x14ac:dyDescent="0.25">
      <c r="A152" s="2" t="s">
        <v>799</v>
      </c>
      <c r="B152">
        <v>1</v>
      </c>
    </row>
    <row r="153" spans="1:2" x14ac:dyDescent="0.25">
      <c r="A153" s="2" t="s">
        <v>693</v>
      </c>
      <c r="B153">
        <v>1</v>
      </c>
    </row>
    <row r="154" spans="1:2" x14ac:dyDescent="0.25">
      <c r="A154" s="2" t="s">
        <v>806</v>
      </c>
      <c r="B154">
        <v>1</v>
      </c>
    </row>
    <row r="155" spans="1:2" x14ac:dyDescent="0.25">
      <c r="A155" s="2" t="s">
        <v>820</v>
      </c>
      <c r="B155">
        <v>1</v>
      </c>
    </row>
    <row r="156" spans="1:2" x14ac:dyDescent="0.25">
      <c r="A156" s="2" t="s">
        <v>797</v>
      </c>
      <c r="B156">
        <v>1</v>
      </c>
    </row>
    <row r="157" spans="1:2" x14ac:dyDescent="0.25">
      <c r="A157" s="2" t="s">
        <v>719</v>
      </c>
      <c r="B157">
        <v>1</v>
      </c>
    </row>
    <row r="158" spans="1:2" x14ac:dyDescent="0.25">
      <c r="A158" s="2" t="s">
        <v>702</v>
      </c>
      <c r="B158">
        <v>1</v>
      </c>
    </row>
    <row r="159" spans="1:2" x14ac:dyDescent="0.25">
      <c r="A159" s="2" t="s">
        <v>712</v>
      </c>
      <c r="B159">
        <v>1</v>
      </c>
    </row>
    <row r="160" spans="1:2" x14ac:dyDescent="0.25">
      <c r="A160" s="2" t="s">
        <v>724</v>
      </c>
      <c r="B160">
        <v>1</v>
      </c>
    </row>
    <row r="161" spans="1:2" x14ac:dyDescent="0.25">
      <c r="A161" s="2" t="s">
        <v>723</v>
      </c>
      <c r="B161">
        <v>1</v>
      </c>
    </row>
    <row r="162" spans="1:2" x14ac:dyDescent="0.25">
      <c r="A162" s="2" t="s">
        <v>800</v>
      </c>
      <c r="B162">
        <v>1</v>
      </c>
    </row>
    <row r="163" spans="1:2" x14ac:dyDescent="0.25">
      <c r="A163" s="2" t="s">
        <v>688</v>
      </c>
      <c r="B163">
        <v>1</v>
      </c>
    </row>
    <row r="164" spans="1:2" x14ac:dyDescent="0.25">
      <c r="A164" s="2" t="s">
        <v>778</v>
      </c>
      <c r="B164">
        <v>1</v>
      </c>
    </row>
    <row r="165" spans="1:2" x14ac:dyDescent="0.25">
      <c r="A165" s="2" t="s">
        <v>682</v>
      </c>
      <c r="B165">
        <v>1</v>
      </c>
    </row>
    <row r="166" spans="1:2" x14ac:dyDescent="0.25">
      <c r="A166" s="2" t="s">
        <v>706</v>
      </c>
      <c r="B166">
        <v>1</v>
      </c>
    </row>
    <row r="167" spans="1:2" x14ac:dyDescent="0.25">
      <c r="A167" s="2" t="s">
        <v>790</v>
      </c>
      <c r="B167">
        <v>1</v>
      </c>
    </row>
    <row r="168" spans="1:2" x14ac:dyDescent="0.25">
      <c r="A168" s="2" t="s">
        <v>734</v>
      </c>
      <c r="B168">
        <v>1</v>
      </c>
    </row>
    <row r="169" spans="1:2" x14ac:dyDescent="0.25">
      <c r="A169" s="2" t="s">
        <v>715</v>
      </c>
      <c r="B169">
        <v>1</v>
      </c>
    </row>
    <row r="170" spans="1:2" x14ac:dyDescent="0.25">
      <c r="A170" s="2" t="s">
        <v>768</v>
      </c>
      <c r="B170">
        <v>1</v>
      </c>
    </row>
    <row r="171" spans="1:2" x14ac:dyDescent="0.25">
      <c r="A171" s="2" t="s">
        <v>798</v>
      </c>
      <c r="B171">
        <v>1</v>
      </c>
    </row>
    <row r="172" spans="1:2" x14ac:dyDescent="0.25">
      <c r="A172" s="2" t="s">
        <v>625</v>
      </c>
      <c r="B172">
        <v>1</v>
      </c>
    </row>
    <row r="173" spans="1:2" x14ac:dyDescent="0.25">
      <c r="A173" s="2" t="s">
        <v>689</v>
      </c>
      <c r="B173">
        <v>1</v>
      </c>
    </row>
    <row r="174" spans="1:2" x14ac:dyDescent="0.25">
      <c r="A174" s="2" t="s">
        <v>818</v>
      </c>
      <c r="B174">
        <v>1</v>
      </c>
    </row>
    <row r="175" spans="1:2" x14ac:dyDescent="0.25">
      <c r="A175" s="2" t="s">
        <v>666</v>
      </c>
      <c r="B175">
        <v>1</v>
      </c>
    </row>
    <row r="176" spans="1:2" x14ac:dyDescent="0.25">
      <c r="A176" s="2" t="s">
        <v>744</v>
      </c>
      <c r="B176">
        <v>1</v>
      </c>
    </row>
    <row r="177" spans="1:2" x14ac:dyDescent="0.25">
      <c r="A177" s="2" t="s">
        <v>794</v>
      </c>
      <c r="B177">
        <v>1</v>
      </c>
    </row>
    <row r="178" spans="1:2" x14ac:dyDescent="0.25">
      <c r="A178" s="2" t="s">
        <v>697</v>
      </c>
      <c r="B178">
        <v>1</v>
      </c>
    </row>
    <row r="179" spans="1:2" x14ac:dyDescent="0.25">
      <c r="A179" s="2" t="s">
        <v>739</v>
      </c>
      <c r="B179">
        <v>1</v>
      </c>
    </row>
    <row r="180" spans="1:2" x14ac:dyDescent="0.25">
      <c r="A180" s="2" t="s">
        <v>761</v>
      </c>
      <c r="B180">
        <v>1</v>
      </c>
    </row>
    <row r="181" spans="1:2" x14ac:dyDescent="0.25">
      <c r="A181" s="2" t="s">
        <v>759</v>
      </c>
      <c r="B181">
        <v>1</v>
      </c>
    </row>
    <row r="182" spans="1:2" x14ac:dyDescent="0.25">
      <c r="A182" s="2" t="s">
        <v>792</v>
      </c>
      <c r="B182">
        <v>1</v>
      </c>
    </row>
    <row r="183" spans="1:2" x14ac:dyDescent="0.25">
      <c r="A183" s="2" t="s">
        <v>690</v>
      </c>
      <c r="B183">
        <v>1</v>
      </c>
    </row>
    <row r="184" spans="1:2" x14ac:dyDescent="0.25">
      <c r="A184" s="2" t="s">
        <v>728</v>
      </c>
      <c r="B184">
        <v>1</v>
      </c>
    </row>
    <row r="185" spans="1:2" x14ac:dyDescent="0.25">
      <c r="A185" s="2" t="s">
        <v>788</v>
      </c>
      <c r="B185">
        <v>1</v>
      </c>
    </row>
    <row r="186" spans="1:2" x14ac:dyDescent="0.25">
      <c r="A186" s="2" t="s">
        <v>808</v>
      </c>
      <c r="B186">
        <v>1</v>
      </c>
    </row>
    <row r="187" spans="1:2" x14ac:dyDescent="0.25">
      <c r="A187" s="2" t="s">
        <v>767</v>
      </c>
      <c r="B187">
        <v>1</v>
      </c>
    </row>
    <row r="188" spans="1:2" x14ac:dyDescent="0.25">
      <c r="A188" s="2" t="s">
        <v>711</v>
      </c>
      <c r="B188">
        <v>1</v>
      </c>
    </row>
    <row r="189" spans="1:2" x14ac:dyDescent="0.25">
      <c r="A189" s="2" t="s">
        <v>654</v>
      </c>
      <c r="B189">
        <v>1</v>
      </c>
    </row>
    <row r="190" spans="1:2" x14ac:dyDescent="0.25">
      <c r="A190" s="2" t="s">
        <v>779</v>
      </c>
      <c r="B190">
        <v>1</v>
      </c>
    </row>
    <row r="191" spans="1:2" x14ac:dyDescent="0.25">
      <c r="A191" s="2" t="s">
        <v>752</v>
      </c>
      <c r="B191">
        <v>1</v>
      </c>
    </row>
    <row r="192" spans="1:2" x14ac:dyDescent="0.25">
      <c r="A192" s="2" t="s">
        <v>718</v>
      </c>
      <c r="B192">
        <v>1</v>
      </c>
    </row>
    <row r="193" spans="1:2" x14ac:dyDescent="0.25">
      <c r="A193" s="2" t="s">
        <v>812</v>
      </c>
      <c r="B193">
        <v>1</v>
      </c>
    </row>
    <row r="194" spans="1:2" x14ac:dyDescent="0.25">
      <c r="A194" s="2" t="s">
        <v>721</v>
      </c>
      <c r="B194">
        <v>1</v>
      </c>
    </row>
    <row r="195" spans="1:2" x14ac:dyDescent="0.25">
      <c r="A195" s="2" t="s">
        <v>772</v>
      </c>
      <c r="B195">
        <v>1</v>
      </c>
    </row>
    <row r="196" spans="1:2" x14ac:dyDescent="0.25">
      <c r="A196" s="2" t="s">
        <v>620</v>
      </c>
      <c r="B196">
        <v>1</v>
      </c>
    </row>
    <row r="197" spans="1:2" x14ac:dyDescent="0.25">
      <c r="A197" s="2" t="s">
        <v>753</v>
      </c>
      <c r="B197">
        <v>1</v>
      </c>
    </row>
    <row r="198" spans="1:2" x14ac:dyDescent="0.25">
      <c r="A198" s="2" t="s">
        <v>795</v>
      </c>
      <c r="B198">
        <v>1</v>
      </c>
    </row>
    <row r="199" spans="1:2" x14ac:dyDescent="0.25">
      <c r="A199" s="2" t="s">
        <v>809</v>
      </c>
      <c r="B199">
        <v>1</v>
      </c>
    </row>
    <row r="200" spans="1:2" x14ac:dyDescent="0.25">
      <c r="A200" s="2" t="s">
        <v>746</v>
      </c>
      <c r="B200">
        <v>1</v>
      </c>
    </row>
    <row r="201" spans="1:2" x14ac:dyDescent="0.25">
      <c r="A201" s="2" t="s">
        <v>747</v>
      </c>
      <c r="B201">
        <v>1</v>
      </c>
    </row>
    <row r="202" spans="1:2" x14ac:dyDescent="0.25">
      <c r="A202" s="2" t="s">
        <v>802</v>
      </c>
      <c r="B202">
        <v>1</v>
      </c>
    </row>
    <row r="203" spans="1:2" x14ac:dyDescent="0.25">
      <c r="A203" s="2" t="s">
        <v>758</v>
      </c>
      <c r="B203">
        <v>1</v>
      </c>
    </row>
    <row r="204" spans="1:2" x14ac:dyDescent="0.25">
      <c r="A204" s="2" t="s">
        <v>822</v>
      </c>
      <c r="B204">
        <v>1</v>
      </c>
    </row>
    <row r="205" spans="1:2" x14ac:dyDescent="0.25">
      <c r="A205" s="2" t="s">
        <v>726</v>
      </c>
      <c r="B205">
        <v>1</v>
      </c>
    </row>
    <row r="206" spans="1:2" x14ac:dyDescent="0.25">
      <c r="A206" s="2" t="s">
        <v>622</v>
      </c>
      <c r="B206">
        <v>1</v>
      </c>
    </row>
    <row r="207" spans="1:2" x14ac:dyDescent="0.25">
      <c r="A207" s="2" t="s">
        <v>769</v>
      </c>
      <c r="B207">
        <v>1</v>
      </c>
    </row>
    <row r="208" spans="1:2" x14ac:dyDescent="0.25">
      <c r="A208" s="2" t="s">
        <v>720</v>
      </c>
      <c r="B208">
        <v>1</v>
      </c>
    </row>
    <row r="209" spans="1:2" x14ac:dyDescent="0.25">
      <c r="A209" s="2" t="s">
        <v>738</v>
      </c>
      <c r="B209">
        <v>1</v>
      </c>
    </row>
    <row r="210" spans="1:2" x14ac:dyDescent="0.25">
      <c r="A210" s="2" t="s">
        <v>725</v>
      </c>
      <c r="B210">
        <v>1</v>
      </c>
    </row>
    <row r="211" spans="1:2" x14ac:dyDescent="0.25">
      <c r="A211" s="2" t="s">
        <v>670</v>
      </c>
      <c r="B211">
        <v>1</v>
      </c>
    </row>
    <row r="212" spans="1:2" x14ac:dyDescent="0.25">
      <c r="A212" s="2" t="s">
        <v>755</v>
      </c>
      <c r="B212">
        <v>1</v>
      </c>
    </row>
    <row r="213" spans="1:2" x14ac:dyDescent="0.25">
      <c r="A213" s="2" t="s">
        <v>816</v>
      </c>
      <c r="B213">
        <v>1</v>
      </c>
    </row>
    <row r="214" spans="1:2" x14ac:dyDescent="0.25">
      <c r="A214" s="2" t="s">
        <v>729</v>
      </c>
      <c r="B214">
        <v>1</v>
      </c>
    </row>
    <row r="215" spans="1:2" x14ac:dyDescent="0.25">
      <c r="A215" s="2" t="s">
        <v>781</v>
      </c>
      <c r="B215">
        <v>1</v>
      </c>
    </row>
    <row r="216" spans="1:2" x14ac:dyDescent="0.25">
      <c r="A216" s="2" t="s">
        <v>793</v>
      </c>
      <c r="B216">
        <v>1</v>
      </c>
    </row>
    <row r="217" spans="1:2" x14ac:dyDescent="0.25">
      <c r="A217" s="2" t="s">
        <v>644</v>
      </c>
      <c r="B217">
        <v>1</v>
      </c>
    </row>
    <row r="218" spans="1:2" x14ac:dyDescent="0.25">
      <c r="A218" s="2" t="s">
        <v>667</v>
      </c>
      <c r="B218">
        <v>1</v>
      </c>
    </row>
    <row r="219" spans="1:2" x14ac:dyDescent="0.25">
      <c r="A219" s="2" t="s">
        <v>736</v>
      </c>
      <c r="B219">
        <v>1</v>
      </c>
    </row>
    <row r="220" spans="1:2" x14ac:dyDescent="0.25">
      <c r="A220" s="2" t="s">
        <v>775</v>
      </c>
      <c r="B220">
        <v>1</v>
      </c>
    </row>
    <row r="221" spans="1:2" x14ac:dyDescent="0.25">
      <c r="A221" s="2" t="s">
        <v>756</v>
      </c>
      <c r="B221">
        <v>1</v>
      </c>
    </row>
    <row r="222" spans="1:2" x14ac:dyDescent="0.25">
      <c r="A222" s="2" t="s">
        <v>686</v>
      </c>
      <c r="B222">
        <v>1</v>
      </c>
    </row>
    <row r="223" spans="1:2" x14ac:dyDescent="0.25">
      <c r="A223" s="2" t="s">
        <v>696</v>
      </c>
      <c r="B223">
        <v>1</v>
      </c>
    </row>
    <row r="224" spans="1:2" x14ac:dyDescent="0.25">
      <c r="A224" s="2" t="s">
        <v>672</v>
      </c>
      <c r="B224">
        <v>1</v>
      </c>
    </row>
    <row r="225" spans="1:2" x14ac:dyDescent="0.25">
      <c r="A225" s="2" t="s">
        <v>743</v>
      </c>
      <c r="B225">
        <v>1</v>
      </c>
    </row>
    <row r="226" spans="1:2" x14ac:dyDescent="0.25">
      <c r="A226" s="2" t="s">
        <v>827</v>
      </c>
      <c r="B226">
        <v>600</v>
      </c>
    </row>
    <row r="1048576" spans="2:2" x14ac:dyDescent="0.25">
      <c r="B1048576">
        <f>SUM(B2:B1048575)</f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A98B-09B8-485D-98AD-33E254430D54}">
  <dimension ref="A1"/>
  <sheetViews>
    <sheetView workbookViewId="0">
      <selection activeCell="C41" sqref="C41"/>
    </sheetView>
  </sheetViews>
  <sheetFormatPr defaultRowHeight="15" x14ac:dyDescent="0.25"/>
  <cols>
    <col min="1" max="1" width="8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867B-A3F3-416D-9751-8D904272CC52}">
  <sheetPr filterMode="1"/>
  <dimension ref="A1:E601"/>
  <sheetViews>
    <sheetView topLeftCell="A295" zoomScale="85" zoomScaleNormal="85" workbookViewId="0">
      <selection activeCell="C1" sqref="C1:C1048576"/>
    </sheetView>
  </sheetViews>
  <sheetFormatPr defaultRowHeight="15" x14ac:dyDescent="0.25"/>
  <cols>
    <col min="2" max="2" width="43.140625" customWidth="1"/>
    <col min="3" max="3" width="127" bestFit="1" customWidth="1"/>
    <col min="4" max="4" width="21.85546875" bestFit="1" customWidth="1"/>
  </cols>
  <sheetData>
    <row r="1" spans="1:5" x14ac:dyDescent="0.25">
      <c r="A1" t="s">
        <v>918</v>
      </c>
      <c r="B1" t="s">
        <v>0</v>
      </c>
      <c r="C1" t="s">
        <v>1</v>
      </c>
      <c r="D1" t="s">
        <v>860</v>
      </c>
      <c r="E1" t="s">
        <v>861</v>
      </c>
    </row>
    <row r="2" spans="1:5" hidden="1" x14ac:dyDescent="0.25">
      <c r="A2" t="s">
        <v>916</v>
      </c>
      <c r="B2" t="s">
        <v>3</v>
      </c>
      <c r="C2" t="s">
        <v>603</v>
      </c>
      <c r="D2" t="s">
        <v>855</v>
      </c>
    </row>
    <row r="3" spans="1:5" hidden="1" x14ac:dyDescent="0.25">
      <c r="A3" t="s">
        <v>916</v>
      </c>
      <c r="B3" t="s">
        <v>4</v>
      </c>
      <c r="C3" t="s">
        <v>604</v>
      </c>
      <c r="D3" t="s">
        <v>854</v>
      </c>
    </row>
    <row r="4" spans="1:5" hidden="1" x14ac:dyDescent="0.25">
      <c r="A4" t="s">
        <v>916</v>
      </c>
      <c r="B4" t="s">
        <v>6</v>
      </c>
      <c r="C4" t="s">
        <v>606</v>
      </c>
      <c r="D4" t="s">
        <v>856</v>
      </c>
    </row>
    <row r="5" spans="1:5" hidden="1" x14ac:dyDescent="0.25">
      <c r="A5" t="s">
        <v>916</v>
      </c>
      <c r="B5" t="s">
        <v>8</v>
      </c>
      <c r="C5" t="s">
        <v>608</v>
      </c>
      <c r="D5" t="s">
        <v>857</v>
      </c>
    </row>
    <row r="6" spans="1:5" hidden="1" x14ac:dyDescent="0.25">
      <c r="A6" t="s">
        <v>916</v>
      </c>
      <c r="B6" t="s">
        <v>10</v>
      </c>
      <c r="C6" t="s">
        <v>604</v>
      </c>
      <c r="D6" t="s">
        <v>854</v>
      </c>
    </row>
    <row r="7" spans="1:5" hidden="1" x14ac:dyDescent="0.25">
      <c r="A7" t="s">
        <v>916</v>
      </c>
      <c r="B7" t="s">
        <v>11</v>
      </c>
      <c r="C7" t="s">
        <v>604</v>
      </c>
      <c r="D7" t="s">
        <v>854</v>
      </c>
    </row>
    <row r="8" spans="1:5" hidden="1" x14ac:dyDescent="0.25">
      <c r="A8" t="s">
        <v>916</v>
      </c>
      <c r="B8" t="s">
        <v>12</v>
      </c>
      <c r="C8" t="s">
        <v>610</v>
      </c>
      <c r="D8" t="s">
        <v>854</v>
      </c>
    </row>
    <row r="9" spans="1:5" hidden="1" x14ac:dyDescent="0.25">
      <c r="A9" t="s">
        <v>916</v>
      </c>
      <c r="B9" s="7" t="s">
        <v>15</v>
      </c>
      <c r="C9" t="s">
        <v>611</v>
      </c>
      <c r="D9" t="s">
        <v>856</v>
      </c>
    </row>
    <row r="10" spans="1:5" x14ac:dyDescent="0.25">
      <c r="A10" t="s">
        <v>916</v>
      </c>
      <c r="B10" t="s">
        <v>16</v>
      </c>
      <c r="C10" t="s">
        <v>612</v>
      </c>
      <c r="D10" t="s">
        <v>851</v>
      </c>
    </row>
    <row r="11" spans="1:5" hidden="1" x14ac:dyDescent="0.25">
      <c r="A11" t="s">
        <v>917</v>
      </c>
      <c r="B11" t="s">
        <v>126</v>
      </c>
      <c r="C11" t="s">
        <v>648</v>
      </c>
      <c r="D11" t="s">
        <v>834</v>
      </c>
    </row>
    <row r="12" spans="1:5" hidden="1" x14ac:dyDescent="0.25">
      <c r="A12" t="s">
        <v>916</v>
      </c>
      <c r="B12" t="s">
        <v>341</v>
      </c>
      <c r="C12" t="s">
        <v>648</v>
      </c>
      <c r="D12" t="s">
        <v>834</v>
      </c>
    </row>
    <row r="13" spans="1:5" x14ac:dyDescent="0.25">
      <c r="A13" t="s">
        <v>916</v>
      </c>
      <c r="B13" t="s">
        <v>229</v>
      </c>
      <c r="C13" t="s">
        <v>707</v>
      </c>
      <c r="D13" t="s">
        <v>832</v>
      </c>
    </row>
    <row r="14" spans="1:5" x14ac:dyDescent="0.25">
      <c r="A14" t="s">
        <v>917</v>
      </c>
      <c r="B14" t="s">
        <v>354</v>
      </c>
      <c r="C14" t="s">
        <v>755</v>
      </c>
      <c r="D14" t="s">
        <v>844</v>
      </c>
    </row>
    <row r="15" spans="1:5" hidden="1" x14ac:dyDescent="0.25">
      <c r="A15">
        <f>10820-8828</f>
        <v>1992</v>
      </c>
      <c r="B15" t="s">
        <v>106</v>
      </c>
      <c r="C15" t="s">
        <v>665</v>
      </c>
      <c r="D15" t="s">
        <v>832</v>
      </c>
      <c r="E15" t="s">
        <v>869</v>
      </c>
    </row>
    <row r="16" spans="1:5" x14ac:dyDescent="0.25">
      <c r="A16">
        <f>14280-13069</f>
        <v>1211</v>
      </c>
      <c r="B16" t="s">
        <v>286</v>
      </c>
      <c r="C16" t="s">
        <v>729</v>
      </c>
      <c r="D16" t="s">
        <v>844</v>
      </c>
    </row>
    <row r="17" spans="1:5" x14ac:dyDescent="0.25">
      <c r="A17">
        <f>4254-3429</f>
        <v>825</v>
      </c>
      <c r="B17" t="s">
        <v>526</v>
      </c>
      <c r="C17" t="s">
        <v>771</v>
      </c>
      <c r="D17" t="s">
        <v>846</v>
      </c>
    </row>
    <row r="18" spans="1:5" x14ac:dyDescent="0.25">
      <c r="A18">
        <f>6191-5427</f>
        <v>764</v>
      </c>
      <c r="B18" t="s">
        <v>476</v>
      </c>
      <c r="C18" t="s">
        <v>788</v>
      </c>
      <c r="D18" t="s">
        <v>833</v>
      </c>
    </row>
    <row r="19" spans="1:5" x14ac:dyDescent="0.25">
      <c r="A19">
        <f>1297-712</f>
        <v>585</v>
      </c>
      <c r="B19" t="s">
        <v>199</v>
      </c>
      <c r="C19" t="s">
        <v>646</v>
      </c>
      <c r="D19" t="s">
        <v>846</v>
      </c>
    </row>
    <row r="20" spans="1:5" x14ac:dyDescent="0.25">
      <c r="A20">
        <f>1993-1659</f>
        <v>334</v>
      </c>
      <c r="B20" t="s">
        <v>141</v>
      </c>
      <c r="C20" t="s">
        <v>646</v>
      </c>
      <c r="D20" t="s">
        <v>846</v>
      </c>
    </row>
    <row r="21" spans="1:5" x14ac:dyDescent="0.25">
      <c r="A21">
        <f>4891-4565</f>
        <v>326</v>
      </c>
      <c r="B21" t="s">
        <v>514</v>
      </c>
      <c r="C21" t="s">
        <v>801</v>
      </c>
      <c r="D21" t="s">
        <v>846</v>
      </c>
    </row>
    <row r="22" spans="1:5" hidden="1" x14ac:dyDescent="0.25">
      <c r="A22">
        <f>2303-2047</f>
        <v>256</v>
      </c>
      <c r="B22" t="s">
        <v>44</v>
      </c>
      <c r="C22" t="s">
        <v>634</v>
      </c>
      <c r="D22" t="s">
        <v>850</v>
      </c>
      <c r="E22" t="s">
        <v>863</v>
      </c>
    </row>
    <row r="23" spans="1:5" x14ac:dyDescent="0.25">
      <c r="A23">
        <f>1582-1343</f>
        <v>239</v>
      </c>
      <c r="B23" t="s">
        <v>83</v>
      </c>
      <c r="C23" t="s">
        <v>646</v>
      </c>
      <c r="D23" t="s">
        <v>846</v>
      </c>
    </row>
    <row r="24" spans="1:5" hidden="1" x14ac:dyDescent="0.25">
      <c r="A24">
        <f>2539-2303</f>
        <v>236</v>
      </c>
      <c r="B24" t="s">
        <v>327</v>
      </c>
      <c r="C24" t="s">
        <v>634</v>
      </c>
      <c r="D24" t="s">
        <v>850</v>
      </c>
      <c r="E24" t="s">
        <v>864</v>
      </c>
    </row>
    <row r="25" spans="1:5" x14ac:dyDescent="0.25">
      <c r="A25">
        <f>6763-6588</f>
        <v>175</v>
      </c>
      <c r="B25" t="s">
        <v>564</v>
      </c>
      <c r="C25" t="s">
        <v>630</v>
      </c>
      <c r="D25" t="s">
        <v>843</v>
      </c>
    </row>
    <row r="26" spans="1:5" x14ac:dyDescent="0.25">
      <c r="A26">
        <f>3245-3077</f>
        <v>168</v>
      </c>
      <c r="B26" t="s">
        <v>422</v>
      </c>
      <c r="C26" t="s">
        <v>776</v>
      </c>
      <c r="D26" t="s">
        <v>846</v>
      </c>
    </row>
    <row r="27" spans="1:5" x14ac:dyDescent="0.25">
      <c r="A27">
        <f>7060-6907</f>
        <v>153</v>
      </c>
      <c r="B27" t="s">
        <v>560</v>
      </c>
      <c r="C27" t="s">
        <v>630</v>
      </c>
      <c r="D27" t="s">
        <v>843</v>
      </c>
    </row>
    <row r="28" spans="1:5" x14ac:dyDescent="0.25">
      <c r="A28">
        <f>7211-7060</f>
        <v>151</v>
      </c>
      <c r="B28" t="s">
        <v>299</v>
      </c>
      <c r="C28" t="s">
        <v>630</v>
      </c>
      <c r="D28" t="s">
        <v>843</v>
      </c>
    </row>
    <row r="29" spans="1:5" x14ac:dyDescent="0.25">
      <c r="A29">
        <f>7504-7356</f>
        <v>148</v>
      </c>
      <c r="B29" t="s">
        <v>594</v>
      </c>
      <c r="C29" t="s">
        <v>630</v>
      </c>
      <c r="D29" t="s">
        <v>843</v>
      </c>
    </row>
    <row r="30" spans="1:5" x14ac:dyDescent="0.25">
      <c r="A30">
        <f>7356-7211</f>
        <v>145</v>
      </c>
      <c r="B30" t="s">
        <v>478</v>
      </c>
      <c r="C30" t="s">
        <v>630</v>
      </c>
      <c r="D30" t="s">
        <v>843</v>
      </c>
    </row>
    <row r="31" spans="1:5" x14ac:dyDescent="0.25">
      <c r="A31">
        <f>698-563</f>
        <v>135</v>
      </c>
      <c r="B31" t="s">
        <v>60</v>
      </c>
      <c r="C31" t="s">
        <v>646</v>
      </c>
      <c r="D31" t="s">
        <v>846</v>
      </c>
      <c r="E31" t="s">
        <v>862</v>
      </c>
    </row>
    <row r="32" spans="1:5" x14ac:dyDescent="0.25">
      <c r="A32">
        <f>6588-6457</f>
        <v>131</v>
      </c>
      <c r="B32" t="s">
        <v>253</v>
      </c>
      <c r="C32" t="s">
        <v>630</v>
      </c>
      <c r="D32" t="s">
        <v>843</v>
      </c>
    </row>
    <row r="33" spans="1:5" x14ac:dyDescent="0.25">
      <c r="A33">
        <f>5404-5282</f>
        <v>122</v>
      </c>
      <c r="B33" t="s">
        <v>427</v>
      </c>
      <c r="C33" t="s">
        <v>704</v>
      </c>
      <c r="D33" t="s">
        <v>846</v>
      </c>
      <c r="E33" t="s">
        <v>868</v>
      </c>
    </row>
    <row r="34" spans="1:5" x14ac:dyDescent="0.25">
      <c r="A34">
        <f>3066-2964</f>
        <v>102</v>
      </c>
      <c r="B34" t="s">
        <v>379</v>
      </c>
      <c r="C34" t="s">
        <v>762</v>
      </c>
      <c r="D34" t="s">
        <v>846</v>
      </c>
    </row>
    <row r="35" spans="1:5" x14ac:dyDescent="0.25">
      <c r="A35">
        <f>3367-3266</f>
        <v>101</v>
      </c>
      <c r="B35" t="s">
        <v>103</v>
      </c>
      <c r="C35" t="s">
        <v>662</v>
      </c>
      <c r="D35" t="s">
        <v>846</v>
      </c>
    </row>
    <row r="36" spans="1:5" hidden="1" x14ac:dyDescent="0.25">
      <c r="A36">
        <f>12300-12203</f>
        <v>97</v>
      </c>
      <c r="B36" t="s">
        <v>14</v>
      </c>
      <c r="C36" t="s">
        <v>602</v>
      </c>
      <c r="D36" t="s">
        <v>858</v>
      </c>
    </row>
    <row r="37" spans="1:5" x14ac:dyDescent="0.25">
      <c r="A37">
        <f>6457-6360</f>
        <v>97</v>
      </c>
      <c r="B37" t="s">
        <v>447</v>
      </c>
      <c r="C37" t="s">
        <v>630</v>
      </c>
      <c r="D37" t="s">
        <v>843</v>
      </c>
    </row>
    <row r="38" spans="1:5" x14ac:dyDescent="0.25">
      <c r="A38">
        <f>6359-6268</f>
        <v>91</v>
      </c>
      <c r="B38" t="s">
        <v>319</v>
      </c>
      <c r="C38" t="s">
        <v>630</v>
      </c>
      <c r="D38" t="s">
        <v>843</v>
      </c>
    </row>
    <row r="39" spans="1:5" x14ac:dyDescent="0.25">
      <c r="A39">
        <f>6825-6736</f>
        <v>89</v>
      </c>
      <c r="B39" t="s">
        <v>221</v>
      </c>
      <c r="C39" t="s">
        <v>630</v>
      </c>
      <c r="D39" t="s">
        <v>843</v>
      </c>
    </row>
    <row r="40" spans="1:5" x14ac:dyDescent="0.25">
      <c r="A40">
        <f>5279-5194</f>
        <v>85</v>
      </c>
      <c r="B40" t="s">
        <v>276</v>
      </c>
      <c r="C40" t="s">
        <v>646</v>
      </c>
      <c r="D40" t="s">
        <v>846</v>
      </c>
    </row>
    <row r="41" spans="1:5" x14ac:dyDescent="0.25">
      <c r="A41">
        <f>6907-6827</f>
        <v>80</v>
      </c>
      <c r="B41" t="s">
        <v>410</v>
      </c>
      <c r="C41" t="s">
        <v>630</v>
      </c>
      <c r="D41" t="s">
        <v>843</v>
      </c>
    </row>
    <row r="42" spans="1:5" hidden="1" x14ac:dyDescent="0.25">
      <c r="A42">
        <f>12407-12328</f>
        <v>79</v>
      </c>
      <c r="B42" t="s">
        <v>18</v>
      </c>
      <c r="C42" t="s">
        <v>602</v>
      </c>
      <c r="D42" t="s">
        <v>858</v>
      </c>
    </row>
    <row r="43" spans="1:5" hidden="1" x14ac:dyDescent="0.25">
      <c r="A43">
        <f>4394-4318</f>
        <v>76</v>
      </c>
      <c r="B43" t="s">
        <v>61</v>
      </c>
      <c r="C43" t="s">
        <v>647</v>
      </c>
      <c r="D43" t="s">
        <v>832</v>
      </c>
    </row>
    <row r="44" spans="1:5" hidden="1" x14ac:dyDescent="0.25">
      <c r="A44">
        <f>2713-2637</f>
        <v>76</v>
      </c>
      <c r="B44" t="s">
        <v>504</v>
      </c>
      <c r="C44" t="s">
        <v>796</v>
      </c>
      <c r="D44" t="s">
        <v>858</v>
      </c>
      <c r="E44" t="s">
        <v>865</v>
      </c>
    </row>
    <row r="45" spans="1:5" x14ac:dyDescent="0.25">
      <c r="A45">
        <f>8266-8194</f>
        <v>72</v>
      </c>
      <c r="B45" t="s">
        <v>167</v>
      </c>
      <c r="C45" t="s">
        <v>630</v>
      </c>
      <c r="D45" t="s">
        <v>843</v>
      </c>
    </row>
    <row r="46" spans="1:5" x14ac:dyDescent="0.25">
      <c r="A46">
        <f>6268-6197</f>
        <v>71</v>
      </c>
      <c r="B46" t="s">
        <v>234</v>
      </c>
      <c r="C46" t="s">
        <v>630</v>
      </c>
      <c r="D46" t="s">
        <v>843</v>
      </c>
    </row>
    <row r="47" spans="1:5" x14ac:dyDescent="0.25">
      <c r="A47">
        <f>7760-7689</f>
        <v>71</v>
      </c>
      <c r="B47" t="s">
        <v>457</v>
      </c>
      <c r="C47" t="s">
        <v>630</v>
      </c>
      <c r="D47" t="s">
        <v>843</v>
      </c>
    </row>
    <row r="48" spans="1:5" x14ac:dyDescent="0.25">
      <c r="A48">
        <f>7836-7765</f>
        <v>71</v>
      </c>
      <c r="B48" t="s">
        <v>372</v>
      </c>
      <c r="C48" t="s">
        <v>630</v>
      </c>
      <c r="D48" t="s">
        <v>843</v>
      </c>
    </row>
    <row r="49" spans="1:4" x14ac:dyDescent="0.25">
      <c r="A49">
        <v>65</v>
      </c>
      <c r="B49" t="s">
        <v>407</v>
      </c>
      <c r="C49" t="s">
        <v>628</v>
      </c>
      <c r="D49" t="s">
        <v>840</v>
      </c>
    </row>
    <row r="50" spans="1:4" x14ac:dyDescent="0.25">
      <c r="A50">
        <f>5051-4994</f>
        <v>57</v>
      </c>
      <c r="B50" t="s">
        <v>166</v>
      </c>
      <c r="C50" t="s">
        <v>684</v>
      </c>
      <c r="D50" t="s">
        <v>846</v>
      </c>
    </row>
    <row r="51" spans="1:4" hidden="1" x14ac:dyDescent="0.25">
      <c r="A51">
        <f>14350-14294</f>
        <v>56</v>
      </c>
      <c r="B51" t="s">
        <v>33</v>
      </c>
      <c r="C51" t="s">
        <v>627</v>
      </c>
    </row>
    <row r="52" spans="1:4" hidden="1" x14ac:dyDescent="0.25">
      <c r="A52">
        <f>4475-4423</f>
        <v>52</v>
      </c>
      <c r="B52" t="s">
        <v>446</v>
      </c>
      <c r="C52" t="s">
        <v>647</v>
      </c>
    </row>
    <row r="53" spans="1:4" hidden="1" x14ac:dyDescent="0.25">
      <c r="A53">
        <f>2591-2539</f>
        <v>52</v>
      </c>
      <c r="B53" t="s">
        <v>595</v>
      </c>
      <c r="C53" t="s">
        <v>823</v>
      </c>
      <c r="D53" t="s">
        <v>850</v>
      </c>
    </row>
    <row r="54" spans="1:4" x14ac:dyDescent="0.25">
      <c r="A54">
        <f>2934-2883</f>
        <v>51</v>
      </c>
      <c r="B54" t="s">
        <v>349</v>
      </c>
      <c r="C54" t="s">
        <v>740</v>
      </c>
      <c r="D54" t="s">
        <v>849</v>
      </c>
    </row>
    <row r="55" spans="1:4" hidden="1" x14ac:dyDescent="0.25">
      <c r="A55">
        <f>4541-4495</f>
        <v>46</v>
      </c>
      <c r="B55" t="s">
        <v>67</v>
      </c>
      <c r="C55" t="s">
        <v>647</v>
      </c>
    </row>
    <row r="56" spans="1:4" x14ac:dyDescent="0.25">
      <c r="A56">
        <f>12967-12924</f>
        <v>43</v>
      </c>
      <c r="B56" t="s">
        <v>437</v>
      </c>
      <c r="C56" t="s">
        <v>635</v>
      </c>
      <c r="D56" t="s">
        <v>835</v>
      </c>
    </row>
    <row r="57" spans="1:4" x14ac:dyDescent="0.25">
      <c r="A57">
        <f>8117-8075</f>
        <v>42</v>
      </c>
      <c r="B57" t="s">
        <v>458</v>
      </c>
      <c r="C57" t="s">
        <v>630</v>
      </c>
      <c r="D57" t="s">
        <v>843</v>
      </c>
    </row>
    <row r="58" spans="1:4" hidden="1" x14ac:dyDescent="0.25">
      <c r="A58">
        <f>153-113+1</f>
        <v>41</v>
      </c>
      <c r="B58" t="s">
        <v>307</v>
      </c>
      <c r="C58" t="s">
        <v>647</v>
      </c>
      <c r="D58" t="s">
        <v>837</v>
      </c>
    </row>
    <row r="59" spans="1:4" x14ac:dyDescent="0.25">
      <c r="A59">
        <f>8192-8153</f>
        <v>39</v>
      </c>
      <c r="B59" t="s">
        <v>36</v>
      </c>
      <c r="C59" t="s">
        <v>630</v>
      </c>
      <c r="D59" t="s">
        <v>843</v>
      </c>
    </row>
    <row r="60" spans="1:4" x14ac:dyDescent="0.25">
      <c r="A60">
        <f>4309-4274</f>
        <v>35</v>
      </c>
      <c r="B60" t="s">
        <v>397</v>
      </c>
      <c r="C60" t="s">
        <v>771</v>
      </c>
      <c r="D60" t="s">
        <v>846</v>
      </c>
    </row>
    <row r="61" spans="1:4" x14ac:dyDescent="0.25">
      <c r="A61">
        <f>2883-2848</f>
        <v>35</v>
      </c>
      <c r="B61" t="s">
        <v>468</v>
      </c>
      <c r="C61" t="s">
        <v>740</v>
      </c>
      <c r="D61" t="s">
        <v>849</v>
      </c>
    </row>
    <row r="62" spans="1:4" x14ac:dyDescent="0.25">
      <c r="A62">
        <f>8813-8778</f>
        <v>35</v>
      </c>
      <c r="B62" t="s">
        <v>513</v>
      </c>
      <c r="C62" t="s">
        <v>800</v>
      </c>
      <c r="D62" t="s">
        <v>832</v>
      </c>
    </row>
    <row r="63" spans="1:4" x14ac:dyDescent="0.25">
      <c r="A63">
        <f>12924-12891</f>
        <v>33</v>
      </c>
      <c r="B63" t="s">
        <v>289</v>
      </c>
      <c r="C63" t="s">
        <v>635</v>
      </c>
      <c r="D63" t="s">
        <v>835</v>
      </c>
    </row>
    <row r="64" spans="1:4" x14ac:dyDescent="0.25">
      <c r="A64">
        <f>13000-12968</f>
        <v>32</v>
      </c>
      <c r="B64" t="s">
        <v>45</v>
      </c>
      <c r="C64" t="s">
        <v>635</v>
      </c>
      <c r="D64" t="s">
        <v>835</v>
      </c>
    </row>
    <row r="65" spans="1:5" x14ac:dyDescent="0.25">
      <c r="A65">
        <f>3399-3367</f>
        <v>32</v>
      </c>
      <c r="B65" t="s">
        <v>243</v>
      </c>
      <c r="C65" t="s">
        <v>662</v>
      </c>
      <c r="D65" t="s">
        <v>846</v>
      </c>
    </row>
    <row r="66" spans="1:5" x14ac:dyDescent="0.25">
      <c r="A66">
        <f>4939-4909</f>
        <v>30</v>
      </c>
      <c r="B66" t="s">
        <v>210</v>
      </c>
      <c r="C66" t="s">
        <v>700</v>
      </c>
      <c r="D66" t="s">
        <v>846</v>
      </c>
    </row>
    <row r="67" spans="1:5" x14ac:dyDescent="0.25">
      <c r="A67">
        <f>4968-4938</f>
        <v>30</v>
      </c>
      <c r="B67" t="s">
        <v>403</v>
      </c>
      <c r="C67" t="s">
        <v>700</v>
      </c>
      <c r="D67" t="s">
        <v>846</v>
      </c>
    </row>
    <row r="68" spans="1:5" x14ac:dyDescent="0.25">
      <c r="A68">
        <f>5086-5057</f>
        <v>29</v>
      </c>
      <c r="B68" t="s">
        <v>226</v>
      </c>
      <c r="C68" t="s">
        <v>700</v>
      </c>
      <c r="D68" t="s">
        <v>849</v>
      </c>
    </row>
    <row r="69" spans="1:5" x14ac:dyDescent="0.25">
      <c r="A69">
        <f>5115-5086</f>
        <v>29</v>
      </c>
      <c r="B69" t="s">
        <v>566</v>
      </c>
      <c r="C69" t="s">
        <v>700</v>
      </c>
      <c r="D69" t="s">
        <v>846</v>
      </c>
    </row>
    <row r="70" spans="1:5" x14ac:dyDescent="0.25">
      <c r="A70">
        <f>5144-5115</f>
        <v>29</v>
      </c>
      <c r="B70" t="s">
        <v>373</v>
      </c>
      <c r="C70" t="s">
        <v>700</v>
      </c>
      <c r="D70" t="s">
        <v>849</v>
      </c>
    </row>
    <row r="71" spans="1:5" x14ac:dyDescent="0.25">
      <c r="A71">
        <f>13028-13000</f>
        <v>28</v>
      </c>
      <c r="B71" t="s">
        <v>592</v>
      </c>
      <c r="C71" t="s">
        <v>822</v>
      </c>
      <c r="D71" t="s">
        <v>835</v>
      </c>
    </row>
    <row r="72" spans="1:5" x14ac:dyDescent="0.25">
      <c r="A72">
        <f>3429-3402</f>
        <v>27</v>
      </c>
      <c r="B72" t="s">
        <v>351</v>
      </c>
      <c r="C72" t="s">
        <v>752</v>
      </c>
      <c r="D72" t="s">
        <v>846</v>
      </c>
    </row>
    <row r="73" spans="1:5" x14ac:dyDescent="0.25">
      <c r="A73">
        <f>8642-8615</f>
        <v>27</v>
      </c>
      <c r="B73" t="s">
        <v>80</v>
      </c>
      <c r="C73" t="s">
        <v>655</v>
      </c>
      <c r="D73" t="s">
        <v>832</v>
      </c>
    </row>
    <row r="74" spans="1:5" x14ac:dyDescent="0.25">
      <c r="A74">
        <f>2799-2775</f>
        <v>24</v>
      </c>
      <c r="B74" t="s">
        <v>565</v>
      </c>
      <c r="C74" t="s">
        <v>740</v>
      </c>
      <c r="D74" t="s">
        <v>846</v>
      </c>
    </row>
    <row r="75" spans="1:5" x14ac:dyDescent="0.25">
      <c r="A75">
        <f>2823-2799</f>
        <v>24</v>
      </c>
      <c r="B75" t="s">
        <v>316</v>
      </c>
      <c r="C75" t="s">
        <v>740</v>
      </c>
      <c r="D75" t="s">
        <v>846</v>
      </c>
    </row>
    <row r="76" spans="1:5" x14ac:dyDescent="0.25">
      <c r="A76">
        <f>2847-2823</f>
        <v>24</v>
      </c>
      <c r="B76" t="s">
        <v>314</v>
      </c>
      <c r="C76" t="s">
        <v>740</v>
      </c>
      <c r="D76" t="s">
        <v>849</v>
      </c>
    </row>
    <row r="77" spans="1:5" x14ac:dyDescent="0.25">
      <c r="A77">
        <f>5180-5156</f>
        <v>24</v>
      </c>
      <c r="B77" t="s">
        <v>294</v>
      </c>
      <c r="C77" t="s">
        <v>700</v>
      </c>
      <c r="D77" t="s">
        <v>846</v>
      </c>
    </row>
    <row r="78" spans="1:5" x14ac:dyDescent="0.25">
      <c r="A78">
        <f>2752-2728</f>
        <v>24</v>
      </c>
      <c r="B78" t="s">
        <v>423</v>
      </c>
      <c r="C78" t="s">
        <v>740</v>
      </c>
      <c r="D78" t="s">
        <v>849</v>
      </c>
      <c r="E78" t="s">
        <v>866</v>
      </c>
    </row>
    <row r="79" spans="1:5" x14ac:dyDescent="0.25">
      <c r="A79">
        <f>8037-8013</f>
        <v>24</v>
      </c>
      <c r="B79" t="s">
        <v>568</v>
      </c>
      <c r="C79" t="s">
        <v>630</v>
      </c>
      <c r="D79" t="s">
        <v>843</v>
      </c>
    </row>
    <row r="80" spans="1:5" x14ac:dyDescent="0.25">
      <c r="A80">
        <f>12874-12850</f>
        <v>24</v>
      </c>
      <c r="B80" t="s">
        <v>305</v>
      </c>
      <c r="C80" t="s">
        <v>737</v>
      </c>
      <c r="D80" t="s">
        <v>831</v>
      </c>
    </row>
    <row r="81" spans="1:5" x14ac:dyDescent="0.25">
      <c r="A81">
        <f>2775-2752</f>
        <v>23</v>
      </c>
      <c r="B81" t="s">
        <v>543</v>
      </c>
      <c r="C81" t="s">
        <v>740</v>
      </c>
      <c r="D81" t="s">
        <v>849</v>
      </c>
    </row>
    <row r="82" spans="1:5" x14ac:dyDescent="0.25">
      <c r="A82">
        <f>1607-1585</f>
        <v>22</v>
      </c>
      <c r="B82" t="s">
        <v>133</v>
      </c>
      <c r="C82" t="s">
        <v>646</v>
      </c>
      <c r="D82" t="s">
        <v>846</v>
      </c>
    </row>
    <row r="83" spans="1:5" hidden="1" x14ac:dyDescent="0.25">
      <c r="A83">
        <f>2637-2616</f>
        <v>21</v>
      </c>
      <c r="B83" t="s">
        <v>538</v>
      </c>
      <c r="C83" t="s">
        <v>796</v>
      </c>
      <c r="D83" t="s">
        <v>858</v>
      </c>
    </row>
    <row r="84" spans="1:5" x14ac:dyDescent="0.25">
      <c r="A84">
        <f>1628-1607</f>
        <v>21</v>
      </c>
      <c r="B84" t="s">
        <v>177</v>
      </c>
      <c r="C84" t="s">
        <v>646</v>
      </c>
      <c r="D84" t="s">
        <v>846</v>
      </c>
    </row>
    <row r="85" spans="1:5" x14ac:dyDescent="0.25">
      <c r="A85">
        <f>2960-2939</f>
        <v>21</v>
      </c>
      <c r="B85" t="s">
        <v>254</v>
      </c>
      <c r="C85" t="s">
        <v>718</v>
      </c>
      <c r="D85" t="s">
        <v>846</v>
      </c>
      <c r="E85" t="s">
        <v>867</v>
      </c>
    </row>
    <row r="86" spans="1:5" x14ac:dyDescent="0.25">
      <c r="A86">
        <f>1649-1628</f>
        <v>21</v>
      </c>
      <c r="B86" t="s">
        <v>135</v>
      </c>
      <c r="C86" t="s">
        <v>646</v>
      </c>
      <c r="D86" t="s">
        <v>846</v>
      </c>
    </row>
    <row r="87" spans="1:5" x14ac:dyDescent="0.25">
      <c r="A87">
        <f>12819-12798</f>
        <v>21</v>
      </c>
      <c r="B87" t="s">
        <v>238</v>
      </c>
      <c r="C87" t="s">
        <v>712</v>
      </c>
      <c r="D87" t="s">
        <v>831</v>
      </c>
    </row>
    <row r="88" spans="1:5" hidden="1" x14ac:dyDescent="0.25">
      <c r="A88">
        <f>43-24+1</f>
        <v>20</v>
      </c>
      <c r="B88" t="s">
        <v>576</v>
      </c>
      <c r="C88" t="s">
        <v>821</v>
      </c>
    </row>
    <row r="89" spans="1:5" x14ac:dyDescent="0.25">
      <c r="A89">
        <f>4561-4541</f>
        <v>20</v>
      </c>
      <c r="B89" t="s">
        <v>484</v>
      </c>
      <c r="C89" t="s">
        <v>764</v>
      </c>
      <c r="D89" t="s">
        <v>846</v>
      </c>
    </row>
    <row r="90" spans="1:5" x14ac:dyDescent="0.25">
      <c r="A90">
        <f>4414-4394</f>
        <v>20</v>
      </c>
      <c r="B90" t="s">
        <v>381</v>
      </c>
      <c r="C90" t="s">
        <v>764</v>
      </c>
      <c r="D90" t="s">
        <v>846</v>
      </c>
    </row>
    <row r="91" spans="1:5" x14ac:dyDescent="0.25">
      <c r="A91">
        <f>4495-4475</f>
        <v>20</v>
      </c>
      <c r="B91" t="s">
        <v>440</v>
      </c>
      <c r="C91" t="s">
        <v>764</v>
      </c>
      <c r="D91" t="s">
        <v>846</v>
      </c>
    </row>
    <row r="92" spans="1:5" x14ac:dyDescent="0.25">
      <c r="A92">
        <f>4274-4254</f>
        <v>20</v>
      </c>
      <c r="B92" t="s">
        <v>590</v>
      </c>
      <c r="C92" t="s">
        <v>771</v>
      </c>
      <c r="D92" t="s">
        <v>846</v>
      </c>
    </row>
    <row r="93" spans="1:5" x14ac:dyDescent="0.25">
      <c r="A93">
        <f>7927-7907</f>
        <v>20</v>
      </c>
      <c r="B93" t="s">
        <v>119</v>
      </c>
      <c r="C93" t="s">
        <v>630</v>
      </c>
      <c r="D93" t="s">
        <v>843</v>
      </c>
    </row>
    <row r="94" spans="1:5" x14ac:dyDescent="0.25">
      <c r="A94">
        <f>497-479</f>
        <v>18</v>
      </c>
      <c r="B94" t="s">
        <v>247</v>
      </c>
      <c r="C94" t="s">
        <v>715</v>
      </c>
      <c r="D94" t="s">
        <v>842</v>
      </c>
    </row>
    <row r="95" spans="1:5" x14ac:dyDescent="0.25">
      <c r="A95">
        <f>11597-11579</f>
        <v>18</v>
      </c>
      <c r="B95" t="s">
        <v>481</v>
      </c>
      <c r="C95" t="s">
        <v>619</v>
      </c>
      <c r="D95" t="s">
        <v>840</v>
      </c>
    </row>
    <row r="96" spans="1:5" x14ac:dyDescent="0.25">
      <c r="A96">
        <f>11513-11495</f>
        <v>18</v>
      </c>
      <c r="B96" t="s">
        <v>24</v>
      </c>
      <c r="C96" t="s">
        <v>619</v>
      </c>
      <c r="D96" t="s">
        <v>840</v>
      </c>
    </row>
    <row r="97" spans="1:4" x14ac:dyDescent="0.25">
      <c r="A97">
        <f>11579-11561</f>
        <v>18</v>
      </c>
      <c r="B97" t="s">
        <v>128</v>
      </c>
      <c r="C97" t="s">
        <v>619</v>
      </c>
      <c r="D97" t="s">
        <v>840</v>
      </c>
    </row>
    <row r="98" spans="1:4" hidden="1" x14ac:dyDescent="0.25">
      <c r="A98">
        <f>201-185+1</f>
        <v>17</v>
      </c>
      <c r="B98" t="s">
        <v>466</v>
      </c>
      <c r="C98" t="s">
        <v>647</v>
      </c>
      <c r="D98" t="s">
        <v>838</v>
      </c>
    </row>
    <row r="99" spans="1:4" hidden="1" x14ac:dyDescent="0.25">
      <c r="A99">
        <f>12317-12300</f>
        <v>17</v>
      </c>
      <c r="B99" t="s">
        <v>2</v>
      </c>
      <c r="C99" t="s">
        <v>602</v>
      </c>
      <c r="D99" t="s">
        <v>858</v>
      </c>
    </row>
    <row r="100" spans="1:4" x14ac:dyDescent="0.25">
      <c r="A100">
        <f>13051-13034</f>
        <v>17</v>
      </c>
      <c r="B100" t="s">
        <v>183</v>
      </c>
      <c r="C100" t="s">
        <v>687</v>
      </c>
      <c r="D100" t="s">
        <v>842</v>
      </c>
    </row>
    <row r="101" spans="1:4" x14ac:dyDescent="0.25">
      <c r="A101">
        <f>13068-13051</f>
        <v>17</v>
      </c>
      <c r="B101" t="s">
        <v>596</v>
      </c>
      <c r="C101" t="s">
        <v>687</v>
      </c>
      <c r="D101" t="s">
        <v>842</v>
      </c>
    </row>
    <row r="102" spans="1:4" x14ac:dyDescent="0.25">
      <c r="A102">
        <f>8600-8584</f>
        <v>16</v>
      </c>
      <c r="B102" t="s">
        <v>588</v>
      </c>
      <c r="C102" t="s">
        <v>621</v>
      </c>
      <c r="D102" t="s">
        <v>832</v>
      </c>
    </row>
    <row r="103" spans="1:4" hidden="1" x14ac:dyDescent="0.25">
      <c r="A103">
        <f>58-44+1</f>
        <v>15</v>
      </c>
      <c r="B103" t="s">
        <v>46</v>
      </c>
      <c r="C103" t="s">
        <v>636</v>
      </c>
      <c r="D103" t="s">
        <v>836</v>
      </c>
    </row>
    <row r="104" spans="1:4" hidden="1" x14ac:dyDescent="0.25">
      <c r="A104">
        <f>58-44+1</f>
        <v>15</v>
      </c>
      <c r="B104" t="s">
        <v>64</v>
      </c>
      <c r="C104" t="s">
        <v>649</v>
      </c>
      <c r="D104" t="s">
        <v>836</v>
      </c>
    </row>
    <row r="105" spans="1:4" x14ac:dyDescent="0.25">
      <c r="A105">
        <f>232-217</f>
        <v>15</v>
      </c>
      <c r="B105" t="s">
        <v>445</v>
      </c>
      <c r="C105" t="s">
        <v>783</v>
      </c>
      <c r="D105" t="s">
        <v>841</v>
      </c>
    </row>
    <row r="106" spans="1:4" x14ac:dyDescent="0.25">
      <c r="A106">
        <f>2728-2713</f>
        <v>15</v>
      </c>
      <c r="B106" t="s">
        <v>539</v>
      </c>
      <c r="C106" t="s">
        <v>809</v>
      </c>
      <c r="D106" t="s">
        <v>849</v>
      </c>
    </row>
    <row r="107" spans="1:4" x14ac:dyDescent="0.25">
      <c r="A107">
        <f>2047-2032</f>
        <v>15</v>
      </c>
      <c r="B107" t="s">
        <v>324</v>
      </c>
      <c r="C107" t="s">
        <v>618</v>
      </c>
      <c r="D107" t="s">
        <v>846</v>
      </c>
    </row>
    <row r="108" spans="1:4" x14ac:dyDescent="0.25">
      <c r="A108">
        <f>8615-8600</f>
        <v>15</v>
      </c>
      <c r="B108" t="s">
        <v>27</v>
      </c>
      <c r="C108" t="s">
        <v>621</v>
      </c>
      <c r="D108" t="s">
        <v>832</v>
      </c>
    </row>
    <row r="109" spans="1:4" x14ac:dyDescent="0.25">
      <c r="A109">
        <f>12648-12633</f>
        <v>15</v>
      </c>
      <c r="B109" t="s">
        <v>5</v>
      </c>
      <c r="C109" t="s">
        <v>605</v>
      </c>
    </row>
    <row r="110" spans="1:4" x14ac:dyDescent="0.25">
      <c r="A110">
        <f>8462-8447</f>
        <v>15</v>
      </c>
      <c r="B110" t="s">
        <v>350</v>
      </c>
      <c r="C110" t="s">
        <v>621</v>
      </c>
      <c r="D110" t="s">
        <v>832</v>
      </c>
    </row>
    <row r="111" spans="1:4" x14ac:dyDescent="0.25">
      <c r="A111">
        <f>8477-8462</f>
        <v>15</v>
      </c>
      <c r="B111" t="s">
        <v>154</v>
      </c>
      <c r="C111" t="s">
        <v>621</v>
      </c>
      <c r="D111" t="s">
        <v>832</v>
      </c>
    </row>
    <row r="112" spans="1:4" x14ac:dyDescent="0.25">
      <c r="A112">
        <f>8509-8494</f>
        <v>15</v>
      </c>
      <c r="B112" t="s">
        <v>155</v>
      </c>
      <c r="C112" t="s">
        <v>621</v>
      </c>
      <c r="D112" t="s">
        <v>832</v>
      </c>
    </row>
    <row r="113" spans="1:4" hidden="1" x14ac:dyDescent="0.25">
      <c r="A113">
        <f>97-84+1</f>
        <v>14</v>
      </c>
      <c r="B113" t="s">
        <v>533</v>
      </c>
      <c r="C113" t="s">
        <v>638</v>
      </c>
      <c r="D113" t="s">
        <v>836</v>
      </c>
    </row>
    <row r="114" spans="1:4" x14ac:dyDescent="0.25">
      <c r="A114">
        <f>252-238</f>
        <v>14</v>
      </c>
      <c r="B114" t="s">
        <v>222</v>
      </c>
      <c r="C114" t="s">
        <v>705</v>
      </c>
      <c r="D114" t="s">
        <v>839</v>
      </c>
    </row>
    <row r="115" spans="1:4" x14ac:dyDescent="0.25">
      <c r="A115">
        <f>712-698</f>
        <v>14</v>
      </c>
      <c r="B115" t="s">
        <v>35</v>
      </c>
      <c r="C115" t="s">
        <v>629</v>
      </c>
      <c r="D115" t="s">
        <v>850</v>
      </c>
    </row>
    <row r="116" spans="1:4" x14ac:dyDescent="0.25">
      <c r="A116">
        <f>8696-8682</f>
        <v>14</v>
      </c>
      <c r="B116" t="s">
        <v>19</v>
      </c>
      <c r="C116" t="s">
        <v>614</v>
      </c>
      <c r="D116" t="s">
        <v>832</v>
      </c>
    </row>
    <row r="117" spans="1:4" x14ac:dyDescent="0.25">
      <c r="A117">
        <f>8556-8542</f>
        <v>14</v>
      </c>
      <c r="B117" t="s">
        <v>137</v>
      </c>
      <c r="C117" t="s">
        <v>621</v>
      </c>
      <c r="D117" t="s">
        <v>832</v>
      </c>
    </row>
    <row r="118" spans="1:4" x14ac:dyDescent="0.25">
      <c r="A118">
        <f>2615-2602</f>
        <v>13</v>
      </c>
      <c r="B118" t="s">
        <v>548</v>
      </c>
      <c r="C118" t="s">
        <v>740</v>
      </c>
      <c r="D118" t="s">
        <v>846</v>
      </c>
    </row>
    <row r="119" spans="1:4" x14ac:dyDescent="0.25">
      <c r="A119">
        <f>2006-1993</f>
        <v>13</v>
      </c>
      <c r="B119" t="s">
        <v>288</v>
      </c>
      <c r="C119" t="s">
        <v>731</v>
      </c>
      <c r="D119" t="s">
        <v>850</v>
      </c>
    </row>
    <row r="120" spans="1:4" x14ac:dyDescent="0.25">
      <c r="A120">
        <f>2019-2006</f>
        <v>13</v>
      </c>
      <c r="B120" t="s">
        <v>23</v>
      </c>
      <c r="C120" t="s">
        <v>618</v>
      </c>
      <c r="D120" t="s">
        <v>846</v>
      </c>
    </row>
    <row r="121" spans="1:4" x14ac:dyDescent="0.25">
      <c r="A121">
        <f>2032-2019</f>
        <v>13</v>
      </c>
      <c r="B121" t="s">
        <v>334</v>
      </c>
      <c r="C121" t="s">
        <v>731</v>
      </c>
      <c r="D121" t="s">
        <v>845</v>
      </c>
    </row>
    <row r="122" spans="1:4" x14ac:dyDescent="0.25">
      <c r="A122">
        <f>563-551</f>
        <v>12</v>
      </c>
      <c r="B122" t="s">
        <v>122</v>
      </c>
      <c r="C122" t="s">
        <v>629</v>
      </c>
      <c r="D122" t="s">
        <v>850</v>
      </c>
    </row>
    <row r="123" spans="1:4" x14ac:dyDescent="0.25">
      <c r="A123">
        <f>300-288</f>
        <v>12</v>
      </c>
      <c r="B123" t="s">
        <v>310</v>
      </c>
      <c r="C123" t="s">
        <v>699</v>
      </c>
      <c r="D123" t="s">
        <v>835</v>
      </c>
    </row>
    <row r="124" spans="1:4" x14ac:dyDescent="0.25">
      <c r="A124">
        <f>3262-3250</f>
        <v>12</v>
      </c>
      <c r="B124" t="s">
        <v>471</v>
      </c>
      <c r="C124" t="s">
        <v>700</v>
      </c>
      <c r="D124" t="s">
        <v>846</v>
      </c>
    </row>
    <row r="125" spans="1:4" x14ac:dyDescent="0.25">
      <c r="A125">
        <f>312-300</f>
        <v>12</v>
      </c>
      <c r="B125" t="s">
        <v>209</v>
      </c>
      <c r="C125" t="s">
        <v>699</v>
      </c>
      <c r="D125" t="s">
        <v>845</v>
      </c>
    </row>
    <row r="126" spans="1:4" x14ac:dyDescent="0.25">
      <c r="A126">
        <f>12633-12621</f>
        <v>12</v>
      </c>
      <c r="B126" t="s">
        <v>13</v>
      </c>
      <c r="C126" t="s">
        <v>605</v>
      </c>
    </row>
    <row r="127" spans="1:4" x14ac:dyDescent="0.25">
      <c r="A127">
        <f>12708-12696</f>
        <v>12</v>
      </c>
      <c r="B127" t="s">
        <v>467</v>
      </c>
      <c r="C127" t="s">
        <v>609</v>
      </c>
      <c r="D127" t="s">
        <v>831</v>
      </c>
    </row>
    <row r="128" spans="1:4" x14ac:dyDescent="0.25">
      <c r="A128">
        <f>470-458</f>
        <v>12</v>
      </c>
      <c r="B128" t="s">
        <v>523</v>
      </c>
      <c r="C128" t="s">
        <v>612</v>
      </c>
      <c r="D128" t="s">
        <v>851</v>
      </c>
    </row>
    <row r="129" spans="1:4" x14ac:dyDescent="0.25">
      <c r="A129">
        <f>3077-3066</f>
        <v>11</v>
      </c>
      <c r="B129" t="s">
        <v>71</v>
      </c>
      <c r="C129" t="s">
        <v>652</v>
      </c>
      <c r="D129" t="s">
        <v>850</v>
      </c>
    </row>
    <row r="130" spans="1:4" x14ac:dyDescent="0.25">
      <c r="A130">
        <f>24-13</f>
        <v>11</v>
      </c>
      <c r="B130" t="s">
        <v>491</v>
      </c>
      <c r="C130" t="s">
        <v>793</v>
      </c>
      <c r="D130" t="s">
        <v>844</v>
      </c>
    </row>
    <row r="131" spans="1:4" hidden="1" x14ac:dyDescent="0.25">
      <c r="A131">
        <f>81-72+1</f>
        <v>10</v>
      </c>
      <c r="B131" t="s">
        <v>597</v>
      </c>
      <c r="C131" t="s">
        <v>824</v>
      </c>
      <c r="D131" t="s">
        <v>836</v>
      </c>
    </row>
    <row r="132" spans="1:4" x14ac:dyDescent="0.25">
      <c r="A132">
        <f>1322-1312</f>
        <v>10</v>
      </c>
      <c r="B132" t="s">
        <v>269</v>
      </c>
      <c r="C132" t="s">
        <v>646</v>
      </c>
      <c r="D132" t="s">
        <v>846</v>
      </c>
    </row>
    <row r="133" spans="1:4" x14ac:dyDescent="0.25">
      <c r="A133">
        <f>4988-4978</f>
        <v>10</v>
      </c>
      <c r="B133" t="s">
        <v>591</v>
      </c>
      <c r="C133" t="s">
        <v>700</v>
      </c>
      <c r="D133" t="s">
        <v>846</v>
      </c>
    </row>
    <row r="134" spans="1:4" x14ac:dyDescent="0.25">
      <c r="A134">
        <f>1659-1649</f>
        <v>10</v>
      </c>
      <c r="B134" t="s">
        <v>255</v>
      </c>
      <c r="C134" t="s">
        <v>629</v>
      </c>
      <c r="D134" t="s">
        <v>850</v>
      </c>
    </row>
    <row r="135" spans="1:4" x14ac:dyDescent="0.25">
      <c r="A135">
        <f>4978-4968</f>
        <v>10</v>
      </c>
      <c r="B135" t="s">
        <v>246</v>
      </c>
      <c r="C135" t="s">
        <v>700</v>
      </c>
      <c r="D135" t="s">
        <v>846</v>
      </c>
    </row>
    <row r="136" spans="1:4" x14ac:dyDescent="0.25">
      <c r="A136">
        <f>1332-1322</f>
        <v>10</v>
      </c>
      <c r="B136" t="s">
        <v>527</v>
      </c>
      <c r="C136" t="s">
        <v>805</v>
      </c>
      <c r="D136" t="s">
        <v>849</v>
      </c>
    </row>
    <row r="137" spans="1:4" x14ac:dyDescent="0.25">
      <c r="A137">
        <f>8767-8757</f>
        <v>10</v>
      </c>
      <c r="B137" t="s">
        <v>157</v>
      </c>
      <c r="C137" t="s">
        <v>640</v>
      </c>
      <c r="D137" t="s">
        <v>832</v>
      </c>
    </row>
    <row r="138" spans="1:4" x14ac:dyDescent="0.25">
      <c r="A138">
        <v>10</v>
      </c>
      <c r="B138" t="s">
        <v>377</v>
      </c>
      <c r="C138" t="s">
        <v>630</v>
      </c>
      <c r="D138" t="s">
        <v>843</v>
      </c>
    </row>
    <row r="139" spans="1:4" x14ac:dyDescent="0.25">
      <c r="A139">
        <f>8682-8672</f>
        <v>10</v>
      </c>
      <c r="B139" t="s">
        <v>584</v>
      </c>
      <c r="C139" t="s">
        <v>614</v>
      </c>
      <c r="D139" t="s">
        <v>832</v>
      </c>
    </row>
    <row r="140" spans="1:4" hidden="1" x14ac:dyDescent="0.25">
      <c r="A140">
        <f>69-61+1</f>
        <v>9</v>
      </c>
      <c r="B140" t="s">
        <v>369</v>
      </c>
      <c r="C140" t="s">
        <v>695</v>
      </c>
      <c r="D140" t="s">
        <v>836</v>
      </c>
    </row>
    <row r="141" spans="1:4" x14ac:dyDescent="0.25">
      <c r="A141">
        <f>1343-1334</f>
        <v>9</v>
      </c>
      <c r="B141" t="s">
        <v>470</v>
      </c>
      <c r="C141" t="s">
        <v>629</v>
      </c>
      <c r="D141" t="s">
        <v>850</v>
      </c>
    </row>
    <row r="142" spans="1:4" x14ac:dyDescent="0.25">
      <c r="A142">
        <f>5416-5407</f>
        <v>9</v>
      </c>
      <c r="B142" t="s">
        <v>182</v>
      </c>
      <c r="C142" t="s">
        <v>686</v>
      </c>
      <c r="D142" t="s">
        <v>846</v>
      </c>
    </row>
    <row r="143" spans="1:4" x14ac:dyDescent="0.25">
      <c r="A143">
        <f>4318-4309</f>
        <v>9</v>
      </c>
      <c r="B143" t="s">
        <v>415</v>
      </c>
      <c r="C143" t="s">
        <v>735</v>
      </c>
      <c r="D143" t="s">
        <v>850</v>
      </c>
    </row>
    <row r="144" spans="1:4" x14ac:dyDescent="0.25">
      <c r="A144">
        <f>5156-5147</f>
        <v>9</v>
      </c>
      <c r="B144" t="s">
        <v>232</v>
      </c>
      <c r="C144" t="s">
        <v>704</v>
      </c>
      <c r="D144" t="s">
        <v>846</v>
      </c>
    </row>
    <row r="145" spans="1:4" x14ac:dyDescent="0.25">
      <c r="A145">
        <f>4423-4414</f>
        <v>9</v>
      </c>
      <c r="B145" t="s">
        <v>300</v>
      </c>
      <c r="C145" t="s">
        <v>735</v>
      </c>
      <c r="D145" t="s">
        <v>850</v>
      </c>
    </row>
    <row r="146" spans="1:4" x14ac:dyDescent="0.25">
      <c r="A146">
        <f>4903-4894</f>
        <v>9</v>
      </c>
      <c r="B146" t="s">
        <v>312</v>
      </c>
      <c r="C146" t="s">
        <v>739</v>
      </c>
      <c r="D146" t="s">
        <v>846</v>
      </c>
    </row>
    <row r="147" spans="1:4" x14ac:dyDescent="0.25">
      <c r="A147">
        <f>12832-12823</f>
        <v>9</v>
      </c>
      <c r="B147" t="s">
        <v>93</v>
      </c>
      <c r="C147" t="s">
        <v>660</v>
      </c>
    </row>
    <row r="148" spans="1:4" x14ac:dyDescent="0.25">
      <c r="A148">
        <f>8276-8267</f>
        <v>9</v>
      </c>
      <c r="B148" t="s">
        <v>189</v>
      </c>
      <c r="C148" t="s">
        <v>630</v>
      </c>
      <c r="D148" t="s">
        <v>843</v>
      </c>
    </row>
    <row r="149" spans="1:4" x14ac:dyDescent="0.25">
      <c r="A149">
        <f>12841-12832</f>
        <v>9</v>
      </c>
      <c r="B149" t="s">
        <v>259</v>
      </c>
      <c r="C149" t="s">
        <v>661</v>
      </c>
      <c r="D149" t="s">
        <v>831</v>
      </c>
    </row>
    <row r="150" spans="1:4" x14ac:dyDescent="0.25">
      <c r="A150">
        <f>8420-8411</f>
        <v>9</v>
      </c>
      <c r="B150" t="s">
        <v>298</v>
      </c>
      <c r="C150" t="s">
        <v>643</v>
      </c>
      <c r="D150" t="s">
        <v>832</v>
      </c>
    </row>
    <row r="151" spans="1:4" x14ac:dyDescent="0.25">
      <c r="A151">
        <v>9</v>
      </c>
      <c r="B151" t="s">
        <v>336</v>
      </c>
      <c r="C151" t="s">
        <v>744</v>
      </c>
      <c r="D151" t="s">
        <v>834</v>
      </c>
    </row>
    <row r="152" spans="1:4" x14ac:dyDescent="0.25">
      <c r="A152">
        <f>8668-8659</f>
        <v>9</v>
      </c>
      <c r="B152" t="s">
        <v>414</v>
      </c>
      <c r="C152" t="s">
        <v>655</v>
      </c>
      <c r="D152" t="s">
        <v>832</v>
      </c>
    </row>
    <row r="153" spans="1:4" x14ac:dyDescent="0.25">
      <c r="A153">
        <f>12798-12789</f>
        <v>9</v>
      </c>
      <c r="B153" t="s">
        <v>581</v>
      </c>
      <c r="C153" t="s">
        <v>661</v>
      </c>
      <c r="D153" t="s">
        <v>831</v>
      </c>
    </row>
    <row r="154" spans="1:4" x14ac:dyDescent="0.25">
      <c r="A154">
        <v>9</v>
      </c>
      <c r="B154" t="s">
        <v>306</v>
      </c>
      <c r="C154" t="s">
        <v>655</v>
      </c>
      <c r="D154" t="s">
        <v>832</v>
      </c>
    </row>
    <row r="155" spans="1:4" x14ac:dyDescent="0.25">
      <c r="A155">
        <f>12850-12841</f>
        <v>9</v>
      </c>
      <c r="B155" t="s">
        <v>101</v>
      </c>
      <c r="C155" t="s">
        <v>661</v>
      </c>
      <c r="D155" t="s">
        <v>831</v>
      </c>
    </row>
    <row r="156" spans="1:4" x14ac:dyDescent="0.25">
      <c r="A156">
        <f>479-470</f>
        <v>9</v>
      </c>
      <c r="B156" t="s">
        <v>474</v>
      </c>
      <c r="C156" t="s">
        <v>766</v>
      </c>
      <c r="D156" t="s">
        <v>851</v>
      </c>
    </row>
    <row r="157" spans="1:4" hidden="1" x14ac:dyDescent="0.25">
      <c r="A157">
        <f>167-160+1</f>
        <v>8</v>
      </c>
      <c r="B157" t="s">
        <v>21</v>
      </c>
      <c r="C157" t="s">
        <v>616</v>
      </c>
      <c r="D157" t="s">
        <v>838</v>
      </c>
    </row>
    <row r="158" spans="1:4" hidden="1" x14ac:dyDescent="0.25">
      <c r="A158">
        <f>174-167+1</f>
        <v>8</v>
      </c>
      <c r="B158" t="s">
        <v>53</v>
      </c>
      <c r="C158" t="s">
        <v>616</v>
      </c>
      <c r="D158" t="s">
        <v>838</v>
      </c>
    </row>
    <row r="159" spans="1:4" hidden="1" x14ac:dyDescent="0.25">
      <c r="A159">
        <f>12-5+1</f>
        <v>8</v>
      </c>
      <c r="B159" t="s">
        <v>537</v>
      </c>
      <c r="C159" t="s">
        <v>808</v>
      </c>
      <c r="D159" t="s">
        <v>829</v>
      </c>
    </row>
    <row r="160" spans="1:4" x14ac:dyDescent="0.25">
      <c r="A160">
        <f>5191-5183</f>
        <v>8</v>
      </c>
      <c r="B160" t="s">
        <v>376</v>
      </c>
      <c r="C160" t="s">
        <v>704</v>
      </c>
      <c r="D160" t="s">
        <v>846</v>
      </c>
    </row>
    <row r="161" spans="1:4" x14ac:dyDescent="0.25">
      <c r="A161">
        <f>12773-12765</f>
        <v>8</v>
      </c>
      <c r="B161" t="s">
        <v>392</v>
      </c>
      <c r="C161" t="s">
        <v>661</v>
      </c>
      <c r="D161" t="s">
        <v>831</v>
      </c>
    </row>
    <row r="162" spans="1:4" x14ac:dyDescent="0.25">
      <c r="A162">
        <f>12789-12781</f>
        <v>8</v>
      </c>
      <c r="B162" t="s">
        <v>541</v>
      </c>
      <c r="C162" t="s">
        <v>660</v>
      </c>
    </row>
    <row r="163" spans="1:4" x14ac:dyDescent="0.25">
      <c r="A163">
        <f>12781-12773</f>
        <v>8</v>
      </c>
      <c r="B163" t="s">
        <v>490</v>
      </c>
      <c r="C163" t="s">
        <v>661</v>
      </c>
      <c r="D163" t="s">
        <v>831</v>
      </c>
    </row>
    <row r="164" spans="1:4" x14ac:dyDescent="0.25">
      <c r="A164">
        <f>12749-12741</f>
        <v>8</v>
      </c>
      <c r="B164" t="s">
        <v>264</v>
      </c>
      <c r="C164" t="s">
        <v>661</v>
      </c>
      <c r="D164" t="s">
        <v>831</v>
      </c>
    </row>
    <row r="165" spans="1:4" x14ac:dyDescent="0.25">
      <c r="A165">
        <f>12733-12725</f>
        <v>8</v>
      </c>
      <c r="B165" t="s">
        <v>136</v>
      </c>
      <c r="C165" t="s">
        <v>661</v>
      </c>
      <c r="D165" t="s">
        <v>831</v>
      </c>
    </row>
    <row r="166" spans="1:4" x14ac:dyDescent="0.25">
      <c r="A166">
        <f>12741-12733</f>
        <v>8</v>
      </c>
      <c r="B166" t="s">
        <v>176</v>
      </c>
      <c r="C166" t="s">
        <v>660</v>
      </c>
    </row>
    <row r="167" spans="1:4" x14ac:dyDescent="0.25">
      <c r="A167">
        <f>8386-8378</f>
        <v>8</v>
      </c>
      <c r="B167" t="s">
        <v>555</v>
      </c>
      <c r="C167" t="s">
        <v>640</v>
      </c>
      <c r="D167" t="s">
        <v>832</v>
      </c>
    </row>
    <row r="168" spans="1:4" x14ac:dyDescent="0.25">
      <c r="A168">
        <f>8377-8369</f>
        <v>8</v>
      </c>
      <c r="B168" t="s">
        <v>50</v>
      </c>
      <c r="C168" t="s">
        <v>640</v>
      </c>
      <c r="D168" t="s">
        <v>832</v>
      </c>
    </row>
    <row r="169" spans="1:4" x14ac:dyDescent="0.25">
      <c r="A169">
        <f>8411-8403</f>
        <v>8</v>
      </c>
      <c r="B169" t="s">
        <v>56</v>
      </c>
      <c r="C169" t="s">
        <v>643</v>
      </c>
      <c r="D169" t="s">
        <v>832</v>
      </c>
    </row>
    <row r="170" spans="1:4" x14ac:dyDescent="0.25">
      <c r="A170">
        <f>12765-12757</f>
        <v>8</v>
      </c>
      <c r="B170" t="s">
        <v>520</v>
      </c>
      <c r="C170" t="s">
        <v>660</v>
      </c>
    </row>
    <row r="171" spans="1:4" x14ac:dyDescent="0.25">
      <c r="A171">
        <f>12749-12741</f>
        <v>8</v>
      </c>
      <c r="B171" t="s">
        <v>587</v>
      </c>
      <c r="C171" t="s">
        <v>661</v>
      </c>
      <c r="D171" t="s">
        <v>831</v>
      </c>
    </row>
    <row r="172" spans="1:4" hidden="1" x14ac:dyDescent="0.25">
      <c r="A172">
        <f>103-97+1</f>
        <v>7</v>
      </c>
      <c r="B172" t="s">
        <v>412</v>
      </c>
      <c r="C172" t="s">
        <v>636</v>
      </c>
      <c r="D172" t="s">
        <v>836</v>
      </c>
    </row>
    <row r="173" spans="1:4" x14ac:dyDescent="0.25">
      <c r="A173">
        <f>11562-11555</f>
        <v>7</v>
      </c>
      <c r="B173" t="s">
        <v>487</v>
      </c>
      <c r="C173" t="s">
        <v>628</v>
      </c>
      <c r="D173" t="s">
        <v>840</v>
      </c>
    </row>
    <row r="174" spans="1:4" x14ac:dyDescent="0.25">
      <c r="A174">
        <f>8403-8396</f>
        <v>7</v>
      </c>
      <c r="B174" t="s">
        <v>74</v>
      </c>
      <c r="C174" t="s">
        <v>643</v>
      </c>
      <c r="D174" t="s">
        <v>832</v>
      </c>
    </row>
    <row r="175" spans="1:4" hidden="1" x14ac:dyDescent="0.25">
      <c r="A175">
        <f>179-174+1</f>
        <v>6</v>
      </c>
      <c r="B175" t="s">
        <v>149</v>
      </c>
      <c r="C175" t="s">
        <v>616</v>
      </c>
      <c r="D175" t="s">
        <v>838</v>
      </c>
    </row>
    <row r="176" spans="1:4" hidden="1" x14ac:dyDescent="0.25">
      <c r="A176">
        <f>159-154+1</f>
        <v>6</v>
      </c>
      <c r="B176" t="s">
        <v>153</v>
      </c>
      <c r="C176" t="s">
        <v>616</v>
      </c>
      <c r="D176" t="s">
        <v>838</v>
      </c>
    </row>
    <row r="177" spans="1:4" hidden="1" x14ac:dyDescent="0.25">
      <c r="A177">
        <f>8396-8390</f>
        <v>6</v>
      </c>
      <c r="B177" t="s">
        <v>340</v>
      </c>
      <c r="C177" t="s">
        <v>745</v>
      </c>
      <c r="D177" t="s">
        <v>857</v>
      </c>
    </row>
    <row r="178" spans="1:4" x14ac:dyDescent="0.25">
      <c r="A178">
        <f>551-545</f>
        <v>6</v>
      </c>
      <c r="B178" t="s">
        <v>383</v>
      </c>
      <c r="C178" t="s">
        <v>765</v>
      </c>
      <c r="D178" t="s">
        <v>850</v>
      </c>
    </row>
    <row r="179" spans="1:4" x14ac:dyDescent="0.25">
      <c r="A179">
        <f>5057-5051</f>
        <v>6</v>
      </c>
      <c r="B179" t="s">
        <v>375</v>
      </c>
      <c r="C179" t="s">
        <v>632</v>
      </c>
      <c r="D179" t="s">
        <v>835</v>
      </c>
    </row>
    <row r="180" spans="1:4" x14ac:dyDescent="0.25">
      <c r="A180">
        <f>4994-4988</f>
        <v>6</v>
      </c>
      <c r="B180" t="s">
        <v>42</v>
      </c>
      <c r="C180" t="s">
        <v>632</v>
      </c>
      <c r="D180" t="s">
        <v>850</v>
      </c>
    </row>
    <row r="181" spans="1:4" x14ac:dyDescent="0.25">
      <c r="A181">
        <f>2602-2596</f>
        <v>6</v>
      </c>
      <c r="B181" t="s">
        <v>519</v>
      </c>
      <c r="C181" t="s">
        <v>803</v>
      </c>
      <c r="D181" t="s">
        <v>850</v>
      </c>
    </row>
    <row r="182" spans="1:4" x14ac:dyDescent="0.25">
      <c r="A182">
        <f>11543-11537</f>
        <v>6</v>
      </c>
      <c r="B182" t="s">
        <v>502</v>
      </c>
      <c r="C182" t="s">
        <v>628</v>
      </c>
      <c r="D182" t="s">
        <v>840</v>
      </c>
    </row>
    <row r="183" spans="1:4" x14ac:dyDescent="0.25">
      <c r="A183">
        <f>11435-11429</f>
        <v>6</v>
      </c>
      <c r="B183" t="s">
        <v>127</v>
      </c>
      <c r="C183" t="s">
        <v>628</v>
      </c>
      <c r="D183" t="s">
        <v>840</v>
      </c>
    </row>
    <row r="184" spans="1:4" x14ac:dyDescent="0.25">
      <c r="A184">
        <f>11519-11513</f>
        <v>6</v>
      </c>
      <c r="B184" t="s">
        <v>139</v>
      </c>
      <c r="C184" t="s">
        <v>628</v>
      </c>
      <c r="D184" t="s">
        <v>840</v>
      </c>
    </row>
    <row r="185" spans="1:4" x14ac:dyDescent="0.25">
      <c r="A185">
        <f>11354-11348</f>
        <v>6</v>
      </c>
      <c r="B185" t="s">
        <v>320</v>
      </c>
      <c r="C185" t="s">
        <v>628</v>
      </c>
      <c r="D185" t="s">
        <v>840</v>
      </c>
    </row>
    <row r="186" spans="1:4" x14ac:dyDescent="0.25">
      <c r="A186">
        <f>12725-12719</f>
        <v>6</v>
      </c>
      <c r="B186" t="s">
        <v>386</v>
      </c>
      <c r="C186" t="s">
        <v>660</v>
      </c>
    </row>
    <row r="187" spans="1:4" x14ac:dyDescent="0.25">
      <c r="A187">
        <v>6</v>
      </c>
      <c r="B187" t="s">
        <v>401</v>
      </c>
      <c r="C187" t="s">
        <v>628</v>
      </c>
      <c r="D187" t="s">
        <v>840</v>
      </c>
    </row>
    <row r="188" spans="1:4" x14ac:dyDescent="0.25">
      <c r="A188">
        <f>11361-11355</f>
        <v>6</v>
      </c>
      <c r="B188" t="s">
        <v>435</v>
      </c>
      <c r="C188" t="s">
        <v>628</v>
      </c>
      <c r="D188" t="s">
        <v>840</v>
      </c>
    </row>
    <row r="189" spans="1:4" x14ac:dyDescent="0.25">
      <c r="A189">
        <f>11531-11525</f>
        <v>6</v>
      </c>
      <c r="B189" t="s">
        <v>34</v>
      </c>
      <c r="C189" t="s">
        <v>628</v>
      </c>
      <c r="D189" t="s">
        <v>840</v>
      </c>
    </row>
    <row r="190" spans="1:4" x14ac:dyDescent="0.25">
      <c r="A190">
        <v>6</v>
      </c>
      <c r="B190" t="s">
        <v>40</v>
      </c>
      <c r="C190" t="s">
        <v>619</v>
      </c>
      <c r="D190" t="s">
        <v>840</v>
      </c>
    </row>
    <row r="191" spans="1:4" x14ac:dyDescent="0.25">
      <c r="A191">
        <v>6</v>
      </c>
      <c r="B191" t="s">
        <v>95</v>
      </c>
      <c r="C191" t="s">
        <v>628</v>
      </c>
      <c r="D191" t="s">
        <v>840</v>
      </c>
    </row>
    <row r="192" spans="1:4" x14ac:dyDescent="0.25">
      <c r="A192">
        <v>6</v>
      </c>
      <c r="B192" t="s">
        <v>187</v>
      </c>
      <c r="C192" t="s">
        <v>628</v>
      </c>
      <c r="D192" t="s">
        <v>840</v>
      </c>
    </row>
    <row r="193" spans="1:4" x14ac:dyDescent="0.25">
      <c r="A193">
        <v>6</v>
      </c>
      <c r="B193" t="s">
        <v>198</v>
      </c>
      <c r="C193" t="s">
        <v>628</v>
      </c>
      <c r="D193" t="s">
        <v>840</v>
      </c>
    </row>
    <row r="194" spans="1:4" x14ac:dyDescent="0.25">
      <c r="A194">
        <v>6</v>
      </c>
      <c r="B194" t="s">
        <v>201</v>
      </c>
      <c r="C194" t="s">
        <v>628</v>
      </c>
      <c r="D194" t="s">
        <v>840</v>
      </c>
    </row>
    <row r="195" spans="1:4" x14ac:dyDescent="0.25">
      <c r="A195">
        <v>6</v>
      </c>
      <c r="B195" t="s">
        <v>214</v>
      </c>
      <c r="C195" t="s">
        <v>628</v>
      </c>
      <c r="D195" t="s">
        <v>840</v>
      </c>
    </row>
    <row r="196" spans="1:4" x14ac:dyDescent="0.25">
      <c r="A196">
        <v>6</v>
      </c>
      <c r="B196" t="s">
        <v>220</v>
      </c>
      <c r="C196" t="s">
        <v>628</v>
      </c>
      <c r="D196" t="s">
        <v>840</v>
      </c>
    </row>
    <row r="197" spans="1:4" x14ac:dyDescent="0.25">
      <c r="A197">
        <v>6</v>
      </c>
      <c r="B197" t="s">
        <v>249</v>
      </c>
      <c r="C197" t="s">
        <v>628</v>
      </c>
      <c r="D197" t="s">
        <v>840</v>
      </c>
    </row>
    <row r="198" spans="1:4" x14ac:dyDescent="0.25">
      <c r="A198">
        <f>11340-11334</f>
        <v>6</v>
      </c>
      <c r="B198" t="s">
        <v>257</v>
      </c>
      <c r="C198" t="s">
        <v>628</v>
      </c>
      <c r="D198" t="s">
        <v>840</v>
      </c>
    </row>
    <row r="199" spans="1:4" x14ac:dyDescent="0.25">
      <c r="A199">
        <v>6</v>
      </c>
      <c r="B199" t="s">
        <v>258</v>
      </c>
      <c r="C199" t="s">
        <v>628</v>
      </c>
      <c r="D199" t="s">
        <v>840</v>
      </c>
    </row>
    <row r="200" spans="1:4" x14ac:dyDescent="0.25">
      <c r="A200">
        <v>6</v>
      </c>
      <c r="B200" t="s">
        <v>261</v>
      </c>
      <c r="C200" t="s">
        <v>628</v>
      </c>
      <c r="D200" t="s">
        <v>840</v>
      </c>
    </row>
    <row r="201" spans="1:4" x14ac:dyDescent="0.25">
      <c r="A201">
        <v>6</v>
      </c>
      <c r="B201" t="s">
        <v>268</v>
      </c>
      <c r="C201" t="s">
        <v>628</v>
      </c>
      <c r="D201" t="s">
        <v>840</v>
      </c>
    </row>
    <row r="202" spans="1:4" x14ac:dyDescent="0.25">
      <c r="A202">
        <v>6</v>
      </c>
      <c r="B202" t="s">
        <v>84</v>
      </c>
      <c r="C202" t="s">
        <v>628</v>
      </c>
      <c r="D202" t="s">
        <v>840</v>
      </c>
    </row>
    <row r="203" spans="1:4" x14ac:dyDescent="0.25">
      <c r="A203">
        <f>8348-8342</f>
        <v>6</v>
      </c>
      <c r="B203" t="s">
        <v>132</v>
      </c>
      <c r="C203" t="s">
        <v>675</v>
      </c>
      <c r="D203" t="s">
        <v>832</v>
      </c>
    </row>
    <row r="204" spans="1:4" x14ac:dyDescent="0.25">
      <c r="A204">
        <f>12621-12615</f>
        <v>6</v>
      </c>
      <c r="B204" t="s">
        <v>365</v>
      </c>
      <c r="C204" t="s">
        <v>759</v>
      </c>
    </row>
    <row r="205" spans="1:4" x14ac:dyDescent="0.25">
      <c r="A205">
        <v>6</v>
      </c>
      <c r="B205" t="s">
        <v>242</v>
      </c>
      <c r="C205" t="s">
        <v>628</v>
      </c>
      <c r="D205" t="s">
        <v>840</v>
      </c>
    </row>
    <row r="206" spans="1:4" x14ac:dyDescent="0.25">
      <c r="A206">
        <v>6</v>
      </c>
      <c r="B206" t="s">
        <v>303</v>
      </c>
      <c r="C206" t="s">
        <v>628</v>
      </c>
      <c r="D206" t="s">
        <v>840</v>
      </c>
    </row>
    <row r="207" spans="1:4" x14ac:dyDescent="0.25">
      <c r="A207">
        <v>6</v>
      </c>
      <c r="B207" t="s">
        <v>378</v>
      </c>
      <c r="C207" t="s">
        <v>628</v>
      </c>
      <c r="D207" t="s">
        <v>840</v>
      </c>
    </row>
    <row r="208" spans="1:4" x14ac:dyDescent="0.25">
      <c r="A208">
        <v>6</v>
      </c>
      <c r="B208" t="s">
        <v>405</v>
      </c>
      <c r="C208" t="s">
        <v>628</v>
      </c>
      <c r="D208" t="s">
        <v>840</v>
      </c>
    </row>
    <row r="209" spans="1:4" x14ac:dyDescent="0.25">
      <c r="A209">
        <f>11361-11355</f>
        <v>6</v>
      </c>
      <c r="B209" t="s">
        <v>507</v>
      </c>
      <c r="C209" t="s">
        <v>628</v>
      </c>
      <c r="D209" t="s">
        <v>840</v>
      </c>
    </row>
    <row r="210" spans="1:4" x14ac:dyDescent="0.25">
      <c r="A210">
        <v>6</v>
      </c>
      <c r="B210" t="s">
        <v>511</v>
      </c>
      <c r="C210" t="s">
        <v>628</v>
      </c>
      <c r="D210" t="s">
        <v>840</v>
      </c>
    </row>
    <row r="211" spans="1:4" x14ac:dyDescent="0.25">
      <c r="A211">
        <v>6</v>
      </c>
      <c r="B211" t="s">
        <v>573</v>
      </c>
      <c r="C211" t="s">
        <v>628</v>
      </c>
      <c r="D211" t="s">
        <v>840</v>
      </c>
    </row>
    <row r="212" spans="1:4" x14ac:dyDescent="0.25">
      <c r="A212">
        <v>6</v>
      </c>
      <c r="B212" t="s">
        <v>586</v>
      </c>
      <c r="C212" t="s">
        <v>628</v>
      </c>
      <c r="D212" t="s">
        <v>840</v>
      </c>
    </row>
    <row r="213" spans="1:4" x14ac:dyDescent="0.25">
      <c r="A213">
        <f>12725-12719</f>
        <v>6</v>
      </c>
      <c r="B213" t="s">
        <v>330</v>
      </c>
      <c r="C213" t="s">
        <v>660</v>
      </c>
    </row>
    <row r="214" spans="1:4" x14ac:dyDescent="0.25">
      <c r="A214">
        <v>6</v>
      </c>
      <c r="B214" t="s">
        <v>572</v>
      </c>
      <c r="C214" t="s">
        <v>609</v>
      </c>
      <c r="D214" t="s">
        <v>831</v>
      </c>
    </row>
    <row r="215" spans="1:4" x14ac:dyDescent="0.25">
      <c r="A215">
        <v>6</v>
      </c>
      <c r="B215" t="s">
        <v>227</v>
      </c>
      <c r="C215" t="s">
        <v>706</v>
      </c>
      <c r="D215" t="s">
        <v>832</v>
      </c>
    </row>
    <row r="216" spans="1:4" x14ac:dyDescent="0.25">
      <c r="A216">
        <v>6</v>
      </c>
      <c r="B216" t="s">
        <v>452</v>
      </c>
      <c r="C216" t="s">
        <v>621</v>
      </c>
      <c r="D216" t="s">
        <v>832</v>
      </c>
    </row>
    <row r="217" spans="1:4" x14ac:dyDescent="0.25">
      <c r="A217">
        <v>6</v>
      </c>
      <c r="B217" t="s">
        <v>463</v>
      </c>
      <c r="C217" t="s">
        <v>621</v>
      </c>
      <c r="D217" t="s">
        <v>832</v>
      </c>
    </row>
    <row r="218" spans="1:4" x14ac:dyDescent="0.25">
      <c r="A218">
        <v>6</v>
      </c>
      <c r="B218" t="s">
        <v>469</v>
      </c>
      <c r="C218" t="s">
        <v>621</v>
      </c>
      <c r="D218" t="s">
        <v>832</v>
      </c>
    </row>
    <row r="219" spans="1:4" x14ac:dyDescent="0.25">
      <c r="A219">
        <v>6</v>
      </c>
      <c r="B219" t="s">
        <v>497</v>
      </c>
      <c r="C219" t="s">
        <v>621</v>
      </c>
      <c r="D219" t="s">
        <v>832</v>
      </c>
    </row>
    <row r="220" spans="1:4" x14ac:dyDescent="0.25">
      <c r="A220">
        <f>11333-11327</f>
        <v>6</v>
      </c>
      <c r="B220" t="s">
        <v>62</v>
      </c>
      <c r="C220" t="s">
        <v>628</v>
      </c>
      <c r="D220" t="s">
        <v>840</v>
      </c>
    </row>
    <row r="221" spans="1:4" x14ac:dyDescent="0.25">
      <c r="A221">
        <f>11347-11341</f>
        <v>6</v>
      </c>
      <c r="B221" t="s">
        <v>534</v>
      </c>
      <c r="C221" t="s">
        <v>628</v>
      </c>
      <c r="D221" t="s">
        <v>840</v>
      </c>
    </row>
    <row r="222" spans="1:4" hidden="1" x14ac:dyDescent="0.25">
      <c r="A222">
        <f>209-205+1</f>
        <v>5</v>
      </c>
      <c r="B222" t="s">
        <v>292</v>
      </c>
      <c r="C222" t="s">
        <v>637</v>
      </c>
      <c r="D222" t="s">
        <v>839</v>
      </c>
    </row>
    <row r="223" spans="1:4" hidden="1" x14ac:dyDescent="0.25">
      <c r="A223">
        <f>111-107+1</f>
        <v>5</v>
      </c>
      <c r="B223" t="s">
        <v>433</v>
      </c>
      <c r="C223" t="s">
        <v>779</v>
      </c>
      <c r="D223" t="s">
        <v>836</v>
      </c>
    </row>
    <row r="224" spans="1:4" hidden="1" x14ac:dyDescent="0.25">
      <c r="A224">
        <v>5</v>
      </c>
      <c r="B224" t="s">
        <v>112</v>
      </c>
      <c r="C224" t="s">
        <v>624</v>
      </c>
      <c r="D224" t="s">
        <v>843</v>
      </c>
    </row>
    <row r="225" spans="1:4" hidden="1" x14ac:dyDescent="0.25">
      <c r="A225">
        <f>7689-7684</f>
        <v>5</v>
      </c>
      <c r="B225" t="s">
        <v>142</v>
      </c>
      <c r="C225" t="s">
        <v>624</v>
      </c>
      <c r="D225" t="s">
        <v>843</v>
      </c>
    </row>
    <row r="226" spans="1:4" x14ac:dyDescent="0.25">
      <c r="A226">
        <f>287-282</f>
        <v>5</v>
      </c>
      <c r="B226" t="s">
        <v>125</v>
      </c>
      <c r="C226" t="s">
        <v>673</v>
      </c>
      <c r="D226" t="s">
        <v>841</v>
      </c>
    </row>
    <row r="227" spans="1:4" x14ac:dyDescent="0.25">
      <c r="A227">
        <f>2939-2934</f>
        <v>5</v>
      </c>
      <c r="B227" t="s">
        <v>123</v>
      </c>
      <c r="C227" t="s">
        <v>672</v>
      </c>
      <c r="D227" t="s">
        <v>850</v>
      </c>
    </row>
    <row r="228" spans="1:4" x14ac:dyDescent="0.25">
      <c r="A228">
        <f>5424-5419</f>
        <v>5</v>
      </c>
      <c r="B228" t="s">
        <v>217</v>
      </c>
      <c r="C228" t="s">
        <v>704</v>
      </c>
      <c r="D228" t="s">
        <v>846</v>
      </c>
    </row>
    <row r="229" spans="1:4" x14ac:dyDescent="0.25">
      <c r="A229">
        <f>3250-3245</f>
        <v>5</v>
      </c>
      <c r="B229" t="s">
        <v>546</v>
      </c>
      <c r="C229" t="s">
        <v>814</v>
      </c>
      <c r="D229" t="s">
        <v>850</v>
      </c>
    </row>
    <row r="230" spans="1:4" x14ac:dyDescent="0.25">
      <c r="A230">
        <f>2596-2591</f>
        <v>5</v>
      </c>
      <c r="B230" t="s">
        <v>387</v>
      </c>
      <c r="C230" t="s">
        <v>767</v>
      </c>
      <c r="D230" t="s">
        <v>850</v>
      </c>
    </row>
    <row r="231" spans="1:4" x14ac:dyDescent="0.25">
      <c r="A231">
        <f>8075-8070</f>
        <v>5</v>
      </c>
      <c r="B231" t="s">
        <v>158</v>
      </c>
      <c r="C231" t="s">
        <v>639</v>
      </c>
      <c r="D231" t="s">
        <v>843</v>
      </c>
    </row>
    <row r="232" spans="1:4" x14ac:dyDescent="0.25">
      <c r="A232">
        <f>8704-8699</f>
        <v>5</v>
      </c>
      <c r="B232" t="s">
        <v>104</v>
      </c>
      <c r="C232" t="s">
        <v>663</v>
      </c>
      <c r="D232" t="s">
        <v>832</v>
      </c>
    </row>
    <row r="233" spans="1:4" x14ac:dyDescent="0.25">
      <c r="A233">
        <f>8647-8642</f>
        <v>5</v>
      </c>
      <c r="B233" t="s">
        <v>535</v>
      </c>
      <c r="C233" t="s">
        <v>663</v>
      </c>
      <c r="D233" t="s">
        <v>832</v>
      </c>
    </row>
    <row r="234" spans="1:4" x14ac:dyDescent="0.25">
      <c r="A234">
        <f>5</f>
        <v>5</v>
      </c>
      <c r="B234" t="s">
        <v>260</v>
      </c>
      <c r="C234" t="s">
        <v>719</v>
      </c>
      <c r="D234" t="s">
        <v>831</v>
      </c>
    </row>
    <row r="235" spans="1:4" x14ac:dyDescent="0.25">
      <c r="A235">
        <f>8709-8704</f>
        <v>5</v>
      </c>
      <c r="B235" t="s">
        <v>449</v>
      </c>
      <c r="C235" t="s">
        <v>663</v>
      </c>
      <c r="D235" t="s">
        <v>832</v>
      </c>
    </row>
    <row r="236" spans="1:4" x14ac:dyDescent="0.25">
      <c r="A236">
        <f>8778-8773</f>
        <v>5</v>
      </c>
      <c r="B236" t="s">
        <v>277</v>
      </c>
      <c r="C236" t="s">
        <v>724</v>
      </c>
      <c r="D236" t="s">
        <v>833</v>
      </c>
    </row>
    <row r="237" spans="1:4" x14ac:dyDescent="0.25">
      <c r="A237">
        <v>5</v>
      </c>
      <c r="B237" t="s">
        <v>317</v>
      </c>
      <c r="C237" t="s">
        <v>609</v>
      </c>
      <c r="D237" t="s">
        <v>831</v>
      </c>
    </row>
    <row r="238" spans="1:4" x14ac:dyDescent="0.25">
      <c r="A238">
        <v>5</v>
      </c>
      <c r="B238" t="s">
        <v>318</v>
      </c>
      <c r="C238" t="s">
        <v>609</v>
      </c>
      <c r="D238" t="s">
        <v>831</v>
      </c>
    </row>
    <row r="239" spans="1:4" x14ac:dyDescent="0.25">
      <c r="A239">
        <v>5</v>
      </c>
      <c r="B239" t="s">
        <v>582</v>
      </c>
      <c r="C239" t="s">
        <v>639</v>
      </c>
      <c r="D239" t="s">
        <v>843</v>
      </c>
    </row>
    <row r="240" spans="1:4" x14ac:dyDescent="0.25">
      <c r="A240">
        <v>5</v>
      </c>
      <c r="B240" t="s">
        <v>49</v>
      </c>
      <c r="C240" t="s">
        <v>639</v>
      </c>
      <c r="D240" t="s">
        <v>843</v>
      </c>
    </row>
    <row r="241" spans="1:5" x14ac:dyDescent="0.25">
      <c r="A241">
        <f>5</f>
        <v>5</v>
      </c>
      <c r="B241" t="s">
        <v>79</v>
      </c>
      <c r="C241" t="s">
        <v>639</v>
      </c>
      <c r="D241" t="s">
        <v>843</v>
      </c>
    </row>
    <row r="242" spans="1:5" x14ac:dyDescent="0.25">
      <c r="A242">
        <v>5</v>
      </c>
      <c r="B242" t="s">
        <v>207</v>
      </c>
      <c r="C242" t="s">
        <v>639</v>
      </c>
      <c r="D242" t="s">
        <v>843</v>
      </c>
    </row>
    <row r="243" spans="1:5" hidden="1" x14ac:dyDescent="0.25">
      <c r="A243">
        <f>274-270</f>
        <v>4</v>
      </c>
      <c r="B243" t="s">
        <v>86</v>
      </c>
      <c r="C243" t="s">
        <v>637</v>
      </c>
      <c r="D243" t="s">
        <v>841</v>
      </c>
    </row>
    <row r="244" spans="1:5" hidden="1" x14ac:dyDescent="0.25">
      <c r="A244">
        <f>278-274</f>
        <v>4</v>
      </c>
      <c r="B244" t="s">
        <v>144</v>
      </c>
      <c r="C244" t="s">
        <v>637</v>
      </c>
      <c r="D244" t="s">
        <v>841</v>
      </c>
    </row>
    <row r="245" spans="1:5" hidden="1" x14ac:dyDescent="0.25">
      <c r="A245">
        <f>72-69+1</f>
        <v>4</v>
      </c>
      <c r="B245" t="s">
        <v>271</v>
      </c>
      <c r="C245" t="s">
        <v>636</v>
      </c>
      <c r="D245" t="s">
        <v>836</v>
      </c>
    </row>
    <row r="246" spans="1:5" hidden="1" x14ac:dyDescent="0.25">
      <c r="A246">
        <f>184-179-1</f>
        <v>4</v>
      </c>
      <c r="B246" t="s">
        <v>274</v>
      </c>
      <c r="C246" t="s">
        <v>616</v>
      </c>
      <c r="D246" t="s">
        <v>838</v>
      </c>
    </row>
    <row r="247" spans="1:5" hidden="1" x14ac:dyDescent="0.25">
      <c r="A247">
        <f>256-252</f>
        <v>4</v>
      </c>
      <c r="B247" t="s">
        <v>290</v>
      </c>
      <c r="C247" t="s">
        <v>637</v>
      </c>
      <c r="D247" t="s">
        <v>839</v>
      </c>
    </row>
    <row r="248" spans="1:5" hidden="1" x14ac:dyDescent="0.25">
      <c r="A248">
        <f>269-265</f>
        <v>4</v>
      </c>
      <c r="B248" t="s">
        <v>304</v>
      </c>
      <c r="C248" t="s">
        <v>637</v>
      </c>
      <c r="D248" t="s">
        <v>841</v>
      </c>
    </row>
    <row r="249" spans="1:5" hidden="1" x14ac:dyDescent="0.25">
      <c r="A249">
        <f>84-81+1</f>
        <v>4</v>
      </c>
      <c r="B249" t="s">
        <v>361</v>
      </c>
      <c r="C249" t="s">
        <v>636</v>
      </c>
      <c r="D249" t="s">
        <v>836</v>
      </c>
    </row>
    <row r="250" spans="1:5" hidden="1" x14ac:dyDescent="0.25">
      <c r="A250">
        <f>13033-13029</f>
        <v>4</v>
      </c>
      <c r="B250" t="s">
        <v>418</v>
      </c>
      <c r="C250" t="s">
        <v>637</v>
      </c>
      <c r="D250" t="s">
        <v>842</v>
      </c>
    </row>
    <row r="251" spans="1:5" hidden="1" x14ac:dyDescent="0.25">
      <c r="A251">
        <f>12884-12880</f>
        <v>4</v>
      </c>
      <c r="B251" t="s">
        <v>159</v>
      </c>
      <c r="C251" t="s">
        <v>641</v>
      </c>
    </row>
    <row r="252" spans="1:5" hidden="1" x14ac:dyDescent="0.25">
      <c r="A252">
        <f>7931-7927</f>
        <v>4</v>
      </c>
      <c r="B252" t="s">
        <v>160</v>
      </c>
      <c r="C252" t="s">
        <v>681</v>
      </c>
      <c r="D252" t="s">
        <v>854</v>
      </c>
    </row>
    <row r="253" spans="1:5" hidden="1" x14ac:dyDescent="0.25">
      <c r="A253">
        <f>8773-8769</f>
        <v>4</v>
      </c>
      <c r="B253" t="s">
        <v>482</v>
      </c>
      <c r="C253" t="s">
        <v>637</v>
      </c>
      <c r="D253" t="s">
        <v>833</v>
      </c>
      <c r="E253" t="s">
        <v>859</v>
      </c>
    </row>
    <row r="254" spans="1:5" x14ac:dyDescent="0.25">
      <c r="A254">
        <f>2964-2960</f>
        <v>4</v>
      </c>
      <c r="B254" t="s">
        <v>216</v>
      </c>
      <c r="C254" t="s">
        <v>703</v>
      </c>
      <c r="D254" t="s">
        <v>850</v>
      </c>
    </row>
    <row r="255" spans="1:5" x14ac:dyDescent="0.25">
      <c r="A255">
        <f>214-210</f>
        <v>4</v>
      </c>
      <c r="B255" t="s">
        <v>601</v>
      </c>
      <c r="C255" t="s">
        <v>825</v>
      </c>
      <c r="D255" t="s">
        <v>845</v>
      </c>
    </row>
    <row r="256" spans="1:5" x14ac:dyDescent="0.25">
      <c r="A256">
        <f>3266-3262</f>
        <v>4</v>
      </c>
      <c r="B256" t="s">
        <v>105</v>
      </c>
      <c r="C256" t="s">
        <v>664</v>
      </c>
      <c r="D256" t="s">
        <v>850</v>
      </c>
    </row>
    <row r="257" spans="1:4" x14ac:dyDescent="0.25">
      <c r="A257">
        <f>282-278</f>
        <v>4</v>
      </c>
      <c r="B257" t="s">
        <v>180</v>
      </c>
      <c r="C257" t="s">
        <v>673</v>
      </c>
      <c r="D257" t="s">
        <v>841</v>
      </c>
    </row>
    <row r="258" spans="1:4" x14ac:dyDescent="0.25">
      <c r="A258">
        <f>4565-4561</f>
        <v>4</v>
      </c>
      <c r="B258" t="s">
        <v>185</v>
      </c>
      <c r="C258" t="s">
        <v>689</v>
      </c>
      <c r="D258" t="s">
        <v>850</v>
      </c>
    </row>
    <row r="259" spans="1:4" x14ac:dyDescent="0.25">
      <c r="A259">
        <f>14294-14290</f>
        <v>4</v>
      </c>
      <c r="B259" t="s">
        <v>359</v>
      </c>
      <c r="C259" t="s">
        <v>757</v>
      </c>
      <c r="D259" t="s">
        <v>833</v>
      </c>
    </row>
    <row r="260" spans="1:4" x14ac:dyDescent="0.25">
      <c r="A260">
        <f>237-233</f>
        <v>4</v>
      </c>
      <c r="B260" t="s">
        <v>436</v>
      </c>
      <c r="C260" t="s">
        <v>677</v>
      </c>
      <c r="D260" t="s">
        <v>839</v>
      </c>
    </row>
    <row r="261" spans="1:4" x14ac:dyDescent="0.25">
      <c r="A261">
        <f>12692-12688</f>
        <v>4</v>
      </c>
      <c r="B261" t="s">
        <v>9</v>
      </c>
      <c r="C261" t="s">
        <v>609</v>
      </c>
      <c r="D261" t="s">
        <v>831</v>
      </c>
    </row>
    <row r="262" spans="1:4" x14ac:dyDescent="0.25">
      <c r="A262">
        <f>8717-8713</f>
        <v>4</v>
      </c>
      <c r="B262" t="s">
        <v>219</v>
      </c>
      <c r="C262" t="s">
        <v>621</v>
      </c>
      <c r="D262" t="s">
        <v>832</v>
      </c>
    </row>
    <row r="263" spans="1:4" x14ac:dyDescent="0.25">
      <c r="A263">
        <f>12823-12819</f>
        <v>4</v>
      </c>
      <c r="B263" t="s">
        <v>545</v>
      </c>
      <c r="C263" t="s">
        <v>813</v>
      </c>
      <c r="D263" t="s">
        <v>831</v>
      </c>
    </row>
    <row r="264" spans="1:4" x14ac:dyDescent="0.25">
      <c r="A264">
        <f>8713-8709</f>
        <v>4</v>
      </c>
      <c r="B264" t="s">
        <v>367</v>
      </c>
      <c r="C264" t="s">
        <v>621</v>
      </c>
      <c r="D264" t="s">
        <v>832</v>
      </c>
    </row>
    <row r="265" spans="1:4" x14ac:dyDescent="0.25">
      <c r="A265">
        <f>340-336</f>
        <v>4</v>
      </c>
      <c r="B265" t="s">
        <v>72</v>
      </c>
      <c r="C265" t="s">
        <v>653</v>
      </c>
      <c r="D265" t="s">
        <v>845</v>
      </c>
    </row>
    <row r="266" spans="1:4" x14ac:dyDescent="0.25">
      <c r="A266">
        <f>8672-8668</f>
        <v>4</v>
      </c>
      <c r="B266" t="s">
        <v>31</v>
      </c>
      <c r="C266" t="s">
        <v>625</v>
      </c>
      <c r="D266" t="s">
        <v>832</v>
      </c>
    </row>
    <row r="267" spans="1:4" x14ac:dyDescent="0.25">
      <c r="A267">
        <f>12696-12692</f>
        <v>4</v>
      </c>
      <c r="B267" t="s">
        <v>285</v>
      </c>
      <c r="C267" t="s">
        <v>609</v>
      </c>
      <c r="D267" t="s">
        <v>831</v>
      </c>
    </row>
    <row r="268" spans="1:4" x14ac:dyDescent="0.25">
      <c r="A268">
        <f>7683-7679</f>
        <v>4</v>
      </c>
      <c r="B268" t="s">
        <v>52</v>
      </c>
      <c r="C268" t="s">
        <v>639</v>
      </c>
      <c r="D268" t="s">
        <v>843</v>
      </c>
    </row>
    <row r="269" spans="1:4" hidden="1" x14ac:dyDescent="0.25">
      <c r="A269">
        <f>6197-6194</f>
        <v>3</v>
      </c>
      <c r="B269" t="s">
        <v>574</v>
      </c>
      <c r="C269" t="s">
        <v>820</v>
      </c>
      <c r="D269" t="s">
        <v>843</v>
      </c>
    </row>
    <row r="270" spans="1:4" x14ac:dyDescent="0.25">
      <c r="A270">
        <f>5282-5279</f>
        <v>3</v>
      </c>
      <c r="B270" t="s">
        <v>347</v>
      </c>
      <c r="C270" t="s">
        <v>629</v>
      </c>
      <c r="D270" t="s">
        <v>850</v>
      </c>
    </row>
    <row r="271" spans="1:4" x14ac:dyDescent="0.25">
      <c r="A271">
        <f>262-259</f>
        <v>3</v>
      </c>
      <c r="B271" t="s">
        <v>459</v>
      </c>
      <c r="C271" t="s">
        <v>785</v>
      </c>
      <c r="D271" t="s">
        <v>845</v>
      </c>
    </row>
    <row r="272" spans="1:4" x14ac:dyDescent="0.25">
      <c r="A272">
        <f>259-256</f>
        <v>3</v>
      </c>
      <c r="B272" t="s">
        <v>152</v>
      </c>
      <c r="C272" t="s">
        <v>679</v>
      </c>
      <c r="D272" t="s">
        <v>845</v>
      </c>
    </row>
    <row r="273" spans="1:4" x14ac:dyDescent="0.25">
      <c r="A273">
        <f>5194-5191</f>
        <v>3</v>
      </c>
      <c r="B273" t="s">
        <v>420</v>
      </c>
      <c r="C273" t="s">
        <v>629</v>
      </c>
      <c r="D273" t="s">
        <v>850</v>
      </c>
    </row>
    <row r="274" spans="1:4" x14ac:dyDescent="0.25">
      <c r="A274">
        <f>5407-5404</f>
        <v>3</v>
      </c>
      <c r="B274" t="s">
        <v>489</v>
      </c>
      <c r="C274" t="s">
        <v>792</v>
      </c>
      <c r="D274" t="s">
        <v>850</v>
      </c>
    </row>
    <row r="275" spans="1:4" x14ac:dyDescent="0.25">
      <c r="A275">
        <f>1585-1582</f>
        <v>3</v>
      </c>
      <c r="B275" t="s">
        <v>432</v>
      </c>
      <c r="C275" t="s">
        <v>671</v>
      </c>
      <c r="D275" t="s">
        <v>850</v>
      </c>
    </row>
    <row r="276" spans="1:4" x14ac:dyDescent="0.25">
      <c r="A276">
        <f>5147-5144</f>
        <v>3</v>
      </c>
      <c r="B276" t="s">
        <v>26</v>
      </c>
      <c r="C276" t="s">
        <v>620</v>
      </c>
      <c r="D276" t="s">
        <v>850</v>
      </c>
    </row>
    <row r="277" spans="1:4" x14ac:dyDescent="0.25">
      <c r="A277">
        <f>5183-5180</f>
        <v>3</v>
      </c>
      <c r="B277" t="s">
        <v>503</v>
      </c>
      <c r="C277" t="s">
        <v>795</v>
      </c>
      <c r="D277" t="s">
        <v>850</v>
      </c>
    </row>
    <row r="278" spans="1:4" x14ac:dyDescent="0.25">
      <c r="A278">
        <f>5419-5416</f>
        <v>3</v>
      </c>
      <c r="B278" t="s">
        <v>196</v>
      </c>
      <c r="C278" t="s">
        <v>629</v>
      </c>
      <c r="D278" t="s">
        <v>850</v>
      </c>
    </row>
    <row r="279" spans="1:4" x14ac:dyDescent="0.25">
      <c r="A279">
        <f>4906-4903</f>
        <v>3</v>
      </c>
      <c r="B279" t="s">
        <v>117</v>
      </c>
      <c r="C279" t="s">
        <v>671</v>
      </c>
      <c r="D279" t="s">
        <v>850</v>
      </c>
    </row>
    <row r="280" spans="1:4" x14ac:dyDescent="0.25">
      <c r="A280">
        <f>320-317</f>
        <v>3</v>
      </c>
      <c r="B280" t="s">
        <v>406</v>
      </c>
      <c r="C280" t="s">
        <v>774</v>
      </c>
      <c r="D280" t="s">
        <v>835</v>
      </c>
    </row>
    <row r="281" spans="1:4" x14ac:dyDescent="0.25">
      <c r="A281">
        <f>4909-4906</f>
        <v>3</v>
      </c>
      <c r="B281" t="s">
        <v>510</v>
      </c>
      <c r="C281" t="s">
        <v>671</v>
      </c>
      <c r="D281" t="s">
        <v>850</v>
      </c>
    </row>
    <row r="282" spans="1:4" x14ac:dyDescent="0.25">
      <c r="A282">
        <f>4894-4891</f>
        <v>3</v>
      </c>
      <c r="B282" t="s">
        <v>380</v>
      </c>
      <c r="C282" t="s">
        <v>763</v>
      </c>
      <c r="D282" t="s">
        <v>850</v>
      </c>
    </row>
    <row r="283" spans="1:4" x14ac:dyDescent="0.25">
      <c r="A283">
        <f>317-314</f>
        <v>3</v>
      </c>
      <c r="B283" t="s">
        <v>554</v>
      </c>
      <c r="C283" t="s">
        <v>774</v>
      </c>
      <c r="D283" t="s">
        <v>845</v>
      </c>
    </row>
    <row r="284" spans="1:4" x14ac:dyDescent="0.25">
      <c r="A284">
        <f>3402-3399</f>
        <v>3</v>
      </c>
      <c r="B284" t="s">
        <v>179</v>
      </c>
      <c r="C284" t="s">
        <v>685</v>
      </c>
      <c r="D284" t="s">
        <v>850</v>
      </c>
    </row>
    <row r="285" spans="1:4" x14ac:dyDescent="0.25">
      <c r="A285">
        <v>3</v>
      </c>
      <c r="B285" t="s">
        <v>7</v>
      </c>
      <c r="C285" t="s">
        <v>607</v>
      </c>
      <c r="D285" t="s">
        <v>832</v>
      </c>
    </row>
    <row r="286" spans="1:4" x14ac:dyDescent="0.25">
      <c r="A286">
        <v>3</v>
      </c>
      <c r="B286" t="s">
        <v>434</v>
      </c>
      <c r="C286" t="s">
        <v>780</v>
      </c>
      <c r="D286" t="s">
        <v>845</v>
      </c>
    </row>
    <row r="287" spans="1:4" x14ac:dyDescent="0.25">
      <c r="A287">
        <f>336-333</f>
        <v>3</v>
      </c>
      <c r="B287" t="s">
        <v>161</v>
      </c>
      <c r="C287" t="s">
        <v>682</v>
      </c>
      <c r="D287" t="s">
        <v>845</v>
      </c>
    </row>
    <row r="288" spans="1:4" x14ac:dyDescent="0.25">
      <c r="A288">
        <f>8438-8435</f>
        <v>3</v>
      </c>
      <c r="B288" t="s">
        <v>430</v>
      </c>
      <c r="C288" t="s">
        <v>778</v>
      </c>
      <c r="D288" t="s">
        <v>832</v>
      </c>
    </row>
    <row r="289" spans="1:4" x14ac:dyDescent="0.25">
      <c r="A289">
        <f>368-365</f>
        <v>3</v>
      </c>
      <c r="B289" t="s">
        <v>358</v>
      </c>
      <c r="C289" t="s">
        <v>756</v>
      </c>
      <c r="D289" t="s">
        <v>845</v>
      </c>
    </row>
    <row r="290" spans="1:4" x14ac:dyDescent="0.25">
      <c r="A290">
        <f>359-356</f>
        <v>3</v>
      </c>
      <c r="B290" t="s">
        <v>344</v>
      </c>
      <c r="C290" t="s">
        <v>748</v>
      </c>
      <c r="D290" t="s">
        <v>845</v>
      </c>
    </row>
    <row r="291" spans="1:4" x14ac:dyDescent="0.25">
      <c r="A291">
        <f>379-376</f>
        <v>3</v>
      </c>
      <c r="B291" t="s">
        <v>28</v>
      </c>
      <c r="C291" t="s">
        <v>622</v>
      </c>
      <c r="D291" t="s">
        <v>856</v>
      </c>
    </row>
    <row r="292" spans="1:4" x14ac:dyDescent="0.25">
      <c r="A292">
        <f>8699-8696</f>
        <v>3</v>
      </c>
      <c r="B292" t="s">
        <v>297</v>
      </c>
      <c r="C292" t="s">
        <v>734</v>
      </c>
      <c r="D292" t="s">
        <v>832</v>
      </c>
    </row>
    <row r="293" spans="1:4" x14ac:dyDescent="0.25">
      <c r="A293">
        <f>3</f>
        <v>3</v>
      </c>
      <c r="B293" t="s">
        <v>530</v>
      </c>
      <c r="C293" t="s">
        <v>748</v>
      </c>
      <c r="D293" t="s">
        <v>845</v>
      </c>
    </row>
    <row r="294" spans="1:4" x14ac:dyDescent="0.25">
      <c r="A294">
        <f>362-359</f>
        <v>3</v>
      </c>
      <c r="B294" t="s">
        <v>357</v>
      </c>
      <c r="C294" t="s">
        <v>748</v>
      </c>
      <c r="D294" t="s">
        <v>845</v>
      </c>
    </row>
    <row r="295" spans="1:4" x14ac:dyDescent="0.25">
      <c r="A295">
        <f>8441-8438</f>
        <v>3</v>
      </c>
      <c r="B295" t="s">
        <v>313</v>
      </c>
      <c r="C295" t="s">
        <v>607</v>
      </c>
      <c r="D295" t="s">
        <v>832</v>
      </c>
    </row>
    <row r="296" spans="1:4" hidden="1" x14ac:dyDescent="0.25">
      <c r="A296">
        <f>8435-8433</f>
        <v>2</v>
      </c>
      <c r="B296" t="s">
        <v>130</v>
      </c>
      <c r="C296" t="s">
        <v>674</v>
      </c>
    </row>
    <row r="297" spans="1:4" x14ac:dyDescent="0.25">
      <c r="A297">
        <f>322-320</f>
        <v>2</v>
      </c>
      <c r="B297" t="s">
        <v>366</v>
      </c>
      <c r="C297" t="s">
        <v>760</v>
      </c>
      <c r="D297" t="s">
        <v>835</v>
      </c>
    </row>
    <row r="298" spans="1:4" x14ac:dyDescent="0.25">
      <c r="A298">
        <f>324-322</f>
        <v>2</v>
      </c>
      <c r="B298" t="s">
        <v>600</v>
      </c>
      <c r="C298" t="s">
        <v>613</v>
      </c>
      <c r="D298" t="s">
        <v>835</v>
      </c>
    </row>
    <row r="299" spans="1:4" hidden="1" x14ac:dyDescent="0.25">
      <c r="A299">
        <f>1</f>
        <v>1</v>
      </c>
      <c r="B299" t="s">
        <v>287</v>
      </c>
      <c r="C299" t="s">
        <v>730</v>
      </c>
      <c r="D299" t="s">
        <v>838</v>
      </c>
    </row>
    <row r="300" spans="1:4" x14ac:dyDescent="0.25">
      <c r="A300">
        <f>1</f>
        <v>1</v>
      </c>
      <c r="B300" t="s">
        <v>22</v>
      </c>
      <c r="C300" t="s">
        <v>617</v>
      </c>
      <c r="D300" t="s">
        <v>839</v>
      </c>
    </row>
    <row r="301" spans="1:4" x14ac:dyDescent="0.25">
      <c r="A301">
        <v>1</v>
      </c>
      <c r="B301" t="s">
        <v>145</v>
      </c>
      <c r="C301" t="s">
        <v>677</v>
      </c>
      <c r="D301" t="s">
        <v>841</v>
      </c>
    </row>
    <row r="302" spans="1:4" x14ac:dyDescent="0.25">
      <c r="A302">
        <f>13034-13033</f>
        <v>1</v>
      </c>
      <c r="B302" t="s">
        <v>193</v>
      </c>
      <c r="C302" t="s">
        <v>693</v>
      </c>
    </row>
    <row r="303" spans="1:4" x14ac:dyDescent="0.25">
      <c r="A303">
        <v>1</v>
      </c>
      <c r="B303" t="s">
        <v>323</v>
      </c>
      <c r="C303" t="s">
        <v>741</v>
      </c>
      <c r="D303" t="s">
        <v>839</v>
      </c>
    </row>
    <row r="304" spans="1:4" x14ac:dyDescent="0.25">
      <c r="A304">
        <v>1</v>
      </c>
      <c r="B304" t="s">
        <v>329</v>
      </c>
      <c r="C304" t="s">
        <v>742</v>
      </c>
      <c r="D304" t="s">
        <v>841</v>
      </c>
    </row>
    <row r="305" spans="1:4" x14ac:dyDescent="0.25">
      <c r="A305">
        <f>1</f>
        <v>1</v>
      </c>
      <c r="B305" t="s">
        <v>140</v>
      </c>
      <c r="C305" t="s">
        <v>676</v>
      </c>
      <c r="D305" t="s">
        <v>845</v>
      </c>
    </row>
    <row r="306" spans="1:4" x14ac:dyDescent="0.25">
      <c r="A306">
        <v>1</v>
      </c>
      <c r="B306" t="s">
        <v>552</v>
      </c>
      <c r="C306" t="s">
        <v>815</v>
      </c>
    </row>
    <row r="307" spans="1:4" x14ac:dyDescent="0.25">
      <c r="A307">
        <f>1</f>
        <v>1</v>
      </c>
      <c r="B307" t="s">
        <v>569</v>
      </c>
      <c r="C307" t="s">
        <v>819</v>
      </c>
      <c r="D307" t="s">
        <v>847</v>
      </c>
    </row>
    <row r="308" spans="1:4" x14ac:dyDescent="0.25">
      <c r="A308">
        <v>1</v>
      </c>
      <c r="B308" t="s">
        <v>178</v>
      </c>
      <c r="C308" t="s">
        <v>615</v>
      </c>
      <c r="D308" t="s">
        <v>853</v>
      </c>
    </row>
    <row r="309" spans="1:4" x14ac:dyDescent="0.25">
      <c r="A309">
        <v>1</v>
      </c>
      <c r="B309" t="s">
        <v>233</v>
      </c>
      <c r="C309" t="s">
        <v>708</v>
      </c>
      <c r="D309" t="s">
        <v>845</v>
      </c>
    </row>
    <row r="310" spans="1:4" x14ac:dyDescent="0.25">
      <c r="A310">
        <v>1</v>
      </c>
      <c r="B310" t="s">
        <v>20</v>
      </c>
      <c r="C310" t="s">
        <v>615</v>
      </c>
      <c r="D310" t="s">
        <v>845</v>
      </c>
    </row>
    <row r="311" spans="1:4" x14ac:dyDescent="0.25">
      <c r="A311">
        <v>1</v>
      </c>
      <c r="B311" t="s">
        <v>107</v>
      </c>
      <c r="C311" t="s">
        <v>666</v>
      </c>
      <c r="D311" t="s">
        <v>845</v>
      </c>
    </row>
    <row r="312" spans="1:4" x14ac:dyDescent="0.25">
      <c r="A312">
        <v>1</v>
      </c>
      <c r="B312" t="s">
        <v>346</v>
      </c>
      <c r="C312" t="s">
        <v>750</v>
      </c>
      <c r="D312" t="s">
        <v>845</v>
      </c>
    </row>
    <row r="313" spans="1:4" x14ac:dyDescent="0.25">
      <c r="A313">
        <v>1</v>
      </c>
      <c r="B313" t="s">
        <v>492</v>
      </c>
      <c r="C313" t="s">
        <v>615</v>
      </c>
      <c r="D313" t="s">
        <v>845</v>
      </c>
    </row>
    <row r="314" spans="1:4" x14ac:dyDescent="0.25">
      <c r="A314">
        <f>1</f>
        <v>1</v>
      </c>
      <c r="B314" t="s">
        <v>390</v>
      </c>
      <c r="C314" t="s">
        <v>615</v>
      </c>
      <c r="D314" t="s">
        <v>845</v>
      </c>
    </row>
    <row r="315" spans="1:4" x14ac:dyDescent="0.25">
      <c r="A315">
        <v>1</v>
      </c>
      <c r="B315" t="s">
        <v>211</v>
      </c>
      <c r="C315" t="s">
        <v>701</v>
      </c>
      <c r="D315" t="s">
        <v>845</v>
      </c>
    </row>
    <row r="316" spans="1:4" x14ac:dyDescent="0.25">
      <c r="A316">
        <v>1</v>
      </c>
      <c r="B316" t="s">
        <v>333</v>
      </c>
      <c r="C316" t="s">
        <v>694</v>
      </c>
      <c r="D316" t="s">
        <v>845</v>
      </c>
    </row>
    <row r="317" spans="1:4" x14ac:dyDescent="0.25">
      <c r="A317">
        <v>1</v>
      </c>
      <c r="B317" t="s">
        <v>583</v>
      </c>
      <c r="C317" t="s">
        <v>694</v>
      </c>
      <c r="D317" t="s">
        <v>845</v>
      </c>
    </row>
    <row r="318" spans="1:4" x14ac:dyDescent="0.25">
      <c r="A318">
        <v>1</v>
      </c>
      <c r="B318" t="s">
        <v>473</v>
      </c>
      <c r="C318" t="s">
        <v>694</v>
      </c>
      <c r="D318" t="s">
        <v>845</v>
      </c>
    </row>
    <row r="319" spans="1:4" x14ac:dyDescent="0.25">
      <c r="A319">
        <v>1</v>
      </c>
      <c r="B319" t="s">
        <v>197</v>
      </c>
      <c r="C319" t="s">
        <v>694</v>
      </c>
      <c r="D319" t="s">
        <v>845</v>
      </c>
    </row>
    <row r="320" spans="1:4" x14ac:dyDescent="0.25">
      <c r="A320">
        <v>1</v>
      </c>
      <c r="B320" t="s">
        <v>508</v>
      </c>
      <c r="C320" t="s">
        <v>798</v>
      </c>
      <c r="D320" t="s">
        <v>845</v>
      </c>
    </row>
    <row r="321" spans="1:4" x14ac:dyDescent="0.25">
      <c r="A321">
        <v>1</v>
      </c>
      <c r="B321" t="s">
        <v>248</v>
      </c>
      <c r="C321" t="s">
        <v>716</v>
      </c>
      <c r="D321" t="s">
        <v>845</v>
      </c>
    </row>
    <row r="322" spans="1:4" x14ac:dyDescent="0.25">
      <c r="A322">
        <v>1</v>
      </c>
      <c r="B322" t="s">
        <v>448</v>
      </c>
      <c r="C322" t="s">
        <v>612</v>
      </c>
      <c r="D322" t="s">
        <v>851</v>
      </c>
    </row>
    <row r="323" spans="1:4" x14ac:dyDescent="0.25">
      <c r="A323">
        <v>1</v>
      </c>
      <c r="B323" t="s">
        <v>17</v>
      </c>
      <c r="C323" t="s">
        <v>613</v>
      </c>
      <c r="D323" t="s">
        <v>845</v>
      </c>
    </row>
    <row r="324" spans="1:4" x14ac:dyDescent="0.25">
      <c r="A324">
        <v>1</v>
      </c>
      <c r="B324" t="s">
        <v>562</v>
      </c>
      <c r="C324" t="s">
        <v>615</v>
      </c>
      <c r="D324" t="s">
        <v>845</v>
      </c>
    </row>
    <row r="325" spans="1:4" x14ac:dyDescent="0.25">
      <c r="A325">
        <v>1</v>
      </c>
      <c r="B325" t="s">
        <v>168</v>
      </c>
      <c r="C325" t="s">
        <v>615</v>
      </c>
      <c r="D325" t="s">
        <v>845</v>
      </c>
    </row>
    <row r="326" spans="1:4" x14ac:dyDescent="0.25">
      <c r="A326">
        <v>1</v>
      </c>
      <c r="B326" t="s">
        <v>332</v>
      </c>
      <c r="C326" t="s">
        <v>743</v>
      </c>
      <c r="D326" t="s">
        <v>845</v>
      </c>
    </row>
    <row r="327" spans="1:4" x14ac:dyDescent="0.25">
      <c r="A327">
        <v>1</v>
      </c>
      <c r="B327" t="s">
        <v>499</v>
      </c>
      <c r="C327" t="s">
        <v>794</v>
      </c>
      <c r="D327" t="s">
        <v>845</v>
      </c>
    </row>
    <row r="328" spans="1:4" x14ac:dyDescent="0.25">
      <c r="A328">
        <v>1</v>
      </c>
      <c r="B328" t="s">
        <v>342</v>
      </c>
      <c r="C328" t="s">
        <v>746</v>
      </c>
      <c r="D328" t="s">
        <v>845</v>
      </c>
    </row>
    <row r="329" spans="1:4" x14ac:dyDescent="0.25">
      <c r="A329">
        <v>1</v>
      </c>
      <c r="B329" t="s">
        <v>517</v>
      </c>
      <c r="C329" t="s">
        <v>802</v>
      </c>
      <c r="D329" t="s">
        <v>845</v>
      </c>
    </row>
    <row r="330" spans="1:4" x14ac:dyDescent="0.25">
      <c r="A330">
        <v>1</v>
      </c>
      <c r="B330" t="s">
        <v>464</v>
      </c>
      <c r="C330" t="s">
        <v>787</v>
      </c>
      <c r="D330" t="s">
        <v>845</v>
      </c>
    </row>
    <row r="331" spans="1:4" x14ac:dyDescent="0.25">
      <c r="A331">
        <v>1</v>
      </c>
      <c r="B331" t="s">
        <v>114</v>
      </c>
      <c r="C331" t="s">
        <v>669</v>
      </c>
      <c r="D331" t="s">
        <v>845</v>
      </c>
    </row>
    <row r="332" spans="1:4" x14ac:dyDescent="0.25">
      <c r="A332">
        <v>1</v>
      </c>
      <c r="B332" t="s">
        <v>191</v>
      </c>
      <c r="C332" t="s">
        <v>691</v>
      </c>
      <c r="D332" t="s">
        <v>851</v>
      </c>
    </row>
    <row r="333" spans="1:4" x14ac:dyDescent="0.25">
      <c r="A333">
        <v>1</v>
      </c>
      <c r="B333" t="s">
        <v>281</v>
      </c>
      <c r="C333" t="s">
        <v>727</v>
      </c>
      <c r="D333" t="s">
        <v>832</v>
      </c>
    </row>
    <row r="334" spans="1:4" x14ac:dyDescent="0.25">
      <c r="A334">
        <v>1</v>
      </c>
      <c r="B334" t="s">
        <v>282</v>
      </c>
      <c r="C334" t="s">
        <v>728</v>
      </c>
      <c r="D334" t="s">
        <v>829</v>
      </c>
    </row>
    <row r="335" spans="1:4" x14ac:dyDescent="0.25">
      <c r="A335">
        <v>1</v>
      </c>
      <c r="B335" t="s">
        <v>385</v>
      </c>
      <c r="C335" t="s">
        <v>766</v>
      </c>
      <c r="D335" t="s">
        <v>851</v>
      </c>
    </row>
    <row r="336" spans="1:4" x14ac:dyDescent="0.25">
      <c r="A336">
        <v>1</v>
      </c>
      <c r="B336" t="s">
        <v>495</v>
      </c>
      <c r="C336" t="s">
        <v>701</v>
      </c>
      <c r="D336" t="s">
        <v>845</v>
      </c>
    </row>
    <row r="337" spans="1:4" x14ac:dyDescent="0.25">
      <c r="A337">
        <v>1</v>
      </c>
      <c r="B337" t="s">
        <v>528</v>
      </c>
      <c r="C337" t="s">
        <v>806</v>
      </c>
      <c r="D337" t="s">
        <v>832</v>
      </c>
    </row>
    <row r="338" spans="1:4" x14ac:dyDescent="0.25">
      <c r="A338">
        <v>1</v>
      </c>
      <c r="B338" t="s">
        <v>384</v>
      </c>
      <c r="C338" t="s">
        <v>615</v>
      </c>
      <c r="D338" t="s">
        <v>845</v>
      </c>
    </row>
    <row r="339" spans="1:4" x14ac:dyDescent="0.25">
      <c r="A339">
        <v>1</v>
      </c>
      <c r="B339" t="s">
        <v>370</v>
      </c>
      <c r="C339" t="s">
        <v>615</v>
      </c>
    </row>
    <row r="340" spans="1:4" x14ac:dyDescent="0.25">
      <c r="A340">
        <v>1</v>
      </c>
      <c r="B340" t="s">
        <v>512</v>
      </c>
      <c r="C340" t="s">
        <v>799</v>
      </c>
      <c r="D340" t="s">
        <v>832</v>
      </c>
    </row>
    <row r="341" spans="1:4" hidden="1" x14ac:dyDescent="0.25">
      <c r="B341" t="s">
        <v>25</v>
      </c>
      <c r="C341" t="s">
        <v>610</v>
      </c>
      <c r="D341" t="s">
        <v>854</v>
      </c>
    </row>
    <row r="342" spans="1:4" hidden="1" x14ac:dyDescent="0.25">
      <c r="B342" t="s">
        <v>29</v>
      </c>
      <c r="C342" t="s">
        <v>623</v>
      </c>
    </row>
    <row r="343" spans="1:4" hidden="1" x14ac:dyDescent="0.25">
      <c r="B343" t="s">
        <v>30</v>
      </c>
      <c r="C343" t="s">
        <v>624</v>
      </c>
    </row>
    <row r="344" spans="1:4" hidden="1" x14ac:dyDescent="0.25">
      <c r="B344" t="s">
        <v>32</v>
      </c>
      <c r="C344" t="s">
        <v>626</v>
      </c>
    </row>
    <row r="345" spans="1:4" hidden="1" x14ac:dyDescent="0.25">
      <c r="B345" t="s">
        <v>37</v>
      </c>
      <c r="C345" t="s">
        <v>631</v>
      </c>
      <c r="D345" t="s">
        <v>844</v>
      </c>
    </row>
    <row r="346" spans="1:4" hidden="1" x14ac:dyDescent="0.25">
      <c r="B346" t="s">
        <v>38</v>
      </c>
      <c r="C346" t="s">
        <v>604</v>
      </c>
      <c r="D346" t="s">
        <v>854</v>
      </c>
    </row>
    <row r="347" spans="1:4" hidden="1" x14ac:dyDescent="0.25">
      <c r="B347" t="s">
        <v>39</v>
      </c>
      <c r="C347" t="s">
        <v>604</v>
      </c>
      <c r="D347" t="s">
        <v>854</v>
      </c>
    </row>
    <row r="348" spans="1:4" hidden="1" x14ac:dyDescent="0.25">
      <c r="B348" t="s">
        <v>41</v>
      </c>
      <c r="C348" t="s">
        <v>606</v>
      </c>
      <c r="D348" t="s">
        <v>856</v>
      </c>
    </row>
    <row r="349" spans="1:4" hidden="1" x14ac:dyDescent="0.25">
      <c r="B349" t="s">
        <v>43</v>
      </c>
      <c r="C349" t="s">
        <v>633</v>
      </c>
      <c r="D349" t="s">
        <v>833</v>
      </c>
    </row>
    <row r="350" spans="1:4" hidden="1" x14ac:dyDescent="0.25">
      <c r="B350" t="s">
        <v>47</v>
      </c>
      <c r="C350" t="s">
        <v>637</v>
      </c>
      <c r="D350" t="s">
        <v>855</v>
      </c>
    </row>
    <row r="351" spans="1:4" hidden="1" x14ac:dyDescent="0.25">
      <c r="B351" t="s">
        <v>48</v>
      </c>
      <c r="C351" t="s">
        <v>638</v>
      </c>
      <c r="D351" t="s">
        <v>836</v>
      </c>
    </row>
    <row r="352" spans="1:4" hidden="1" x14ac:dyDescent="0.25">
      <c r="B352" t="s">
        <v>51</v>
      </c>
      <c r="C352" t="s">
        <v>633</v>
      </c>
      <c r="D352" t="s">
        <v>833</v>
      </c>
    </row>
    <row r="353" spans="2:4" hidden="1" x14ac:dyDescent="0.25">
      <c r="B353" t="s">
        <v>54</v>
      </c>
      <c r="C353" t="s">
        <v>641</v>
      </c>
      <c r="D353" t="s">
        <v>856</v>
      </c>
    </row>
    <row r="354" spans="2:4" hidden="1" x14ac:dyDescent="0.25">
      <c r="B354" t="s">
        <v>55</v>
      </c>
      <c r="C354" t="s">
        <v>642</v>
      </c>
    </row>
    <row r="355" spans="2:4" hidden="1" x14ac:dyDescent="0.25">
      <c r="B355" s="7" t="s">
        <v>57</v>
      </c>
      <c r="C355" t="s">
        <v>644</v>
      </c>
      <c r="D355" t="s">
        <v>855</v>
      </c>
    </row>
    <row r="356" spans="2:4" hidden="1" x14ac:dyDescent="0.25">
      <c r="B356" t="s">
        <v>58</v>
      </c>
      <c r="C356" t="s">
        <v>604</v>
      </c>
      <c r="D356" t="s">
        <v>854</v>
      </c>
    </row>
    <row r="357" spans="2:4" hidden="1" x14ac:dyDescent="0.25">
      <c r="B357" t="s">
        <v>59</v>
      </c>
      <c r="C357" t="s">
        <v>645</v>
      </c>
      <c r="D357" t="s">
        <v>833</v>
      </c>
    </row>
    <row r="358" spans="2:4" hidden="1" x14ac:dyDescent="0.25">
      <c r="B358" t="s">
        <v>63</v>
      </c>
      <c r="C358" t="s">
        <v>648</v>
      </c>
      <c r="D358" t="s">
        <v>834</v>
      </c>
    </row>
    <row r="359" spans="2:4" hidden="1" x14ac:dyDescent="0.25">
      <c r="B359" t="s">
        <v>65</v>
      </c>
      <c r="C359" t="s">
        <v>650</v>
      </c>
    </row>
    <row r="360" spans="2:4" hidden="1" x14ac:dyDescent="0.25">
      <c r="B360" t="s">
        <v>66</v>
      </c>
      <c r="C360" t="s">
        <v>624</v>
      </c>
    </row>
    <row r="361" spans="2:4" hidden="1" x14ac:dyDescent="0.25">
      <c r="B361" t="s">
        <v>68</v>
      </c>
      <c r="C361" t="s">
        <v>611</v>
      </c>
      <c r="D361" t="s">
        <v>856</v>
      </c>
    </row>
    <row r="362" spans="2:4" hidden="1" x14ac:dyDescent="0.25">
      <c r="B362" t="s">
        <v>69</v>
      </c>
      <c r="C362" t="s">
        <v>611</v>
      </c>
      <c r="D362" t="s">
        <v>856</v>
      </c>
    </row>
    <row r="363" spans="2:4" hidden="1" x14ac:dyDescent="0.25">
      <c r="B363" t="s">
        <v>70</v>
      </c>
      <c r="C363" t="s">
        <v>651</v>
      </c>
    </row>
    <row r="364" spans="2:4" hidden="1" x14ac:dyDescent="0.25">
      <c r="B364" t="s">
        <v>73</v>
      </c>
      <c r="C364" t="s">
        <v>604</v>
      </c>
      <c r="D364" t="s">
        <v>854</v>
      </c>
    </row>
    <row r="365" spans="2:4" hidden="1" x14ac:dyDescent="0.25">
      <c r="B365" t="s">
        <v>75</v>
      </c>
      <c r="C365" t="s">
        <v>654</v>
      </c>
      <c r="D365" t="s">
        <v>836</v>
      </c>
    </row>
    <row r="366" spans="2:4" hidden="1" x14ac:dyDescent="0.25">
      <c r="B366" t="s">
        <v>76</v>
      </c>
      <c r="C366" t="s">
        <v>648</v>
      </c>
      <c r="D366" t="s">
        <v>834</v>
      </c>
    </row>
    <row r="367" spans="2:4" hidden="1" x14ac:dyDescent="0.25">
      <c r="B367" t="s">
        <v>77</v>
      </c>
      <c r="C367" t="s">
        <v>647</v>
      </c>
    </row>
    <row r="368" spans="2:4" hidden="1" x14ac:dyDescent="0.25">
      <c r="B368" s="7" t="s">
        <v>78</v>
      </c>
      <c r="C368" t="s">
        <v>648</v>
      </c>
      <c r="D368" t="s">
        <v>834</v>
      </c>
    </row>
    <row r="369" spans="2:4" hidden="1" x14ac:dyDescent="0.25">
      <c r="B369" t="s">
        <v>81</v>
      </c>
      <c r="C369" t="s">
        <v>656</v>
      </c>
      <c r="D369" t="s">
        <v>829</v>
      </c>
    </row>
    <row r="370" spans="2:4" hidden="1" x14ac:dyDescent="0.25">
      <c r="B370" t="s">
        <v>82</v>
      </c>
      <c r="C370" t="s">
        <v>657</v>
      </c>
    </row>
    <row r="371" spans="2:4" hidden="1" x14ac:dyDescent="0.25">
      <c r="B371" t="s">
        <v>85</v>
      </c>
      <c r="C371" t="s">
        <v>648</v>
      </c>
      <c r="D371" t="s">
        <v>834</v>
      </c>
    </row>
    <row r="372" spans="2:4" hidden="1" x14ac:dyDescent="0.25">
      <c r="B372" t="s">
        <v>87</v>
      </c>
      <c r="C372" t="s">
        <v>637</v>
      </c>
    </row>
    <row r="373" spans="2:4" hidden="1" x14ac:dyDescent="0.25">
      <c r="B373" t="s">
        <v>88</v>
      </c>
      <c r="C373" t="s">
        <v>658</v>
      </c>
      <c r="D373" t="s">
        <v>857</v>
      </c>
    </row>
    <row r="374" spans="2:4" hidden="1" x14ac:dyDescent="0.25">
      <c r="B374" t="s">
        <v>89</v>
      </c>
      <c r="C374" t="s">
        <v>648</v>
      </c>
      <c r="D374" t="s">
        <v>834</v>
      </c>
    </row>
    <row r="375" spans="2:4" hidden="1" x14ac:dyDescent="0.25">
      <c r="B375" t="s">
        <v>90</v>
      </c>
      <c r="C375" t="s">
        <v>659</v>
      </c>
      <c r="D375" t="s">
        <v>834</v>
      </c>
    </row>
    <row r="376" spans="2:4" hidden="1" x14ac:dyDescent="0.25">
      <c r="B376" t="s">
        <v>91</v>
      </c>
      <c r="C376" t="s">
        <v>610</v>
      </c>
      <c r="D376" t="s">
        <v>854</v>
      </c>
    </row>
    <row r="377" spans="2:4" hidden="1" x14ac:dyDescent="0.25">
      <c r="B377" t="s">
        <v>92</v>
      </c>
      <c r="C377" t="s">
        <v>624</v>
      </c>
      <c r="D377" t="s">
        <v>843</v>
      </c>
    </row>
    <row r="378" spans="2:4" hidden="1" x14ac:dyDescent="0.25">
      <c r="B378" t="s">
        <v>94</v>
      </c>
      <c r="C378" t="s">
        <v>633</v>
      </c>
      <c r="D378" t="s">
        <v>833</v>
      </c>
    </row>
    <row r="379" spans="2:4" hidden="1" x14ac:dyDescent="0.25">
      <c r="B379" t="s">
        <v>96</v>
      </c>
      <c r="C379" t="s">
        <v>633</v>
      </c>
      <c r="D379" t="s">
        <v>856</v>
      </c>
    </row>
    <row r="380" spans="2:4" hidden="1" x14ac:dyDescent="0.25">
      <c r="B380" t="s">
        <v>97</v>
      </c>
      <c r="C380" t="s">
        <v>648</v>
      </c>
      <c r="D380" t="s">
        <v>834</v>
      </c>
    </row>
    <row r="381" spans="2:4" hidden="1" x14ac:dyDescent="0.25">
      <c r="B381" t="s">
        <v>98</v>
      </c>
      <c r="C381" t="s">
        <v>656</v>
      </c>
    </row>
    <row r="382" spans="2:4" hidden="1" x14ac:dyDescent="0.25">
      <c r="B382" t="s">
        <v>99</v>
      </c>
      <c r="C382" t="s">
        <v>604</v>
      </c>
      <c r="D382" t="s">
        <v>854</v>
      </c>
    </row>
    <row r="383" spans="2:4" hidden="1" x14ac:dyDescent="0.25">
      <c r="B383" t="s">
        <v>100</v>
      </c>
      <c r="C383" t="s">
        <v>659</v>
      </c>
      <c r="D383" t="s">
        <v>834</v>
      </c>
    </row>
    <row r="384" spans="2:4" hidden="1" x14ac:dyDescent="0.25">
      <c r="B384" t="s">
        <v>102</v>
      </c>
      <c r="C384" t="s">
        <v>633</v>
      </c>
      <c r="D384" t="s">
        <v>833</v>
      </c>
    </row>
    <row r="385" spans="2:4" hidden="1" x14ac:dyDescent="0.25">
      <c r="B385" t="s">
        <v>108</v>
      </c>
      <c r="C385" t="s">
        <v>610</v>
      </c>
      <c r="D385" t="s">
        <v>854</v>
      </c>
    </row>
    <row r="386" spans="2:4" hidden="1" x14ac:dyDescent="0.25">
      <c r="B386" t="s">
        <v>109</v>
      </c>
      <c r="C386" t="s">
        <v>645</v>
      </c>
      <c r="D386" t="s">
        <v>833</v>
      </c>
    </row>
    <row r="387" spans="2:4" hidden="1" x14ac:dyDescent="0.25">
      <c r="B387" s="7" t="s">
        <v>110</v>
      </c>
      <c r="C387" t="s">
        <v>667</v>
      </c>
      <c r="D387" t="s">
        <v>833</v>
      </c>
    </row>
    <row r="388" spans="2:4" hidden="1" x14ac:dyDescent="0.25">
      <c r="B388" t="s">
        <v>111</v>
      </c>
      <c r="C388" t="s">
        <v>624</v>
      </c>
      <c r="D388" t="s">
        <v>843</v>
      </c>
    </row>
    <row r="389" spans="2:4" hidden="1" x14ac:dyDescent="0.25">
      <c r="B389" t="s">
        <v>113</v>
      </c>
      <c r="C389" t="s">
        <v>668</v>
      </c>
      <c r="D389" t="s">
        <v>834</v>
      </c>
    </row>
    <row r="390" spans="2:4" hidden="1" x14ac:dyDescent="0.25">
      <c r="B390" t="s">
        <v>115</v>
      </c>
      <c r="C390" t="s">
        <v>659</v>
      </c>
      <c r="D390" t="s">
        <v>834</v>
      </c>
    </row>
    <row r="391" spans="2:4" hidden="1" x14ac:dyDescent="0.25">
      <c r="B391" t="s">
        <v>116</v>
      </c>
      <c r="C391" t="s">
        <v>670</v>
      </c>
      <c r="D391" t="s">
        <v>833</v>
      </c>
    </row>
    <row r="392" spans="2:4" hidden="1" x14ac:dyDescent="0.25">
      <c r="B392" t="s">
        <v>118</v>
      </c>
      <c r="C392" t="s">
        <v>606</v>
      </c>
      <c r="D392" t="s">
        <v>856</v>
      </c>
    </row>
    <row r="393" spans="2:4" hidden="1" x14ac:dyDescent="0.25">
      <c r="B393" t="s">
        <v>120</v>
      </c>
      <c r="C393" t="s">
        <v>659</v>
      </c>
      <c r="D393" t="s">
        <v>834</v>
      </c>
    </row>
    <row r="394" spans="2:4" hidden="1" x14ac:dyDescent="0.25">
      <c r="B394" t="s">
        <v>121</v>
      </c>
      <c r="C394" t="s">
        <v>645</v>
      </c>
      <c r="D394" t="s">
        <v>833</v>
      </c>
    </row>
    <row r="395" spans="2:4" hidden="1" x14ac:dyDescent="0.25">
      <c r="B395" t="s">
        <v>124</v>
      </c>
      <c r="C395" t="s">
        <v>610</v>
      </c>
      <c r="D395" t="s">
        <v>854</v>
      </c>
    </row>
    <row r="396" spans="2:4" hidden="1" x14ac:dyDescent="0.25">
      <c r="B396" t="s">
        <v>129</v>
      </c>
      <c r="C396" t="s">
        <v>647</v>
      </c>
    </row>
    <row r="397" spans="2:4" hidden="1" x14ac:dyDescent="0.25">
      <c r="B397" t="s">
        <v>131</v>
      </c>
      <c r="C397" t="s">
        <v>656</v>
      </c>
      <c r="D397" t="s">
        <v>829</v>
      </c>
    </row>
    <row r="398" spans="2:4" hidden="1" x14ac:dyDescent="0.25">
      <c r="B398" t="s">
        <v>134</v>
      </c>
      <c r="C398" t="s">
        <v>633</v>
      </c>
      <c r="D398" t="s">
        <v>833</v>
      </c>
    </row>
    <row r="399" spans="2:4" hidden="1" x14ac:dyDescent="0.25">
      <c r="B399" t="s">
        <v>138</v>
      </c>
      <c r="C399" t="s">
        <v>656</v>
      </c>
      <c r="D399" t="s">
        <v>829</v>
      </c>
    </row>
    <row r="400" spans="2:4" hidden="1" x14ac:dyDescent="0.25">
      <c r="B400" t="s">
        <v>143</v>
      </c>
      <c r="C400" t="s">
        <v>648</v>
      </c>
      <c r="D400" t="s">
        <v>834</v>
      </c>
    </row>
    <row r="401" spans="2:4" hidden="1" x14ac:dyDescent="0.25">
      <c r="B401" t="s">
        <v>146</v>
      </c>
      <c r="C401" t="s">
        <v>678</v>
      </c>
      <c r="D401" t="s">
        <v>848</v>
      </c>
    </row>
    <row r="402" spans="2:4" hidden="1" x14ac:dyDescent="0.25">
      <c r="B402" t="s">
        <v>147</v>
      </c>
      <c r="C402" t="s">
        <v>610</v>
      </c>
      <c r="D402" t="s">
        <v>854</v>
      </c>
    </row>
    <row r="403" spans="2:4" hidden="1" x14ac:dyDescent="0.25">
      <c r="B403" t="s">
        <v>148</v>
      </c>
      <c r="C403" t="s">
        <v>611</v>
      </c>
      <c r="D403" t="s">
        <v>856</v>
      </c>
    </row>
    <row r="404" spans="2:4" hidden="1" x14ac:dyDescent="0.25">
      <c r="B404" t="s">
        <v>150</v>
      </c>
      <c r="C404" t="s">
        <v>633</v>
      </c>
      <c r="D404" t="s">
        <v>833</v>
      </c>
    </row>
    <row r="405" spans="2:4" hidden="1" x14ac:dyDescent="0.25">
      <c r="B405" t="s">
        <v>151</v>
      </c>
      <c r="C405" t="s">
        <v>626</v>
      </c>
    </row>
    <row r="406" spans="2:4" hidden="1" x14ac:dyDescent="0.25">
      <c r="B406" t="s">
        <v>156</v>
      </c>
      <c r="C406" t="s">
        <v>680</v>
      </c>
      <c r="D406" t="s">
        <v>844</v>
      </c>
    </row>
    <row r="407" spans="2:4" hidden="1" x14ac:dyDescent="0.25">
      <c r="B407" t="s">
        <v>162</v>
      </c>
      <c r="C407" t="s">
        <v>604</v>
      </c>
      <c r="D407" t="s">
        <v>854</v>
      </c>
    </row>
    <row r="408" spans="2:4" hidden="1" x14ac:dyDescent="0.25">
      <c r="B408" t="s">
        <v>163</v>
      </c>
      <c r="C408" t="s">
        <v>678</v>
      </c>
      <c r="D408" t="s">
        <v>848</v>
      </c>
    </row>
    <row r="409" spans="2:4" hidden="1" x14ac:dyDescent="0.25">
      <c r="B409" t="s">
        <v>164</v>
      </c>
      <c r="C409" t="s">
        <v>683</v>
      </c>
      <c r="D409" t="s">
        <v>841</v>
      </c>
    </row>
    <row r="410" spans="2:4" hidden="1" x14ac:dyDescent="0.25">
      <c r="B410" t="s">
        <v>165</v>
      </c>
      <c r="C410" t="s">
        <v>604</v>
      </c>
      <c r="D410" t="s">
        <v>854</v>
      </c>
    </row>
    <row r="411" spans="2:4" hidden="1" x14ac:dyDescent="0.25">
      <c r="B411" t="s">
        <v>169</v>
      </c>
      <c r="C411" t="s">
        <v>647</v>
      </c>
      <c r="D411" t="s">
        <v>833</v>
      </c>
    </row>
    <row r="412" spans="2:4" hidden="1" x14ac:dyDescent="0.25">
      <c r="B412" t="s">
        <v>170</v>
      </c>
      <c r="C412" t="s">
        <v>659</v>
      </c>
      <c r="D412" t="s">
        <v>834</v>
      </c>
    </row>
    <row r="413" spans="2:4" hidden="1" x14ac:dyDescent="0.25">
      <c r="B413" t="s">
        <v>171</v>
      </c>
      <c r="C413" t="s">
        <v>604</v>
      </c>
      <c r="D413" t="s">
        <v>854</v>
      </c>
    </row>
    <row r="414" spans="2:4" hidden="1" x14ac:dyDescent="0.25">
      <c r="B414" t="s">
        <v>172</v>
      </c>
      <c r="C414" t="s">
        <v>604</v>
      </c>
      <c r="D414" t="s">
        <v>854</v>
      </c>
    </row>
    <row r="415" spans="2:4" hidden="1" x14ac:dyDescent="0.25">
      <c r="B415" t="s">
        <v>173</v>
      </c>
      <c r="C415" t="s">
        <v>647</v>
      </c>
      <c r="D415" t="s">
        <v>844</v>
      </c>
    </row>
    <row r="416" spans="2:4" hidden="1" x14ac:dyDescent="0.25">
      <c r="B416" t="s">
        <v>174</v>
      </c>
      <c r="C416" t="s">
        <v>648</v>
      </c>
      <c r="D416" t="s">
        <v>834</v>
      </c>
    </row>
    <row r="417" spans="2:4" hidden="1" x14ac:dyDescent="0.25">
      <c r="B417" t="s">
        <v>175</v>
      </c>
      <c r="C417" t="s">
        <v>604</v>
      </c>
      <c r="D417" t="s">
        <v>854</v>
      </c>
    </row>
    <row r="418" spans="2:4" hidden="1" x14ac:dyDescent="0.25">
      <c r="B418" t="s">
        <v>181</v>
      </c>
      <c r="C418" t="s">
        <v>659</v>
      </c>
      <c r="D418" t="s">
        <v>834</v>
      </c>
    </row>
    <row r="419" spans="2:4" hidden="1" x14ac:dyDescent="0.25">
      <c r="B419" t="s">
        <v>184</v>
      </c>
      <c r="C419" t="s">
        <v>688</v>
      </c>
      <c r="D419" t="s">
        <v>856</v>
      </c>
    </row>
    <row r="420" spans="2:4" hidden="1" x14ac:dyDescent="0.25">
      <c r="B420" t="s">
        <v>186</v>
      </c>
      <c r="C420" t="s">
        <v>690</v>
      </c>
      <c r="D420" t="s">
        <v>834</v>
      </c>
    </row>
    <row r="421" spans="2:4" hidden="1" x14ac:dyDescent="0.25">
      <c r="B421" t="s">
        <v>188</v>
      </c>
      <c r="C421" t="s">
        <v>656</v>
      </c>
      <c r="D421" t="s">
        <v>829</v>
      </c>
    </row>
    <row r="422" spans="2:4" hidden="1" x14ac:dyDescent="0.25">
      <c r="B422" t="s">
        <v>190</v>
      </c>
      <c r="C422" t="s">
        <v>642</v>
      </c>
      <c r="D422" t="s">
        <v>844</v>
      </c>
    </row>
    <row r="423" spans="2:4" hidden="1" x14ac:dyDescent="0.25">
      <c r="B423" t="s">
        <v>192</v>
      </c>
      <c r="C423" t="s">
        <v>692</v>
      </c>
    </row>
    <row r="424" spans="2:4" hidden="1" x14ac:dyDescent="0.25">
      <c r="B424" t="s">
        <v>194</v>
      </c>
      <c r="C424" t="s">
        <v>648</v>
      </c>
      <c r="D424" t="s">
        <v>834</v>
      </c>
    </row>
    <row r="425" spans="2:4" hidden="1" x14ac:dyDescent="0.25">
      <c r="B425" t="s">
        <v>195</v>
      </c>
      <c r="C425" t="s">
        <v>610</v>
      </c>
      <c r="D425" t="s">
        <v>854</v>
      </c>
    </row>
    <row r="426" spans="2:4" hidden="1" x14ac:dyDescent="0.25">
      <c r="B426" t="s">
        <v>200</v>
      </c>
      <c r="C426" t="s">
        <v>648</v>
      </c>
      <c r="D426" t="s">
        <v>834</v>
      </c>
    </row>
    <row r="427" spans="2:4" hidden="1" x14ac:dyDescent="0.25">
      <c r="B427" t="s">
        <v>202</v>
      </c>
      <c r="C427" t="s">
        <v>645</v>
      </c>
      <c r="D427" t="s">
        <v>833</v>
      </c>
    </row>
    <row r="428" spans="2:4" hidden="1" x14ac:dyDescent="0.25">
      <c r="B428" t="s">
        <v>203</v>
      </c>
      <c r="C428" t="s">
        <v>695</v>
      </c>
      <c r="D428" t="s">
        <v>836</v>
      </c>
    </row>
    <row r="429" spans="2:4" hidden="1" x14ac:dyDescent="0.25">
      <c r="B429" t="s">
        <v>204</v>
      </c>
      <c r="C429" t="s">
        <v>696</v>
      </c>
      <c r="D429" t="s">
        <v>855</v>
      </c>
    </row>
    <row r="430" spans="2:4" hidden="1" x14ac:dyDescent="0.25">
      <c r="B430" t="s">
        <v>205</v>
      </c>
      <c r="C430" t="s">
        <v>697</v>
      </c>
      <c r="D430" t="s">
        <v>855</v>
      </c>
    </row>
    <row r="431" spans="2:4" hidden="1" x14ac:dyDescent="0.25">
      <c r="B431" t="s">
        <v>206</v>
      </c>
      <c r="C431" t="s">
        <v>633</v>
      </c>
      <c r="D431" t="s">
        <v>833</v>
      </c>
    </row>
    <row r="432" spans="2:4" hidden="1" x14ac:dyDescent="0.25">
      <c r="B432" t="s">
        <v>208</v>
      </c>
      <c r="C432" t="s">
        <v>698</v>
      </c>
    </row>
    <row r="433" spans="2:4" hidden="1" x14ac:dyDescent="0.25">
      <c r="B433" t="s">
        <v>212</v>
      </c>
      <c r="C433" t="s">
        <v>647</v>
      </c>
      <c r="D433" t="s">
        <v>844</v>
      </c>
    </row>
    <row r="434" spans="2:4" hidden="1" x14ac:dyDescent="0.25">
      <c r="B434" t="s">
        <v>213</v>
      </c>
      <c r="C434" t="s">
        <v>610</v>
      </c>
      <c r="D434" t="s">
        <v>854</v>
      </c>
    </row>
    <row r="435" spans="2:4" hidden="1" x14ac:dyDescent="0.25">
      <c r="B435" t="s">
        <v>215</v>
      </c>
      <c r="C435" t="s">
        <v>702</v>
      </c>
      <c r="D435" t="s">
        <v>836</v>
      </c>
    </row>
    <row r="436" spans="2:4" hidden="1" x14ac:dyDescent="0.25">
      <c r="B436" t="s">
        <v>218</v>
      </c>
      <c r="C436" t="s">
        <v>633</v>
      </c>
      <c r="D436" t="s">
        <v>833</v>
      </c>
    </row>
    <row r="437" spans="2:4" hidden="1" x14ac:dyDescent="0.25">
      <c r="B437" t="s">
        <v>223</v>
      </c>
      <c r="C437" t="s">
        <v>648</v>
      </c>
      <c r="D437" t="s">
        <v>834</v>
      </c>
    </row>
    <row r="438" spans="2:4" hidden="1" x14ac:dyDescent="0.25">
      <c r="B438" t="s">
        <v>224</v>
      </c>
      <c r="C438" t="s">
        <v>648</v>
      </c>
      <c r="D438" t="s">
        <v>834</v>
      </c>
    </row>
    <row r="439" spans="2:4" hidden="1" x14ac:dyDescent="0.25">
      <c r="B439" t="s">
        <v>225</v>
      </c>
      <c r="C439" t="s">
        <v>659</v>
      </c>
      <c r="D439" t="s">
        <v>834</v>
      </c>
    </row>
    <row r="440" spans="2:4" hidden="1" x14ac:dyDescent="0.25">
      <c r="B440" t="s">
        <v>228</v>
      </c>
      <c r="C440" t="s">
        <v>651</v>
      </c>
    </row>
    <row r="441" spans="2:4" hidden="1" x14ac:dyDescent="0.25">
      <c r="B441" t="s">
        <v>230</v>
      </c>
      <c r="C441" t="s">
        <v>648</v>
      </c>
      <c r="D441" t="s">
        <v>834</v>
      </c>
    </row>
    <row r="442" spans="2:4" hidden="1" x14ac:dyDescent="0.25">
      <c r="B442" t="s">
        <v>231</v>
      </c>
      <c r="C442" t="s">
        <v>633</v>
      </c>
      <c r="D442" t="s">
        <v>833</v>
      </c>
    </row>
    <row r="443" spans="2:4" hidden="1" x14ac:dyDescent="0.25">
      <c r="B443" t="s">
        <v>235</v>
      </c>
      <c r="C443" t="s">
        <v>709</v>
      </c>
      <c r="D443" t="s">
        <v>848</v>
      </c>
    </row>
    <row r="444" spans="2:4" hidden="1" x14ac:dyDescent="0.25">
      <c r="B444" t="s">
        <v>236</v>
      </c>
      <c r="C444" t="s">
        <v>710</v>
      </c>
      <c r="D444" t="s">
        <v>844</v>
      </c>
    </row>
    <row r="445" spans="2:4" hidden="1" x14ac:dyDescent="0.25">
      <c r="B445" t="s">
        <v>237</v>
      </c>
      <c r="C445" t="s">
        <v>711</v>
      </c>
    </row>
    <row r="446" spans="2:4" hidden="1" x14ac:dyDescent="0.25">
      <c r="B446" t="s">
        <v>239</v>
      </c>
      <c r="C446" t="s">
        <v>713</v>
      </c>
      <c r="D446" t="s">
        <v>855</v>
      </c>
    </row>
    <row r="447" spans="2:4" hidden="1" x14ac:dyDescent="0.25">
      <c r="B447" t="s">
        <v>240</v>
      </c>
      <c r="C447" t="s">
        <v>604</v>
      </c>
      <c r="D447" t="s">
        <v>854</v>
      </c>
    </row>
    <row r="448" spans="2:4" hidden="1" x14ac:dyDescent="0.25">
      <c r="B448" t="s">
        <v>241</v>
      </c>
      <c r="C448" t="s">
        <v>637</v>
      </c>
      <c r="D448" t="s">
        <v>832</v>
      </c>
    </row>
    <row r="449" spans="2:4" hidden="1" x14ac:dyDescent="0.25">
      <c r="B449" t="s">
        <v>244</v>
      </c>
      <c r="C449" t="s">
        <v>714</v>
      </c>
    </row>
    <row r="450" spans="2:4" hidden="1" x14ac:dyDescent="0.25">
      <c r="B450" t="s">
        <v>245</v>
      </c>
      <c r="C450" t="s">
        <v>650</v>
      </c>
      <c r="D450" t="s">
        <v>852</v>
      </c>
    </row>
    <row r="451" spans="2:4" hidden="1" x14ac:dyDescent="0.25">
      <c r="B451" t="s">
        <v>250</v>
      </c>
      <c r="C451" t="s">
        <v>648</v>
      </c>
      <c r="D451" t="s">
        <v>834</v>
      </c>
    </row>
    <row r="452" spans="2:4" hidden="1" x14ac:dyDescent="0.25">
      <c r="B452" t="s">
        <v>251</v>
      </c>
      <c r="C452" t="s">
        <v>717</v>
      </c>
      <c r="D452" t="s">
        <v>834</v>
      </c>
    </row>
    <row r="453" spans="2:4" hidden="1" x14ac:dyDescent="0.25">
      <c r="B453" t="s">
        <v>252</v>
      </c>
      <c r="C453" t="s">
        <v>606</v>
      </c>
      <c r="D453" t="s">
        <v>856</v>
      </c>
    </row>
    <row r="454" spans="2:4" hidden="1" x14ac:dyDescent="0.25">
      <c r="B454" t="s">
        <v>256</v>
      </c>
      <c r="C454" t="s">
        <v>604</v>
      </c>
      <c r="D454" t="s">
        <v>854</v>
      </c>
    </row>
    <row r="455" spans="2:4" hidden="1" x14ac:dyDescent="0.25">
      <c r="B455" t="s">
        <v>262</v>
      </c>
      <c r="C455" t="s">
        <v>720</v>
      </c>
      <c r="D455" t="s">
        <v>842</v>
      </c>
    </row>
    <row r="456" spans="2:4" hidden="1" x14ac:dyDescent="0.25">
      <c r="B456" t="s">
        <v>263</v>
      </c>
      <c r="C456" t="s">
        <v>721</v>
      </c>
    </row>
    <row r="457" spans="2:4" hidden="1" x14ac:dyDescent="0.25">
      <c r="B457" t="s">
        <v>265</v>
      </c>
      <c r="C457" t="s">
        <v>722</v>
      </c>
      <c r="D457" t="s">
        <v>842</v>
      </c>
    </row>
    <row r="458" spans="2:4" hidden="1" x14ac:dyDescent="0.25">
      <c r="B458" t="s">
        <v>266</v>
      </c>
      <c r="C458" t="s">
        <v>723</v>
      </c>
    </row>
    <row r="459" spans="2:4" hidden="1" x14ac:dyDescent="0.25">
      <c r="B459" t="s">
        <v>267</v>
      </c>
      <c r="C459" t="s">
        <v>602</v>
      </c>
      <c r="D459" t="s">
        <v>858</v>
      </c>
    </row>
    <row r="460" spans="2:4" hidden="1" x14ac:dyDescent="0.25">
      <c r="B460" t="s">
        <v>270</v>
      </c>
      <c r="C460" t="s">
        <v>604</v>
      </c>
      <c r="D460" t="s">
        <v>854</v>
      </c>
    </row>
    <row r="461" spans="2:4" hidden="1" x14ac:dyDescent="0.25">
      <c r="B461" t="s">
        <v>272</v>
      </c>
      <c r="C461" t="s">
        <v>610</v>
      </c>
      <c r="D461" t="s">
        <v>854</v>
      </c>
    </row>
    <row r="462" spans="2:4" hidden="1" x14ac:dyDescent="0.25">
      <c r="B462" t="s">
        <v>273</v>
      </c>
      <c r="C462" t="s">
        <v>656</v>
      </c>
      <c r="D462" t="s">
        <v>829</v>
      </c>
    </row>
    <row r="463" spans="2:4" hidden="1" x14ac:dyDescent="0.25">
      <c r="B463" t="s">
        <v>275</v>
      </c>
      <c r="C463" t="s">
        <v>604</v>
      </c>
      <c r="D463" t="s">
        <v>854</v>
      </c>
    </row>
    <row r="464" spans="2:4" hidden="1" x14ac:dyDescent="0.25">
      <c r="B464" t="s">
        <v>278</v>
      </c>
      <c r="C464" t="s">
        <v>659</v>
      </c>
      <c r="D464" t="s">
        <v>834</v>
      </c>
    </row>
    <row r="465" spans="2:4" hidden="1" x14ac:dyDescent="0.25">
      <c r="B465" t="s">
        <v>279</v>
      </c>
      <c r="C465" t="s">
        <v>725</v>
      </c>
    </row>
    <row r="466" spans="2:4" hidden="1" x14ac:dyDescent="0.25">
      <c r="B466" t="s">
        <v>280</v>
      </c>
      <c r="C466" t="s">
        <v>726</v>
      </c>
    </row>
    <row r="467" spans="2:4" hidden="1" x14ac:dyDescent="0.25">
      <c r="B467" t="s">
        <v>283</v>
      </c>
      <c r="C467" t="s">
        <v>604</v>
      </c>
      <c r="D467" t="s">
        <v>854</v>
      </c>
    </row>
    <row r="468" spans="2:4" hidden="1" x14ac:dyDescent="0.25">
      <c r="B468" t="s">
        <v>284</v>
      </c>
      <c r="C468" t="s">
        <v>713</v>
      </c>
      <c r="D468" t="s">
        <v>855</v>
      </c>
    </row>
    <row r="469" spans="2:4" hidden="1" x14ac:dyDescent="0.25">
      <c r="B469" t="s">
        <v>291</v>
      </c>
      <c r="C469" t="s">
        <v>656</v>
      </c>
      <c r="D469" t="s">
        <v>829</v>
      </c>
    </row>
    <row r="470" spans="2:4" hidden="1" x14ac:dyDescent="0.25">
      <c r="B470" t="s">
        <v>293</v>
      </c>
      <c r="C470" t="s">
        <v>648</v>
      </c>
      <c r="D470" t="s">
        <v>834</v>
      </c>
    </row>
    <row r="471" spans="2:4" hidden="1" x14ac:dyDescent="0.25">
      <c r="B471" t="s">
        <v>295</v>
      </c>
      <c r="C471" t="s">
        <v>732</v>
      </c>
      <c r="D471" t="s">
        <v>834</v>
      </c>
    </row>
    <row r="472" spans="2:4" hidden="1" x14ac:dyDescent="0.25">
      <c r="B472" t="s">
        <v>296</v>
      </c>
      <c r="C472" t="s">
        <v>733</v>
      </c>
      <c r="D472" t="s">
        <v>842</v>
      </c>
    </row>
    <row r="473" spans="2:4" hidden="1" x14ac:dyDescent="0.25">
      <c r="B473" t="s">
        <v>301</v>
      </c>
      <c r="C473" t="s">
        <v>610</v>
      </c>
      <c r="D473" t="s">
        <v>854</v>
      </c>
    </row>
    <row r="474" spans="2:4" hidden="1" x14ac:dyDescent="0.25">
      <c r="B474" t="s">
        <v>302</v>
      </c>
      <c r="C474" t="s">
        <v>736</v>
      </c>
      <c r="D474" t="s">
        <v>855</v>
      </c>
    </row>
    <row r="475" spans="2:4" hidden="1" x14ac:dyDescent="0.25">
      <c r="B475" t="s">
        <v>308</v>
      </c>
      <c r="C475" t="s">
        <v>648</v>
      </c>
      <c r="D475" t="s">
        <v>834</v>
      </c>
    </row>
    <row r="476" spans="2:4" hidden="1" x14ac:dyDescent="0.25">
      <c r="B476" t="s">
        <v>309</v>
      </c>
      <c r="C476" t="s">
        <v>641</v>
      </c>
    </row>
    <row r="477" spans="2:4" hidden="1" x14ac:dyDescent="0.25">
      <c r="B477" t="s">
        <v>311</v>
      </c>
      <c r="C477" t="s">
        <v>738</v>
      </c>
      <c r="D477" t="s">
        <v>855</v>
      </c>
    </row>
    <row r="478" spans="2:4" hidden="1" x14ac:dyDescent="0.25">
      <c r="B478" t="s">
        <v>315</v>
      </c>
      <c r="C478" t="s">
        <v>656</v>
      </c>
      <c r="D478" t="s">
        <v>829</v>
      </c>
    </row>
    <row r="479" spans="2:4" hidden="1" x14ac:dyDescent="0.25">
      <c r="B479" t="s">
        <v>321</v>
      </c>
      <c r="C479" t="s">
        <v>610</v>
      </c>
      <c r="D479" t="s">
        <v>854</v>
      </c>
    </row>
    <row r="480" spans="2:4" hidden="1" x14ac:dyDescent="0.25">
      <c r="B480" t="s">
        <v>322</v>
      </c>
      <c r="C480" t="s">
        <v>624</v>
      </c>
    </row>
    <row r="481" spans="2:4" hidden="1" x14ac:dyDescent="0.25">
      <c r="B481" t="s">
        <v>325</v>
      </c>
      <c r="C481" t="s">
        <v>633</v>
      </c>
      <c r="D481" t="s">
        <v>833</v>
      </c>
    </row>
    <row r="482" spans="2:4" hidden="1" x14ac:dyDescent="0.25">
      <c r="B482" t="s">
        <v>326</v>
      </c>
      <c r="C482" t="s">
        <v>633</v>
      </c>
      <c r="D482" t="s">
        <v>833</v>
      </c>
    </row>
    <row r="483" spans="2:4" hidden="1" x14ac:dyDescent="0.25">
      <c r="B483" t="s">
        <v>328</v>
      </c>
      <c r="C483" t="s">
        <v>633</v>
      </c>
      <c r="D483" t="s">
        <v>833</v>
      </c>
    </row>
    <row r="484" spans="2:4" hidden="1" x14ac:dyDescent="0.25">
      <c r="B484" t="s">
        <v>331</v>
      </c>
      <c r="C484" t="s">
        <v>647</v>
      </c>
    </row>
    <row r="485" spans="2:4" hidden="1" x14ac:dyDescent="0.25">
      <c r="B485" t="s">
        <v>335</v>
      </c>
      <c r="C485" t="s">
        <v>642</v>
      </c>
    </row>
    <row r="486" spans="2:4" hidden="1" x14ac:dyDescent="0.25">
      <c r="B486" t="s">
        <v>337</v>
      </c>
      <c r="C486" t="s">
        <v>624</v>
      </c>
    </row>
    <row r="487" spans="2:4" hidden="1" x14ac:dyDescent="0.25">
      <c r="B487" t="s">
        <v>338</v>
      </c>
      <c r="C487" t="s">
        <v>659</v>
      </c>
      <c r="D487" t="s">
        <v>834</v>
      </c>
    </row>
    <row r="488" spans="2:4" hidden="1" x14ac:dyDescent="0.25">
      <c r="B488" t="s">
        <v>339</v>
      </c>
      <c r="C488" t="s">
        <v>610</v>
      </c>
      <c r="D488" t="s">
        <v>854</v>
      </c>
    </row>
    <row r="489" spans="2:4" hidden="1" x14ac:dyDescent="0.25">
      <c r="B489" t="s">
        <v>343</v>
      </c>
      <c r="C489" t="s">
        <v>747</v>
      </c>
    </row>
    <row r="490" spans="2:4" hidden="1" x14ac:dyDescent="0.25">
      <c r="B490" t="s">
        <v>345</v>
      </c>
      <c r="C490" t="s">
        <v>749</v>
      </c>
    </row>
    <row r="491" spans="2:4" hidden="1" x14ac:dyDescent="0.25">
      <c r="B491" t="s">
        <v>348</v>
      </c>
      <c r="C491" t="s">
        <v>751</v>
      </c>
    </row>
    <row r="492" spans="2:4" hidden="1" x14ac:dyDescent="0.25">
      <c r="B492" t="s">
        <v>352</v>
      </c>
      <c r="C492" t="s">
        <v>753</v>
      </c>
    </row>
    <row r="493" spans="2:4" hidden="1" x14ac:dyDescent="0.25">
      <c r="B493" t="s">
        <v>353</v>
      </c>
      <c r="C493" t="s">
        <v>754</v>
      </c>
      <c r="D493" t="s">
        <v>836</v>
      </c>
    </row>
    <row r="494" spans="2:4" hidden="1" x14ac:dyDescent="0.25">
      <c r="B494" t="s">
        <v>355</v>
      </c>
      <c r="C494" t="s">
        <v>624</v>
      </c>
      <c r="D494" t="s">
        <v>843</v>
      </c>
    </row>
    <row r="495" spans="2:4" hidden="1" x14ac:dyDescent="0.25">
      <c r="B495" t="s">
        <v>356</v>
      </c>
      <c r="C495" t="s">
        <v>604</v>
      </c>
      <c r="D495" t="s">
        <v>854</v>
      </c>
    </row>
    <row r="496" spans="2:4" hidden="1" x14ac:dyDescent="0.25">
      <c r="B496" t="s">
        <v>360</v>
      </c>
      <c r="C496" t="s">
        <v>758</v>
      </c>
      <c r="D496" t="s">
        <v>844</v>
      </c>
    </row>
    <row r="497" spans="2:4" hidden="1" x14ac:dyDescent="0.25">
      <c r="B497" t="s">
        <v>362</v>
      </c>
      <c r="C497" t="s">
        <v>624</v>
      </c>
    </row>
    <row r="498" spans="2:4" hidden="1" x14ac:dyDescent="0.25">
      <c r="B498" t="s">
        <v>363</v>
      </c>
      <c r="C498" t="s">
        <v>623</v>
      </c>
    </row>
    <row r="499" spans="2:4" hidden="1" x14ac:dyDescent="0.25">
      <c r="B499" t="s">
        <v>364</v>
      </c>
      <c r="C499" t="s">
        <v>604</v>
      </c>
      <c r="D499" t="s">
        <v>854</v>
      </c>
    </row>
    <row r="500" spans="2:4" hidden="1" x14ac:dyDescent="0.25">
      <c r="B500" t="s">
        <v>368</v>
      </c>
      <c r="C500" t="s">
        <v>647</v>
      </c>
    </row>
    <row r="501" spans="2:4" hidden="1" x14ac:dyDescent="0.25">
      <c r="B501" t="s">
        <v>371</v>
      </c>
      <c r="C501" t="s">
        <v>648</v>
      </c>
      <c r="D501" t="s">
        <v>834</v>
      </c>
    </row>
    <row r="502" spans="2:4" hidden="1" x14ac:dyDescent="0.25">
      <c r="B502" t="s">
        <v>374</v>
      </c>
      <c r="C502" t="s">
        <v>761</v>
      </c>
    </row>
    <row r="503" spans="2:4" hidden="1" x14ac:dyDescent="0.25">
      <c r="B503" t="s">
        <v>382</v>
      </c>
      <c r="C503" t="s">
        <v>604</v>
      </c>
      <c r="D503" t="s">
        <v>854</v>
      </c>
    </row>
    <row r="504" spans="2:4" hidden="1" x14ac:dyDescent="0.25">
      <c r="B504" t="s">
        <v>388</v>
      </c>
      <c r="C504" t="s">
        <v>604</v>
      </c>
      <c r="D504" t="s">
        <v>854</v>
      </c>
    </row>
    <row r="505" spans="2:4" hidden="1" x14ac:dyDescent="0.25">
      <c r="B505" t="s">
        <v>389</v>
      </c>
      <c r="C505" t="s">
        <v>604</v>
      </c>
      <c r="D505" t="s">
        <v>854</v>
      </c>
    </row>
    <row r="506" spans="2:4" hidden="1" x14ac:dyDescent="0.25">
      <c r="B506" t="s">
        <v>391</v>
      </c>
      <c r="C506" t="s">
        <v>610</v>
      </c>
      <c r="D506" t="s">
        <v>854</v>
      </c>
    </row>
    <row r="507" spans="2:4" hidden="1" x14ac:dyDescent="0.25">
      <c r="B507" t="s">
        <v>393</v>
      </c>
      <c r="C507" t="s">
        <v>768</v>
      </c>
      <c r="D507" t="s">
        <v>855</v>
      </c>
    </row>
    <row r="508" spans="2:4" hidden="1" x14ac:dyDescent="0.25">
      <c r="B508" t="s">
        <v>394</v>
      </c>
      <c r="C508" t="s">
        <v>604</v>
      </c>
      <c r="D508" t="s">
        <v>854</v>
      </c>
    </row>
    <row r="509" spans="2:4" hidden="1" x14ac:dyDescent="0.25">
      <c r="B509" t="s">
        <v>395</v>
      </c>
      <c r="C509" t="s">
        <v>769</v>
      </c>
      <c r="D509" t="s">
        <v>855</v>
      </c>
    </row>
    <row r="510" spans="2:4" hidden="1" x14ac:dyDescent="0.25">
      <c r="B510" t="s">
        <v>396</v>
      </c>
      <c r="C510" t="s">
        <v>770</v>
      </c>
      <c r="D510" t="s">
        <v>833</v>
      </c>
    </row>
    <row r="511" spans="2:4" hidden="1" x14ac:dyDescent="0.25">
      <c r="B511" t="s">
        <v>398</v>
      </c>
      <c r="C511" t="s">
        <v>648</v>
      </c>
      <c r="D511" t="s">
        <v>834</v>
      </c>
    </row>
    <row r="512" spans="2:4" hidden="1" x14ac:dyDescent="0.25">
      <c r="B512" t="s">
        <v>399</v>
      </c>
      <c r="C512" t="s">
        <v>772</v>
      </c>
      <c r="D512" t="s">
        <v>836</v>
      </c>
    </row>
    <row r="513" spans="2:4" hidden="1" x14ac:dyDescent="0.25">
      <c r="B513" t="s">
        <v>400</v>
      </c>
      <c r="C513" t="s">
        <v>773</v>
      </c>
      <c r="D513" t="s">
        <v>857</v>
      </c>
    </row>
    <row r="514" spans="2:4" hidden="1" x14ac:dyDescent="0.25">
      <c r="B514" t="s">
        <v>402</v>
      </c>
      <c r="C514" t="s">
        <v>611</v>
      </c>
      <c r="D514" t="s">
        <v>856</v>
      </c>
    </row>
    <row r="515" spans="2:4" hidden="1" x14ac:dyDescent="0.25">
      <c r="B515" t="s">
        <v>404</v>
      </c>
      <c r="C515" t="s">
        <v>642</v>
      </c>
    </row>
    <row r="516" spans="2:4" hidden="1" x14ac:dyDescent="0.25">
      <c r="B516" t="s">
        <v>408</v>
      </c>
      <c r="C516" t="s">
        <v>678</v>
      </c>
      <c r="D516" t="s">
        <v>848</v>
      </c>
    </row>
    <row r="517" spans="2:4" hidden="1" x14ac:dyDescent="0.25">
      <c r="B517" t="s">
        <v>409</v>
      </c>
      <c r="C517" t="s">
        <v>648</v>
      </c>
      <c r="D517" t="s">
        <v>834</v>
      </c>
    </row>
    <row r="518" spans="2:4" hidden="1" x14ac:dyDescent="0.25">
      <c r="B518" t="s">
        <v>411</v>
      </c>
      <c r="C518" t="s">
        <v>633</v>
      </c>
      <c r="D518" t="s">
        <v>833</v>
      </c>
    </row>
    <row r="519" spans="2:4" hidden="1" x14ac:dyDescent="0.25">
      <c r="B519" t="s">
        <v>413</v>
      </c>
      <c r="C519" t="s">
        <v>624</v>
      </c>
      <c r="D519" t="s">
        <v>843</v>
      </c>
    </row>
    <row r="520" spans="2:4" hidden="1" x14ac:dyDescent="0.25">
      <c r="B520" t="s">
        <v>416</v>
      </c>
      <c r="C520" t="s">
        <v>604</v>
      </c>
      <c r="D520" t="s">
        <v>854</v>
      </c>
    </row>
    <row r="521" spans="2:4" hidden="1" x14ac:dyDescent="0.25">
      <c r="B521" t="s">
        <v>417</v>
      </c>
      <c r="C521" t="s">
        <v>624</v>
      </c>
      <c r="D521" t="s">
        <v>843</v>
      </c>
    </row>
    <row r="522" spans="2:4" hidden="1" x14ac:dyDescent="0.25">
      <c r="B522" t="s">
        <v>419</v>
      </c>
      <c r="C522" t="s">
        <v>775</v>
      </c>
      <c r="D522" t="s">
        <v>857</v>
      </c>
    </row>
    <row r="523" spans="2:4" hidden="1" x14ac:dyDescent="0.25">
      <c r="B523" t="s">
        <v>421</v>
      </c>
      <c r="C523" t="s">
        <v>604</v>
      </c>
      <c r="D523" t="s">
        <v>854</v>
      </c>
    </row>
    <row r="524" spans="2:4" hidden="1" x14ac:dyDescent="0.25">
      <c r="B524" t="s">
        <v>424</v>
      </c>
      <c r="C524" t="s">
        <v>604</v>
      </c>
      <c r="D524" t="s">
        <v>854</v>
      </c>
    </row>
    <row r="525" spans="2:4" hidden="1" x14ac:dyDescent="0.25">
      <c r="B525" t="s">
        <v>425</v>
      </c>
      <c r="C525" t="s">
        <v>659</v>
      </c>
      <c r="D525" t="s">
        <v>834</v>
      </c>
    </row>
    <row r="526" spans="2:4" hidden="1" x14ac:dyDescent="0.25">
      <c r="B526" t="s">
        <v>426</v>
      </c>
      <c r="C526" t="s">
        <v>602</v>
      </c>
      <c r="D526" t="s">
        <v>858</v>
      </c>
    </row>
    <row r="527" spans="2:4" hidden="1" x14ac:dyDescent="0.25">
      <c r="B527" t="s">
        <v>428</v>
      </c>
      <c r="C527" t="s">
        <v>658</v>
      </c>
    </row>
    <row r="528" spans="2:4" hidden="1" x14ac:dyDescent="0.25">
      <c r="B528" t="s">
        <v>429</v>
      </c>
      <c r="C528" t="s">
        <v>777</v>
      </c>
      <c r="D528" t="s">
        <v>834</v>
      </c>
    </row>
    <row r="529" spans="2:4" hidden="1" x14ac:dyDescent="0.25">
      <c r="B529" t="s">
        <v>431</v>
      </c>
      <c r="C529" t="s">
        <v>656</v>
      </c>
      <c r="D529" t="s">
        <v>829</v>
      </c>
    </row>
    <row r="530" spans="2:4" hidden="1" x14ac:dyDescent="0.25">
      <c r="B530" t="s">
        <v>438</v>
      </c>
      <c r="C530" t="s">
        <v>781</v>
      </c>
      <c r="D530" t="s">
        <v>855</v>
      </c>
    </row>
    <row r="531" spans="2:4" hidden="1" x14ac:dyDescent="0.25">
      <c r="B531" t="s">
        <v>439</v>
      </c>
      <c r="C531" t="s">
        <v>659</v>
      </c>
      <c r="D531" t="s">
        <v>834</v>
      </c>
    </row>
    <row r="532" spans="2:4" hidden="1" x14ac:dyDescent="0.25">
      <c r="B532" t="s">
        <v>441</v>
      </c>
      <c r="C532" t="s">
        <v>647</v>
      </c>
      <c r="D532" t="s">
        <v>844</v>
      </c>
    </row>
    <row r="533" spans="2:4" hidden="1" x14ac:dyDescent="0.25">
      <c r="B533" t="s">
        <v>442</v>
      </c>
      <c r="C533" t="s">
        <v>624</v>
      </c>
    </row>
    <row r="534" spans="2:4" hidden="1" x14ac:dyDescent="0.25">
      <c r="B534" t="s">
        <v>443</v>
      </c>
      <c r="C534" t="s">
        <v>604</v>
      </c>
      <c r="D534" t="s">
        <v>854</v>
      </c>
    </row>
    <row r="535" spans="2:4" hidden="1" x14ac:dyDescent="0.25">
      <c r="B535" t="s">
        <v>444</v>
      </c>
      <c r="C535" t="s">
        <v>782</v>
      </c>
    </row>
    <row r="536" spans="2:4" hidden="1" x14ac:dyDescent="0.25">
      <c r="B536" t="s">
        <v>450</v>
      </c>
      <c r="C536" t="s">
        <v>784</v>
      </c>
    </row>
    <row r="537" spans="2:4" hidden="1" x14ac:dyDescent="0.25">
      <c r="B537" t="s">
        <v>451</v>
      </c>
      <c r="C537" t="s">
        <v>649</v>
      </c>
      <c r="D537" t="s">
        <v>836</v>
      </c>
    </row>
    <row r="538" spans="2:4" hidden="1" x14ac:dyDescent="0.25">
      <c r="B538" t="s">
        <v>453</v>
      </c>
      <c r="C538" t="s">
        <v>648</v>
      </c>
      <c r="D538" t="s">
        <v>834</v>
      </c>
    </row>
    <row r="539" spans="2:4" hidden="1" x14ac:dyDescent="0.25">
      <c r="B539" t="s">
        <v>454</v>
      </c>
      <c r="C539" t="s">
        <v>633</v>
      </c>
      <c r="D539" t="s">
        <v>833</v>
      </c>
    </row>
    <row r="540" spans="2:4" hidden="1" x14ac:dyDescent="0.25">
      <c r="B540" t="s">
        <v>455</v>
      </c>
      <c r="C540" t="s">
        <v>782</v>
      </c>
    </row>
    <row r="541" spans="2:4" hidden="1" x14ac:dyDescent="0.25">
      <c r="B541" t="s">
        <v>456</v>
      </c>
      <c r="C541" t="s">
        <v>648</v>
      </c>
      <c r="D541" t="s">
        <v>834</v>
      </c>
    </row>
    <row r="542" spans="2:4" hidden="1" x14ac:dyDescent="0.25">
      <c r="B542" t="s">
        <v>460</v>
      </c>
      <c r="C542" t="s">
        <v>786</v>
      </c>
    </row>
    <row r="543" spans="2:4" hidden="1" x14ac:dyDescent="0.25">
      <c r="B543" t="s">
        <v>461</v>
      </c>
      <c r="C543" t="s">
        <v>602</v>
      </c>
      <c r="D543" t="s">
        <v>858</v>
      </c>
    </row>
    <row r="544" spans="2:4" hidden="1" x14ac:dyDescent="0.25">
      <c r="B544" t="s">
        <v>462</v>
      </c>
      <c r="C544" t="s">
        <v>751</v>
      </c>
    </row>
    <row r="545" spans="2:4" hidden="1" x14ac:dyDescent="0.25">
      <c r="B545" t="s">
        <v>465</v>
      </c>
      <c r="C545" t="s">
        <v>668</v>
      </c>
      <c r="D545" t="s">
        <v>858</v>
      </c>
    </row>
    <row r="546" spans="2:4" hidden="1" x14ac:dyDescent="0.25">
      <c r="B546" t="s">
        <v>472</v>
      </c>
      <c r="C546" t="s">
        <v>678</v>
      </c>
      <c r="D546" t="s">
        <v>848</v>
      </c>
    </row>
    <row r="547" spans="2:4" hidden="1" x14ac:dyDescent="0.25">
      <c r="B547" t="s">
        <v>475</v>
      </c>
      <c r="C547" t="s">
        <v>633</v>
      </c>
      <c r="D547" t="s">
        <v>833</v>
      </c>
    </row>
    <row r="548" spans="2:4" hidden="1" x14ac:dyDescent="0.25">
      <c r="B548" t="s">
        <v>477</v>
      </c>
      <c r="C548" t="s">
        <v>789</v>
      </c>
      <c r="D548" t="s">
        <v>855</v>
      </c>
    </row>
    <row r="549" spans="2:4" hidden="1" x14ac:dyDescent="0.25">
      <c r="B549" t="s">
        <v>479</v>
      </c>
      <c r="C549" t="s">
        <v>790</v>
      </c>
    </row>
    <row r="550" spans="2:4" hidden="1" x14ac:dyDescent="0.25">
      <c r="B550" t="s">
        <v>480</v>
      </c>
      <c r="C550" t="s">
        <v>602</v>
      </c>
      <c r="D550" t="s">
        <v>858</v>
      </c>
    </row>
    <row r="551" spans="2:4" hidden="1" x14ac:dyDescent="0.25">
      <c r="B551" t="s">
        <v>483</v>
      </c>
      <c r="C551" t="s">
        <v>656</v>
      </c>
      <c r="D551" t="s">
        <v>829</v>
      </c>
    </row>
    <row r="552" spans="2:4" hidden="1" x14ac:dyDescent="0.25">
      <c r="B552" t="s">
        <v>485</v>
      </c>
      <c r="C552" t="s">
        <v>668</v>
      </c>
      <c r="D552" t="s">
        <v>858</v>
      </c>
    </row>
    <row r="553" spans="2:4" hidden="1" x14ac:dyDescent="0.25">
      <c r="B553" t="s">
        <v>486</v>
      </c>
      <c r="C553" t="s">
        <v>602</v>
      </c>
      <c r="D553" t="s">
        <v>858</v>
      </c>
    </row>
    <row r="554" spans="2:4" hidden="1" x14ac:dyDescent="0.25">
      <c r="B554" t="s">
        <v>488</v>
      </c>
      <c r="C554" t="s">
        <v>791</v>
      </c>
      <c r="D554" t="s">
        <v>858</v>
      </c>
    </row>
    <row r="555" spans="2:4" hidden="1" x14ac:dyDescent="0.25">
      <c r="B555" t="s">
        <v>493</v>
      </c>
      <c r="C555" t="s">
        <v>722</v>
      </c>
      <c r="D555" t="s">
        <v>856</v>
      </c>
    </row>
    <row r="556" spans="2:4" hidden="1" x14ac:dyDescent="0.25">
      <c r="B556" t="s">
        <v>494</v>
      </c>
      <c r="C556" t="s">
        <v>606</v>
      </c>
      <c r="D556" t="s">
        <v>856</v>
      </c>
    </row>
    <row r="557" spans="2:4" hidden="1" x14ac:dyDescent="0.25">
      <c r="B557" t="s">
        <v>496</v>
      </c>
      <c r="C557" t="s">
        <v>633</v>
      </c>
      <c r="D557" t="s">
        <v>833</v>
      </c>
    </row>
    <row r="558" spans="2:4" hidden="1" x14ac:dyDescent="0.25">
      <c r="B558" t="s">
        <v>498</v>
      </c>
      <c r="C558" t="s">
        <v>624</v>
      </c>
    </row>
    <row r="559" spans="2:4" hidden="1" x14ac:dyDescent="0.25">
      <c r="B559" t="s">
        <v>500</v>
      </c>
      <c r="C559" t="s">
        <v>604</v>
      </c>
      <c r="D559" t="s">
        <v>854</v>
      </c>
    </row>
    <row r="560" spans="2:4" hidden="1" x14ac:dyDescent="0.25">
      <c r="B560" t="s">
        <v>501</v>
      </c>
      <c r="C560" t="s">
        <v>610</v>
      </c>
      <c r="D560" t="s">
        <v>854</v>
      </c>
    </row>
    <row r="561" spans="2:4" hidden="1" x14ac:dyDescent="0.25">
      <c r="B561" t="s">
        <v>505</v>
      </c>
      <c r="C561" t="s">
        <v>797</v>
      </c>
      <c r="D561" t="s">
        <v>836</v>
      </c>
    </row>
    <row r="562" spans="2:4" hidden="1" x14ac:dyDescent="0.25">
      <c r="B562" t="s">
        <v>506</v>
      </c>
      <c r="C562" t="s">
        <v>648</v>
      </c>
      <c r="D562" t="s">
        <v>834</v>
      </c>
    </row>
    <row r="563" spans="2:4" hidden="1" x14ac:dyDescent="0.25">
      <c r="B563" t="s">
        <v>509</v>
      </c>
      <c r="C563" t="s">
        <v>647</v>
      </c>
    </row>
    <row r="564" spans="2:4" hidden="1" x14ac:dyDescent="0.25">
      <c r="B564" t="s">
        <v>515</v>
      </c>
      <c r="C564" t="s">
        <v>604</v>
      </c>
      <c r="D564" t="s">
        <v>854</v>
      </c>
    </row>
    <row r="565" spans="2:4" hidden="1" x14ac:dyDescent="0.25">
      <c r="B565" t="s">
        <v>516</v>
      </c>
      <c r="C565" t="s">
        <v>749</v>
      </c>
      <c r="D565" t="s">
        <v>852</v>
      </c>
    </row>
    <row r="566" spans="2:4" hidden="1" x14ac:dyDescent="0.25">
      <c r="B566" t="s">
        <v>518</v>
      </c>
      <c r="C566" t="s">
        <v>681</v>
      </c>
      <c r="D566" t="s">
        <v>854</v>
      </c>
    </row>
    <row r="567" spans="2:4" hidden="1" x14ac:dyDescent="0.25">
      <c r="B567" t="s">
        <v>521</v>
      </c>
      <c r="C567" t="s">
        <v>804</v>
      </c>
      <c r="D567" t="s">
        <v>842</v>
      </c>
    </row>
    <row r="568" spans="2:4" hidden="1" x14ac:dyDescent="0.25">
      <c r="B568" t="s">
        <v>522</v>
      </c>
      <c r="C568" t="s">
        <v>633</v>
      </c>
      <c r="D568" t="s">
        <v>833</v>
      </c>
    </row>
    <row r="569" spans="2:4" hidden="1" x14ac:dyDescent="0.25">
      <c r="B569" t="s">
        <v>524</v>
      </c>
      <c r="C569" t="s">
        <v>678</v>
      </c>
      <c r="D569" t="s">
        <v>848</v>
      </c>
    </row>
    <row r="570" spans="2:4" hidden="1" x14ac:dyDescent="0.25">
      <c r="B570" t="s">
        <v>525</v>
      </c>
      <c r="C570" t="s">
        <v>647</v>
      </c>
      <c r="D570" t="s">
        <v>832</v>
      </c>
    </row>
    <row r="571" spans="2:4" hidden="1" x14ac:dyDescent="0.25">
      <c r="B571" t="s">
        <v>529</v>
      </c>
      <c r="C571" t="s">
        <v>791</v>
      </c>
      <c r="D571" t="s">
        <v>858</v>
      </c>
    </row>
    <row r="572" spans="2:4" hidden="1" x14ac:dyDescent="0.25">
      <c r="B572" t="s">
        <v>531</v>
      </c>
      <c r="C572" t="s">
        <v>656</v>
      </c>
      <c r="D572" t="s">
        <v>829</v>
      </c>
    </row>
    <row r="573" spans="2:4" hidden="1" x14ac:dyDescent="0.25">
      <c r="B573" t="s">
        <v>532</v>
      </c>
      <c r="C573" t="s">
        <v>807</v>
      </c>
      <c r="D573" t="s">
        <v>836</v>
      </c>
    </row>
    <row r="574" spans="2:4" hidden="1" x14ac:dyDescent="0.25">
      <c r="B574" t="s">
        <v>536</v>
      </c>
      <c r="C574" t="s">
        <v>633</v>
      </c>
      <c r="D574" t="s">
        <v>833</v>
      </c>
    </row>
    <row r="575" spans="2:4" hidden="1" x14ac:dyDescent="0.25">
      <c r="B575" t="s">
        <v>540</v>
      </c>
      <c r="C575" t="s">
        <v>810</v>
      </c>
    </row>
    <row r="576" spans="2:4" hidden="1" x14ac:dyDescent="0.25">
      <c r="B576" t="s">
        <v>542</v>
      </c>
      <c r="C576" t="s">
        <v>811</v>
      </c>
      <c r="D576" t="s">
        <v>855</v>
      </c>
    </row>
    <row r="577" spans="2:4" hidden="1" x14ac:dyDescent="0.25">
      <c r="B577" t="s">
        <v>544</v>
      </c>
      <c r="C577" t="s">
        <v>812</v>
      </c>
      <c r="D577" t="s">
        <v>848</v>
      </c>
    </row>
    <row r="578" spans="2:4" hidden="1" x14ac:dyDescent="0.25">
      <c r="B578" t="s">
        <v>547</v>
      </c>
      <c r="C578" t="s">
        <v>770</v>
      </c>
      <c r="D578" t="s">
        <v>833</v>
      </c>
    </row>
    <row r="579" spans="2:4" hidden="1" x14ac:dyDescent="0.25">
      <c r="B579" t="s">
        <v>549</v>
      </c>
      <c r="C579" t="s">
        <v>656</v>
      </c>
      <c r="D579" t="s">
        <v>829</v>
      </c>
    </row>
    <row r="580" spans="2:4" hidden="1" x14ac:dyDescent="0.25">
      <c r="B580" t="s">
        <v>550</v>
      </c>
      <c r="C580" t="s">
        <v>683</v>
      </c>
    </row>
    <row r="581" spans="2:4" hidden="1" x14ac:dyDescent="0.25">
      <c r="B581" t="s">
        <v>551</v>
      </c>
      <c r="C581" t="s">
        <v>786</v>
      </c>
    </row>
    <row r="582" spans="2:4" hidden="1" x14ac:dyDescent="0.25">
      <c r="B582" t="s">
        <v>553</v>
      </c>
      <c r="C582" t="s">
        <v>816</v>
      </c>
    </row>
    <row r="583" spans="2:4" hidden="1" x14ac:dyDescent="0.25">
      <c r="B583" t="s">
        <v>556</v>
      </c>
      <c r="C583" t="s">
        <v>817</v>
      </c>
      <c r="D583" t="s">
        <v>836</v>
      </c>
    </row>
    <row r="584" spans="2:4" hidden="1" x14ac:dyDescent="0.25">
      <c r="B584" t="s">
        <v>557</v>
      </c>
      <c r="C584" t="s">
        <v>633</v>
      </c>
      <c r="D584" t="s">
        <v>833</v>
      </c>
    </row>
    <row r="585" spans="2:4" hidden="1" x14ac:dyDescent="0.25">
      <c r="B585" t="s">
        <v>558</v>
      </c>
      <c r="C585" t="s">
        <v>642</v>
      </c>
      <c r="D585" t="s">
        <v>856</v>
      </c>
    </row>
    <row r="586" spans="2:4" hidden="1" x14ac:dyDescent="0.25">
      <c r="B586" t="s">
        <v>559</v>
      </c>
      <c r="C586" t="s">
        <v>818</v>
      </c>
      <c r="D586" t="s">
        <v>832</v>
      </c>
    </row>
    <row r="587" spans="2:4" hidden="1" x14ac:dyDescent="0.25">
      <c r="B587" t="s">
        <v>561</v>
      </c>
      <c r="C587" t="s">
        <v>659</v>
      </c>
      <c r="D587" t="s">
        <v>834</v>
      </c>
    </row>
    <row r="588" spans="2:4" hidden="1" x14ac:dyDescent="0.25">
      <c r="B588" t="s">
        <v>563</v>
      </c>
      <c r="C588" t="s">
        <v>606</v>
      </c>
      <c r="D588" t="s">
        <v>856</v>
      </c>
    </row>
    <row r="589" spans="2:4" hidden="1" x14ac:dyDescent="0.25">
      <c r="B589" t="s">
        <v>567</v>
      </c>
      <c r="C589" t="s">
        <v>659</v>
      </c>
      <c r="D589" t="s">
        <v>834</v>
      </c>
    </row>
    <row r="590" spans="2:4" hidden="1" x14ac:dyDescent="0.25">
      <c r="B590" t="s">
        <v>570</v>
      </c>
      <c r="C590" t="s">
        <v>604</v>
      </c>
      <c r="D590" t="s">
        <v>854</v>
      </c>
    </row>
    <row r="591" spans="2:4" hidden="1" x14ac:dyDescent="0.25">
      <c r="B591" t="s">
        <v>571</v>
      </c>
      <c r="C591" t="s">
        <v>659</v>
      </c>
      <c r="D591" t="s">
        <v>834</v>
      </c>
    </row>
    <row r="592" spans="2:4" hidden="1" x14ac:dyDescent="0.25">
      <c r="B592" t="s">
        <v>575</v>
      </c>
      <c r="C592" t="s">
        <v>633</v>
      </c>
      <c r="D592" t="s">
        <v>833</v>
      </c>
    </row>
    <row r="593" spans="2:4" hidden="1" x14ac:dyDescent="0.25">
      <c r="B593" t="s">
        <v>577</v>
      </c>
      <c r="C593" t="s">
        <v>821</v>
      </c>
    </row>
    <row r="594" spans="2:4" hidden="1" x14ac:dyDescent="0.25">
      <c r="B594" t="s">
        <v>578</v>
      </c>
      <c r="C594" t="s">
        <v>821</v>
      </c>
    </row>
    <row r="595" spans="2:4" hidden="1" x14ac:dyDescent="0.25">
      <c r="B595" t="s">
        <v>579</v>
      </c>
      <c r="C595" t="s">
        <v>821</v>
      </c>
    </row>
    <row r="596" spans="2:4" hidden="1" x14ac:dyDescent="0.25">
      <c r="B596" t="s">
        <v>580</v>
      </c>
      <c r="C596" t="s">
        <v>821</v>
      </c>
    </row>
    <row r="597" spans="2:4" hidden="1" x14ac:dyDescent="0.25">
      <c r="B597" t="s">
        <v>585</v>
      </c>
      <c r="C597" t="s">
        <v>604</v>
      </c>
      <c r="D597" t="s">
        <v>854</v>
      </c>
    </row>
    <row r="598" spans="2:4" hidden="1" x14ac:dyDescent="0.25">
      <c r="B598" t="s">
        <v>589</v>
      </c>
      <c r="C598" t="s">
        <v>604</v>
      </c>
      <c r="D598" t="s">
        <v>854</v>
      </c>
    </row>
    <row r="599" spans="2:4" hidden="1" x14ac:dyDescent="0.25">
      <c r="B599" t="s">
        <v>593</v>
      </c>
      <c r="C599" t="s">
        <v>648</v>
      </c>
      <c r="D599" t="s">
        <v>834</v>
      </c>
    </row>
    <row r="600" spans="2:4" hidden="1" x14ac:dyDescent="0.25">
      <c r="B600" t="s">
        <v>598</v>
      </c>
      <c r="C600" t="s">
        <v>678</v>
      </c>
      <c r="D600" t="s">
        <v>848</v>
      </c>
    </row>
    <row r="601" spans="2:4" hidden="1" x14ac:dyDescent="0.25">
      <c r="B601" t="s">
        <v>599</v>
      </c>
      <c r="C601" t="s">
        <v>604</v>
      </c>
      <c r="D601" t="s">
        <v>854</v>
      </c>
    </row>
  </sheetData>
  <autoFilter ref="A1:E601" xr:uid="{0F10867B-A3F3-416D-9751-8D904272CC52}">
    <filterColumn colId="0">
      <customFilters>
        <customFilter operator="notEqual" val=" "/>
      </customFilters>
    </filterColumn>
    <filterColumn colId="2">
      <filters>
        <filter val="[QW.Security.AttBinder]"/>
        <filter val="[QW.Security.Bill.Bill]"/>
        <filter val="[QW.Security.Bill.Data]"/>
        <filter val="[QW.Security.Bill.Loader]"/>
        <filter val="[QW.Security.Bond.Bond]"/>
        <filter val="[QW.Security.Bond.BondPricer]"/>
        <filter val="[QW.Security.Bond.BondPricerMock]"/>
        <filter val="[QW.Security.Bond.Data]"/>
        <filter val="[QW.Security.Bond.Loader]"/>
        <filter val="[QW.Security.BondFuture.AussieBondFuture]"/>
        <filter val="[QW.Security.BondFuture.BondFuture]"/>
        <filter val="[QW.Security.BondFuture.CFCalculator]"/>
        <filter val="[QW.Security.BondFuture.CFCalculatorMeta]"/>
        <filter val="[QW.Security.BondFuture.CFCalculatorMock]"/>
        <filter val="[QW.Security.BondFuture.CFCalculatorUS]"/>
        <filter val="[QW.Security.BondFuture.Data]"/>
        <filter val="[QW.Security.BondFuture.Loader]"/>
        <filter val="[QW.Security.BondFuture.OTRData]"/>
        <filter val="[QW.Security.BondFuture.OTRFuture]"/>
        <filter val="[QW.Security.CapFloor.CapFloor]"/>
        <filter val="[QW.Security.CapFloor.Data]"/>
        <filter val="[QW.Security.CapFloor.LoaderBase]"/>
        <filter val="[QW.Security.CashFlowGenerator]"/>
        <filter val="[QW.Security.CashFlowGeneratorMock]"/>
        <filter val="[QW.Security.Curve.BasisCurve]"/>
        <filter val="[QW.Security.Curve.CalibratedConvexityCurve]"/>
        <filter val="[QW.Security.Curve.Curve]"/>
        <filter val="[QW.Security.Curve.CurveFitByModel]"/>
        <filter val="[QW.Security.Curve.CurveFitByModelOpt]"/>
        <filter val="[QW.Security.Curve.CurveFitter]"/>
        <filter val="[QW.Security.Curve.CurveFitterBootstrap]"/>
        <filter val="[QW.Security.Curve.CurveFitterMock]"/>
        <filter val="[QW.Security.Curve.CurveFitterModel]"/>
        <filter val="[QW.Security.Curve.CurveFitterOptimize]"/>
        <filter val="[QW.Security.Curve.CurveLoaderBms]"/>
        <filter val="[QW.Security.Curve.CurveLoaderRepo]"/>
        <filter val="[QW.Security.Curve.DoubleMesh]"/>
        <filter val="[QW.Security.Curve.MLES]"/>
        <filter val="[QW.Security.Curve.NSSDiscounter]"/>
        <filter val="[QW.Security.Curve.NSSFast]"/>
        <filter val="[QW.Security.Curve.WeightCalculatorCouponMarketness]"/>
        <filter val="[QW.Security.Curve.WeightCalculatorList]"/>
        <filter val="[QW.Security.Curve.ZeroSpline]"/>
        <filter val="[QW.Security.Dummy.Dummy]"/>
        <filter val="[QW.Security.Dummy.Loader]"/>
        <filter val="[QW.Security.DummyDB.Data]"/>
        <filter val="[QW.Security.DummyDB.DummyDB]"/>
        <filter val="[QW.Security.DummyDB.Loader]"/>
        <filter val="[QW.Security.FRA.Data]"/>
        <filter val="[QW.Security.FRA.Fra]"/>
        <filter val="[QW.Security.FRA.Loader]"/>
        <filter val="[QW.Security.Future.Loader]"/>
        <filter val="[QW.Security.FX.Data]"/>
        <filter val="[QW.Security.FX.DataSwap]"/>
        <filter val="[QW.Security.FX.FxSpot]"/>
        <filter val="[QW.Security.FX.FxSwap]"/>
        <filter val="[QW.Security.GCMTradeSource]"/>
        <filter val="[QW.Security.Invalid.Invalid]"/>
        <filter val="[QW.Security.Loader]"/>
        <filter val="[QW.Security.LoaderDB]"/>
        <filter val="[QW.Security.MarketContext]"/>
        <filter val="[QW.Security.MarketCoordinator]"/>
        <filter val="[QW.Security.MarketModel]"/>
        <filter val="[QW.Security.Option.Data]"/>
        <filter val="[QW.Security.Option.OptionFuture]"/>
        <filter val="[QW.Security.Option.OptionRateFuture]"/>
        <filter val="[QW.Security.Option.OptionYieldAwareFuture]"/>
        <filter val="[QW.Security.PositionProvider]"/>
        <filter val="[QW.Security.PositionProviderMock]"/>
        <filter val="[QW.Security.ProcessorSecLoad]"/>
        <filter val="[QW.Security.Publisher]"/>
        <filter val="[QW.Security.PublisherMix]"/>
        <filter val="[QW.Security.PublisherMsg]"/>
        <filter val="[QW.Security.PublisherProvider]"/>
        <filter val="[QW.Security.PublisherRegionClose]"/>
        <filter val="[QW.Security.PublisherRolling]"/>
        <filter val="[QW.Security.Rate.Data]"/>
        <filter val="[QW.Security.Rate.Loader]"/>
        <filter val="[QW.Security.Rate.MeetingDateLoader]"/>
        <filter val="[QW.Security.Rate.Rate]"/>
        <filter val="[QW.Security.Rate.RateFF]"/>
        <filter val="[QW.Security.Rate.RateStub]"/>
        <filter val="[QW.Security.Rate.RateTypeCompounded]"/>
        <filter val="[QW.Security.Rate.RateTypeContinuous]"/>
        <filter val="[QW.Security.Rate.RateTypeProvider]"/>
        <filter val="[QW.Security.Rate.RateTypeSimple]"/>
        <filter val="[QW.Security.RateFuture.Aussie30DayInterbankFuture]"/>
        <filter val="[QW.Security.RateFuture.Aussie90BankBillFuture]"/>
        <filter val="[QW.Security.RateFuture.Data]"/>
        <filter val="[QW.Security.RateFuture.Loader]"/>
        <filter val="[QW.Security.RateFuture.RateFuture]"/>
        <filter val="[QW.Security.RateFuture.RateFutureFF1]"/>
        <filter val="[QW.Security.RateFuture.RateFutureSOFR]"/>
        <filter val="[QW.Security.Repo.Data]"/>
        <filter val="[QW.Security.Repo.Loader]"/>
        <filter val="[QW.Security.Repo.Repo]"/>
        <filter val="[QW.Security.SecDBNames]"/>
        <filter val="[QW.Security.SecurityData]"/>
        <filter val="[QW.Security.SecurityFetcher]"/>
        <filter val="[QW.Security.SecurityFetcherMsg]"/>
        <filter val="[QW.Security.SecurityProvider]"/>
        <filter val="[QW.Security.SecurityUpdaterDB]"/>
        <filter val="[QW.Security.Swap.Data]"/>
        <filter val="[QW.Security.Swap.LoaderBase]"/>
        <filter val="[QW.Security.Swap.Swap]"/>
        <filter val="[QW.Security.SwapFuture.Data]"/>
        <filter val="[QW.Security.SwapFuture.Loader]"/>
        <filter val="[QW.Security.SwapFuture.SwapFuture]"/>
        <filter val="[QW.Security.Swaption.Data]"/>
        <filter val="[QW.Security.Swaption.Loader]"/>
        <filter val="[QW.Security.Swaption.Swaption]"/>
        <filter val="[QW.Security.Swaption.SwaptionPricer]"/>
        <filter val="[QW.Security.TradeSource]"/>
        <filter val="[QW.Security.TRSwap.Data]"/>
        <filter val="[QW.Security.TRSwap.LoaderBase]"/>
        <filter val="[QW.Security.TRSwap.TRSwap]"/>
        <filter val="[QW.Security.VixFuture.Data]"/>
        <filter val="[QW.Security.VixFuture.VixFuture]"/>
        <filter val="[QW.Security.VolCube]"/>
        <filter val="[QW.Security.VolCubeMeta]"/>
      </filters>
    </filterColumn>
    <sortState xmlns:xlrd2="http://schemas.microsoft.com/office/spreadsheetml/2017/richdata2" ref="A2:E601">
      <sortCondition descending="1" ref="A1:A60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2D41-47C4-4299-B7D3-B506470BF64A}">
  <dimension ref="A1:C148"/>
  <sheetViews>
    <sheetView topLeftCell="A77" zoomScale="85" zoomScaleNormal="85" workbookViewId="0">
      <selection activeCell="G97" sqref="G97"/>
    </sheetView>
  </sheetViews>
  <sheetFormatPr defaultRowHeight="15" x14ac:dyDescent="0.25"/>
  <cols>
    <col min="1" max="1" width="46.85546875" bestFit="1" customWidth="1"/>
    <col min="2" max="2" width="23.7109375" customWidth="1"/>
  </cols>
  <sheetData>
    <row r="1" spans="1:3" x14ac:dyDescent="0.25">
      <c r="A1" s="8" t="s">
        <v>1121</v>
      </c>
      <c r="B1" s="8" t="s">
        <v>968</v>
      </c>
      <c r="C1" t="s">
        <v>833</v>
      </c>
    </row>
    <row r="2" spans="1:3" x14ac:dyDescent="0.25">
      <c r="A2" t="s">
        <v>974</v>
      </c>
      <c r="B2" t="s">
        <v>832</v>
      </c>
      <c r="C2" t="s">
        <v>1120</v>
      </c>
    </row>
    <row r="3" spans="1:3" x14ac:dyDescent="0.25">
      <c r="A3" t="s">
        <v>953</v>
      </c>
      <c r="B3" t="s">
        <v>950</v>
      </c>
      <c r="C3" t="s">
        <v>967</v>
      </c>
    </row>
    <row r="4" spans="1:3" x14ac:dyDescent="0.25">
      <c r="A4" t="s">
        <v>943</v>
      </c>
      <c r="B4" t="s">
        <v>940</v>
      </c>
      <c r="C4" t="s">
        <v>967</v>
      </c>
    </row>
    <row r="5" spans="1:3" x14ac:dyDescent="0.25">
      <c r="A5" t="s">
        <v>942</v>
      </c>
      <c r="B5" t="s">
        <v>940</v>
      </c>
      <c r="C5" t="s">
        <v>967</v>
      </c>
    </row>
    <row r="6" spans="1:3" x14ac:dyDescent="0.25">
      <c r="A6" t="s">
        <v>935</v>
      </c>
      <c r="B6" t="s">
        <v>933</v>
      </c>
      <c r="C6" t="s">
        <v>967</v>
      </c>
    </row>
    <row r="7" spans="1:3" x14ac:dyDescent="0.25">
      <c r="A7" t="s">
        <v>929</v>
      </c>
      <c r="B7" t="s">
        <v>919</v>
      </c>
      <c r="C7" t="s">
        <v>967</v>
      </c>
    </row>
    <row r="8" spans="1:3" x14ac:dyDescent="0.25">
      <c r="A8" t="s">
        <v>939</v>
      </c>
      <c r="B8" t="s">
        <v>937</v>
      </c>
      <c r="C8" t="s">
        <v>967</v>
      </c>
    </row>
    <row r="9" spans="1:3" x14ac:dyDescent="0.25">
      <c r="A9" t="s">
        <v>930</v>
      </c>
      <c r="B9" t="s">
        <v>919</v>
      </c>
      <c r="C9" t="s">
        <v>967</v>
      </c>
    </row>
    <row r="10" spans="1:3" x14ac:dyDescent="0.25">
      <c r="A10" t="s">
        <v>930</v>
      </c>
      <c r="B10" t="s">
        <v>931</v>
      </c>
      <c r="C10" t="s">
        <v>967</v>
      </c>
    </row>
    <row r="11" spans="1:3" x14ac:dyDescent="0.25">
      <c r="A11" t="s">
        <v>944</v>
      </c>
      <c r="B11" t="s">
        <v>940</v>
      </c>
      <c r="C11" t="s">
        <v>967</v>
      </c>
    </row>
    <row r="12" spans="1:3" x14ac:dyDescent="0.25">
      <c r="A12" t="s">
        <v>936</v>
      </c>
      <c r="B12" t="s">
        <v>933</v>
      </c>
      <c r="C12" t="s">
        <v>967</v>
      </c>
    </row>
    <row r="13" spans="1:3" x14ac:dyDescent="0.25">
      <c r="A13" t="s">
        <v>1051</v>
      </c>
      <c r="B13" t="s">
        <v>981</v>
      </c>
      <c r="C13" t="s">
        <v>1120</v>
      </c>
    </row>
    <row r="14" spans="1:3" x14ac:dyDescent="0.25">
      <c r="A14" t="s">
        <v>996</v>
      </c>
      <c r="B14" t="s">
        <v>832</v>
      </c>
      <c r="C14" t="s">
        <v>1120</v>
      </c>
    </row>
    <row r="15" spans="1:3" x14ac:dyDescent="0.25">
      <c r="A15" t="s">
        <v>1039</v>
      </c>
      <c r="B15" t="s">
        <v>1029</v>
      </c>
      <c r="C15" t="s">
        <v>1120</v>
      </c>
    </row>
    <row r="16" spans="1:3" x14ac:dyDescent="0.25">
      <c r="A16" t="s">
        <v>1038</v>
      </c>
      <c r="B16" t="s">
        <v>981</v>
      </c>
      <c r="C16" t="s">
        <v>1120</v>
      </c>
    </row>
    <row r="17" spans="1:3" x14ac:dyDescent="0.25">
      <c r="A17" t="s">
        <v>984</v>
      </c>
      <c r="B17" t="s">
        <v>832</v>
      </c>
      <c r="C17" t="s">
        <v>1120</v>
      </c>
    </row>
    <row r="18" spans="1:3" x14ac:dyDescent="0.25">
      <c r="A18" t="s">
        <v>985</v>
      </c>
      <c r="B18" t="s">
        <v>832</v>
      </c>
      <c r="C18" t="s">
        <v>1120</v>
      </c>
    </row>
    <row r="19" spans="1:3" x14ac:dyDescent="0.25">
      <c r="A19" t="s">
        <v>1000</v>
      </c>
      <c r="B19" t="s">
        <v>1005</v>
      </c>
      <c r="C19" t="s">
        <v>1120</v>
      </c>
    </row>
    <row r="20" spans="1:3" x14ac:dyDescent="0.25">
      <c r="A20" t="s">
        <v>1001</v>
      </c>
      <c r="B20" t="s">
        <v>1005</v>
      </c>
      <c r="C20" t="s">
        <v>1120</v>
      </c>
    </row>
    <row r="21" spans="1:3" x14ac:dyDescent="0.25">
      <c r="A21" t="s">
        <v>1037</v>
      </c>
      <c r="B21" t="s">
        <v>981</v>
      </c>
      <c r="C21" t="s">
        <v>1120</v>
      </c>
    </row>
    <row r="22" spans="1:3" x14ac:dyDescent="0.25">
      <c r="A22" t="s">
        <v>1052</v>
      </c>
      <c r="B22" t="s">
        <v>1008</v>
      </c>
      <c r="C22" t="s">
        <v>1120</v>
      </c>
    </row>
    <row r="23" spans="1:3" x14ac:dyDescent="0.25">
      <c r="A23" t="s">
        <v>1077</v>
      </c>
      <c r="B23" t="s">
        <v>1008</v>
      </c>
      <c r="C23" t="s">
        <v>1120</v>
      </c>
    </row>
    <row r="24" spans="1:3" x14ac:dyDescent="0.25">
      <c r="A24" t="s">
        <v>1015</v>
      </c>
      <c r="B24" t="s">
        <v>981</v>
      </c>
      <c r="C24" t="s">
        <v>1120</v>
      </c>
    </row>
    <row r="25" spans="1:3" x14ac:dyDescent="0.25">
      <c r="A25" t="s">
        <v>1017</v>
      </c>
      <c r="B25" t="s">
        <v>981</v>
      </c>
      <c r="C25" t="s">
        <v>1120</v>
      </c>
    </row>
    <row r="26" spans="1:3" x14ac:dyDescent="0.25">
      <c r="A26" t="s">
        <v>995</v>
      </c>
      <c r="B26" t="s">
        <v>832</v>
      </c>
      <c r="C26" t="s">
        <v>1120</v>
      </c>
    </row>
    <row r="27" spans="1:3" x14ac:dyDescent="0.25">
      <c r="A27" s="9" t="s">
        <v>1091</v>
      </c>
      <c r="B27" s="9" t="s">
        <v>832</v>
      </c>
      <c r="C27" s="9" t="s">
        <v>1120</v>
      </c>
    </row>
    <row r="28" spans="1:3" x14ac:dyDescent="0.25">
      <c r="A28" t="s">
        <v>1084</v>
      </c>
      <c r="B28" t="s">
        <v>981</v>
      </c>
      <c r="C28" t="s">
        <v>1120</v>
      </c>
    </row>
    <row r="29" spans="1:3" x14ac:dyDescent="0.25">
      <c r="A29" t="s">
        <v>1074</v>
      </c>
      <c r="B29" t="s">
        <v>1008</v>
      </c>
      <c r="C29" t="s">
        <v>1120</v>
      </c>
    </row>
    <row r="30" spans="1:3" x14ac:dyDescent="0.25">
      <c r="A30" t="s">
        <v>997</v>
      </c>
      <c r="B30" t="s">
        <v>832</v>
      </c>
      <c r="C30" t="s">
        <v>1120</v>
      </c>
    </row>
    <row r="31" spans="1:3" x14ac:dyDescent="0.25">
      <c r="A31" t="s">
        <v>1087</v>
      </c>
      <c r="B31" t="s">
        <v>981</v>
      </c>
      <c r="C31" t="s">
        <v>1120</v>
      </c>
    </row>
    <row r="32" spans="1:3" x14ac:dyDescent="0.25">
      <c r="A32" t="s">
        <v>1075</v>
      </c>
      <c r="B32" t="s">
        <v>1008</v>
      </c>
      <c r="C32" t="s">
        <v>1120</v>
      </c>
    </row>
    <row r="33" spans="1:3" x14ac:dyDescent="0.25">
      <c r="A33" t="s">
        <v>989</v>
      </c>
      <c r="B33" t="s">
        <v>832</v>
      </c>
      <c r="C33" t="s">
        <v>1120</v>
      </c>
    </row>
    <row r="34" spans="1:3" x14ac:dyDescent="0.25">
      <c r="A34" t="s">
        <v>992</v>
      </c>
      <c r="B34" t="s">
        <v>832</v>
      </c>
      <c r="C34" t="s">
        <v>1120</v>
      </c>
    </row>
    <row r="35" spans="1:3" x14ac:dyDescent="0.25">
      <c r="A35" t="s">
        <v>1060</v>
      </c>
      <c r="B35" t="s">
        <v>981</v>
      </c>
      <c r="C35" t="s">
        <v>1120</v>
      </c>
    </row>
    <row r="36" spans="1:3" x14ac:dyDescent="0.25">
      <c r="A36" t="s">
        <v>1062</v>
      </c>
      <c r="B36" t="s">
        <v>1057</v>
      </c>
      <c r="C36" t="s">
        <v>1120</v>
      </c>
    </row>
    <row r="37" spans="1:3" x14ac:dyDescent="0.25">
      <c r="A37" t="s">
        <v>993</v>
      </c>
      <c r="B37" t="s">
        <v>832</v>
      </c>
      <c r="C37" t="s">
        <v>1120</v>
      </c>
    </row>
    <row r="38" spans="1:3" x14ac:dyDescent="0.25">
      <c r="A38" t="s">
        <v>1061</v>
      </c>
      <c r="B38" t="s">
        <v>981</v>
      </c>
      <c r="C38" t="s">
        <v>1120</v>
      </c>
    </row>
    <row r="39" spans="1:3" x14ac:dyDescent="0.25">
      <c r="A39" t="s">
        <v>1063</v>
      </c>
      <c r="B39" t="s">
        <v>1057</v>
      </c>
      <c r="C39" t="s">
        <v>1120</v>
      </c>
    </row>
    <row r="40" spans="1:3" x14ac:dyDescent="0.25">
      <c r="A40" t="s">
        <v>1036</v>
      </c>
      <c r="B40" t="s">
        <v>1029</v>
      </c>
      <c r="C40" t="s">
        <v>1120</v>
      </c>
    </row>
    <row r="41" spans="1:3" x14ac:dyDescent="0.25">
      <c r="A41" t="s">
        <v>1035</v>
      </c>
      <c r="B41" t="s">
        <v>981</v>
      </c>
      <c r="C41" t="s">
        <v>1120</v>
      </c>
    </row>
    <row r="42" spans="1:3" x14ac:dyDescent="0.25">
      <c r="A42" t="s">
        <v>987</v>
      </c>
      <c r="B42" t="s">
        <v>832</v>
      </c>
      <c r="C42" t="s">
        <v>1120</v>
      </c>
    </row>
    <row r="43" spans="1:3" x14ac:dyDescent="0.25">
      <c r="A43" t="s">
        <v>988</v>
      </c>
      <c r="B43" t="s">
        <v>832</v>
      </c>
      <c r="C43" t="s">
        <v>1120</v>
      </c>
    </row>
    <row r="44" spans="1:3" x14ac:dyDescent="0.25">
      <c r="A44" t="s">
        <v>1003</v>
      </c>
      <c r="B44" t="s">
        <v>1004</v>
      </c>
      <c r="C44" t="s">
        <v>1120</v>
      </c>
    </row>
    <row r="45" spans="1:3" x14ac:dyDescent="0.25">
      <c r="A45" t="s">
        <v>1009</v>
      </c>
      <c r="B45" t="s">
        <v>1004</v>
      </c>
      <c r="C45" t="s">
        <v>1120</v>
      </c>
    </row>
    <row r="46" spans="1:3" x14ac:dyDescent="0.25">
      <c r="A46" t="s">
        <v>1010</v>
      </c>
      <c r="B46" t="s">
        <v>1004</v>
      </c>
      <c r="C46" t="s">
        <v>1120</v>
      </c>
    </row>
    <row r="47" spans="1:3" x14ac:dyDescent="0.25">
      <c r="A47" t="s">
        <v>1007</v>
      </c>
      <c r="B47" t="s">
        <v>1008</v>
      </c>
      <c r="C47" t="s">
        <v>1120</v>
      </c>
    </row>
    <row r="48" spans="1:3" x14ac:dyDescent="0.25">
      <c r="A48" t="s">
        <v>1006</v>
      </c>
      <c r="B48" t="s">
        <v>1004</v>
      </c>
      <c r="C48" t="s">
        <v>1120</v>
      </c>
    </row>
    <row r="49" spans="1:3" x14ac:dyDescent="0.25">
      <c r="A49" t="s">
        <v>1002</v>
      </c>
      <c r="B49" t="s">
        <v>1004</v>
      </c>
      <c r="C49" t="s">
        <v>1120</v>
      </c>
    </row>
    <row r="50" spans="1:3" x14ac:dyDescent="0.25">
      <c r="A50" t="s">
        <v>1025</v>
      </c>
      <c r="B50" t="s">
        <v>981</v>
      </c>
      <c r="C50" t="s">
        <v>1120</v>
      </c>
    </row>
    <row r="51" spans="1:3" x14ac:dyDescent="0.25">
      <c r="A51" t="s">
        <v>1022</v>
      </c>
      <c r="B51" t="s">
        <v>981</v>
      </c>
      <c r="C51" t="s">
        <v>1120</v>
      </c>
    </row>
    <row r="52" spans="1:3" x14ac:dyDescent="0.25">
      <c r="A52" t="s">
        <v>1034</v>
      </c>
      <c r="B52" t="s">
        <v>981</v>
      </c>
      <c r="C52" t="s">
        <v>1120</v>
      </c>
    </row>
    <row r="53" spans="1:3" x14ac:dyDescent="0.25">
      <c r="A53" t="s">
        <v>1070</v>
      </c>
      <c r="B53" t="s">
        <v>832</v>
      </c>
      <c r="C53" t="s">
        <v>1120</v>
      </c>
    </row>
    <row r="54" spans="1:3" x14ac:dyDescent="0.25">
      <c r="A54" t="s">
        <v>1086</v>
      </c>
      <c r="B54" t="s">
        <v>1008</v>
      </c>
      <c r="C54" t="s">
        <v>1120</v>
      </c>
    </row>
    <row r="55" spans="1:3" x14ac:dyDescent="0.25">
      <c r="A55" t="s">
        <v>1024</v>
      </c>
      <c r="B55" t="s">
        <v>981</v>
      </c>
      <c r="C55" t="s">
        <v>1120</v>
      </c>
    </row>
    <row r="56" spans="1:3" x14ac:dyDescent="0.25">
      <c r="A56" t="s">
        <v>1021</v>
      </c>
      <c r="B56" t="s">
        <v>981</v>
      </c>
      <c r="C56" t="s">
        <v>1120</v>
      </c>
    </row>
    <row r="57" spans="1:3" x14ac:dyDescent="0.25">
      <c r="A57" t="s">
        <v>973</v>
      </c>
      <c r="B57" t="s">
        <v>832</v>
      </c>
      <c r="C57" t="s">
        <v>1120</v>
      </c>
    </row>
    <row r="58" spans="1:3" x14ac:dyDescent="0.25">
      <c r="A58" t="s">
        <v>972</v>
      </c>
      <c r="B58" t="s">
        <v>832</v>
      </c>
      <c r="C58" t="s">
        <v>1120</v>
      </c>
    </row>
    <row r="59" spans="1:3" x14ac:dyDescent="0.25">
      <c r="A59" t="s">
        <v>969</v>
      </c>
      <c r="B59" t="s">
        <v>832</v>
      </c>
      <c r="C59" t="s">
        <v>1120</v>
      </c>
    </row>
    <row r="60" spans="1:3" x14ac:dyDescent="0.25">
      <c r="A60" t="s">
        <v>978</v>
      </c>
      <c r="B60" t="s">
        <v>832</v>
      </c>
      <c r="C60" t="s">
        <v>1120</v>
      </c>
    </row>
    <row r="61" spans="1:3" x14ac:dyDescent="0.25">
      <c r="A61" t="s">
        <v>1071</v>
      </c>
      <c r="B61" t="s">
        <v>832</v>
      </c>
      <c r="C61" t="s">
        <v>1120</v>
      </c>
    </row>
    <row r="62" spans="1:3" x14ac:dyDescent="0.25">
      <c r="A62" t="s">
        <v>1085</v>
      </c>
      <c r="B62" t="s">
        <v>1008</v>
      </c>
      <c r="C62" t="s">
        <v>1120</v>
      </c>
    </row>
    <row r="63" spans="1:3" x14ac:dyDescent="0.25">
      <c r="A63" t="s">
        <v>1089</v>
      </c>
      <c r="B63" t="s">
        <v>832</v>
      </c>
      <c r="C63" t="s">
        <v>1120</v>
      </c>
    </row>
    <row r="64" spans="1:3" x14ac:dyDescent="0.25">
      <c r="A64" t="s">
        <v>1090</v>
      </c>
      <c r="B64" t="s">
        <v>832</v>
      </c>
      <c r="C64" t="s">
        <v>1120</v>
      </c>
    </row>
    <row r="65" spans="1:3" x14ac:dyDescent="0.25">
      <c r="A65" t="s">
        <v>1053</v>
      </c>
      <c r="B65" t="s">
        <v>981</v>
      </c>
      <c r="C65" t="s">
        <v>1120</v>
      </c>
    </row>
    <row r="66" spans="1:3" x14ac:dyDescent="0.25">
      <c r="A66" t="s">
        <v>1072</v>
      </c>
      <c r="B66" t="s">
        <v>832</v>
      </c>
      <c r="C66" t="s">
        <v>1120</v>
      </c>
    </row>
    <row r="67" spans="1:3" x14ac:dyDescent="0.25">
      <c r="A67" t="s">
        <v>1088</v>
      </c>
      <c r="B67" t="s">
        <v>832</v>
      </c>
      <c r="C67" t="s">
        <v>1120</v>
      </c>
    </row>
    <row r="68" spans="1:3" x14ac:dyDescent="0.25">
      <c r="A68" t="s">
        <v>1076</v>
      </c>
      <c r="B68" t="s">
        <v>1008</v>
      </c>
      <c r="C68" t="s">
        <v>1120</v>
      </c>
    </row>
    <row r="69" spans="1:3" x14ac:dyDescent="0.25">
      <c r="A69" t="s">
        <v>1016</v>
      </c>
      <c r="B69" t="s">
        <v>981</v>
      </c>
      <c r="C69" t="s">
        <v>1120</v>
      </c>
    </row>
    <row r="70" spans="1:3" x14ac:dyDescent="0.25">
      <c r="A70" t="s">
        <v>1014</v>
      </c>
      <c r="B70" t="s">
        <v>1008</v>
      </c>
      <c r="C70" t="s">
        <v>1120</v>
      </c>
    </row>
    <row r="71" spans="1:3" x14ac:dyDescent="0.25">
      <c r="A71" t="s">
        <v>1054</v>
      </c>
      <c r="B71" t="s">
        <v>981</v>
      </c>
      <c r="C71" t="s">
        <v>1120</v>
      </c>
    </row>
    <row r="72" spans="1:3" x14ac:dyDescent="0.25">
      <c r="A72" t="s">
        <v>1069</v>
      </c>
      <c r="B72" t="s">
        <v>832</v>
      </c>
      <c r="C72" t="s">
        <v>1120</v>
      </c>
    </row>
    <row r="73" spans="1:3" x14ac:dyDescent="0.25">
      <c r="A73" t="s">
        <v>994</v>
      </c>
      <c r="B73" t="s">
        <v>832</v>
      </c>
      <c r="C73" t="s">
        <v>1120</v>
      </c>
    </row>
    <row r="74" spans="1:3" x14ac:dyDescent="0.25">
      <c r="A74" t="s">
        <v>998</v>
      </c>
      <c r="B74" t="s">
        <v>832</v>
      </c>
      <c r="C74" t="s">
        <v>1120</v>
      </c>
    </row>
    <row r="75" spans="1:3" x14ac:dyDescent="0.25">
      <c r="A75" t="s">
        <v>1011</v>
      </c>
      <c r="B75" t="s">
        <v>1008</v>
      </c>
      <c r="C75" t="s">
        <v>1120</v>
      </c>
    </row>
    <row r="76" spans="1:3" x14ac:dyDescent="0.25">
      <c r="A76" t="s">
        <v>1068</v>
      </c>
      <c r="B76" t="s">
        <v>981</v>
      </c>
      <c r="C76" t="s">
        <v>1120</v>
      </c>
    </row>
    <row r="77" spans="1:3" x14ac:dyDescent="0.25">
      <c r="A77" t="s">
        <v>1019</v>
      </c>
      <c r="B77" t="s">
        <v>981</v>
      </c>
      <c r="C77" t="s">
        <v>1120</v>
      </c>
    </row>
    <row r="78" spans="1:3" x14ac:dyDescent="0.25">
      <c r="A78" t="s">
        <v>1040</v>
      </c>
      <c r="B78" t="s">
        <v>1041</v>
      </c>
      <c r="C78" t="s">
        <v>1120</v>
      </c>
    </row>
    <row r="79" spans="1:3" x14ac:dyDescent="0.25">
      <c r="A79" t="s">
        <v>983</v>
      </c>
      <c r="B79" t="s">
        <v>981</v>
      </c>
      <c r="C79" t="s">
        <v>1120</v>
      </c>
    </row>
    <row r="80" spans="1:3" x14ac:dyDescent="0.25">
      <c r="A80" t="s">
        <v>982</v>
      </c>
      <c r="B80" t="s">
        <v>832</v>
      </c>
      <c r="C80" t="s">
        <v>1120</v>
      </c>
    </row>
    <row r="81" spans="1:3" x14ac:dyDescent="0.25">
      <c r="A81" t="s">
        <v>1066</v>
      </c>
      <c r="B81" t="s">
        <v>981</v>
      </c>
      <c r="C81" t="s">
        <v>1120</v>
      </c>
    </row>
    <row r="82" spans="1:3" x14ac:dyDescent="0.25">
      <c r="A82" t="s">
        <v>990</v>
      </c>
      <c r="B82" t="s">
        <v>832</v>
      </c>
      <c r="C82" t="s">
        <v>1120</v>
      </c>
    </row>
    <row r="83" spans="1:3" x14ac:dyDescent="0.25">
      <c r="A83" t="s">
        <v>1067</v>
      </c>
      <c r="B83" t="s">
        <v>981</v>
      </c>
      <c r="C83" t="s">
        <v>1120</v>
      </c>
    </row>
    <row r="84" spans="1:3" x14ac:dyDescent="0.25">
      <c r="A84" t="s">
        <v>1058</v>
      </c>
      <c r="B84" t="s">
        <v>981</v>
      </c>
      <c r="C84" t="s">
        <v>1120</v>
      </c>
    </row>
    <row r="85" spans="1:3" x14ac:dyDescent="0.25">
      <c r="A85" t="s">
        <v>1059</v>
      </c>
      <c r="B85" t="s">
        <v>1008</v>
      </c>
      <c r="C85" t="s">
        <v>1120</v>
      </c>
    </row>
    <row r="86" spans="1:3" x14ac:dyDescent="0.25">
      <c r="A86" t="s">
        <v>1092</v>
      </c>
      <c r="B86" t="s">
        <v>1093</v>
      </c>
      <c r="C86" t="s">
        <v>1120</v>
      </c>
    </row>
    <row r="87" spans="1:3" x14ac:dyDescent="0.25">
      <c r="A87" t="s">
        <v>999</v>
      </c>
      <c r="B87" t="s">
        <v>832</v>
      </c>
      <c r="C87" t="s">
        <v>1120</v>
      </c>
    </row>
    <row r="88" spans="1:3" x14ac:dyDescent="0.25">
      <c r="A88" t="s">
        <v>1065</v>
      </c>
      <c r="B88" t="s">
        <v>981</v>
      </c>
      <c r="C88" t="s">
        <v>1120</v>
      </c>
    </row>
    <row r="89" spans="1:3" x14ac:dyDescent="0.25">
      <c r="A89" t="s">
        <v>1055</v>
      </c>
      <c r="B89" t="s">
        <v>1008</v>
      </c>
      <c r="C89" t="s">
        <v>1120</v>
      </c>
    </row>
    <row r="90" spans="1:3" x14ac:dyDescent="0.25">
      <c r="A90" t="s">
        <v>1056</v>
      </c>
      <c r="B90" t="s">
        <v>1057</v>
      </c>
      <c r="C90" t="s">
        <v>1120</v>
      </c>
    </row>
    <row r="91" spans="1:3" x14ac:dyDescent="0.25">
      <c r="A91" t="s">
        <v>971</v>
      </c>
      <c r="B91" t="s">
        <v>832</v>
      </c>
      <c r="C91" t="s">
        <v>1120</v>
      </c>
    </row>
    <row r="92" spans="1:3" x14ac:dyDescent="0.25">
      <c r="A92" t="s">
        <v>970</v>
      </c>
      <c r="B92" t="s">
        <v>832</v>
      </c>
      <c r="C92" t="s">
        <v>1120</v>
      </c>
    </row>
    <row r="93" spans="1:3" x14ac:dyDescent="0.25">
      <c r="A93" t="s">
        <v>1044</v>
      </c>
      <c r="B93" t="s">
        <v>1043</v>
      </c>
      <c r="C93" t="s">
        <v>1120</v>
      </c>
    </row>
    <row r="94" spans="1:3" x14ac:dyDescent="0.25">
      <c r="A94" t="s">
        <v>1046</v>
      </c>
      <c r="B94" t="s">
        <v>1043</v>
      </c>
      <c r="C94" t="s">
        <v>1120</v>
      </c>
    </row>
    <row r="95" spans="1:3" x14ac:dyDescent="0.25">
      <c r="A95" t="s">
        <v>1049</v>
      </c>
      <c r="B95" t="s">
        <v>1043</v>
      </c>
      <c r="C95" t="s">
        <v>1120</v>
      </c>
    </row>
    <row r="96" spans="1:3" x14ac:dyDescent="0.25">
      <c r="A96" t="s">
        <v>1050</v>
      </c>
      <c r="B96" t="s">
        <v>1043</v>
      </c>
      <c r="C96" t="s">
        <v>1120</v>
      </c>
    </row>
    <row r="97" spans="1:3" x14ac:dyDescent="0.25">
      <c r="A97" t="s">
        <v>1045</v>
      </c>
      <c r="B97" t="s">
        <v>1043</v>
      </c>
      <c r="C97" t="s">
        <v>1120</v>
      </c>
    </row>
    <row r="98" spans="1:3" x14ac:dyDescent="0.25">
      <c r="A98" t="s">
        <v>1047</v>
      </c>
      <c r="B98" t="s">
        <v>1043</v>
      </c>
      <c r="C98" t="s">
        <v>1120</v>
      </c>
    </row>
    <row r="99" spans="1:3" x14ac:dyDescent="0.25">
      <c r="A99" t="s">
        <v>1042</v>
      </c>
      <c r="B99" t="s">
        <v>1043</v>
      </c>
      <c r="C99" t="s">
        <v>1120</v>
      </c>
    </row>
    <row r="100" spans="1:3" x14ac:dyDescent="0.25">
      <c r="A100" t="s">
        <v>1048</v>
      </c>
      <c r="B100" t="s">
        <v>1043</v>
      </c>
      <c r="C100" t="s">
        <v>1120</v>
      </c>
    </row>
    <row r="101" spans="1:3" x14ac:dyDescent="0.25">
      <c r="A101" t="s">
        <v>991</v>
      </c>
      <c r="B101" t="s">
        <v>832</v>
      </c>
      <c r="C101" t="s">
        <v>1120</v>
      </c>
    </row>
    <row r="102" spans="1:3" x14ac:dyDescent="0.25">
      <c r="A102" t="s">
        <v>1018</v>
      </c>
      <c r="B102" t="s">
        <v>981</v>
      </c>
      <c r="C102" t="s">
        <v>1120</v>
      </c>
    </row>
    <row r="103" spans="1:3" x14ac:dyDescent="0.25">
      <c r="A103" t="s">
        <v>977</v>
      </c>
      <c r="B103" t="s">
        <v>832</v>
      </c>
      <c r="C103" t="s">
        <v>1120</v>
      </c>
    </row>
    <row r="104" spans="1:3" x14ac:dyDescent="0.25">
      <c r="A104" t="s">
        <v>975</v>
      </c>
      <c r="B104" t="s">
        <v>832</v>
      </c>
      <c r="C104" t="s">
        <v>1120</v>
      </c>
    </row>
    <row r="105" spans="1:3" x14ac:dyDescent="0.25">
      <c r="A105" t="s">
        <v>976</v>
      </c>
      <c r="B105" t="s">
        <v>832</v>
      </c>
      <c r="C105" t="s">
        <v>1120</v>
      </c>
    </row>
    <row r="106" spans="1:3" x14ac:dyDescent="0.25">
      <c r="A106" t="s">
        <v>1013</v>
      </c>
      <c r="B106" t="s">
        <v>1008</v>
      </c>
      <c r="C106" t="s">
        <v>1120</v>
      </c>
    </row>
    <row r="107" spans="1:3" x14ac:dyDescent="0.25">
      <c r="A107" t="s">
        <v>1012</v>
      </c>
      <c r="B107" t="s">
        <v>1008</v>
      </c>
      <c r="C107" t="s">
        <v>1120</v>
      </c>
    </row>
    <row r="108" spans="1:3" x14ac:dyDescent="0.25">
      <c r="A108" t="s">
        <v>986</v>
      </c>
      <c r="B108" t="s">
        <v>832</v>
      </c>
      <c r="C108" t="s">
        <v>1120</v>
      </c>
    </row>
    <row r="109" spans="1:3" x14ac:dyDescent="0.25">
      <c r="A109" t="s">
        <v>1064</v>
      </c>
      <c r="B109" t="s">
        <v>1005</v>
      </c>
      <c r="C109" t="s">
        <v>1120</v>
      </c>
    </row>
    <row r="110" spans="1:3" x14ac:dyDescent="0.25">
      <c r="A110" t="s">
        <v>921</v>
      </c>
      <c r="B110" t="s">
        <v>919</v>
      </c>
      <c r="C110" t="s">
        <v>966</v>
      </c>
    </row>
    <row r="111" spans="1:3" x14ac:dyDescent="0.25">
      <c r="A111" t="s">
        <v>922</v>
      </c>
      <c r="B111" t="s">
        <v>919</v>
      </c>
      <c r="C111" t="s">
        <v>966</v>
      </c>
    </row>
    <row r="112" spans="1:3" x14ac:dyDescent="0.25">
      <c r="A112" t="s">
        <v>1079</v>
      </c>
      <c r="B112" t="s">
        <v>1008</v>
      </c>
      <c r="C112" t="s">
        <v>1120</v>
      </c>
    </row>
    <row r="113" spans="1:3" x14ac:dyDescent="0.25">
      <c r="A113" t="s">
        <v>1080</v>
      </c>
      <c r="B113" t="s">
        <v>981</v>
      </c>
      <c r="C113" t="s">
        <v>1120</v>
      </c>
    </row>
    <row r="114" spans="1:3" x14ac:dyDescent="0.25">
      <c r="A114" t="s">
        <v>1083</v>
      </c>
      <c r="B114" t="s">
        <v>1008</v>
      </c>
      <c r="C114" t="s">
        <v>1120</v>
      </c>
    </row>
    <row r="115" spans="1:3" x14ac:dyDescent="0.25">
      <c r="A115" t="s">
        <v>1082</v>
      </c>
      <c r="B115" t="s">
        <v>1008</v>
      </c>
      <c r="C115" t="s">
        <v>1120</v>
      </c>
    </row>
    <row r="116" spans="1:3" x14ac:dyDescent="0.25">
      <c r="A116" t="s">
        <v>1081</v>
      </c>
      <c r="B116" t="s">
        <v>1008</v>
      </c>
      <c r="C116" t="s">
        <v>1120</v>
      </c>
    </row>
    <row r="117" spans="1:3" x14ac:dyDescent="0.25">
      <c r="A117" t="s">
        <v>1023</v>
      </c>
      <c r="B117" t="s">
        <v>981</v>
      </c>
      <c r="C117" t="s">
        <v>1120</v>
      </c>
    </row>
    <row r="118" spans="1:3" x14ac:dyDescent="0.25">
      <c r="A118" t="s">
        <v>1020</v>
      </c>
      <c r="B118" t="s">
        <v>981</v>
      </c>
      <c r="C118" t="s">
        <v>1120</v>
      </c>
    </row>
    <row r="119" spans="1:3" x14ac:dyDescent="0.25">
      <c r="A119" t="s">
        <v>1028</v>
      </c>
      <c r="B119" t="s">
        <v>1029</v>
      </c>
      <c r="C119" t="s">
        <v>1120</v>
      </c>
    </row>
    <row r="120" spans="1:3" x14ac:dyDescent="0.25">
      <c r="A120" t="s">
        <v>1027</v>
      </c>
      <c r="B120" t="s">
        <v>981</v>
      </c>
      <c r="C120" t="s">
        <v>1120</v>
      </c>
    </row>
    <row r="121" spans="1:3" x14ac:dyDescent="0.25">
      <c r="A121" s="9" t="s">
        <v>1031</v>
      </c>
      <c r="B121" s="9" t="s">
        <v>1032</v>
      </c>
      <c r="C121" t="s">
        <v>1120</v>
      </c>
    </row>
    <row r="122" spans="1:3" x14ac:dyDescent="0.25">
      <c r="A122" t="s">
        <v>1033</v>
      </c>
      <c r="B122" t="s">
        <v>1029</v>
      </c>
      <c r="C122" t="s">
        <v>1120</v>
      </c>
    </row>
    <row r="123" spans="1:3" x14ac:dyDescent="0.25">
      <c r="A123" t="s">
        <v>923</v>
      </c>
      <c r="B123" t="s">
        <v>919</v>
      </c>
      <c r="C123" t="s">
        <v>967</v>
      </c>
    </row>
    <row r="124" spans="1:3" ht="15.6" customHeight="1" x14ac:dyDescent="0.25">
      <c r="A124" t="s">
        <v>924</v>
      </c>
      <c r="B124" t="s">
        <v>919</v>
      </c>
      <c r="C124" t="s">
        <v>967</v>
      </c>
    </row>
    <row r="125" spans="1:3" x14ac:dyDescent="0.25">
      <c r="A125" t="s">
        <v>925</v>
      </c>
      <c r="B125" t="s">
        <v>919</v>
      </c>
      <c r="C125" t="s">
        <v>967</v>
      </c>
    </row>
    <row r="126" spans="1:3" x14ac:dyDescent="0.25">
      <c r="A126" t="s">
        <v>938</v>
      </c>
      <c r="B126" t="s">
        <v>937</v>
      </c>
      <c r="C126" t="s">
        <v>967</v>
      </c>
    </row>
    <row r="127" spans="1:3" x14ac:dyDescent="0.25">
      <c r="A127" t="s">
        <v>941</v>
      </c>
      <c r="B127" t="s">
        <v>940</v>
      </c>
      <c r="C127" t="s">
        <v>967</v>
      </c>
    </row>
    <row r="128" spans="1:3" x14ac:dyDescent="0.25">
      <c r="A128" t="s">
        <v>934</v>
      </c>
      <c r="B128" t="s">
        <v>933</v>
      </c>
      <c r="C128" t="s">
        <v>967</v>
      </c>
    </row>
    <row r="129" spans="1:3" x14ac:dyDescent="0.25">
      <c r="A129" t="s">
        <v>920</v>
      </c>
      <c r="B129" t="s">
        <v>919</v>
      </c>
      <c r="C129" t="s">
        <v>965</v>
      </c>
    </row>
    <row r="130" spans="1:3" x14ac:dyDescent="0.25">
      <c r="A130" t="s">
        <v>932</v>
      </c>
      <c r="B130" t="s">
        <v>931</v>
      </c>
      <c r="C130" t="s">
        <v>967</v>
      </c>
    </row>
    <row r="131" spans="1:3" x14ac:dyDescent="0.25">
      <c r="A131" t="s">
        <v>932</v>
      </c>
      <c r="B131" t="s">
        <v>931</v>
      </c>
      <c r="C131" t="s">
        <v>967</v>
      </c>
    </row>
    <row r="132" spans="1:3" x14ac:dyDescent="0.25">
      <c r="A132" t="s">
        <v>928</v>
      </c>
      <c r="B132" t="s">
        <v>919</v>
      </c>
      <c r="C132" t="s">
        <v>967</v>
      </c>
    </row>
    <row r="133" spans="1:3" x14ac:dyDescent="0.25">
      <c r="A133" t="s">
        <v>926</v>
      </c>
      <c r="B133" t="s">
        <v>919</v>
      </c>
      <c r="C133" t="s">
        <v>967</v>
      </c>
    </row>
    <row r="134" spans="1:3" x14ac:dyDescent="0.25">
      <c r="A134" t="s">
        <v>927</v>
      </c>
      <c r="B134" t="s">
        <v>919</v>
      </c>
      <c r="C134" t="s">
        <v>967</v>
      </c>
    </row>
    <row r="135" spans="1:3" x14ac:dyDescent="0.25">
      <c r="A135" t="s">
        <v>1078</v>
      </c>
      <c r="B135" t="s">
        <v>1008</v>
      </c>
      <c r="C135" t="s">
        <v>1120</v>
      </c>
    </row>
    <row r="136" spans="1:3" x14ac:dyDescent="0.25">
      <c r="A136" t="s">
        <v>1030</v>
      </c>
      <c r="B136" t="s">
        <v>981</v>
      </c>
      <c r="C136" t="s">
        <v>1120</v>
      </c>
    </row>
    <row r="137" spans="1:3" x14ac:dyDescent="0.25">
      <c r="A137" t="s">
        <v>1026</v>
      </c>
      <c r="B137" t="s">
        <v>981</v>
      </c>
      <c r="C137" t="s">
        <v>1120</v>
      </c>
    </row>
    <row r="138" spans="1:3" x14ac:dyDescent="0.25">
      <c r="A138" t="s">
        <v>952</v>
      </c>
      <c r="B138" t="s">
        <v>950</v>
      </c>
      <c r="C138" t="s">
        <v>967</v>
      </c>
    </row>
    <row r="139" spans="1:3" x14ac:dyDescent="0.25">
      <c r="A139" t="s">
        <v>980</v>
      </c>
      <c r="B139" t="s">
        <v>981</v>
      </c>
      <c r="C139" t="s">
        <v>1120</v>
      </c>
    </row>
    <row r="140" spans="1:3" x14ac:dyDescent="0.25">
      <c r="A140" t="s">
        <v>979</v>
      </c>
      <c r="B140" t="s">
        <v>832</v>
      </c>
      <c r="C140" t="s">
        <v>1120</v>
      </c>
    </row>
    <row r="141" spans="1:3" x14ac:dyDescent="0.25">
      <c r="A141" t="s">
        <v>1073</v>
      </c>
      <c r="B141" t="s">
        <v>981</v>
      </c>
      <c r="C141" t="s">
        <v>1120</v>
      </c>
    </row>
    <row r="142" spans="1:3" x14ac:dyDescent="0.25">
      <c r="A142" t="s">
        <v>1123</v>
      </c>
      <c r="B142" t="s">
        <v>1107</v>
      </c>
      <c r="C142" t="s">
        <v>967</v>
      </c>
    </row>
    <row r="143" spans="1:3" x14ac:dyDescent="0.25">
      <c r="A143" t="s">
        <v>1124</v>
      </c>
      <c r="B143" t="s">
        <v>1107</v>
      </c>
      <c r="C143" t="s">
        <v>967</v>
      </c>
    </row>
    <row r="144" spans="1:3" x14ac:dyDescent="0.25">
      <c r="A144" t="s">
        <v>1125</v>
      </c>
      <c r="B144" t="s">
        <v>1109</v>
      </c>
      <c r="C144" t="s">
        <v>967</v>
      </c>
    </row>
    <row r="145" spans="1:3" x14ac:dyDescent="0.25">
      <c r="A145" t="s">
        <v>1126</v>
      </c>
      <c r="B145" t="s">
        <v>1106</v>
      </c>
      <c r="C145" t="s">
        <v>1127</v>
      </c>
    </row>
    <row r="146" spans="1:3" x14ac:dyDescent="0.25">
      <c r="A146" t="s">
        <v>1130</v>
      </c>
      <c r="B146" t="s">
        <v>1129</v>
      </c>
      <c r="C146" t="s">
        <v>967</v>
      </c>
    </row>
    <row r="147" spans="1:3" x14ac:dyDescent="0.25">
      <c r="A147" t="s">
        <v>1132</v>
      </c>
      <c r="B147" t="s">
        <v>1008</v>
      </c>
      <c r="C147" t="s">
        <v>1137</v>
      </c>
    </row>
    <row r="148" spans="1:3" x14ac:dyDescent="0.25">
      <c r="A148" t="s">
        <v>1131</v>
      </c>
    </row>
  </sheetData>
  <sortState xmlns:xlrd2="http://schemas.microsoft.com/office/spreadsheetml/2017/richdata2" ref="A2:C141">
    <sortCondition ref="A1:A14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6A81-4C45-4589-A310-ED0E7FEFD325}">
  <dimension ref="A1:C156"/>
  <sheetViews>
    <sheetView topLeftCell="A138" workbookViewId="0">
      <selection activeCell="C156" sqref="C156"/>
    </sheetView>
  </sheetViews>
  <sheetFormatPr defaultRowHeight="15" x14ac:dyDescent="0.25"/>
  <cols>
    <col min="1" max="1" width="44.5703125" bestFit="1" customWidth="1"/>
    <col min="2" max="2" width="23.5703125" bestFit="1" customWidth="1"/>
  </cols>
  <sheetData>
    <row r="1" spans="1:3" x14ac:dyDescent="0.25">
      <c r="A1" t="s">
        <v>1128</v>
      </c>
      <c r="B1" t="s">
        <v>968</v>
      </c>
      <c r="C1" t="s">
        <v>1138</v>
      </c>
    </row>
    <row r="2" spans="1:3" x14ac:dyDescent="0.25">
      <c r="A2" t="s">
        <v>970</v>
      </c>
      <c r="B2" t="s">
        <v>832</v>
      </c>
      <c r="C2" t="s">
        <v>832</v>
      </c>
    </row>
    <row r="3" spans="1:3" x14ac:dyDescent="0.25">
      <c r="A3" t="s">
        <v>969</v>
      </c>
      <c r="B3" t="s">
        <v>832</v>
      </c>
      <c r="C3" t="s">
        <v>832</v>
      </c>
    </row>
    <row r="4" spans="1:3" x14ac:dyDescent="0.25">
      <c r="A4" t="s">
        <v>971</v>
      </c>
      <c r="B4" t="s">
        <v>832</v>
      </c>
      <c r="C4" t="s">
        <v>832</v>
      </c>
    </row>
    <row r="5" spans="1:3" x14ac:dyDescent="0.25">
      <c r="A5" t="s">
        <v>972</v>
      </c>
      <c r="B5" t="s">
        <v>832</v>
      </c>
      <c r="C5" t="s">
        <v>832</v>
      </c>
    </row>
    <row r="6" spans="1:3" x14ac:dyDescent="0.25">
      <c r="A6" t="s">
        <v>973</v>
      </c>
      <c r="B6" t="s">
        <v>832</v>
      </c>
      <c r="C6" t="s">
        <v>832</v>
      </c>
    </row>
    <row r="7" spans="1:3" x14ac:dyDescent="0.25">
      <c r="A7" t="s">
        <v>974</v>
      </c>
      <c r="B7" t="s">
        <v>832</v>
      </c>
      <c r="C7" t="s">
        <v>832</v>
      </c>
    </row>
    <row r="8" spans="1:3" x14ac:dyDescent="0.25">
      <c r="A8" t="s">
        <v>975</v>
      </c>
      <c r="B8" t="s">
        <v>832</v>
      </c>
      <c r="C8" t="s">
        <v>832</v>
      </c>
    </row>
    <row r="9" spans="1:3" x14ac:dyDescent="0.25">
      <c r="A9" t="s">
        <v>976</v>
      </c>
      <c r="B9" t="s">
        <v>832</v>
      </c>
      <c r="C9" t="s">
        <v>832</v>
      </c>
    </row>
    <row r="10" spans="1:3" x14ac:dyDescent="0.25">
      <c r="A10" t="s">
        <v>977</v>
      </c>
      <c r="B10" t="s">
        <v>832</v>
      </c>
      <c r="C10" t="s">
        <v>832</v>
      </c>
    </row>
    <row r="11" spans="1:3" x14ac:dyDescent="0.25">
      <c r="A11" t="s">
        <v>978</v>
      </c>
      <c r="B11" t="s">
        <v>832</v>
      </c>
      <c r="C11" t="s">
        <v>832</v>
      </c>
    </row>
    <row r="12" spans="1:3" x14ac:dyDescent="0.25">
      <c r="A12" t="s">
        <v>979</v>
      </c>
      <c r="B12" t="s">
        <v>832</v>
      </c>
      <c r="C12" t="s">
        <v>832</v>
      </c>
    </row>
    <row r="13" spans="1:3" x14ac:dyDescent="0.25">
      <c r="A13" t="s">
        <v>980</v>
      </c>
      <c r="B13" t="s">
        <v>981</v>
      </c>
      <c r="C13" t="s">
        <v>1094</v>
      </c>
    </row>
    <row r="14" spans="1:3" x14ac:dyDescent="0.25">
      <c r="A14" t="s">
        <v>982</v>
      </c>
      <c r="B14" t="s">
        <v>832</v>
      </c>
      <c r="C14" t="s">
        <v>832</v>
      </c>
    </row>
    <row r="15" spans="1:3" x14ac:dyDescent="0.25">
      <c r="A15" t="s">
        <v>983</v>
      </c>
      <c r="B15" t="s">
        <v>981</v>
      </c>
      <c r="C15" t="s">
        <v>1094</v>
      </c>
    </row>
    <row r="16" spans="1:3" x14ac:dyDescent="0.25">
      <c r="A16" t="s">
        <v>984</v>
      </c>
      <c r="B16" t="s">
        <v>832</v>
      </c>
      <c r="C16" t="s">
        <v>832</v>
      </c>
    </row>
    <row r="17" spans="1:3" x14ac:dyDescent="0.25">
      <c r="A17" t="s">
        <v>985</v>
      </c>
      <c r="B17" t="s">
        <v>832</v>
      </c>
      <c r="C17" t="s">
        <v>832</v>
      </c>
    </row>
    <row r="18" spans="1:3" x14ac:dyDescent="0.25">
      <c r="A18" t="s">
        <v>986</v>
      </c>
      <c r="B18" t="s">
        <v>832</v>
      </c>
      <c r="C18" t="s">
        <v>832</v>
      </c>
    </row>
    <row r="19" spans="1:3" x14ac:dyDescent="0.25">
      <c r="A19" t="s">
        <v>987</v>
      </c>
      <c r="B19" t="s">
        <v>832</v>
      </c>
      <c r="C19" t="s">
        <v>832</v>
      </c>
    </row>
    <row r="20" spans="1:3" x14ac:dyDescent="0.25">
      <c r="A20" t="s">
        <v>988</v>
      </c>
      <c r="B20" t="s">
        <v>832</v>
      </c>
      <c r="C20" t="s">
        <v>832</v>
      </c>
    </row>
    <row r="21" spans="1:3" x14ac:dyDescent="0.25">
      <c r="A21" t="s">
        <v>989</v>
      </c>
      <c r="B21" t="s">
        <v>832</v>
      </c>
      <c r="C21" t="s">
        <v>832</v>
      </c>
    </row>
    <row r="22" spans="1:3" x14ac:dyDescent="0.25">
      <c r="A22" t="s">
        <v>990</v>
      </c>
      <c r="B22" t="s">
        <v>832</v>
      </c>
      <c r="C22" t="s">
        <v>832</v>
      </c>
    </row>
    <row r="23" spans="1:3" x14ac:dyDescent="0.25">
      <c r="A23" t="s">
        <v>991</v>
      </c>
      <c r="B23" t="s">
        <v>832</v>
      </c>
      <c r="C23" t="s">
        <v>832</v>
      </c>
    </row>
    <row r="24" spans="1:3" x14ac:dyDescent="0.25">
      <c r="A24" t="s">
        <v>992</v>
      </c>
      <c r="B24" t="s">
        <v>832</v>
      </c>
      <c r="C24" t="s">
        <v>832</v>
      </c>
    </row>
    <row r="25" spans="1:3" x14ac:dyDescent="0.25">
      <c r="A25" t="s">
        <v>993</v>
      </c>
      <c r="B25" t="s">
        <v>832</v>
      </c>
      <c r="C25" t="s">
        <v>832</v>
      </c>
    </row>
    <row r="26" spans="1:3" x14ac:dyDescent="0.25">
      <c r="A26" t="s">
        <v>994</v>
      </c>
      <c r="B26" t="s">
        <v>832</v>
      </c>
      <c r="C26" t="s">
        <v>832</v>
      </c>
    </row>
    <row r="27" spans="1:3" x14ac:dyDescent="0.25">
      <c r="A27" t="s">
        <v>995</v>
      </c>
      <c r="B27" t="s">
        <v>832</v>
      </c>
      <c r="C27" t="s">
        <v>832</v>
      </c>
    </row>
    <row r="28" spans="1:3" x14ac:dyDescent="0.25">
      <c r="A28" t="s">
        <v>996</v>
      </c>
      <c r="B28" t="s">
        <v>832</v>
      </c>
      <c r="C28" t="s">
        <v>832</v>
      </c>
    </row>
    <row r="29" spans="1:3" x14ac:dyDescent="0.25">
      <c r="A29" t="s">
        <v>997</v>
      </c>
      <c r="B29" t="s">
        <v>832</v>
      </c>
      <c r="C29" t="s">
        <v>832</v>
      </c>
    </row>
    <row r="30" spans="1:3" x14ac:dyDescent="0.25">
      <c r="A30" t="s">
        <v>998</v>
      </c>
      <c r="B30" t="s">
        <v>832</v>
      </c>
      <c r="C30" t="s">
        <v>832</v>
      </c>
    </row>
    <row r="31" spans="1:3" x14ac:dyDescent="0.25">
      <c r="A31" t="s">
        <v>999</v>
      </c>
      <c r="B31" t="s">
        <v>832</v>
      </c>
      <c r="C31" t="s">
        <v>832</v>
      </c>
    </row>
    <row r="32" spans="1:3" x14ac:dyDescent="0.25">
      <c r="A32" t="s">
        <v>1000</v>
      </c>
      <c r="B32" t="s">
        <v>981</v>
      </c>
      <c r="C32" t="s">
        <v>1094</v>
      </c>
    </row>
    <row r="33" spans="1:3" x14ac:dyDescent="0.25">
      <c r="A33" t="s">
        <v>1003</v>
      </c>
      <c r="B33" t="s">
        <v>1008</v>
      </c>
      <c r="C33" t="s">
        <v>1096</v>
      </c>
    </row>
    <row r="34" spans="1:3" x14ac:dyDescent="0.25">
      <c r="A34" t="s">
        <v>1011</v>
      </c>
      <c r="B34" t="s">
        <v>981</v>
      </c>
      <c r="C34" t="s">
        <v>1094</v>
      </c>
    </row>
    <row r="35" spans="1:3" x14ac:dyDescent="0.25">
      <c r="A35" t="s">
        <v>1000</v>
      </c>
      <c r="B35" t="s">
        <v>1005</v>
      </c>
      <c r="C35" t="s">
        <v>1094</v>
      </c>
    </row>
    <row r="36" spans="1:3" x14ac:dyDescent="0.25">
      <c r="A36" t="s">
        <v>1001</v>
      </c>
      <c r="B36" t="s">
        <v>1005</v>
      </c>
      <c r="C36" t="s">
        <v>1094</v>
      </c>
    </row>
    <row r="37" spans="1:3" x14ac:dyDescent="0.25">
      <c r="A37" t="s">
        <v>1002</v>
      </c>
      <c r="B37" t="s">
        <v>1004</v>
      </c>
      <c r="C37" t="s">
        <v>1094</v>
      </c>
    </row>
    <row r="38" spans="1:3" x14ac:dyDescent="0.25">
      <c r="A38" t="s">
        <v>1003</v>
      </c>
      <c r="B38" t="s">
        <v>1004</v>
      </c>
      <c r="C38" t="s">
        <v>1094</v>
      </c>
    </row>
    <row r="39" spans="1:3" x14ac:dyDescent="0.25">
      <c r="A39" t="s">
        <v>1006</v>
      </c>
      <c r="B39" t="s">
        <v>1004</v>
      </c>
      <c r="C39" t="s">
        <v>1094</v>
      </c>
    </row>
    <row r="40" spans="1:3" x14ac:dyDescent="0.25">
      <c r="A40" t="s">
        <v>1007</v>
      </c>
      <c r="B40" t="s">
        <v>1008</v>
      </c>
      <c r="C40" t="s">
        <v>1096</v>
      </c>
    </row>
    <row r="41" spans="1:3" x14ac:dyDescent="0.25">
      <c r="A41" t="s">
        <v>1009</v>
      </c>
      <c r="B41" t="s">
        <v>1004</v>
      </c>
      <c r="C41" t="s">
        <v>1094</v>
      </c>
    </row>
    <row r="42" spans="1:3" x14ac:dyDescent="0.25">
      <c r="A42" t="s">
        <v>1010</v>
      </c>
      <c r="B42" t="s">
        <v>1004</v>
      </c>
      <c r="C42" t="s">
        <v>1094</v>
      </c>
    </row>
    <row r="43" spans="1:3" x14ac:dyDescent="0.25">
      <c r="A43" t="s">
        <v>1011</v>
      </c>
      <c r="B43" t="s">
        <v>1008</v>
      </c>
      <c r="C43" t="s">
        <v>1096</v>
      </c>
    </row>
    <row r="44" spans="1:3" x14ac:dyDescent="0.25">
      <c r="A44" t="s">
        <v>1012</v>
      </c>
      <c r="B44" t="s">
        <v>1008</v>
      </c>
      <c r="C44" t="s">
        <v>1096</v>
      </c>
    </row>
    <row r="45" spans="1:3" x14ac:dyDescent="0.25">
      <c r="A45" t="s">
        <v>1013</v>
      </c>
      <c r="B45" t="s">
        <v>1008</v>
      </c>
      <c r="C45" t="s">
        <v>1096</v>
      </c>
    </row>
    <row r="46" spans="1:3" x14ac:dyDescent="0.25">
      <c r="A46" t="s">
        <v>1014</v>
      </c>
      <c r="B46" t="s">
        <v>1008</v>
      </c>
      <c r="C46" t="s">
        <v>1096</v>
      </c>
    </row>
    <row r="47" spans="1:3" x14ac:dyDescent="0.25">
      <c r="A47" t="s">
        <v>1015</v>
      </c>
      <c r="B47" t="s">
        <v>981</v>
      </c>
      <c r="C47" t="s">
        <v>1094</v>
      </c>
    </row>
    <row r="48" spans="1:3" x14ac:dyDescent="0.25">
      <c r="A48" t="s">
        <v>1016</v>
      </c>
      <c r="B48" t="s">
        <v>981</v>
      </c>
      <c r="C48" t="s">
        <v>1094</v>
      </c>
    </row>
    <row r="49" spans="1:3" x14ac:dyDescent="0.25">
      <c r="A49" t="s">
        <v>1017</v>
      </c>
      <c r="B49" t="s">
        <v>981</v>
      </c>
      <c r="C49" t="s">
        <v>1094</v>
      </c>
    </row>
    <row r="50" spans="1:3" x14ac:dyDescent="0.25">
      <c r="A50" t="s">
        <v>1018</v>
      </c>
      <c r="B50" t="s">
        <v>981</v>
      </c>
      <c r="C50" t="s">
        <v>1094</v>
      </c>
    </row>
    <row r="51" spans="1:3" x14ac:dyDescent="0.25">
      <c r="A51" t="s">
        <v>1019</v>
      </c>
      <c r="B51" t="s">
        <v>981</v>
      </c>
      <c r="C51" t="s">
        <v>1094</v>
      </c>
    </row>
    <row r="52" spans="1:3" x14ac:dyDescent="0.25">
      <c r="A52" t="s">
        <v>1020</v>
      </c>
      <c r="B52" t="s">
        <v>981</v>
      </c>
      <c r="C52" t="s">
        <v>1094</v>
      </c>
    </row>
    <row r="53" spans="1:3" x14ac:dyDescent="0.25">
      <c r="A53" t="s">
        <v>1021</v>
      </c>
      <c r="B53" t="s">
        <v>981</v>
      </c>
      <c r="C53" t="s">
        <v>1094</v>
      </c>
    </row>
    <row r="54" spans="1:3" x14ac:dyDescent="0.25">
      <c r="A54" t="s">
        <v>1022</v>
      </c>
      <c r="B54" t="s">
        <v>981</v>
      </c>
      <c r="C54" t="s">
        <v>1094</v>
      </c>
    </row>
    <row r="55" spans="1:3" x14ac:dyDescent="0.25">
      <c r="A55" t="s">
        <v>1023</v>
      </c>
      <c r="B55" t="s">
        <v>981</v>
      </c>
      <c r="C55" t="s">
        <v>1094</v>
      </c>
    </row>
    <row r="56" spans="1:3" x14ac:dyDescent="0.25">
      <c r="A56" t="s">
        <v>1024</v>
      </c>
      <c r="B56" t="s">
        <v>981</v>
      </c>
      <c r="C56" t="s">
        <v>1094</v>
      </c>
    </row>
    <row r="57" spans="1:3" x14ac:dyDescent="0.25">
      <c r="A57" t="s">
        <v>1025</v>
      </c>
      <c r="B57" t="s">
        <v>981</v>
      </c>
      <c r="C57" t="s">
        <v>1094</v>
      </c>
    </row>
    <row r="58" spans="1:3" x14ac:dyDescent="0.25">
      <c r="A58" t="s">
        <v>1026</v>
      </c>
      <c r="B58" t="s">
        <v>981</v>
      </c>
      <c r="C58" t="s">
        <v>1094</v>
      </c>
    </row>
    <row r="59" spans="1:3" x14ac:dyDescent="0.25">
      <c r="A59" t="s">
        <v>1027</v>
      </c>
      <c r="B59" t="s">
        <v>981</v>
      </c>
      <c r="C59" t="s">
        <v>1094</v>
      </c>
    </row>
    <row r="60" spans="1:3" x14ac:dyDescent="0.25">
      <c r="A60" t="s">
        <v>1028</v>
      </c>
      <c r="B60" t="s">
        <v>1029</v>
      </c>
      <c r="C60" t="s">
        <v>1105</v>
      </c>
    </row>
    <row r="61" spans="1:3" x14ac:dyDescent="0.25">
      <c r="A61" t="s">
        <v>1030</v>
      </c>
      <c r="B61" t="s">
        <v>981</v>
      </c>
      <c r="C61" t="s">
        <v>1094</v>
      </c>
    </row>
    <row r="62" spans="1:3" x14ac:dyDescent="0.25">
      <c r="A62" t="s">
        <v>1031</v>
      </c>
      <c r="B62" t="s">
        <v>1032</v>
      </c>
      <c r="C62" t="e">
        <f>VLOOKUP(B62,ICurves!A:C,3,0)</f>
        <v>#N/A</v>
      </c>
    </row>
    <row r="63" spans="1:3" x14ac:dyDescent="0.25">
      <c r="A63" t="s">
        <v>1033</v>
      </c>
      <c r="B63" t="s">
        <v>1029</v>
      </c>
      <c r="C63" t="s">
        <v>1105</v>
      </c>
    </row>
    <row r="64" spans="1:3" x14ac:dyDescent="0.25">
      <c r="A64" t="s">
        <v>1034</v>
      </c>
      <c r="B64" t="s">
        <v>981</v>
      </c>
      <c r="C64" t="s">
        <v>1094</v>
      </c>
    </row>
    <row r="65" spans="1:3" x14ac:dyDescent="0.25">
      <c r="A65" t="s">
        <v>1035</v>
      </c>
      <c r="B65" t="s">
        <v>981</v>
      </c>
      <c r="C65" t="s">
        <v>1094</v>
      </c>
    </row>
    <row r="66" spans="1:3" x14ac:dyDescent="0.25">
      <c r="A66" t="s">
        <v>1036</v>
      </c>
      <c r="B66" t="s">
        <v>1029</v>
      </c>
      <c r="C66" t="s">
        <v>1105</v>
      </c>
    </row>
    <row r="67" spans="1:3" x14ac:dyDescent="0.25">
      <c r="A67" t="s">
        <v>1037</v>
      </c>
      <c r="B67" t="s">
        <v>981</v>
      </c>
      <c r="C67" t="s">
        <v>1094</v>
      </c>
    </row>
    <row r="68" spans="1:3" x14ac:dyDescent="0.25">
      <c r="A68" t="s">
        <v>1038</v>
      </c>
      <c r="B68" t="s">
        <v>981</v>
      </c>
      <c r="C68" t="s">
        <v>1094</v>
      </c>
    </row>
    <row r="69" spans="1:3" x14ac:dyDescent="0.25">
      <c r="A69" t="s">
        <v>1039</v>
      </c>
      <c r="B69" t="s">
        <v>1029</v>
      </c>
      <c r="C69" t="s">
        <v>1105</v>
      </c>
    </row>
    <row r="70" spans="1:3" x14ac:dyDescent="0.25">
      <c r="A70" t="s">
        <v>1040</v>
      </c>
      <c r="B70" t="s">
        <v>1041</v>
      </c>
      <c r="C70" t="str">
        <f>VLOOKUP(B70,ICurves!A:C,3,0)</f>
        <v>QW.Security.Curve.Curve</v>
      </c>
    </row>
    <row r="71" spans="1:3" x14ac:dyDescent="0.25">
      <c r="A71" t="s">
        <v>1042</v>
      </c>
      <c r="B71" t="s">
        <v>1043</v>
      </c>
      <c r="C71" t="s">
        <v>1094</v>
      </c>
    </row>
    <row r="72" spans="1:3" x14ac:dyDescent="0.25">
      <c r="A72" t="s">
        <v>1044</v>
      </c>
      <c r="B72" t="s">
        <v>1043</v>
      </c>
      <c r="C72" t="s">
        <v>1094</v>
      </c>
    </row>
    <row r="73" spans="1:3" x14ac:dyDescent="0.25">
      <c r="A73" t="s">
        <v>1045</v>
      </c>
      <c r="B73" t="s">
        <v>1043</v>
      </c>
      <c r="C73" t="s">
        <v>1094</v>
      </c>
    </row>
    <row r="74" spans="1:3" x14ac:dyDescent="0.25">
      <c r="A74" t="s">
        <v>1046</v>
      </c>
      <c r="B74" t="s">
        <v>1043</v>
      </c>
      <c r="C74" t="s">
        <v>1094</v>
      </c>
    </row>
    <row r="75" spans="1:3" x14ac:dyDescent="0.25">
      <c r="A75" t="s">
        <v>1047</v>
      </c>
      <c r="B75" t="s">
        <v>1043</v>
      </c>
      <c r="C75" t="s">
        <v>1094</v>
      </c>
    </row>
    <row r="76" spans="1:3" x14ac:dyDescent="0.25">
      <c r="A76" t="s">
        <v>1048</v>
      </c>
      <c r="B76" t="s">
        <v>1043</v>
      </c>
      <c r="C76" t="s">
        <v>1094</v>
      </c>
    </row>
    <row r="77" spans="1:3" x14ac:dyDescent="0.25">
      <c r="A77" t="s">
        <v>1049</v>
      </c>
      <c r="B77" t="s">
        <v>1043</v>
      </c>
      <c r="C77" t="s">
        <v>1094</v>
      </c>
    </row>
    <row r="78" spans="1:3" x14ac:dyDescent="0.25">
      <c r="A78" t="s">
        <v>1050</v>
      </c>
      <c r="B78" t="s">
        <v>1043</v>
      </c>
      <c r="C78" t="s">
        <v>1094</v>
      </c>
    </row>
    <row r="79" spans="1:3" x14ac:dyDescent="0.25">
      <c r="A79" t="s">
        <v>1051</v>
      </c>
      <c r="B79" t="s">
        <v>981</v>
      </c>
      <c r="C79" t="s">
        <v>1094</v>
      </c>
    </row>
    <row r="80" spans="1:3" x14ac:dyDescent="0.25">
      <c r="A80" t="s">
        <v>1052</v>
      </c>
      <c r="B80" t="s">
        <v>1008</v>
      </c>
      <c r="C80" t="s">
        <v>1096</v>
      </c>
    </row>
    <row r="81" spans="1:3" x14ac:dyDescent="0.25">
      <c r="A81" t="s">
        <v>1053</v>
      </c>
      <c r="B81" t="s">
        <v>981</v>
      </c>
      <c r="C81" t="s">
        <v>1094</v>
      </c>
    </row>
    <row r="82" spans="1:3" x14ac:dyDescent="0.25">
      <c r="A82" t="s">
        <v>1054</v>
      </c>
      <c r="B82" t="s">
        <v>981</v>
      </c>
      <c r="C82" t="s">
        <v>1094</v>
      </c>
    </row>
    <row r="83" spans="1:3" x14ac:dyDescent="0.25">
      <c r="A83" t="s">
        <v>1055</v>
      </c>
      <c r="B83" t="s">
        <v>981</v>
      </c>
      <c r="C83" t="s">
        <v>1094</v>
      </c>
    </row>
    <row r="84" spans="1:3" x14ac:dyDescent="0.25">
      <c r="A84" t="s">
        <v>1060</v>
      </c>
      <c r="B84" t="s">
        <v>1008</v>
      </c>
      <c r="C84" t="s">
        <v>1096</v>
      </c>
    </row>
    <row r="85" spans="1:3" x14ac:dyDescent="0.25">
      <c r="A85" t="s">
        <v>1064</v>
      </c>
      <c r="B85" t="s">
        <v>981</v>
      </c>
      <c r="C85" t="s">
        <v>1094</v>
      </c>
    </row>
    <row r="86" spans="1:3" x14ac:dyDescent="0.25">
      <c r="A86" t="s">
        <v>1055</v>
      </c>
      <c r="B86" t="s">
        <v>1008</v>
      </c>
      <c r="C86" t="s">
        <v>1096</v>
      </c>
    </row>
    <row r="87" spans="1:3" x14ac:dyDescent="0.25">
      <c r="A87" t="s">
        <v>1056</v>
      </c>
      <c r="B87" t="s">
        <v>1057</v>
      </c>
      <c r="C87" t="s">
        <v>1094</v>
      </c>
    </row>
    <row r="88" spans="1:3" x14ac:dyDescent="0.25">
      <c r="A88" t="s">
        <v>1058</v>
      </c>
      <c r="B88" t="s">
        <v>981</v>
      </c>
      <c r="C88" t="s">
        <v>1094</v>
      </c>
    </row>
    <row r="89" spans="1:3" x14ac:dyDescent="0.25">
      <c r="A89" t="s">
        <v>1059</v>
      </c>
      <c r="B89" t="s">
        <v>1008</v>
      </c>
      <c r="C89" t="s">
        <v>1096</v>
      </c>
    </row>
    <row r="90" spans="1:3" x14ac:dyDescent="0.25">
      <c r="A90" t="s">
        <v>1060</v>
      </c>
      <c r="B90" t="s">
        <v>981</v>
      </c>
      <c r="C90" t="s">
        <v>1094</v>
      </c>
    </row>
    <row r="91" spans="1:3" x14ac:dyDescent="0.25">
      <c r="A91" t="s">
        <v>1061</v>
      </c>
      <c r="B91" t="s">
        <v>981</v>
      </c>
      <c r="C91" t="s">
        <v>1094</v>
      </c>
    </row>
    <row r="92" spans="1:3" x14ac:dyDescent="0.25">
      <c r="A92" t="s">
        <v>1062</v>
      </c>
      <c r="B92" t="s">
        <v>1057</v>
      </c>
      <c r="C92" t="s">
        <v>1094</v>
      </c>
    </row>
    <row r="93" spans="1:3" x14ac:dyDescent="0.25">
      <c r="A93" t="s">
        <v>1063</v>
      </c>
      <c r="B93" t="s">
        <v>1057</v>
      </c>
      <c r="C93" t="s">
        <v>1094</v>
      </c>
    </row>
    <row r="94" spans="1:3" x14ac:dyDescent="0.25">
      <c r="A94" t="s">
        <v>1064</v>
      </c>
      <c r="B94" t="s">
        <v>1005</v>
      </c>
      <c r="C94" t="s">
        <v>1094</v>
      </c>
    </row>
    <row r="95" spans="1:3" x14ac:dyDescent="0.25">
      <c r="A95" t="s">
        <v>1065</v>
      </c>
      <c r="B95" t="s">
        <v>981</v>
      </c>
      <c r="C95" t="s">
        <v>1094</v>
      </c>
    </row>
    <row r="96" spans="1:3" x14ac:dyDescent="0.25">
      <c r="A96" t="s">
        <v>1066</v>
      </c>
      <c r="B96" t="s">
        <v>981</v>
      </c>
      <c r="C96" t="s">
        <v>1094</v>
      </c>
    </row>
    <row r="97" spans="1:3" x14ac:dyDescent="0.25">
      <c r="A97" t="s">
        <v>1067</v>
      </c>
      <c r="B97" t="s">
        <v>981</v>
      </c>
      <c r="C97" t="s">
        <v>1094</v>
      </c>
    </row>
    <row r="98" spans="1:3" x14ac:dyDescent="0.25">
      <c r="A98" t="s">
        <v>1068</v>
      </c>
      <c r="B98" t="s">
        <v>981</v>
      </c>
      <c r="C98" t="s">
        <v>1094</v>
      </c>
    </row>
    <row r="99" spans="1:3" x14ac:dyDescent="0.25">
      <c r="A99" t="s">
        <v>1069</v>
      </c>
      <c r="B99" t="s">
        <v>832</v>
      </c>
      <c r="C99" t="s">
        <v>832</v>
      </c>
    </row>
    <row r="100" spans="1:3" x14ac:dyDescent="0.25">
      <c r="A100" t="s">
        <v>1070</v>
      </c>
      <c r="B100" t="s">
        <v>832</v>
      </c>
      <c r="C100" t="s">
        <v>832</v>
      </c>
    </row>
    <row r="101" spans="1:3" x14ac:dyDescent="0.25">
      <c r="A101" t="s">
        <v>1071</v>
      </c>
      <c r="B101" t="s">
        <v>832</v>
      </c>
      <c r="C101" t="s">
        <v>832</v>
      </c>
    </row>
    <row r="102" spans="1:3" x14ac:dyDescent="0.25">
      <c r="A102" t="s">
        <v>1072</v>
      </c>
      <c r="B102" t="s">
        <v>832</v>
      </c>
      <c r="C102" t="s">
        <v>832</v>
      </c>
    </row>
    <row r="103" spans="1:3" x14ac:dyDescent="0.25">
      <c r="A103" t="s">
        <v>1073</v>
      </c>
      <c r="B103" t="s">
        <v>981</v>
      </c>
      <c r="C103" t="s">
        <v>1094</v>
      </c>
    </row>
    <row r="104" spans="1:3" x14ac:dyDescent="0.25">
      <c r="A104" t="s">
        <v>1074</v>
      </c>
      <c r="B104" t="s">
        <v>1008</v>
      </c>
      <c r="C104" t="s">
        <v>1096</v>
      </c>
    </row>
    <row r="105" spans="1:3" x14ac:dyDescent="0.25">
      <c r="A105" t="s">
        <v>1075</v>
      </c>
      <c r="B105" t="s">
        <v>1008</v>
      </c>
      <c r="C105" t="s">
        <v>1096</v>
      </c>
    </row>
    <row r="106" spans="1:3" x14ac:dyDescent="0.25">
      <c r="A106" t="s">
        <v>1076</v>
      </c>
      <c r="B106" t="s">
        <v>1008</v>
      </c>
      <c r="C106" t="s">
        <v>1096</v>
      </c>
    </row>
    <row r="107" spans="1:3" x14ac:dyDescent="0.25">
      <c r="A107" t="s">
        <v>1077</v>
      </c>
      <c r="B107" t="s">
        <v>1008</v>
      </c>
      <c r="C107" t="s">
        <v>1096</v>
      </c>
    </row>
    <row r="108" spans="1:3" x14ac:dyDescent="0.25">
      <c r="A108" t="s">
        <v>1078</v>
      </c>
      <c r="B108" t="s">
        <v>1008</v>
      </c>
      <c r="C108" t="s">
        <v>1096</v>
      </c>
    </row>
    <row r="109" spans="1:3" x14ac:dyDescent="0.25">
      <c r="A109" t="s">
        <v>1079</v>
      </c>
      <c r="B109" t="s">
        <v>981</v>
      </c>
      <c r="C109" t="s">
        <v>1094</v>
      </c>
    </row>
    <row r="110" spans="1:3" x14ac:dyDescent="0.25">
      <c r="A110" t="s">
        <v>1080</v>
      </c>
      <c r="B110" t="s">
        <v>981</v>
      </c>
      <c r="C110" t="s">
        <v>1094</v>
      </c>
    </row>
    <row r="111" spans="1:3" x14ac:dyDescent="0.25">
      <c r="A111" t="s">
        <v>1081</v>
      </c>
      <c r="B111" t="s">
        <v>1008</v>
      </c>
      <c r="C111" t="s">
        <v>1096</v>
      </c>
    </row>
    <row r="112" spans="1:3" x14ac:dyDescent="0.25">
      <c r="A112" t="s">
        <v>1082</v>
      </c>
      <c r="B112" t="s">
        <v>1008</v>
      </c>
      <c r="C112" t="s">
        <v>1096</v>
      </c>
    </row>
    <row r="113" spans="1:3" x14ac:dyDescent="0.25">
      <c r="A113" t="s">
        <v>1083</v>
      </c>
      <c r="B113" t="s">
        <v>1008</v>
      </c>
      <c r="C113" t="s">
        <v>1096</v>
      </c>
    </row>
    <row r="114" spans="1:3" x14ac:dyDescent="0.25">
      <c r="A114" t="s">
        <v>1084</v>
      </c>
      <c r="B114" t="s">
        <v>981</v>
      </c>
      <c r="C114" t="s">
        <v>1094</v>
      </c>
    </row>
    <row r="115" spans="1:3" x14ac:dyDescent="0.25">
      <c r="A115" t="s">
        <v>1085</v>
      </c>
      <c r="B115" t="s">
        <v>1008</v>
      </c>
      <c r="C115" t="s">
        <v>1096</v>
      </c>
    </row>
    <row r="116" spans="1:3" x14ac:dyDescent="0.25">
      <c r="A116" t="s">
        <v>1086</v>
      </c>
      <c r="B116" t="s">
        <v>1008</v>
      </c>
      <c r="C116" t="s">
        <v>1096</v>
      </c>
    </row>
    <row r="117" spans="1:3" x14ac:dyDescent="0.25">
      <c r="A117" t="s">
        <v>1087</v>
      </c>
      <c r="B117" t="s">
        <v>981</v>
      </c>
      <c r="C117" t="s">
        <v>1094</v>
      </c>
    </row>
    <row r="118" spans="1:3" x14ac:dyDescent="0.25">
      <c r="A118" t="s">
        <v>1088</v>
      </c>
      <c r="B118" t="s">
        <v>832</v>
      </c>
      <c r="C118" t="s">
        <v>832</v>
      </c>
    </row>
    <row r="119" spans="1:3" x14ac:dyDescent="0.25">
      <c r="A119" t="s">
        <v>1089</v>
      </c>
      <c r="B119" t="s">
        <v>832</v>
      </c>
      <c r="C119" t="s">
        <v>832</v>
      </c>
    </row>
    <row r="120" spans="1:3" x14ac:dyDescent="0.25">
      <c r="A120" t="s">
        <v>1090</v>
      </c>
      <c r="B120" t="s">
        <v>832</v>
      </c>
      <c r="C120" t="s">
        <v>832</v>
      </c>
    </row>
    <row r="121" spans="1:3" x14ac:dyDescent="0.25">
      <c r="A121" t="s">
        <v>1091</v>
      </c>
      <c r="B121" t="s">
        <v>832</v>
      </c>
      <c r="C121" t="s">
        <v>832</v>
      </c>
    </row>
    <row r="122" spans="1:3" x14ac:dyDescent="0.25">
      <c r="A122" t="s">
        <v>1092</v>
      </c>
      <c r="B122" t="s">
        <v>1093</v>
      </c>
      <c r="C122" t="s">
        <v>1110</v>
      </c>
    </row>
    <row r="123" spans="1:3" x14ac:dyDescent="0.25">
      <c r="A123" t="s">
        <v>1130</v>
      </c>
      <c r="B123" t="s">
        <v>1129</v>
      </c>
      <c r="C123" t="e">
        <v>#N/A</v>
      </c>
    </row>
    <row r="124" spans="1:3" x14ac:dyDescent="0.25">
      <c r="A124" t="s">
        <v>1131</v>
      </c>
      <c r="B124" t="s">
        <v>1129</v>
      </c>
      <c r="C124" t="e">
        <v>#N/A</v>
      </c>
    </row>
    <row r="125" spans="1:3" x14ac:dyDescent="0.25">
      <c r="A125" t="s">
        <v>920</v>
      </c>
      <c r="B125" t="s">
        <v>919</v>
      </c>
      <c r="C125" t="s">
        <v>1094</v>
      </c>
    </row>
    <row r="126" spans="1:3" x14ac:dyDescent="0.25">
      <c r="A126" t="s">
        <v>1132</v>
      </c>
      <c r="B126" t="s">
        <v>1008</v>
      </c>
      <c r="C126" t="s">
        <v>1096</v>
      </c>
    </row>
    <row r="127" spans="1:3" x14ac:dyDescent="0.25">
      <c r="A127" t="s">
        <v>1133</v>
      </c>
      <c r="B127" t="s">
        <v>1008</v>
      </c>
      <c r="C127" t="s">
        <v>1096</v>
      </c>
    </row>
    <row r="128" spans="1:3" x14ac:dyDescent="0.25">
      <c r="A128" t="s">
        <v>1134</v>
      </c>
      <c r="B128" t="s">
        <v>1008</v>
      </c>
      <c r="C128" t="s">
        <v>1096</v>
      </c>
    </row>
    <row r="129" spans="1:3" x14ac:dyDescent="0.25">
      <c r="A129" t="s">
        <v>922</v>
      </c>
      <c r="B129" t="s">
        <v>919</v>
      </c>
      <c r="C129" t="s">
        <v>1094</v>
      </c>
    </row>
    <row r="130" spans="1:3" x14ac:dyDescent="0.25">
      <c r="A130" t="s">
        <v>921</v>
      </c>
      <c r="B130" t="s">
        <v>919</v>
      </c>
      <c r="C130" t="s">
        <v>1094</v>
      </c>
    </row>
    <row r="131" spans="1:3" x14ac:dyDescent="0.25">
      <c r="A131" t="s">
        <v>923</v>
      </c>
      <c r="B131" t="s">
        <v>919</v>
      </c>
      <c r="C131" t="s">
        <v>1094</v>
      </c>
    </row>
    <row r="132" spans="1:3" x14ac:dyDescent="0.25">
      <c r="A132" t="s">
        <v>924</v>
      </c>
      <c r="B132" t="s">
        <v>919</v>
      </c>
      <c r="C132" t="s">
        <v>1094</v>
      </c>
    </row>
    <row r="133" spans="1:3" x14ac:dyDescent="0.25">
      <c r="A133" t="s">
        <v>925</v>
      </c>
      <c r="B133" t="s">
        <v>919</v>
      </c>
      <c r="C133" t="s">
        <v>1094</v>
      </c>
    </row>
    <row r="134" spans="1:3" x14ac:dyDescent="0.25">
      <c r="A134" t="s">
        <v>926</v>
      </c>
      <c r="B134" t="s">
        <v>919</v>
      </c>
      <c r="C134" t="s">
        <v>1094</v>
      </c>
    </row>
    <row r="135" spans="1:3" x14ac:dyDescent="0.25">
      <c r="A135" t="s">
        <v>927</v>
      </c>
      <c r="B135" t="s">
        <v>919</v>
      </c>
      <c r="C135" t="s">
        <v>1094</v>
      </c>
    </row>
    <row r="136" spans="1:3" x14ac:dyDescent="0.25">
      <c r="A136" t="s">
        <v>928</v>
      </c>
      <c r="B136" t="s">
        <v>919</v>
      </c>
      <c r="C136" t="s">
        <v>1094</v>
      </c>
    </row>
    <row r="137" spans="1:3" x14ac:dyDescent="0.25">
      <c r="A137" t="s">
        <v>932</v>
      </c>
      <c r="B137" t="s">
        <v>931</v>
      </c>
      <c r="C137" t="s">
        <v>1094</v>
      </c>
    </row>
    <row r="138" spans="1:3" x14ac:dyDescent="0.25">
      <c r="A138" t="s">
        <v>932</v>
      </c>
      <c r="B138" t="s">
        <v>931</v>
      </c>
      <c r="C138" t="s">
        <v>1094</v>
      </c>
    </row>
    <row r="139" spans="1:3" x14ac:dyDescent="0.25">
      <c r="A139" t="s">
        <v>938</v>
      </c>
      <c r="B139" t="s">
        <v>937</v>
      </c>
      <c r="C139" t="s">
        <v>1094</v>
      </c>
    </row>
    <row r="140" spans="1:3" x14ac:dyDescent="0.25">
      <c r="A140" t="s">
        <v>941</v>
      </c>
      <c r="B140" t="s">
        <v>940</v>
      </c>
      <c r="C140" t="s">
        <v>1094</v>
      </c>
    </row>
    <row r="141" spans="1:3" x14ac:dyDescent="0.25">
      <c r="A141" t="s">
        <v>934</v>
      </c>
      <c r="B141" t="s">
        <v>933</v>
      </c>
      <c r="C141" t="s">
        <v>1094</v>
      </c>
    </row>
    <row r="142" spans="1:3" x14ac:dyDescent="0.25">
      <c r="A142" t="s">
        <v>929</v>
      </c>
      <c r="B142" t="s">
        <v>919</v>
      </c>
      <c r="C142" t="s">
        <v>1094</v>
      </c>
    </row>
    <row r="143" spans="1:3" x14ac:dyDescent="0.25">
      <c r="A143" t="s">
        <v>1135</v>
      </c>
      <c r="B143" t="s">
        <v>919</v>
      </c>
      <c r="C143" t="s">
        <v>1094</v>
      </c>
    </row>
    <row r="144" spans="1:3" x14ac:dyDescent="0.25">
      <c r="A144" t="s">
        <v>930</v>
      </c>
      <c r="B144" t="s">
        <v>931</v>
      </c>
      <c r="C144" t="s">
        <v>1094</v>
      </c>
    </row>
    <row r="145" spans="1:3" x14ac:dyDescent="0.25">
      <c r="A145" t="s">
        <v>942</v>
      </c>
      <c r="B145" t="s">
        <v>940</v>
      </c>
      <c r="C145" t="s">
        <v>1094</v>
      </c>
    </row>
    <row r="146" spans="1:3" x14ac:dyDescent="0.25">
      <c r="A146" t="s">
        <v>943</v>
      </c>
      <c r="B146" t="s">
        <v>940</v>
      </c>
      <c r="C146" t="s">
        <v>1094</v>
      </c>
    </row>
    <row r="147" spans="1:3" x14ac:dyDescent="0.25">
      <c r="A147" t="s">
        <v>944</v>
      </c>
      <c r="B147" t="s">
        <v>940</v>
      </c>
      <c r="C147" t="s">
        <v>1094</v>
      </c>
    </row>
    <row r="148" spans="1:3" x14ac:dyDescent="0.25">
      <c r="A148" t="s">
        <v>939</v>
      </c>
      <c r="B148" t="s">
        <v>937</v>
      </c>
      <c r="C148" t="s">
        <v>1094</v>
      </c>
    </row>
    <row r="149" spans="1:3" x14ac:dyDescent="0.25">
      <c r="A149" t="s">
        <v>935</v>
      </c>
      <c r="B149" t="s">
        <v>933</v>
      </c>
      <c r="C149" t="s">
        <v>1094</v>
      </c>
    </row>
    <row r="150" spans="1:3" x14ac:dyDescent="0.25">
      <c r="A150" t="s">
        <v>936</v>
      </c>
      <c r="B150" t="s">
        <v>933</v>
      </c>
      <c r="C150" t="s">
        <v>1094</v>
      </c>
    </row>
    <row r="151" spans="1:3" x14ac:dyDescent="0.25">
      <c r="A151" t="s">
        <v>1123</v>
      </c>
      <c r="B151" t="s">
        <v>1107</v>
      </c>
      <c r="C151" t="s">
        <v>1108</v>
      </c>
    </row>
    <row r="152" spans="1:3" x14ac:dyDescent="0.25">
      <c r="A152" t="s">
        <v>1124</v>
      </c>
      <c r="B152" t="s">
        <v>1107</v>
      </c>
      <c r="C152" t="s">
        <v>1108</v>
      </c>
    </row>
    <row r="153" spans="1:3" x14ac:dyDescent="0.25">
      <c r="A153" t="s">
        <v>1125</v>
      </c>
      <c r="B153" t="s">
        <v>1109</v>
      </c>
      <c r="C153" t="s">
        <v>1108</v>
      </c>
    </row>
    <row r="154" spans="1:3" x14ac:dyDescent="0.25">
      <c r="A154" t="s">
        <v>1136</v>
      </c>
      <c r="B154" t="s">
        <v>1109</v>
      </c>
      <c r="C154" t="s">
        <v>1108</v>
      </c>
    </row>
    <row r="155" spans="1:3" x14ac:dyDescent="0.25">
      <c r="A155" t="s">
        <v>952</v>
      </c>
      <c r="B155" t="s">
        <v>950</v>
      </c>
      <c r="C155" t="s">
        <v>1094</v>
      </c>
    </row>
    <row r="156" spans="1:3" x14ac:dyDescent="0.25">
      <c r="A156" t="s">
        <v>953</v>
      </c>
      <c r="B156" t="s">
        <v>950</v>
      </c>
      <c r="C156" t="s">
        <v>1094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612B-5E09-4569-BD49-115501FCA359}">
  <dimension ref="A1:E28"/>
  <sheetViews>
    <sheetView zoomScaleNormal="100" workbookViewId="0">
      <selection activeCell="A4" sqref="A4:D4"/>
    </sheetView>
  </sheetViews>
  <sheetFormatPr defaultRowHeight="15" x14ac:dyDescent="0.25"/>
  <cols>
    <col min="1" max="1" width="17.7109375" bestFit="1" customWidth="1"/>
    <col min="2" max="2" width="31.140625" bestFit="1" customWidth="1"/>
    <col min="3" max="3" width="38.42578125" bestFit="1" customWidth="1"/>
    <col min="4" max="4" width="97.140625" bestFit="1" customWidth="1"/>
  </cols>
  <sheetData>
    <row r="1" spans="1:5" x14ac:dyDescent="0.25">
      <c r="A1" t="s">
        <v>1097</v>
      </c>
      <c r="B1" t="s">
        <v>1098</v>
      </c>
      <c r="C1" t="s">
        <v>1141</v>
      </c>
      <c r="D1" t="s">
        <v>1142</v>
      </c>
      <c r="E1" t="s">
        <v>1122</v>
      </c>
    </row>
    <row r="2" spans="1:5" x14ac:dyDescent="0.25">
      <c r="A2" t="s">
        <v>832</v>
      </c>
      <c r="B2" t="s">
        <v>1041</v>
      </c>
      <c r="C2" t="s">
        <v>1096</v>
      </c>
      <c r="D2" t="s">
        <v>1118</v>
      </c>
      <c r="E2" t="str">
        <f>VLOOKUP(A2,Loader!B:B,1,0)</f>
        <v>Curve</v>
      </c>
    </row>
    <row r="3" spans="1:5" x14ac:dyDescent="0.25">
      <c r="A3" t="s">
        <v>1041</v>
      </c>
      <c r="B3" t="s">
        <v>1041</v>
      </c>
      <c r="C3" t="s">
        <v>1096</v>
      </c>
      <c r="D3" t="s">
        <v>1118</v>
      </c>
      <c r="E3" t="str">
        <f>VLOOKUP(A3,Loader!B:B,1,0)</f>
        <v>CurveFlatForward</v>
      </c>
    </row>
    <row r="4" spans="1:5" x14ac:dyDescent="0.25">
      <c r="A4" t="s">
        <v>1008</v>
      </c>
      <c r="B4" t="s">
        <v>1008</v>
      </c>
      <c r="C4" t="s">
        <v>1096</v>
      </c>
      <c r="D4" t="s">
        <v>1115</v>
      </c>
      <c r="E4" t="str">
        <f>VLOOKUP(A4,Loader!B:B,1,0)</f>
        <v>CurveBootstrap</v>
      </c>
    </row>
    <row r="5" spans="1:5" x14ac:dyDescent="0.25">
      <c r="A5" t="s">
        <v>1106</v>
      </c>
      <c r="B5" t="s">
        <v>1106</v>
      </c>
      <c r="C5" t="s">
        <v>1096</v>
      </c>
      <c r="D5" t="s">
        <v>1118</v>
      </c>
      <c r="E5" t="str">
        <f>VLOOKUP(A5,Loader!B:B,1,0)</f>
        <v>RepoCurve</v>
      </c>
    </row>
    <row r="6" spans="1:5" x14ac:dyDescent="0.25">
      <c r="A6" t="s">
        <v>931</v>
      </c>
      <c r="B6" t="s">
        <v>931</v>
      </c>
      <c r="C6" t="s">
        <v>1094</v>
      </c>
      <c r="D6" t="s">
        <v>957</v>
      </c>
      <c r="E6" t="str">
        <f>VLOOKUP(A6,Loader!B:B,1,0)</f>
        <v>CurveMLES_2_9</v>
      </c>
    </row>
    <row r="7" spans="1:5" x14ac:dyDescent="0.25">
      <c r="A7" t="s">
        <v>933</v>
      </c>
      <c r="B7" t="s">
        <v>933</v>
      </c>
      <c r="C7" t="s">
        <v>1094</v>
      </c>
      <c r="D7" t="s">
        <v>958</v>
      </c>
      <c r="E7" t="str">
        <f>VLOOKUP(A7,Loader!B:B,1,0)</f>
        <v>CurveMLES_F_L</v>
      </c>
    </row>
    <row r="8" spans="1:5" x14ac:dyDescent="0.25">
      <c r="A8" t="s">
        <v>937</v>
      </c>
      <c r="B8" t="s">
        <v>937</v>
      </c>
      <c r="C8" t="s">
        <v>1094</v>
      </c>
      <c r="D8" t="s">
        <v>956</v>
      </c>
      <c r="E8" t="str">
        <f>VLOOKUP(A8,Loader!B:B,1,0)</f>
        <v>CurveMLES_F_8</v>
      </c>
    </row>
    <row r="9" spans="1:5" x14ac:dyDescent="0.25">
      <c r="A9" t="s">
        <v>940</v>
      </c>
      <c r="B9" t="s">
        <v>940</v>
      </c>
      <c r="C9" t="s">
        <v>1094</v>
      </c>
      <c r="D9" t="s">
        <v>955</v>
      </c>
      <c r="E9" t="str">
        <f>VLOOKUP(A9,Loader!B:B,1,0)</f>
        <v>CurveMLES_F_9</v>
      </c>
    </row>
    <row r="10" spans="1:5" x14ac:dyDescent="0.25">
      <c r="A10" t="s">
        <v>1095</v>
      </c>
      <c r="B10" t="s">
        <v>1095</v>
      </c>
      <c r="C10" t="s">
        <v>1094</v>
      </c>
      <c r="D10" t="s">
        <v>1114</v>
      </c>
      <c r="E10" t="e">
        <f>VLOOKUP(A10,Loader!B:B,1,0)</f>
        <v>#N/A</v>
      </c>
    </row>
    <row r="11" spans="1:5" x14ac:dyDescent="0.25">
      <c r="A11" t="s">
        <v>945</v>
      </c>
      <c r="B11" t="s">
        <v>945</v>
      </c>
      <c r="C11" t="s">
        <v>1094</v>
      </c>
      <c r="D11" t="s">
        <v>959</v>
      </c>
      <c r="E11" t="e">
        <f>VLOOKUP(A11,Loader!B:B,1,0)</f>
        <v>#N/A</v>
      </c>
    </row>
    <row r="12" spans="1:5" x14ac:dyDescent="0.25">
      <c r="A12" t="s">
        <v>946</v>
      </c>
      <c r="B12" t="s">
        <v>946</v>
      </c>
      <c r="C12" t="s">
        <v>1094</v>
      </c>
      <c r="D12" t="s">
        <v>960</v>
      </c>
      <c r="E12" t="e">
        <f>VLOOKUP(A12,Loader!B:B,1,0)</f>
        <v>#N/A</v>
      </c>
    </row>
    <row r="13" spans="1:5" x14ac:dyDescent="0.25">
      <c r="A13" t="s">
        <v>947</v>
      </c>
      <c r="B13" t="s">
        <v>947</v>
      </c>
      <c r="C13" t="s">
        <v>1094</v>
      </c>
      <c r="D13" t="s">
        <v>961</v>
      </c>
      <c r="E13" t="e">
        <f>VLOOKUP(A13,Loader!B:B,1,0)</f>
        <v>#N/A</v>
      </c>
    </row>
    <row r="14" spans="1:5" x14ac:dyDescent="0.25">
      <c r="A14" t="s">
        <v>948</v>
      </c>
      <c r="B14" t="s">
        <v>948</v>
      </c>
      <c r="C14" t="s">
        <v>1094</v>
      </c>
      <c r="D14" t="s">
        <v>962</v>
      </c>
      <c r="E14" t="e">
        <f>VLOOKUP(A14,Loader!B:B,1,0)</f>
        <v>#N/A</v>
      </c>
    </row>
    <row r="15" spans="1:5" x14ac:dyDescent="0.25">
      <c r="A15" t="s">
        <v>919</v>
      </c>
      <c r="B15" t="s">
        <v>919</v>
      </c>
      <c r="C15" t="s">
        <v>1094</v>
      </c>
      <c r="D15" t="s">
        <v>955</v>
      </c>
      <c r="E15" t="str">
        <f>VLOOKUP(A15,Loader!B:B,1,0)</f>
        <v>CurveMLES_5_9</v>
      </c>
    </row>
    <row r="16" spans="1:5" x14ac:dyDescent="0.25">
      <c r="A16" t="s">
        <v>963</v>
      </c>
      <c r="B16" t="s">
        <v>963</v>
      </c>
      <c r="C16" t="s">
        <v>1094</v>
      </c>
      <c r="D16" t="s">
        <v>964</v>
      </c>
      <c r="E16" t="e">
        <f>VLOOKUP(A16,Loader!B:B,1,0)</f>
        <v>#N/A</v>
      </c>
    </row>
    <row r="17" spans="1:5" x14ac:dyDescent="0.25">
      <c r="A17" t="s">
        <v>981</v>
      </c>
      <c r="B17" t="s">
        <v>947</v>
      </c>
      <c r="C17" t="s">
        <v>1094</v>
      </c>
      <c r="D17" t="s">
        <v>961</v>
      </c>
      <c r="E17" t="str">
        <f>VLOOKUP(A17,Loader!B:B,1,0)</f>
        <v>CurveSmooth</v>
      </c>
    </row>
    <row r="18" spans="1:5" x14ac:dyDescent="0.25">
      <c r="A18" t="s">
        <v>1057</v>
      </c>
      <c r="B18" t="s">
        <v>948</v>
      </c>
      <c r="C18" t="s">
        <v>1094</v>
      </c>
      <c r="D18" t="s">
        <v>962</v>
      </c>
      <c r="E18" t="str">
        <f>VLOOKUP(A18,Loader!B:B,1,0)</f>
        <v>CurveSmoothFL</v>
      </c>
    </row>
    <row r="19" spans="1:5" x14ac:dyDescent="0.25">
      <c r="A19" t="s">
        <v>1004</v>
      </c>
      <c r="B19" t="s">
        <v>945</v>
      </c>
      <c r="C19" t="s">
        <v>1094</v>
      </c>
      <c r="D19" t="s">
        <v>959</v>
      </c>
      <c r="E19" t="str">
        <f>VLOOKUP(A19,Loader!B:B,1,0)</f>
        <v>CurveSmoothEUR</v>
      </c>
    </row>
    <row r="20" spans="1:5" x14ac:dyDescent="0.25">
      <c r="A20" t="s">
        <v>1005</v>
      </c>
      <c r="B20" t="s">
        <v>946</v>
      </c>
      <c r="C20" t="s">
        <v>1094</v>
      </c>
      <c r="D20" t="s">
        <v>960</v>
      </c>
      <c r="E20" t="str">
        <f>VLOOKUP(A20,Loader!B:B,1,0)</f>
        <v>CurveSmoothGBP</v>
      </c>
    </row>
    <row r="21" spans="1:5" x14ac:dyDescent="0.25">
      <c r="A21" t="s">
        <v>949</v>
      </c>
      <c r="B21" t="s">
        <v>949</v>
      </c>
      <c r="C21" t="s">
        <v>1094</v>
      </c>
      <c r="D21" t="s">
        <v>951</v>
      </c>
      <c r="E21" t="e">
        <f>VLOOKUP(A21,Loader!B:B,1,0)</f>
        <v>#N/A</v>
      </c>
    </row>
    <row r="22" spans="1:5" x14ac:dyDescent="0.25">
      <c r="A22" t="s">
        <v>950</v>
      </c>
      <c r="B22" t="s">
        <v>950</v>
      </c>
      <c r="C22" t="s">
        <v>1094</v>
      </c>
      <c r="D22" t="s">
        <v>954</v>
      </c>
      <c r="E22" t="str">
        <f>VLOOKUP(A22,Loader!B:B,1,0)</f>
        <v>CurveZS</v>
      </c>
    </row>
    <row r="23" spans="1:5" x14ac:dyDescent="0.25">
      <c r="A23" t="s">
        <v>1043</v>
      </c>
      <c r="B23" t="s">
        <v>981</v>
      </c>
      <c r="C23" t="s">
        <v>1094</v>
      </c>
      <c r="D23" t="str">
        <f>D17</f>
        <v>Alpha=0.04, Degree=15, WeightAtt=1.0/Math.Pow($this.DV01,2.0)</v>
      </c>
      <c r="E23" t="str">
        <f>VLOOKUP(A23,Loader!B:B,1,0)</f>
        <v>CurveScenario</v>
      </c>
    </row>
    <row r="24" spans="1:5" x14ac:dyDescent="0.25">
      <c r="A24" t="s">
        <v>1029</v>
      </c>
      <c r="B24" t="s">
        <v>1029</v>
      </c>
      <c r="C24" t="s">
        <v>1105</v>
      </c>
      <c r="D24" t="s">
        <v>1117</v>
      </c>
      <c r="E24" t="str">
        <f>VLOOKUP(A24,Loader!B:B,1,0)</f>
        <v>CurveCalibratedConvexity</v>
      </c>
    </row>
    <row r="25" spans="1:5" x14ac:dyDescent="0.25">
      <c r="A25" t="s">
        <v>1107</v>
      </c>
      <c r="B25" t="s">
        <v>1107</v>
      </c>
      <c r="C25" t="s">
        <v>1108</v>
      </c>
      <c r="D25" t="s">
        <v>1111</v>
      </c>
      <c r="E25" t="str">
        <f>VLOOKUP(A25,Loader!B:B,1,0)</f>
        <v>CurveNSS</v>
      </c>
    </row>
    <row r="26" spans="1:5" x14ac:dyDescent="0.25">
      <c r="A26" t="s">
        <v>1109</v>
      </c>
      <c r="B26" t="s">
        <v>1109</v>
      </c>
      <c r="C26" t="s">
        <v>1108</v>
      </c>
      <c r="D26" t="s">
        <v>1112</v>
      </c>
      <c r="E26" t="str">
        <f>VLOOKUP(A26,Loader!B:B,1,0)</f>
        <v>CurveNS</v>
      </c>
    </row>
    <row r="27" spans="1:5" x14ac:dyDescent="0.25">
      <c r="A27" t="s">
        <v>1129</v>
      </c>
      <c r="B27" t="s">
        <v>1129</v>
      </c>
      <c r="C27" t="s">
        <v>1108</v>
      </c>
      <c r="D27" t="s">
        <v>1139</v>
      </c>
      <c r="E27" t="str">
        <f>VLOOKUP(A27,Loader!B:B,1,0)</f>
        <v>CurveMLES_Opt_9</v>
      </c>
    </row>
    <row r="28" spans="1:5" x14ac:dyDescent="0.25">
      <c r="A28" t="s">
        <v>1093</v>
      </c>
      <c r="B28" t="s">
        <v>1093</v>
      </c>
      <c r="C28" t="s">
        <v>1110</v>
      </c>
      <c r="D28" t="s">
        <v>961</v>
      </c>
      <c r="E28" t="str">
        <f>VLOOKUP(A28,Loader!B:B,1,0)</f>
        <v>CurveBasis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3CCDC-463F-4660-8786-4C7C150792FC}">
  <dimension ref="A1:D8"/>
  <sheetViews>
    <sheetView workbookViewId="0">
      <selection activeCell="D28" sqref="D28"/>
    </sheetView>
  </sheetViews>
  <sheetFormatPr defaultRowHeight="15" x14ac:dyDescent="0.25"/>
  <cols>
    <col min="1" max="1" width="20.85546875" bestFit="1" customWidth="1"/>
    <col min="2" max="2" width="42.7109375" bestFit="1" customWidth="1"/>
    <col min="3" max="3" width="18.42578125" bestFit="1" customWidth="1"/>
    <col min="4" max="4" width="41.85546875" bestFit="1" customWidth="1"/>
  </cols>
  <sheetData>
    <row r="1" spans="1:4" x14ac:dyDescent="0.25">
      <c r="A1" t="s">
        <v>1113</v>
      </c>
      <c r="B1" t="s">
        <v>1119</v>
      </c>
      <c r="C1" t="s">
        <v>1145</v>
      </c>
      <c r="D1" t="s">
        <v>1144</v>
      </c>
    </row>
    <row r="2" spans="1:4" x14ac:dyDescent="0.25">
      <c r="A2" t="s">
        <v>1118</v>
      </c>
      <c r="B2" t="s">
        <v>1147</v>
      </c>
      <c r="C2" t="s">
        <v>1140</v>
      </c>
      <c r="D2" t="s">
        <v>1150</v>
      </c>
    </row>
    <row r="3" spans="1:4" x14ac:dyDescent="0.25">
      <c r="A3" t="s">
        <v>1115</v>
      </c>
      <c r="B3" t="s">
        <v>1146</v>
      </c>
      <c r="C3" t="s">
        <v>1140</v>
      </c>
      <c r="D3" t="s">
        <v>1151</v>
      </c>
    </row>
    <row r="4" spans="1:4" x14ac:dyDescent="0.25">
      <c r="A4" t="s">
        <v>951</v>
      </c>
      <c r="B4" t="s">
        <v>1148</v>
      </c>
      <c r="C4" t="s">
        <v>1143</v>
      </c>
      <c r="D4" t="s">
        <v>1102</v>
      </c>
    </row>
    <row r="5" spans="1:4" x14ac:dyDescent="0.25">
      <c r="A5" t="s">
        <v>954</v>
      </c>
      <c r="B5" t="s">
        <v>1148</v>
      </c>
      <c r="C5" t="s">
        <v>1143</v>
      </c>
      <c r="D5" t="s">
        <v>1103</v>
      </c>
    </row>
    <row r="6" spans="1:4" x14ac:dyDescent="0.25">
      <c r="A6" t="s">
        <v>1111</v>
      </c>
      <c r="B6" t="s">
        <v>1149</v>
      </c>
      <c r="C6" t="s">
        <v>1143</v>
      </c>
      <c r="D6" t="s">
        <v>1100</v>
      </c>
    </row>
    <row r="7" spans="1:4" x14ac:dyDescent="0.25">
      <c r="A7" t="s">
        <v>1112</v>
      </c>
      <c r="B7" t="s">
        <v>1149</v>
      </c>
      <c r="C7" t="s">
        <v>1143</v>
      </c>
      <c r="D7" t="s">
        <v>1101</v>
      </c>
    </row>
    <row r="8" spans="1:4" x14ac:dyDescent="0.25">
      <c r="A8" t="s">
        <v>1139</v>
      </c>
      <c r="B8" t="s">
        <v>1149</v>
      </c>
      <c r="C8" t="s">
        <v>1143</v>
      </c>
      <c r="D8" t="s">
        <v>1152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5E6F-72C0-4DAE-BC64-DAD323C96C3C}">
  <dimension ref="A1:E4"/>
  <sheetViews>
    <sheetView tabSelected="1" workbookViewId="0">
      <selection activeCell="E23" sqref="E23"/>
    </sheetView>
  </sheetViews>
  <sheetFormatPr defaultRowHeight="15" x14ac:dyDescent="0.25"/>
  <cols>
    <col min="1" max="1" width="10.28515625" bestFit="1" customWidth="1"/>
    <col min="3" max="3" width="27.42578125" bestFit="1" customWidth="1"/>
  </cols>
  <sheetData>
    <row r="1" spans="1:5" x14ac:dyDescent="0.25">
      <c r="A1" t="s">
        <v>1100</v>
      </c>
      <c r="B1" t="s">
        <v>1100</v>
      </c>
      <c r="C1" t="s">
        <v>1099</v>
      </c>
      <c r="D1" t="s">
        <v>1116</v>
      </c>
      <c r="E1" t="e">
        <f>VLOOKUP(A1,Loader!B:B,1,0)</f>
        <v>#N/A</v>
      </c>
    </row>
    <row r="2" spans="1:5" x14ac:dyDescent="0.25">
      <c r="A2" t="s">
        <v>1101</v>
      </c>
      <c r="B2" t="s">
        <v>1101</v>
      </c>
      <c r="C2" t="s">
        <v>1099</v>
      </c>
      <c r="D2" t="s">
        <v>1116</v>
      </c>
      <c r="E2" t="e">
        <f>VLOOKUP(A2,Loader!B:B,1,0)</f>
        <v>#N/A</v>
      </c>
    </row>
    <row r="3" spans="1:5" x14ac:dyDescent="0.25">
      <c r="A3" t="s">
        <v>1102</v>
      </c>
      <c r="B3" t="s">
        <v>1101</v>
      </c>
      <c r="C3" t="s">
        <v>1099</v>
      </c>
      <c r="D3" t="s">
        <v>1116</v>
      </c>
      <c r="E3" t="e">
        <f>VLOOKUP(A3,Loader!B:B,1,0)</f>
        <v>#N/A</v>
      </c>
    </row>
    <row r="4" spans="1:5" x14ac:dyDescent="0.25">
      <c r="B4" t="s">
        <v>1103</v>
      </c>
      <c r="C4" t="s">
        <v>1104</v>
      </c>
      <c r="D4" t="s">
        <v>1116</v>
      </c>
      <c r="E4" t="e">
        <f>VLOOKUP(A4,Loader!B:B,1,0)</f>
        <v>#N/A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439E-6B3F-4B25-B47B-89C301475A99}">
  <dimension ref="A1:P33"/>
  <sheetViews>
    <sheetView zoomScaleNormal="100" workbookViewId="0">
      <selection activeCell="F27" sqref="F27"/>
    </sheetView>
  </sheetViews>
  <sheetFormatPr defaultRowHeight="15" x14ac:dyDescent="0.25"/>
  <cols>
    <col min="2" max="2" width="12.140625" customWidth="1"/>
    <col min="4" max="4" width="18.28515625" bestFit="1" customWidth="1"/>
    <col min="5" max="5" width="13.28515625" bestFit="1" customWidth="1"/>
    <col min="6" max="7" width="12.5703125" bestFit="1" customWidth="1"/>
    <col min="9" max="9" width="9" bestFit="1" customWidth="1"/>
    <col min="11" max="11" width="11.140625" bestFit="1" customWidth="1"/>
    <col min="12" max="12" width="10.5703125" bestFit="1" customWidth="1"/>
    <col min="14" max="14" width="9.42578125" bestFit="1" customWidth="1"/>
    <col min="15" max="15" width="10.42578125" bestFit="1" customWidth="1"/>
  </cols>
  <sheetData>
    <row r="1" spans="1:16" x14ac:dyDescent="0.25">
      <c r="B1" s="4">
        <v>41554</v>
      </c>
    </row>
    <row r="2" spans="1:16" x14ac:dyDescent="0.25">
      <c r="B2" s="4">
        <v>41555</v>
      </c>
      <c r="J2" t="s">
        <v>871</v>
      </c>
      <c r="K2">
        <v>1.3577999999999999</v>
      </c>
    </row>
    <row r="3" spans="1:16" x14ac:dyDescent="0.25">
      <c r="B3" s="4">
        <v>41556</v>
      </c>
      <c r="I3" t="s">
        <v>908</v>
      </c>
      <c r="K3" s="5">
        <f>K2-M7-M8</f>
        <v>1.35779155</v>
      </c>
    </row>
    <row r="4" spans="1:16" x14ac:dyDescent="0.25">
      <c r="I4" t="s">
        <v>908</v>
      </c>
      <c r="K4" s="5">
        <f>K2*E5/E6</f>
        <v>1.3577915499999988</v>
      </c>
    </row>
    <row r="5" spans="1:16" x14ac:dyDescent="0.25">
      <c r="D5" t="s">
        <v>909</v>
      </c>
      <c r="E5">
        <v>0.99998969340223798</v>
      </c>
    </row>
    <row r="6" spans="1:16" x14ac:dyDescent="0.25">
      <c r="A6" t="s">
        <v>906</v>
      </c>
      <c r="D6" t="s">
        <v>910</v>
      </c>
      <c r="E6">
        <v>0.99999591667922805</v>
      </c>
      <c r="I6" t="s">
        <v>872</v>
      </c>
      <c r="J6" t="s">
        <v>873</v>
      </c>
      <c r="K6" t="s">
        <v>874</v>
      </c>
      <c r="L6" t="s">
        <v>834</v>
      </c>
      <c r="M6" t="s">
        <v>830</v>
      </c>
      <c r="N6" t="s">
        <v>875</v>
      </c>
      <c r="O6" t="s">
        <v>876</v>
      </c>
    </row>
    <row r="7" spans="1:16" x14ac:dyDescent="0.25">
      <c r="A7" t="s">
        <v>870</v>
      </c>
      <c r="D7" t="s">
        <v>913</v>
      </c>
      <c r="E7" s="6">
        <f>E6*K3/K2</f>
        <v>0.99998969340223887</v>
      </c>
      <c r="I7" t="s">
        <v>906</v>
      </c>
      <c r="J7" t="s">
        <v>871</v>
      </c>
      <c r="K7" t="s">
        <v>877</v>
      </c>
      <c r="L7" t="s">
        <v>878</v>
      </c>
      <c r="M7">
        <v>4.7500000000000003E-6</v>
      </c>
      <c r="N7" s="3">
        <v>41465</v>
      </c>
      <c r="O7" s="3">
        <v>41496</v>
      </c>
    </row>
    <row r="8" spans="1:16" x14ac:dyDescent="0.25">
      <c r="I8" t="s">
        <v>907</v>
      </c>
      <c r="J8" t="s">
        <v>871</v>
      </c>
      <c r="K8" t="s">
        <v>877</v>
      </c>
      <c r="L8" t="s">
        <v>878</v>
      </c>
      <c r="M8">
        <v>3.7000000000000002E-6</v>
      </c>
      <c r="N8" s="3">
        <v>41496</v>
      </c>
      <c r="O8" s="3">
        <v>41527</v>
      </c>
    </row>
    <row r="9" spans="1:16" x14ac:dyDescent="0.25">
      <c r="D9" t="s">
        <v>911</v>
      </c>
      <c r="E9">
        <v>0.99992860824210572</v>
      </c>
      <c r="I9" t="s">
        <v>870</v>
      </c>
      <c r="J9" t="s">
        <v>871</v>
      </c>
      <c r="K9" t="s">
        <v>877</v>
      </c>
      <c r="L9" t="s">
        <v>878</v>
      </c>
      <c r="M9">
        <v>2.3499999999999999E-5</v>
      </c>
      <c r="N9" s="3">
        <v>41527</v>
      </c>
      <c r="O9" t="s">
        <v>879</v>
      </c>
      <c r="P9">
        <f>K2+M9</f>
        <v>1.3578234999999999</v>
      </c>
    </row>
    <row r="10" spans="1:16" x14ac:dyDescent="0.25">
      <c r="D10" t="s">
        <v>912</v>
      </c>
      <c r="E10">
        <v>0.99997666712838496</v>
      </c>
      <c r="I10" t="s">
        <v>880</v>
      </c>
      <c r="J10" t="s">
        <v>871</v>
      </c>
      <c r="K10" t="s">
        <v>877</v>
      </c>
      <c r="L10" t="s">
        <v>878</v>
      </c>
      <c r="M10">
        <v>4.85E-5</v>
      </c>
      <c r="N10" s="3">
        <v>41527</v>
      </c>
      <c r="O10" t="s">
        <v>881</v>
      </c>
    </row>
    <row r="11" spans="1:16" x14ac:dyDescent="0.25">
      <c r="F11" s="6"/>
      <c r="G11" s="6"/>
      <c r="I11" t="s">
        <v>882</v>
      </c>
      <c r="J11" t="s">
        <v>871</v>
      </c>
      <c r="K11" t="s">
        <v>877</v>
      </c>
      <c r="L11" t="s">
        <v>878</v>
      </c>
      <c r="M11">
        <v>7.1000000000000005E-5</v>
      </c>
      <c r="N11" s="3">
        <v>41527</v>
      </c>
      <c r="O11" t="s">
        <v>883</v>
      </c>
    </row>
    <row r="12" spans="1:16" x14ac:dyDescent="0.25">
      <c r="I12" t="s">
        <v>884</v>
      </c>
      <c r="J12" t="s">
        <v>871</v>
      </c>
      <c r="K12" t="s">
        <v>877</v>
      </c>
      <c r="L12" t="s">
        <v>878</v>
      </c>
      <c r="M12">
        <v>1.195E-4</v>
      </c>
      <c r="N12" s="3">
        <v>41527</v>
      </c>
      <c r="O12" s="3">
        <v>41619</v>
      </c>
    </row>
    <row r="13" spans="1:16" x14ac:dyDescent="0.25">
      <c r="D13" t="s">
        <v>914</v>
      </c>
      <c r="E13">
        <f>P9/K2*E6/E5*E9</f>
        <v>0.99995213742008171</v>
      </c>
      <c r="I13" t="s">
        <v>885</v>
      </c>
      <c r="J13" t="s">
        <v>871</v>
      </c>
      <c r="K13" t="s">
        <v>877</v>
      </c>
      <c r="L13" t="s">
        <v>878</v>
      </c>
      <c r="M13">
        <v>2.2450000000000001E-4</v>
      </c>
      <c r="N13" s="3">
        <v>41527</v>
      </c>
      <c r="O13" s="3">
        <v>41529</v>
      </c>
    </row>
    <row r="14" spans="1:16" x14ac:dyDescent="0.25">
      <c r="D14" t="s">
        <v>915</v>
      </c>
      <c r="E14">
        <f>E10/(1+M9/K2)*E5/E6</f>
        <v>0.99995313737321734</v>
      </c>
      <c r="I14" t="s">
        <v>886</v>
      </c>
      <c r="J14" t="s">
        <v>871</v>
      </c>
      <c r="K14" t="s">
        <v>877</v>
      </c>
      <c r="L14" t="s">
        <v>878</v>
      </c>
      <c r="M14">
        <v>2.9999999999999997E-4</v>
      </c>
      <c r="N14" s="3">
        <v>41527</v>
      </c>
      <c r="O14" s="3">
        <v>41883</v>
      </c>
    </row>
    <row r="15" spans="1:16" x14ac:dyDescent="0.25">
      <c r="I15" t="s">
        <v>887</v>
      </c>
      <c r="J15" t="s">
        <v>871</v>
      </c>
      <c r="K15" t="s">
        <v>877</v>
      </c>
      <c r="L15" t="s">
        <v>878</v>
      </c>
      <c r="M15">
        <v>4.1000000000000003E-3</v>
      </c>
      <c r="N15" s="3">
        <v>41527</v>
      </c>
      <c r="O15" s="3">
        <v>41914</v>
      </c>
    </row>
    <row r="16" spans="1:16" x14ac:dyDescent="0.25">
      <c r="I16" t="s">
        <v>888</v>
      </c>
      <c r="J16" t="s">
        <v>871</v>
      </c>
      <c r="K16" t="s">
        <v>877</v>
      </c>
      <c r="L16" t="s">
        <v>878</v>
      </c>
      <c r="M16">
        <v>5.0500000000000002E-4</v>
      </c>
      <c r="N16" s="3">
        <v>41527</v>
      </c>
      <c r="O16" s="3">
        <v>41915</v>
      </c>
    </row>
    <row r="17" spans="9:15" x14ac:dyDescent="0.25">
      <c r="I17" t="s">
        <v>889</v>
      </c>
      <c r="J17" t="s">
        <v>871</v>
      </c>
      <c r="K17" t="s">
        <v>877</v>
      </c>
      <c r="L17" t="s">
        <v>878</v>
      </c>
      <c r="M17">
        <v>6.3499999999999997E-3</v>
      </c>
      <c r="N17" s="3">
        <v>41527</v>
      </c>
      <c r="O17" s="3">
        <v>41886</v>
      </c>
    </row>
    <row r="18" spans="9:15" x14ac:dyDescent="0.25">
      <c r="I18" t="s">
        <v>890</v>
      </c>
      <c r="J18" t="s">
        <v>871</v>
      </c>
      <c r="K18" t="s">
        <v>877</v>
      </c>
      <c r="L18" t="s">
        <v>878</v>
      </c>
      <c r="M18">
        <v>7.5750000000000004E-4</v>
      </c>
      <c r="N18" s="3">
        <v>41527</v>
      </c>
      <c r="O18" s="3">
        <v>41887</v>
      </c>
    </row>
    <row r="19" spans="9:15" x14ac:dyDescent="0.25">
      <c r="I19" t="s">
        <v>891</v>
      </c>
      <c r="J19" t="s">
        <v>871</v>
      </c>
      <c r="K19" t="s">
        <v>877</v>
      </c>
      <c r="L19" t="s">
        <v>878</v>
      </c>
      <c r="M19">
        <v>8.9499999999999996E-4</v>
      </c>
      <c r="N19" s="3">
        <v>41527</v>
      </c>
      <c r="O19" s="3">
        <v>41888</v>
      </c>
    </row>
    <row r="20" spans="9:15" x14ac:dyDescent="0.25">
      <c r="I20" t="s">
        <v>892</v>
      </c>
      <c r="J20" t="s">
        <v>871</v>
      </c>
      <c r="K20" t="s">
        <v>877</v>
      </c>
      <c r="L20" t="s">
        <v>878</v>
      </c>
      <c r="M20">
        <v>1.0250000000000001E-3</v>
      </c>
      <c r="N20" s="3">
        <v>41527</v>
      </c>
      <c r="O20" s="3">
        <v>41889</v>
      </c>
    </row>
    <row r="21" spans="9:15" x14ac:dyDescent="0.25">
      <c r="I21" t="s">
        <v>893</v>
      </c>
      <c r="J21" t="s">
        <v>871</v>
      </c>
      <c r="K21" t="s">
        <v>877</v>
      </c>
      <c r="L21" t="s">
        <v>878</v>
      </c>
      <c r="M21">
        <v>1.175E-3</v>
      </c>
      <c r="N21" s="3">
        <v>41527</v>
      </c>
      <c r="O21" s="3">
        <v>41951</v>
      </c>
    </row>
    <row r="22" spans="9:15" x14ac:dyDescent="0.25">
      <c r="I22" t="s">
        <v>894</v>
      </c>
      <c r="J22" t="s">
        <v>871</v>
      </c>
      <c r="K22" t="s">
        <v>877</v>
      </c>
      <c r="L22" t="s">
        <v>878</v>
      </c>
      <c r="M22">
        <v>1.335E-3</v>
      </c>
      <c r="N22" s="3">
        <v>41527</v>
      </c>
      <c r="O22" s="3">
        <v>41891</v>
      </c>
    </row>
    <row r="23" spans="9:15" x14ac:dyDescent="0.25">
      <c r="I23" t="s">
        <v>895</v>
      </c>
      <c r="J23" t="s">
        <v>871</v>
      </c>
      <c r="K23" t="s">
        <v>877</v>
      </c>
      <c r="L23" t="s">
        <v>878</v>
      </c>
      <c r="M23">
        <v>1.5E-3</v>
      </c>
      <c r="N23" s="3">
        <v>41527</v>
      </c>
      <c r="O23" s="3">
        <v>41892</v>
      </c>
    </row>
    <row r="24" spans="9:15" x14ac:dyDescent="0.25">
      <c r="I24" t="s">
        <v>896</v>
      </c>
      <c r="J24" t="s">
        <v>871</v>
      </c>
      <c r="K24" t="s">
        <v>877</v>
      </c>
      <c r="L24" t="s">
        <v>878</v>
      </c>
      <c r="M24">
        <v>2.8E-3</v>
      </c>
      <c r="N24" s="3">
        <v>41527</v>
      </c>
      <c r="O24" s="3">
        <v>42251</v>
      </c>
    </row>
    <row r="25" spans="9:15" x14ac:dyDescent="0.25">
      <c r="I25" t="s">
        <v>897</v>
      </c>
      <c r="J25" t="s">
        <v>871</v>
      </c>
      <c r="K25" t="s">
        <v>877</v>
      </c>
      <c r="L25" t="s">
        <v>878</v>
      </c>
      <c r="M25">
        <v>4.7980000000000002E-3</v>
      </c>
      <c r="N25" s="3">
        <v>41527</v>
      </c>
      <c r="O25" s="3">
        <v>42257</v>
      </c>
    </row>
    <row r="26" spans="9:15" x14ac:dyDescent="0.25">
      <c r="I26" t="s">
        <v>898</v>
      </c>
      <c r="J26" t="s">
        <v>871</v>
      </c>
      <c r="K26" t="s">
        <v>877</v>
      </c>
      <c r="L26" t="s">
        <v>878</v>
      </c>
      <c r="M26">
        <v>1.2871E-2</v>
      </c>
      <c r="N26" s="3">
        <v>41527</v>
      </c>
      <c r="O26" s="3">
        <v>42684</v>
      </c>
    </row>
    <row r="27" spans="9:15" x14ac:dyDescent="0.25">
      <c r="I27" t="s">
        <v>899</v>
      </c>
      <c r="J27" t="s">
        <v>871</v>
      </c>
      <c r="K27" t="s">
        <v>877</v>
      </c>
      <c r="L27" t="s">
        <v>878</v>
      </c>
      <c r="M27">
        <v>2.5228E-2</v>
      </c>
      <c r="N27" s="3">
        <v>41527</v>
      </c>
      <c r="O27" s="3">
        <v>43018</v>
      </c>
    </row>
    <row r="28" spans="9:15" x14ac:dyDescent="0.25">
      <c r="I28" t="s">
        <v>900</v>
      </c>
      <c r="J28" t="s">
        <v>871</v>
      </c>
      <c r="K28" t="s">
        <v>877</v>
      </c>
      <c r="L28" t="s">
        <v>878</v>
      </c>
      <c r="M28">
        <v>4.2068000000000001E-2</v>
      </c>
      <c r="N28" s="3">
        <v>41527</v>
      </c>
      <c r="O28" s="3">
        <v>43353</v>
      </c>
    </row>
    <row r="29" spans="9:15" x14ac:dyDescent="0.25">
      <c r="I29" t="s">
        <v>901</v>
      </c>
      <c r="J29" t="s">
        <v>871</v>
      </c>
      <c r="K29" t="s">
        <v>877</v>
      </c>
      <c r="L29" t="s">
        <v>878</v>
      </c>
      <c r="M29">
        <v>6.1608000000000003E-2</v>
      </c>
      <c r="N29" s="3">
        <v>41527</v>
      </c>
      <c r="O29" s="3">
        <v>43718</v>
      </c>
    </row>
    <row r="30" spans="9:15" x14ac:dyDescent="0.25">
      <c r="I30" t="s">
        <v>902</v>
      </c>
      <c r="J30" t="s">
        <v>871</v>
      </c>
      <c r="K30" t="s">
        <v>877</v>
      </c>
      <c r="L30" t="s">
        <v>878</v>
      </c>
      <c r="M30">
        <v>8.2707000000000003E-2</v>
      </c>
      <c r="N30" s="3">
        <v>41527</v>
      </c>
      <c r="O30" s="3">
        <v>44084</v>
      </c>
    </row>
    <row r="31" spans="9:15" x14ac:dyDescent="0.25">
      <c r="I31" t="s">
        <v>903</v>
      </c>
      <c r="J31" t="s">
        <v>871</v>
      </c>
      <c r="K31" t="s">
        <v>877</v>
      </c>
      <c r="L31" t="s">
        <v>878</v>
      </c>
      <c r="M31">
        <v>0.103476</v>
      </c>
      <c r="N31" s="3">
        <v>41527</v>
      </c>
      <c r="O31" s="3">
        <v>44540</v>
      </c>
    </row>
    <row r="32" spans="9:15" x14ac:dyDescent="0.25">
      <c r="I32" t="s">
        <v>904</v>
      </c>
      <c r="J32" t="s">
        <v>871</v>
      </c>
      <c r="K32" t="s">
        <v>877</v>
      </c>
      <c r="L32" t="s">
        <v>878</v>
      </c>
      <c r="M32">
        <v>0.12431300000000001</v>
      </c>
      <c r="N32" s="3">
        <v>41527</v>
      </c>
      <c r="O32" s="3">
        <v>44875</v>
      </c>
    </row>
    <row r="33" spans="9:15" x14ac:dyDescent="0.25">
      <c r="I33" t="s">
        <v>905</v>
      </c>
      <c r="J33" t="s">
        <v>871</v>
      </c>
      <c r="K33" t="s">
        <v>877</v>
      </c>
      <c r="L33" t="s">
        <v>878</v>
      </c>
      <c r="M33">
        <v>0.14391000000000001</v>
      </c>
      <c r="N33" s="3">
        <v>41527</v>
      </c>
      <c r="O33" s="3">
        <v>45209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Bloomberg</vt:lpstr>
      <vt:lpstr>QWSecurity Spring Object</vt:lpstr>
      <vt:lpstr>Loader</vt:lpstr>
      <vt:lpstr>Sheet1</vt:lpstr>
      <vt:lpstr>ICurves</vt:lpstr>
      <vt:lpstr>ICurveFitter</vt:lpstr>
      <vt:lpstr>DiscountFunction</vt:lpstr>
      <vt:lpstr>FXCurve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Gazzano, Pierre</dc:creator>
  <cp:lastModifiedBy>Gazzano, Pierre</cp:lastModifiedBy>
  <dcterms:created xsi:type="dcterms:W3CDTF">2026-05-04T18:58:19Z</dcterms:created>
  <dcterms:modified xsi:type="dcterms:W3CDTF">2026-07-08T15:37:36Z</dcterms:modified>
</cp:coreProperties>
</file>